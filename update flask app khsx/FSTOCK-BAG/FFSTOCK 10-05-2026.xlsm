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10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haonguyen\OneDrive - Cong Ty Co Phan Chan Nuoi C.P. Viet Nam\Nguyên FG\BAO CAO NGAY\FFSTOCK\FFSTOCK 2026\FFSTOCK THÁNG 05-2026\"/>
    </mc:Choice>
  </mc:AlternateContent>
  <xr:revisionPtr revIDLastSave="0" documentId="13_ncr:1_{507BD03A-F530-4E3F-892E-2EB6B907A479}" xr6:coauthVersionLast="47" xr6:coauthVersionMax="47" xr10:uidLastSave="{00000000-0000-0000-0000-000000000000}"/>
  <bookViews>
    <workbookView xWindow="-120" yWindow="-120" windowWidth="19440" windowHeight="14880" tabRatio="826" firstSheet="3" activeTab="3" xr2:uid="{FA146E08-53EA-4888-99B5-F4C9146AB35B}"/>
  </bookViews>
  <sheets>
    <sheet name="XL4Poppy" sheetId="722" state="hidden" r:id="rId1"/>
    <sheet name="PRO-NASA" sheetId="812" r:id="rId2"/>
    <sheet name="BRAN" sheetId="785" r:id="rId3"/>
    <sheet name="INTGRATE" sheetId="630" r:id="rId4"/>
    <sheet name="REMIX" sheetId="800" r:id="rId5"/>
    <sheet name="Map" sheetId="802" r:id="rId6"/>
    <sheet name="data" sheetId="801" r:id="rId7"/>
    <sheet name="pro" sheetId="803" r:id="rId8"/>
    <sheet name="CBOUT" sheetId="808" r:id="rId9"/>
    <sheet name="CBIN" sheetId="809" r:id="rId10"/>
    <sheet name="AJOUT" sheetId="811" r:id="rId11"/>
    <sheet name="Sheet3" sheetId="805" r:id="rId12"/>
    <sheet name="Sheet1" sheetId="813" r:id="rId13"/>
    <sheet name="Sheet6" sheetId="810" r:id="rId14"/>
    <sheet name="Sheet4" sheetId="806" r:id="rId15"/>
  </sheets>
  <functionGroups builtInGroupCount="19"/>
  <externalReferences>
    <externalReference r:id="rId16"/>
    <externalReference r:id="rId17"/>
  </externalReferences>
  <definedNames>
    <definedName name="_xlnm._FilterDatabase" localSheetId="5" hidden="1">Map!$B$1:$F$744</definedName>
    <definedName name="_MS3">#REF!</definedName>
    <definedName name="_xleta.IF" hidden="1" xlm="1">#NAME?</definedName>
    <definedName name="_xleta.T" hidden="1" xlm="1">#NAME?</definedName>
    <definedName name="Bust">XL4Poppy!$C$31</definedName>
    <definedName name="Continue">XL4Poppy!$C$9</definedName>
    <definedName name="Document_array" localSheetId="0">{"PERSONAL.XLS","FFSTOCK  JANUARY .xls"}</definedName>
    <definedName name="Documents_array">XL4Poppy!$B$1:$B$16</definedName>
    <definedName name="Hello">XL4Poppy!$A$15</definedName>
    <definedName name="lam" localSheetId="0">XL4Poppy!$C$4</definedName>
    <definedName name="MakeIt" function="1" xlm="1">XL4Poppy!$A$26</definedName>
    <definedName name="Morning" function="1" xlm="1">XL4Poppy!$C$39</definedName>
    <definedName name="Poppy" function="1" xlm="1">XL4Poppy!$C$27</definedName>
    <definedName name="_xlnm.Print_Area" localSheetId="2">BRAN!$A$161:$T$339</definedName>
    <definedName name="_xlnm.Print_Area" localSheetId="6">data!$H$79:$L$111</definedName>
    <definedName name="_xlnm.Print_Area" localSheetId="3">INTGRATE!$A$118:$P$195</definedName>
    <definedName name="_xlnm.Print_Area" localSheetId="7">pro!$C$2:$R$46</definedName>
    <definedName name="_xlnm.Print_Area" localSheetId="1">'PRO-NASA'!$A$9:$E$58</definedName>
    <definedName name="_xlnm.Print_Area" localSheetId="0" function="1" xlm="1">XL4Poppy!$C$4</definedName>
    <definedName name="_xlnm.Print_Titles">#N/A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5" i="785" l="1"/>
  <c r="H36" i="785"/>
  <c r="H37" i="785"/>
  <c r="H38" i="785"/>
  <c r="H118" i="630"/>
  <c r="C306" i="630"/>
  <c r="C300" i="630"/>
  <c r="AF27" i="812"/>
  <c r="AC238" i="785"/>
  <c r="AQ331" i="785" l="1"/>
  <c r="AK262" i="630" l="1"/>
  <c r="BF156" i="630"/>
  <c r="BG156" i="630"/>
  <c r="Q156" i="630"/>
  <c r="T156" i="630" s="1"/>
  <c r="Y156" i="630"/>
  <c r="Y157" i="630"/>
  <c r="AA331" i="785"/>
  <c r="O28" i="785"/>
  <c r="R28" i="785" s="1"/>
  <c r="BH156" i="630" l="1"/>
  <c r="BC28" i="785"/>
  <c r="BD28" i="785"/>
  <c r="BE28" i="785" l="1"/>
  <c r="V28" i="785"/>
  <c r="Q61" i="630"/>
  <c r="Q62" i="630"/>
  <c r="Q63" i="630"/>
  <c r="Q64" i="630"/>
  <c r="Q65" i="630"/>
  <c r="Q66" i="630"/>
  <c r="Q67" i="630"/>
  <c r="Q68" i="630"/>
  <c r="Q69" i="630"/>
  <c r="Q70" i="630"/>
  <c r="Q71" i="630"/>
  <c r="Q72" i="630"/>
  <c r="Q73" i="630"/>
  <c r="Q74" i="630"/>
  <c r="Q75" i="630"/>
  <c r="Q76" i="630"/>
  <c r="Q77" i="630"/>
  <c r="Q78" i="630"/>
  <c r="Q79" i="630"/>
  <c r="Q80" i="630"/>
  <c r="Q81" i="630"/>
  <c r="Q82" i="630"/>
  <c r="Q83" i="630"/>
  <c r="Q84" i="630"/>
  <c r="Q85" i="630"/>
  <c r="Q86" i="630"/>
  <c r="Q87" i="630"/>
  <c r="Q88" i="630"/>
  <c r="Q89" i="630"/>
  <c r="P19" i="800"/>
  <c r="P20" i="800"/>
  <c r="P21" i="800"/>
  <c r="P22" i="800"/>
  <c r="BB103" i="630" l="1"/>
  <c r="I23" i="800"/>
  <c r="J22" i="800" l="1"/>
  <c r="K23" i="800"/>
  <c r="L23" i="800"/>
  <c r="M23" i="800"/>
  <c r="T23" i="800"/>
  <c r="U23" i="800"/>
  <c r="I24" i="800"/>
  <c r="K24" i="800"/>
  <c r="L24" i="800"/>
  <c r="M24" i="800"/>
  <c r="BC237" i="785"/>
  <c r="BD237" i="785"/>
  <c r="G278" i="785"/>
  <c r="E278" i="785"/>
  <c r="O237" i="785"/>
  <c r="R237" i="785" s="1"/>
  <c r="V237" i="785"/>
  <c r="BE237" i="785" l="1"/>
  <c r="BC316" i="785"/>
  <c r="BD316" i="785"/>
  <c r="BC317" i="785"/>
  <c r="BD317" i="785"/>
  <c r="BC318" i="785"/>
  <c r="BD318" i="785"/>
  <c r="BC319" i="785"/>
  <c r="BD319" i="785"/>
  <c r="BC320" i="785"/>
  <c r="BD320" i="785"/>
  <c r="BC321" i="785"/>
  <c r="BD321" i="785"/>
  <c r="BC322" i="785"/>
  <c r="BD322" i="785"/>
  <c r="BC323" i="785"/>
  <c r="BD323" i="785"/>
  <c r="BC324" i="785"/>
  <c r="BD324" i="785"/>
  <c r="BC325" i="785"/>
  <c r="BD325" i="785"/>
  <c r="BC326" i="785"/>
  <c r="BD326" i="785"/>
  <c r="BC327" i="785"/>
  <c r="BD327" i="785"/>
  <c r="BC328" i="785"/>
  <c r="BD328" i="785"/>
  <c r="BC329" i="785"/>
  <c r="BD329" i="785"/>
  <c r="BC330" i="785"/>
  <c r="BD330" i="785"/>
  <c r="BC208" i="785"/>
  <c r="BD208" i="785"/>
  <c r="BC209" i="785"/>
  <c r="BD209" i="785"/>
  <c r="BC210" i="785"/>
  <c r="BD210" i="785"/>
  <c r="BC211" i="785"/>
  <c r="BD211" i="785"/>
  <c r="BC212" i="785"/>
  <c r="BD212" i="785"/>
  <c r="BC213" i="785"/>
  <c r="BD213" i="785"/>
  <c r="BC214" i="785"/>
  <c r="BD214" i="785"/>
  <c r="BC215" i="785"/>
  <c r="BD215" i="785"/>
  <c r="BC216" i="785"/>
  <c r="BD216" i="785"/>
  <c r="BC217" i="785"/>
  <c r="BD217" i="785"/>
  <c r="BC218" i="785"/>
  <c r="BD218" i="785"/>
  <c r="BC219" i="785"/>
  <c r="BD219" i="785"/>
  <c r="BC220" i="785"/>
  <c r="BD220" i="785"/>
  <c r="BC221" i="785"/>
  <c r="BD221" i="785"/>
  <c r="BC222" i="785"/>
  <c r="BD222" i="785"/>
  <c r="BC223" i="785"/>
  <c r="BD223" i="785"/>
  <c r="BC224" i="785"/>
  <c r="BD224" i="785"/>
  <c r="BC225" i="785"/>
  <c r="BD225" i="785"/>
  <c r="BC226" i="785"/>
  <c r="BD226" i="785"/>
  <c r="BC227" i="785"/>
  <c r="BD227" i="785"/>
  <c r="BC228" i="785"/>
  <c r="BD228" i="785"/>
  <c r="BC229" i="785"/>
  <c r="BD229" i="785"/>
  <c r="BC230" i="785"/>
  <c r="BD230" i="785"/>
  <c r="BC231" i="785"/>
  <c r="BD231" i="785"/>
  <c r="BC232" i="785"/>
  <c r="BD232" i="785"/>
  <c r="BC233" i="785"/>
  <c r="BD233" i="785"/>
  <c r="BC234" i="785"/>
  <c r="BD234" i="785"/>
  <c r="BC235" i="785"/>
  <c r="BD235" i="785"/>
  <c r="BC236" i="785"/>
  <c r="BD236" i="785"/>
  <c r="BC238" i="785"/>
  <c r="BD238" i="785"/>
  <c r="BC239" i="785"/>
  <c r="BD239" i="785"/>
  <c r="BC240" i="785"/>
  <c r="BD240" i="785"/>
  <c r="BC241" i="785"/>
  <c r="BD241" i="785"/>
  <c r="BC242" i="785"/>
  <c r="BD242" i="785"/>
  <c r="BC243" i="785"/>
  <c r="BD243" i="785"/>
  <c r="BC244" i="785"/>
  <c r="BD244" i="785"/>
  <c r="BC245" i="785"/>
  <c r="BD245" i="785"/>
  <c r="BC246" i="785"/>
  <c r="BD246" i="785"/>
  <c r="BC247" i="785"/>
  <c r="BD247" i="785"/>
  <c r="BC248" i="785"/>
  <c r="BD248" i="785"/>
  <c r="BC249" i="785"/>
  <c r="BD249" i="785"/>
  <c r="BC250" i="785"/>
  <c r="BD250" i="785"/>
  <c r="BC251" i="785"/>
  <c r="BD251" i="785"/>
  <c r="BC252" i="785"/>
  <c r="BD252" i="785"/>
  <c r="BC253" i="785"/>
  <c r="BD253" i="785"/>
  <c r="BC254" i="785"/>
  <c r="BD254" i="785"/>
  <c r="BC255" i="785"/>
  <c r="BD255" i="785"/>
  <c r="BC256" i="785"/>
  <c r="BD256" i="785"/>
  <c r="BC257" i="785"/>
  <c r="BD257" i="785"/>
  <c r="BC258" i="785"/>
  <c r="BD258" i="785"/>
  <c r="BC259" i="785"/>
  <c r="BD259" i="785"/>
  <c r="BC260" i="785"/>
  <c r="BD260" i="785"/>
  <c r="BC261" i="785"/>
  <c r="BD261" i="785"/>
  <c r="BC262" i="785"/>
  <c r="BD262" i="785"/>
  <c r="BC263" i="785"/>
  <c r="BD263" i="785"/>
  <c r="BC264" i="785"/>
  <c r="BD264" i="785"/>
  <c r="BC265" i="785"/>
  <c r="BD265" i="785"/>
  <c r="BC266" i="785"/>
  <c r="BD266" i="785"/>
  <c r="BC267" i="785"/>
  <c r="BD267" i="785"/>
  <c r="BC268" i="785"/>
  <c r="BD268" i="785"/>
  <c r="BC269" i="785"/>
  <c r="BD269" i="785"/>
  <c r="BC270" i="785"/>
  <c r="BD270" i="785"/>
  <c r="BC271" i="785"/>
  <c r="BD271" i="785"/>
  <c r="BC272" i="785"/>
  <c r="BD272" i="785"/>
  <c r="BC273" i="785"/>
  <c r="BD273" i="785"/>
  <c r="BC274" i="785"/>
  <c r="BD274" i="785"/>
  <c r="BC275" i="785"/>
  <c r="BD275" i="785"/>
  <c r="BC168" i="785"/>
  <c r="BD168" i="785"/>
  <c r="BC169" i="785"/>
  <c r="BD169" i="785"/>
  <c r="BC170" i="785"/>
  <c r="BD170" i="785"/>
  <c r="BC171" i="785"/>
  <c r="BD171" i="785"/>
  <c r="BC172" i="785"/>
  <c r="BD172" i="785"/>
  <c r="BC173" i="785"/>
  <c r="BD173" i="785"/>
  <c r="BC174" i="785"/>
  <c r="BD174" i="785"/>
  <c r="BC175" i="785"/>
  <c r="BD175" i="785"/>
  <c r="BC176" i="785"/>
  <c r="BD176" i="785"/>
  <c r="BC177" i="785"/>
  <c r="BD177" i="785"/>
  <c r="BC178" i="785"/>
  <c r="BD178" i="785"/>
  <c r="BC179" i="785"/>
  <c r="BD179" i="785"/>
  <c r="BC180" i="785"/>
  <c r="BD180" i="785"/>
  <c r="BC181" i="785"/>
  <c r="BD181" i="785"/>
  <c r="BC182" i="785"/>
  <c r="BD182" i="785"/>
  <c r="BC183" i="785"/>
  <c r="BD183" i="785"/>
  <c r="BC184" i="785"/>
  <c r="BD184" i="785"/>
  <c r="BC185" i="785"/>
  <c r="BD185" i="785"/>
  <c r="BC186" i="785"/>
  <c r="BD186" i="785"/>
  <c r="BC187" i="785"/>
  <c r="BD187" i="785"/>
  <c r="BC188" i="785"/>
  <c r="BD188" i="785"/>
  <c r="BC189" i="785"/>
  <c r="BD189" i="785"/>
  <c r="BC190" i="785"/>
  <c r="BD190" i="785"/>
  <c r="BC191" i="785"/>
  <c r="BD191" i="785"/>
  <c r="BC192" i="785"/>
  <c r="BD192" i="785"/>
  <c r="BC18" i="785"/>
  <c r="BD18" i="785"/>
  <c r="BC19" i="785"/>
  <c r="BD19" i="785"/>
  <c r="BC20" i="785"/>
  <c r="BD20" i="785"/>
  <c r="BC21" i="785"/>
  <c r="BD21" i="785"/>
  <c r="BC22" i="785"/>
  <c r="BD22" i="785"/>
  <c r="BC23" i="785"/>
  <c r="BD23" i="785"/>
  <c r="BC24" i="785"/>
  <c r="BD24" i="785"/>
  <c r="BC25" i="785"/>
  <c r="BD25" i="785"/>
  <c r="BC26" i="785"/>
  <c r="BD26" i="785"/>
  <c r="BC27" i="785"/>
  <c r="BD27" i="785"/>
  <c r="BC29" i="785"/>
  <c r="BD29" i="785"/>
  <c r="BC30" i="785"/>
  <c r="BD30" i="785"/>
  <c r="BC31" i="785"/>
  <c r="BD31" i="785"/>
  <c r="BC32" i="785"/>
  <c r="BD32" i="785"/>
  <c r="BC33" i="785"/>
  <c r="BD33" i="785"/>
  <c r="BC34" i="785"/>
  <c r="BD34" i="785"/>
  <c r="BC35" i="785"/>
  <c r="BD35" i="785"/>
  <c r="BC36" i="785"/>
  <c r="BD36" i="785"/>
  <c r="BC37" i="785"/>
  <c r="BD37" i="785"/>
  <c r="BC38" i="785"/>
  <c r="BD38" i="785"/>
  <c r="BC39" i="785"/>
  <c r="BD39" i="785"/>
  <c r="BC40" i="785"/>
  <c r="BD40" i="785"/>
  <c r="BC41" i="785"/>
  <c r="BD41" i="785"/>
  <c r="BC42" i="785"/>
  <c r="BD42" i="785"/>
  <c r="BC43" i="785"/>
  <c r="BD43" i="785"/>
  <c r="BC44" i="785"/>
  <c r="BD44" i="785"/>
  <c r="BC45" i="785"/>
  <c r="BD45" i="785"/>
  <c r="BC46" i="785"/>
  <c r="BD46" i="785"/>
  <c r="BC47" i="785"/>
  <c r="BD47" i="785"/>
  <c r="BC48" i="785"/>
  <c r="BD48" i="785"/>
  <c r="BC49" i="785"/>
  <c r="BD49" i="785"/>
  <c r="BC50" i="785"/>
  <c r="BD50" i="785"/>
  <c r="BC51" i="785"/>
  <c r="BD51" i="785"/>
  <c r="BC52" i="785"/>
  <c r="BD52" i="785"/>
  <c r="BC53" i="785"/>
  <c r="BD53" i="785"/>
  <c r="BC54" i="785"/>
  <c r="BD54" i="785"/>
  <c r="BC55" i="785"/>
  <c r="BD55" i="785"/>
  <c r="BC56" i="785"/>
  <c r="BD56" i="785"/>
  <c r="BC57" i="785"/>
  <c r="BD57" i="785"/>
  <c r="BC58" i="785"/>
  <c r="BD58" i="785"/>
  <c r="BC59" i="785"/>
  <c r="BD59" i="785"/>
  <c r="BC60" i="785"/>
  <c r="BD60" i="785"/>
  <c r="BC61" i="785"/>
  <c r="BD61" i="785"/>
  <c r="BC62" i="785"/>
  <c r="BD62" i="785"/>
  <c r="BC63" i="785"/>
  <c r="BD63" i="785"/>
  <c r="BC64" i="785"/>
  <c r="BD64" i="785"/>
  <c r="BC65" i="785"/>
  <c r="BD65" i="785"/>
  <c r="BC66" i="785"/>
  <c r="BD66" i="785"/>
  <c r="BC67" i="785"/>
  <c r="BD67" i="785"/>
  <c r="BC68" i="785"/>
  <c r="BD68" i="785"/>
  <c r="BC69" i="785"/>
  <c r="BD69" i="785"/>
  <c r="BC70" i="785"/>
  <c r="BD70" i="785"/>
  <c r="BC71" i="785"/>
  <c r="BD71" i="785"/>
  <c r="BC72" i="785"/>
  <c r="BD72" i="785"/>
  <c r="BC73" i="785"/>
  <c r="BD73" i="785"/>
  <c r="BC74" i="785"/>
  <c r="BD74" i="785"/>
  <c r="BC75" i="785"/>
  <c r="BD75" i="785"/>
  <c r="BC76" i="785"/>
  <c r="BD76" i="785"/>
  <c r="BC77" i="785"/>
  <c r="BD77" i="785"/>
  <c r="BC78" i="785"/>
  <c r="BD78" i="785"/>
  <c r="BC79" i="785"/>
  <c r="BD79" i="785"/>
  <c r="BC80" i="785"/>
  <c r="BD80" i="785"/>
  <c r="BC81" i="785"/>
  <c r="BD81" i="785"/>
  <c r="BC82" i="785"/>
  <c r="BD82" i="785"/>
  <c r="BC83" i="785"/>
  <c r="BD83" i="785"/>
  <c r="BC84" i="785"/>
  <c r="BD84" i="785"/>
  <c r="BC85" i="785"/>
  <c r="BD85" i="785"/>
  <c r="BC86" i="785"/>
  <c r="BD86" i="785"/>
  <c r="BC87" i="785"/>
  <c r="BD87" i="785"/>
  <c r="BC88" i="785"/>
  <c r="BD88" i="785"/>
  <c r="BC89" i="785"/>
  <c r="BD89" i="785"/>
  <c r="BC90" i="785"/>
  <c r="BD90" i="785"/>
  <c r="BC91" i="785"/>
  <c r="BD91" i="785"/>
  <c r="BC92" i="785"/>
  <c r="BD92" i="785"/>
  <c r="BE92" i="785" s="1"/>
  <c r="BC93" i="785"/>
  <c r="BD93" i="785"/>
  <c r="BC94" i="785"/>
  <c r="BD94" i="785"/>
  <c r="BC95" i="785"/>
  <c r="BD95" i="785"/>
  <c r="BC96" i="785"/>
  <c r="BD96" i="785"/>
  <c r="BC97" i="785"/>
  <c r="BD97" i="785"/>
  <c r="BC98" i="785"/>
  <c r="BD98" i="785"/>
  <c r="BC99" i="785"/>
  <c r="BD99" i="785"/>
  <c r="BC100" i="785"/>
  <c r="BD100" i="785"/>
  <c r="BC101" i="785"/>
  <c r="BD101" i="785"/>
  <c r="BC102" i="785"/>
  <c r="BD102" i="785"/>
  <c r="BC103" i="785"/>
  <c r="BD103" i="785"/>
  <c r="BC104" i="785"/>
  <c r="BD104" i="785"/>
  <c r="BC105" i="785"/>
  <c r="BD105" i="785"/>
  <c r="BC106" i="785"/>
  <c r="BD106" i="785"/>
  <c r="BC107" i="785"/>
  <c r="BD107" i="785"/>
  <c r="BC108" i="785"/>
  <c r="BD108" i="785"/>
  <c r="BC109" i="785"/>
  <c r="BD109" i="785"/>
  <c r="BC110" i="785"/>
  <c r="BD110" i="785"/>
  <c r="BC111" i="785"/>
  <c r="BD111" i="785"/>
  <c r="BC112" i="785"/>
  <c r="BD112" i="785"/>
  <c r="BC113" i="785"/>
  <c r="BD113" i="785"/>
  <c r="BC114" i="785"/>
  <c r="BD114" i="785"/>
  <c r="BC115" i="785"/>
  <c r="BD115" i="785"/>
  <c r="BC116" i="785"/>
  <c r="BD116" i="785"/>
  <c r="BC117" i="785"/>
  <c r="BD117" i="785"/>
  <c r="BC118" i="785"/>
  <c r="BD118" i="785"/>
  <c r="BC119" i="785"/>
  <c r="BD119" i="785"/>
  <c r="BC120" i="785"/>
  <c r="BD120" i="785"/>
  <c r="BC121" i="785"/>
  <c r="BD121" i="785"/>
  <c r="BC122" i="785"/>
  <c r="BD122" i="785"/>
  <c r="BC123" i="785"/>
  <c r="BD123" i="785"/>
  <c r="BC124" i="785"/>
  <c r="BD124" i="785"/>
  <c r="BC125" i="785"/>
  <c r="BD125" i="785"/>
  <c r="BC126" i="785"/>
  <c r="BD126" i="785"/>
  <c r="BC127" i="785"/>
  <c r="BD127" i="785"/>
  <c r="BC128" i="785"/>
  <c r="BD128" i="785"/>
  <c r="BC129" i="785"/>
  <c r="BD129" i="785"/>
  <c r="BC130" i="785"/>
  <c r="BD130" i="785"/>
  <c r="BC131" i="785"/>
  <c r="BD131" i="785"/>
  <c r="BC132" i="785"/>
  <c r="BD132" i="785"/>
  <c r="BC133" i="785"/>
  <c r="BD133" i="785"/>
  <c r="BC134" i="785"/>
  <c r="BD134" i="785"/>
  <c r="BC135" i="785"/>
  <c r="BD135" i="785"/>
  <c r="BC136" i="785"/>
  <c r="BD136" i="785"/>
  <c r="BC137" i="785"/>
  <c r="BD137" i="785"/>
  <c r="BC138" i="785"/>
  <c r="BD138" i="785"/>
  <c r="BC139" i="785"/>
  <c r="BD139" i="785"/>
  <c r="BC140" i="785"/>
  <c r="BD140" i="785"/>
  <c r="BC141" i="785"/>
  <c r="BD141" i="785"/>
  <c r="BC142" i="785"/>
  <c r="BD142" i="785"/>
  <c r="BC143" i="785"/>
  <c r="BD143" i="785"/>
  <c r="BC144" i="785"/>
  <c r="BD144" i="785"/>
  <c r="BC145" i="785"/>
  <c r="BD145" i="785"/>
  <c r="BC146" i="785"/>
  <c r="BD146" i="785"/>
  <c r="BC147" i="785"/>
  <c r="BD147" i="785"/>
  <c r="BC148" i="785"/>
  <c r="BD148" i="785"/>
  <c r="BC149" i="785"/>
  <c r="BD149" i="785"/>
  <c r="E277" i="785"/>
  <c r="E279" i="785" s="1"/>
  <c r="BF24" i="785" l="1"/>
  <c r="BE175" i="785"/>
  <c r="BE141" i="785"/>
  <c r="BE125" i="785"/>
  <c r="BE49" i="785"/>
  <c r="BE19" i="785"/>
  <c r="BE184" i="785"/>
  <c r="BE180" i="785"/>
  <c r="BE176" i="785"/>
  <c r="BE25" i="785"/>
  <c r="BE87" i="785"/>
  <c r="BE90" i="785"/>
  <c r="BE50" i="785"/>
  <c r="BE89" i="785"/>
  <c r="BE58" i="785"/>
  <c r="BE97" i="785"/>
  <c r="BE268" i="785"/>
  <c r="BE260" i="785"/>
  <c r="BE234" i="785"/>
  <c r="BE250" i="785"/>
  <c r="BE323" i="785"/>
  <c r="BE100" i="785"/>
  <c r="BE86" i="785"/>
  <c r="BE82" i="785"/>
  <c r="BE81" i="785"/>
  <c r="BE77" i="785"/>
  <c r="BE73" i="785"/>
  <c r="BE69" i="785"/>
  <c r="BE34" i="785"/>
  <c r="BE106" i="785"/>
  <c r="BE102" i="785"/>
  <c r="BE84" i="785"/>
  <c r="BE76" i="785"/>
  <c r="BE72" i="785"/>
  <c r="BE64" i="785"/>
  <c r="BE52" i="785"/>
  <c r="BE24" i="785"/>
  <c r="BE20" i="785"/>
  <c r="BE75" i="785"/>
  <c r="BE71" i="785"/>
  <c r="BE67" i="785"/>
  <c r="BE181" i="785"/>
  <c r="BE173" i="785"/>
  <c r="BE188" i="785"/>
  <c r="BE190" i="785"/>
  <c r="BE174" i="785"/>
  <c r="BE248" i="785"/>
  <c r="BE231" i="785"/>
  <c r="BE227" i="785"/>
  <c r="BE223" i="785"/>
  <c r="BE275" i="785"/>
  <c r="BE263" i="785"/>
  <c r="BE218" i="785"/>
  <c r="BE330" i="785"/>
  <c r="BE322" i="785"/>
  <c r="BE328" i="785"/>
  <c r="BE324" i="785"/>
  <c r="BE321" i="785"/>
  <c r="BE320" i="785"/>
  <c r="BE325" i="785"/>
  <c r="BE264" i="785"/>
  <c r="BE271" i="785"/>
  <c r="BE267" i="785"/>
  <c r="BE256" i="785"/>
  <c r="BE252" i="785"/>
  <c r="BE244" i="785"/>
  <c r="BE235" i="785"/>
  <c r="BE259" i="785"/>
  <c r="BE255" i="785"/>
  <c r="BE251" i="785"/>
  <c r="BE243" i="785"/>
  <c r="BE230" i="785"/>
  <c r="BE214" i="785"/>
  <c r="BE183" i="785"/>
  <c r="BE172" i="785"/>
  <c r="BE182" i="785"/>
  <c r="BE189" i="785"/>
  <c r="BE192" i="785"/>
  <c r="BE119" i="785"/>
  <c r="BE74" i="785"/>
  <c r="BE79" i="785"/>
  <c r="BE41" i="785"/>
  <c r="BE33" i="785"/>
  <c r="BE135" i="785"/>
  <c r="BE148" i="785"/>
  <c r="BE140" i="785"/>
  <c r="BE132" i="785"/>
  <c r="BE128" i="785"/>
  <c r="BE124" i="785"/>
  <c r="BE116" i="785"/>
  <c r="BE112" i="785"/>
  <c r="BE108" i="785"/>
  <c r="BE44" i="785"/>
  <c r="BE36" i="785"/>
  <c r="BE111" i="785"/>
  <c r="BE32" i="785"/>
  <c r="BE95" i="785"/>
  <c r="BE85" i="785"/>
  <c r="BE65" i="785"/>
  <c r="BE39" i="785"/>
  <c r="BE35" i="785"/>
  <c r="BE127" i="785"/>
  <c r="BE66" i="785"/>
  <c r="BE146" i="785"/>
  <c r="BE138" i="785"/>
  <c r="BE130" i="785"/>
  <c r="BE122" i="785"/>
  <c r="BE114" i="785"/>
  <c r="BE115" i="785"/>
  <c r="BE98" i="785"/>
  <c r="BE91" i="785"/>
  <c r="BE88" i="785"/>
  <c r="BE68" i="785"/>
  <c r="BE57" i="785"/>
  <c r="BE53" i="785"/>
  <c r="BE46" i="785"/>
  <c r="BE42" i="785"/>
  <c r="BE143" i="785"/>
  <c r="BE145" i="785"/>
  <c r="BE137" i="785"/>
  <c r="BE129" i="785"/>
  <c r="BE121" i="785"/>
  <c r="BE117" i="785"/>
  <c r="BE113" i="785"/>
  <c r="BE105" i="785"/>
  <c r="BE101" i="785"/>
  <c r="BE94" i="785"/>
  <c r="BE253" i="785"/>
  <c r="BE215" i="785"/>
  <c r="BE238" i="785"/>
  <c r="BE226" i="785"/>
  <c r="BE222" i="785"/>
  <c r="BE266" i="785"/>
  <c r="BE229" i="785"/>
  <c r="BE225" i="785"/>
  <c r="BE221" i="785"/>
  <c r="BE210" i="785"/>
  <c r="BE269" i="785"/>
  <c r="BE247" i="785"/>
  <c r="BE240" i="785"/>
  <c r="BE228" i="785"/>
  <c r="BE224" i="785"/>
  <c r="BE220" i="785"/>
  <c r="BE272" i="785"/>
  <c r="BE219" i="785"/>
  <c r="BE212" i="785"/>
  <c r="BE208" i="785"/>
  <c r="BE318" i="785"/>
  <c r="BE326" i="785"/>
  <c r="BE317" i="785"/>
  <c r="BE319" i="785"/>
  <c r="BE329" i="785"/>
  <c r="BE327" i="785"/>
  <c r="BE316" i="785"/>
  <c r="BE232" i="785"/>
  <c r="BE216" i="785"/>
  <c r="BE213" i="785"/>
  <c r="BE265" i="785"/>
  <c r="BE262" i="785"/>
  <c r="BE249" i="785"/>
  <c r="BE246" i="785"/>
  <c r="BE239" i="785"/>
  <c r="BE209" i="785"/>
  <c r="BE274" i="785"/>
  <c r="BE261" i="785"/>
  <c r="BE258" i="785"/>
  <c r="BE245" i="785"/>
  <c r="BE242" i="785"/>
  <c r="BE273" i="785"/>
  <c r="BE270" i="785"/>
  <c r="BE257" i="785"/>
  <c r="BE254" i="785"/>
  <c r="BE241" i="785"/>
  <c r="BE211" i="785"/>
  <c r="BE236" i="785"/>
  <c r="BE233" i="785"/>
  <c r="BE217" i="785"/>
  <c r="BE171" i="785"/>
  <c r="BE191" i="785"/>
  <c r="BE177" i="785"/>
  <c r="BE170" i="785"/>
  <c r="BE185" i="785"/>
  <c r="BE187" i="785"/>
  <c r="BE169" i="785"/>
  <c r="BE178" i="785"/>
  <c r="BE186" i="785"/>
  <c r="BE179" i="785"/>
  <c r="BE168" i="785"/>
  <c r="BE139" i="785"/>
  <c r="BE123" i="785"/>
  <c r="BE120" i="785"/>
  <c r="BE107" i="785"/>
  <c r="BE104" i="785"/>
  <c r="BE70" i="785"/>
  <c r="BE136" i="785"/>
  <c r="BE142" i="785"/>
  <c r="BE126" i="785"/>
  <c r="BE110" i="785"/>
  <c r="BE103" i="785"/>
  <c r="BE93" i="785"/>
  <c r="BE83" i="785"/>
  <c r="BE80" i="785"/>
  <c r="BE63" i="785"/>
  <c r="BE59" i="785"/>
  <c r="BE56" i="785"/>
  <c r="BE45" i="785"/>
  <c r="BE38" i="785"/>
  <c r="BE31" i="785"/>
  <c r="BE26" i="785"/>
  <c r="BE23" i="785"/>
  <c r="BE109" i="785"/>
  <c r="BE99" i="785"/>
  <c r="BE96" i="785"/>
  <c r="BE62" i="785"/>
  <c r="BE55" i="785"/>
  <c r="BE51" i="785"/>
  <c r="BE48" i="785"/>
  <c r="BE37" i="785"/>
  <c r="BE30" i="785"/>
  <c r="BE22" i="785"/>
  <c r="BE18" i="785"/>
  <c r="BE147" i="785"/>
  <c r="BE144" i="785"/>
  <c r="BE131" i="785"/>
  <c r="BE134" i="785"/>
  <c r="BE118" i="785"/>
  <c r="BE78" i="785"/>
  <c r="BE61" i="785"/>
  <c r="BE54" i="785"/>
  <c r="BE47" i="785"/>
  <c r="BE43" i="785"/>
  <c r="BE40" i="785"/>
  <c r="BE29" i="785"/>
  <c r="BE21" i="785"/>
  <c r="BF30" i="785"/>
  <c r="BE149" i="785"/>
  <c r="BE133" i="785"/>
  <c r="BE60" i="785"/>
  <c r="BE27" i="785"/>
  <c r="G277" i="785"/>
  <c r="V238" i="785"/>
  <c r="V239" i="785"/>
  <c r="V240" i="785"/>
  <c r="V241" i="785"/>
  <c r="V242" i="785"/>
  <c r="V243" i="785"/>
  <c r="V244" i="785"/>
  <c r="V245" i="785"/>
  <c r="V246" i="785"/>
  <c r="V247" i="785"/>
  <c r="O238" i="785"/>
  <c r="R238" i="785" s="1"/>
  <c r="S238" i="785" s="1"/>
  <c r="O239" i="785"/>
  <c r="R239" i="785" s="1"/>
  <c r="S239" i="785" s="1"/>
  <c r="O240" i="785"/>
  <c r="R240" i="785" s="1"/>
  <c r="O241" i="785"/>
  <c r="R241" i="785" s="1"/>
  <c r="O242" i="785"/>
  <c r="R242" i="785" s="1"/>
  <c r="S242" i="785" s="1"/>
  <c r="O243" i="785"/>
  <c r="R243" i="785" s="1"/>
  <c r="O244" i="785"/>
  <c r="R244" i="785" s="1"/>
  <c r="S244" i="785" s="1"/>
  <c r="O245" i="785"/>
  <c r="O246" i="785"/>
  <c r="R246" i="785" s="1"/>
  <c r="S246" i="785" s="1"/>
  <c r="G280" i="785"/>
  <c r="AC193" i="785"/>
  <c r="R245" i="785" l="1"/>
  <c r="O255" i="785"/>
  <c r="O254" i="785" l="1"/>
  <c r="O253" i="785"/>
  <c r="R253" i="785" s="1"/>
  <c r="S253" i="785" s="1"/>
  <c r="V253" i="785"/>
  <c r="O252" i="785"/>
  <c r="E16" i="801"/>
  <c r="D16" i="801" s="1"/>
  <c r="E17" i="801"/>
  <c r="D17" i="801" s="1"/>
  <c r="E18" i="801"/>
  <c r="D18" i="801" s="1"/>
  <c r="E19" i="801"/>
  <c r="D19" i="801" s="1"/>
  <c r="E20" i="801"/>
  <c r="D20" i="801" s="1"/>
  <c r="E21" i="801"/>
  <c r="D21" i="801" s="1"/>
  <c r="E22" i="801"/>
  <c r="D22" i="801" s="1"/>
  <c r="E23" i="801"/>
  <c r="D23" i="801" s="1"/>
  <c r="E24" i="801"/>
  <c r="D24" i="801" s="1"/>
  <c r="E25" i="801"/>
  <c r="D25" i="801" s="1"/>
  <c r="E26" i="801"/>
  <c r="D26" i="801" s="1"/>
  <c r="E27" i="801"/>
  <c r="D27" i="801" s="1"/>
  <c r="E28" i="801"/>
  <c r="D28" i="801" s="1"/>
  <c r="E29" i="801"/>
  <c r="D29" i="801" s="1"/>
  <c r="E30" i="801"/>
  <c r="D30" i="801" s="1"/>
  <c r="E31" i="801"/>
  <c r="D31" i="801" s="1"/>
  <c r="E32" i="801"/>
  <c r="D32" i="801" s="1"/>
  <c r="E33" i="801"/>
  <c r="D33" i="801" s="1"/>
  <c r="E34" i="801"/>
  <c r="D34" i="801" s="1"/>
  <c r="E35" i="801"/>
  <c r="D35" i="801" s="1"/>
  <c r="E36" i="801"/>
  <c r="D36" i="801" s="1"/>
  <c r="E37" i="801"/>
  <c r="D37" i="801" s="1"/>
  <c r="E38" i="801"/>
  <c r="D38" i="801" s="1"/>
  <c r="E39" i="801"/>
  <c r="D39" i="801" s="1"/>
  <c r="E40" i="801"/>
  <c r="D40" i="801" s="1"/>
  <c r="E41" i="801"/>
  <c r="D41" i="801" s="1"/>
  <c r="E42" i="801"/>
  <c r="D42" i="801" s="1"/>
  <c r="E43" i="801"/>
  <c r="D43" i="801" s="1"/>
  <c r="E44" i="801"/>
  <c r="D44" i="801" s="1"/>
  <c r="E45" i="801"/>
  <c r="D45" i="801" s="1"/>
  <c r="E46" i="801"/>
  <c r="D46" i="801" s="1"/>
  <c r="E47" i="801"/>
  <c r="D47" i="801" s="1"/>
  <c r="E48" i="801"/>
  <c r="D48" i="801" s="1"/>
  <c r="E49" i="801"/>
  <c r="D49" i="801" s="1"/>
  <c r="E50" i="801"/>
  <c r="D50" i="801" s="1"/>
  <c r="E51" i="801"/>
  <c r="D51" i="801" s="1"/>
  <c r="E52" i="801"/>
  <c r="D52" i="801" s="1"/>
  <c r="E53" i="801"/>
  <c r="D53" i="801" s="1"/>
  <c r="E54" i="801"/>
  <c r="D54" i="801" s="1"/>
  <c r="E55" i="801"/>
  <c r="D55" i="801" s="1"/>
  <c r="E56" i="801"/>
  <c r="D56" i="801" s="1"/>
  <c r="E57" i="801"/>
  <c r="D57" i="801" s="1"/>
  <c r="E58" i="801"/>
  <c r="D58" i="801" s="1"/>
  <c r="E59" i="801"/>
  <c r="D59" i="801" s="1"/>
  <c r="E60" i="801"/>
  <c r="D60" i="801" s="1"/>
  <c r="E61" i="801"/>
  <c r="D61" i="801" s="1"/>
  <c r="E62" i="801"/>
  <c r="D62" i="801" s="1"/>
  <c r="E63" i="801"/>
  <c r="D63" i="801" s="1"/>
  <c r="E64" i="801"/>
  <c r="D64" i="801" s="1"/>
  <c r="E65" i="801"/>
  <c r="D65" i="801" s="1"/>
  <c r="E66" i="801"/>
  <c r="D66" i="801" s="1"/>
  <c r="E67" i="801"/>
  <c r="D67" i="801" s="1"/>
  <c r="E68" i="801"/>
  <c r="D68" i="801" s="1"/>
  <c r="E69" i="801"/>
  <c r="D69" i="801" s="1"/>
  <c r="E70" i="801"/>
  <c r="D70" i="801" s="1"/>
  <c r="E71" i="801"/>
  <c r="D71" i="801" s="1"/>
  <c r="E72" i="801"/>
  <c r="D72" i="801" s="1"/>
  <c r="E73" i="801"/>
  <c r="D73" i="801" s="1"/>
  <c r="E74" i="801"/>
  <c r="D74" i="801" s="1"/>
  <c r="E75" i="801"/>
  <c r="D75" i="801" s="1"/>
  <c r="E76" i="801"/>
  <c r="D76" i="801" s="1"/>
  <c r="E77" i="801"/>
  <c r="D77" i="801" s="1"/>
  <c r="E78" i="801"/>
  <c r="D78" i="801" s="1"/>
  <c r="E79" i="801"/>
  <c r="D79" i="801" s="1"/>
  <c r="E80" i="801"/>
  <c r="D80" i="801" s="1"/>
  <c r="E81" i="801"/>
  <c r="D81" i="801" s="1"/>
  <c r="E82" i="801"/>
  <c r="D82" i="801" s="1"/>
  <c r="E83" i="801"/>
  <c r="D83" i="801" s="1"/>
  <c r="E84" i="801"/>
  <c r="D84" i="801" s="1"/>
  <c r="E85" i="801"/>
  <c r="D85" i="801" s="1"/>
  <c r="E86" i="801"/>
  <c r="D86" i="801" s="1"/>
  <c r="E87" i="801"/>
  <c r="D87" i="801" s="1"/>
  <c r="E88" i="801"/>
  <c r="D88" i="801" s="1"/>
  <c r="E89" i="801"/>
  <c r="D89" i="801" s="1"/>
  <c r="E90" i="801"/>
  <c r="D90" i="801" s="1"/>
  <c r="E91" i="801"/>
  <c r="D91" i="801" s="1"/>
  <c r="E92" i="801"/>
  <c r="D92" i="801" s="1"/>
  <c r="E93" i="801"/>
  <c r="D93" i="801" s="1"/>
  <c r="E94" i="801"/>
  <c r="D94" i="801" s="1"/>
  <c r="E95" i="801"/>
  <c r="D95" i="801" s="1"/>
  <c r="E96" i="801"/>
  <c r="D96" i="801" s="1"/>
  <c r="E97" i="801"/>
  <c r="D97" i="801" s="1"/>
  <c r="E98" i="801"/>
  <c r="D98" i="801" s="1"/>
  <c r="E99" i="801"/>
  <c r="D99" i="801" s="1"/>
  <c r="E100" i="801"/>
  <c r="D100" i="801" s="1"/>
  <c r="E101" i="801"/>
  <c r="D101" i="801" s="1"/>
  <c r="E102" i="801"/>
  <c r="D102" i="801" s="1"/>
  <c r="E103" i="801"/>
  <c r="D103" i="801" s="1"/>
  <c r="E104" i="801"/>
  <c r="D104" i="801" s="1"/>
  <c r="E105" i="801"/>
  <c r="D105" i="801" s="1"/>
  <c r="E106" i="801"/>
  <c r="D106" i="801" s="1"/>
  <c r="E107" i="801"/>
  <c r="D107" i="801" s="1"/>
  <c r="E108" i="801"/>
  <c r="D108" i="801" s="1"/>
  <c r="E109" i="801"/>
  <c r="D109" i="801" s="1"/>
  <c r="E110" i="801"/>
  <c r="D110" i="801" s="1"/>
  <c r="E111" i="801"/>
  <c r="D111" i="801" s="1"/>
  <c r="E112" i="801"/>
  <c r="D112" i="801" s="1"/>
  <c r="E113" i="801"/>
  <c r="D113" i="801" s="1"/>
  <c r="E114" i="801"/>
  <c r="D114" i="801" s="1"/>
  <c r="E115" i="801"/>
  <c r="D115" i="801" s="1"/>
  <c r="E116" i="801"/>
  <c r="D116" i="801" s="1"/>
  <c r="E117" i="801"/>
  <c r="D117" i="801" s="1"/>
  <c r="E118" i="801"/>
  <c r="D118" i="801" s="1"/>
  <c r="E119" i="801"/>
  <c r="D119" i="801" s="1"/>
  <c r="E120" i="801"/>
  <c r="D120" i="801" s="1"/>
  <c r="E121" i="801"/>
  <c r="D121" i="801" s="1"/>
  <c r="E122" i="801"/>
  <c r="D122" i="801" s="1"/>
  <c r="E123" i="801"/>
  <c r="D123" i="801" s="1"/>
  <c r="E124" i="801"/>
  <c r="D124" i="801" s="1"/>
  <c r="E125" i="801"/>
  <c r="D125" i="801" s="1"/>
  <c r="E126" i="801"/>
  <c r="D126" i="801" s="1"/>
  <c r="E127" i="801"/>
  <c r="D127" i="801" s="1"/>
  <c r="E128" i="801"/>
  <c r="D128" i="801" s="1"/>
  <c r="E129" i="801"/>
  <c r="D129" i="801" s="1"/>
  <c r="E130" i="801"/>
  <c r="D130" i="801" s="1"/>
  <c r="E131" i="801"/>
  <c r="D131" i="801" s="1"/>
  <c r="E132" i="801"/>
  <c r="D132" i="801" s="1"/>
  <c r="E133" i="801"/>
  <c r="D133" i="801" s="1"/>
  <c r="E134" i="801"/>
  <c r="D134" i="801" s="1"/>
  <c r="E135" i="801"/>
  <c r="D135" i="801" s="1"/>
  <c r="E136" i="801"/>
  <c r="D136" i="801" s="1"/>
  <c r="E137" i="801"/>
  <c r="D137" i="801" s="1"/>
  <c r="E138" i="801"/>
  <c r="D138" i="801" s="1"/>
  <c r="E139" i="801"/>
  <c r="D139" i="801" s="1"/>
  <c r="E140" i="801"/>
  <c r="D140" i="801" s="1"/>
  <c r="E141" i="801"/>
  <c r="D141" i="801" s="1"/>
  <c r="E142" i="801"/>
  <c r="D142" i="801" s="1"/>
  <c r="E143" i="801"/>
  <c r="D143" i="801" s="1"/>
  <c r="E144" i="801"/>
  <c r="D144" i="801" s="1"/>
  <c r="E145" i="801"/>
  <c r="D145" i="801" s="1"/>
  <c r="E146" i="801"/>
  <c r="D146" i="801" s="1"/>
  <c r="E147" i="801"/>
  <c r="D147" i="801" s="1"/>
  <c r="E148" i="801"/>
  <c r="D148" i="801" s="1"/>
  <c r="E149" i="801"/>
  <c r="D149" i="801" s="1"/>
  <c r="E150" i="801"/>
  <c r="D150" i="801" s="1"/>
  <c r="E151" i="801"/>
  <c r="D151" i="801" s="1"/>
  <c r="E152" i="801"/>
  <c r="D152" i="801" s="1"/>
  <c r="E153" i="801"/>
  <c r="D153" i="801" s="1"/>
  <c r="E154" i="801"/>
  <c r="D154" i="801" s="1"/>
  <c r="E155" i="801"/>
  <c r="D155" i="801" s="1"/>
  <c r="E156" i="801"/>
  <c r="D156" i="801" s="1"/>
  <c r="E157" i="801"/>
  <c r="D157" i="801" s="1"/>
  <c r="E158" i="801"/>
  <c r="D158" i="801" s="1"/>
  <c r="E159" i="801"/>
  <c r="D159" i="801" s="1"/>
  <c r="E160" i="801"/>
  <c r="D160" i="801" s="1"/>
  <c r="E161" i="801"/>
  <c r="D161" i="801" s="1"/>
  <c r="E162" i="801"/>
  <c r="D162" i="801" s="1"/>
  <c r="E163" i="801"/>
  <c r="D163" i="801" s="1"/>
  <c r="E164" i="801"/>
  <c r="D164" i="801" s="1"/>
  <c r="E165" i="801"/>
  <c r="D165" i="801" s="1"/>
  <c r="E166" i="801"/>
  <c r="D166" i="801" s="1"/>
  <c r="E167" i="801"/>
  <c r="D167" i="801" s="1"/>
  <c r="E168" i="801"/>
  <c r="D168" i="801" s="1"/>
  <c r="E169" i="801"/>
  <c r="D169" i="801" s="1"/>
  <c r="E170" i="801"/>
  <c r="D170" i="801" s="1"/>
  <c r="E171" i="801"/>
  <c r="D171" i="801" s="1"/>
  <c r="E172" i="801"/>
  <c r="D172" i="801" s="1"/>
  <c r="E173" i="801"/>
  <c r="D173" i="801" s="1"/>
  <c r="E174" i="801"/>
  <c r="D174" i="801" s="1"/>
  <c r="E175" i="801"/>
  <c r="D175" i="801" s="1"/>
  <c r="E176" i="801"/>
  <c r="D176" i="801" s="1"/>
  <c r="E177" i="801"/>
  <c r="D177" i="801" s="1"/>
  <c r="E178" i="801"/>
  <c r="D178" i="801" s="1"/>
  <c r="E179" i="801"/>
  <c r="D179" i="801" s="1"/>
  <c r="E180" i="801"/>
  <c r="D180" i="801" s="1"/>
  <c r="E181" i="801"/>
  <c r="D181" i="801" s="1"/>
  <c r="E182" i="801"/>
  <c r="D182" i="801" s="1"/>
  <c r="E183" i="801"/>
  <c r="D183" i="801" s="1"/>
  <c r="E184" i="801"/>
  <c r="D184" i="801" s="1"/>
  <c r="E185" i="801"/>
  <c r="D185" i="801" s="1"/>
  <c r="E186" i="801"/>
  <c r="D186" i="801" s="1"/>
  <c r="E187" i="801"/>
  <c r="D187" i="801" s="1"/>
  <c r="E188" i="801"/>
  <c r="D188" i="801" s="1"/>
  <c r="E189" i="801"/>
  <c r="D189" i="801" s="1"/>
  <c r="E190" i="801"/>
  <c r="D190" i="801" s="1"/>
  <c r="E191" i="801"/>
  <c r="D191" i="801" s="1"/>
  <c r="E192" i="801"/>
  <c r="D192" i="801" s="1"/>
  <c r="E193" i="801"/>
  <c r="D193" i="801" s="1"/>
  <c r="E194" i="801"/>
  <c r="D194" i="801" s="1"/>
  <c r="E195" i="801"/>
  <c r="D195" i="801" s="1"/>
  <c r="E196" i="801"/>
  <c r="D196" i="801" s="1"/>
  <c r="E197" i="801"/>
  <c r="D197" i="801" s="1"/>
  <c r="E198" i="801"/>
  <c r="D198" i="801" s="1"/>
  <c r="E199" i="801"/>
  <c r="D199" i="801" s="1"/>
  <c r="E200" i="801"/>
  <c r="D200" i="801" s="1"/>
  <c r="E201" i="801"/>
  <c r="D201" i="801" s="1"/>
  <c r="E202" i="801"/>
  <c r="D202" i="801" s="1"/>
  <c r="E203" i="801"/>
  <c r="D203" i="801" s="1"/>
  <c r="E204" i="801"/>
  <c r="D204" i="801" s="1"/>
  <c r="E205" i="801"/>
  <c r="D205" i="801" s="1"/>
  <c r="E206" i="801"/>
  <c r="D206" i="801" s="1"/>
  <c r="E207" i="801"/>
  <c r="D207" i="801" s="1"/>
  <c r="E208" i="801"/>
  <c r="D208" i="801" s="1"/>
  <c r="E209" i="801"/>
  <c r="D209" i="801" s="1"/>
  <c r="E210" i="801"/>
  <c r="D210" i="801" s="1"/>
  <c r="E211" i="801"/>
  <c r="D211" i="801" s="1"/>
  <c r="E212" i="801"/>
  <c r="D212" i="801" s="1"/>
  <c r="E213" i="801"/>
  <c r="D213" i="801" s="1"/>
  <c r="E214" i="801"/>
  <c r="D214" i="801" s="1"/>
  <c r="E215" i="801"/>
  <c r="D215" i="801" s="1"/>
  <c r="E216" i="801"/>
  <c r="D216" i="801" s="1"/>
  <c r="E217" i="801"/>
  <c r="D217" i="801" s="1"/>
  <c r="E218" i="801"/>
  <c r="D218" i="801" s="1"/>
  <c r="E219" i="801"/>
  <c r="D219" i="801" s="1"/>
  <c r="E220" i="801"/>
  <c r="D220" i="801" s="1"/>
  <c r="E221" i="801"/>
  <c r="D221" i="801" s="1"/>
  <c r="E222" i="801"/>
  <c r="D222" i="801" s="1"/>
  <c r="E223" i="801"/>
  <c r="D223" i="801" s="1"/>
  <c r="E224" i="801"/>
  <c r="D224" i="801" s="1"/>
  <c r="E225" i="801"/>
  <c r="D225" i="801" s="1"/>
  <c r="E226" i="801"/>
  <c r="D226" i="801" s="1"/>
  <c r="E227" i="801"/>
  <c r="D227" i="801" s="1"/>
  <c r="E228" i="801"/>
  <c r="D228" i="801" s="1"/>
  <c r="E229" i="801"/>
  <c r="D229" i="801" s="1"/>
  <c r="E230" i="801"/>
  <c r="D230" i="801" s="1"/>
  <c r="E231" i="801"/>
  <c r="D231" i="801" s="1"/>
  <c r="E232" i="801"/>
  <c r="D232" i="801" s="1"/>
  <c r="E233" i="801"/>
  <c r="D233" i="801" s="1"/>
  <c r="E234" i="801"/>
  <c r="D234" i="801" s="1"/>
  <c r="E235" i="801"/>
  <c r="D235" i="801" s="1"/>
  <c r="E236" i="801"/>
  <c r="D236" i="801" s="1"/>
  <c r="E237" i="801"/>
  <c r="D237" i="801" s="1"/>
  <c r="E238" i="801"/>
  <c r="D238" i="801" s="1"/>
  <c r="E239" i="801"/>
  <c r="D239" i="801" s="1"/>
  <c r="E240" i="801"/>
  <c r="D240" i="801" s="1"/>
  <c r="E241" i="801"/>
  <c r="D241" i="801" s="1"/>
  <c r="E242" i="801"/>
  <c r="D242" i="801" s="1"/>
  <c r="E243" i="801"/>
  <c r="D243" i="801" s="1"/>
  <c r="E244" i="801"/>
  <c r="D244" i="801" s="1"/>
  <c r="E245" i="801"/>
  <c r="D245" i="801" s="1"/>
  <c r="E246" i="801"/>
  <c r="D246" i="801" s="1"/>
  <c r="E247" i="801"/>
  <c r="D247" i="801" s="1"/>
  <c r="E248" i="801"/>
  <c r="D248" i="801" s="1"/>
  <c r="E249" i="801"/>
  <c r="D249" i="801" s="1"/>
  <c r="E250" i="801"/>
  <c r="D250" i="801" s="1"/>
  <c r="E251" i="801"/>
  <c r="D251" i="801" s="1"/>
  <c r="E252" i="801"/>
  <c r="D252" i="801" s="1"/>
  <c r="E253" i="801"/>
  <c r="D253" i="801" s="1"/>
  <c r="E254" i="801"/>
  <c r="D254" i="801" s="1"/>
  <c r="E255" i="801"/>
  <c r="D255" i="801" s="1"/>
  <c r="E256" i="801"/>
  <c r="D256" i="801" s="1"/>
  <c r="E257" i="801"/>
  <c r="D257" i="801" s="1"/>
  <c r="E258" i="801"/>
  <c r="D258" i="801" s="1"/>
  <c r="E259" i="801"/>
  <c r="D259" i="801" s="1"/>
  <c r="E260" i="801"/>
  <c r="D260" i="801" s="1"/>
  <c r="E261" i="801"/>
  <c r="D261" i="801" s="1"/>
  <c r="E262" i="801"/>
  <c r="D262" i="801" s="1"/>
  <c r="E263" i="801"/>
  <c r="D263" i="801" s="1"/>
  <c r="E264" i="801"/>
  <c r="D264" i="801" s="1"/>
  <c r="E265" i="801"/>
  <c r="D265" i="801" s="1"/>
  <c r="E266" i="801"/>
  <c r="D266" i="801" s="1"/>
  <c r="E267" i="801"/>
  <c r="D267" i="801" s="1"/>
  <c r="E268" i="801"/>
  <c r="D268" i="801" s="1"/>
  <c r="E269" i="801"/>
  <c r="D269" i="801" s="1"/>
  <c r="E270" i="801"/>
  <c r="D270" i="801" s="1"/>
  <c r="E271" i="801"/>
  <c r="D271" i="801" s="1"/>
  <c r="E1" i="801"/>
  <c r="D1" i="801" s="1"/>
  <c r="E2" i="801"/>
  <c r="D2" i="801" s="1"/>
  <c r="E3" i="801"/>
  <c r="D3" i="801" s="1"/>
  <c r="E4" i="801"/>
  <c r="D4" i="801" s="1"/>
  <c r="E5" i="801"/>
  <c r="D5" i="801" s="1"/>
  <c r="E6" i="801"/>
  <c r="D6" i="801" s="1"/>
  <c r="E7" i="801"/>
  <c r="D7" i="801" s="1"/>
  <c r="E8" i="801"/>
  <c r="D8" i="801" s="1"/>
  <c r="E9" i="801"/>
  <c r="D9" i="801" s="1"/>
  <c r="E10" i="801"/>
  <c r="D10" i="801" s="1"/>
  <c r="E11" i="801"/>
  <c r="D11" i="801" s="1"/>
  <c r="E12" i="801"/>
  <c r="D12" i="801" s="1"/>
  <c r="E13" i="801"/>
  <c r="D13" i="801" s="1"/>
  <c r="E14" i="801"/>
  <c r="D14" i="801" s="1"/>
  <c r="E15" i="801"/>
  <c r="D15" i="801" s="1"/>
  <c r="BF35" i="785" l="1"/>
  <c r="E153" i="785"/>
  <c r="G155" i="785" l="1"/>
  <c r="V92" i="785"/>
  <c r="O92" i="785"/>
  <c r="R92" i="785" s="1"/>
  <c r="S92" i="785" s="1"/>
  <c r="O93" i="785"/>
  <c r="R93" i="785" s="1"/>
  <c r="G153" i="785" l="1"/>
  <c r="V106" i="785"/>
  <c r="O106" i="785"/>
  <c r="R106" i="785" s="1"/>
  <c r="P278" i="785" l="1"/>
  <c r="AV193" i="785"/>
  <c r="BG175" i="630"/>
  <c r="BF175" i="630"/>
  <c r="BC315" i="785"/>
  <c r="BC291" i="785"/>
  <c r="BC292" i="785"/>
  <c r="BC293" i="785"/>
  <c r="BC294" i="785"/>
  <c r="BC295" i="785"/>
  <c r="BC296" i="785"/>
  <c r="BC297" i="785"/>
  <c r="BC298" i="785"/>
  <c r="BC299" i="785"/>
  <c r="BC167" i="785"/>
  <c r="BC15" i="785"/>
  <c r="BC16" i="785"/>
  <c r="BF15" i="785" s="1"/>
  <c r="BC17" i="785"/>
  <c r="BH175" i="630" l="1"/>
  <c r="Q118" i="630"/>
  <c r="Q119" i="630"/>
  <c r="Q120" i="630"/>
  <c r="Q121" i="630"/>
  <c r="Q122" i="630"/>
  <c r="Q123" i="630"/>
  <c r="Q124" i="630"/>
  <c r="Q125" i="630"/>
  <c r="Q126" i="630"/>
  <c r="Q127" i="630"/>
  <c r="Q128" i="630"/>
  <c r="Q129" i="630"/>
  <c r="Q130" i="630"/>
  <c r="Q131" i="630"/>
  <c r="Q132" i="630"/>
  <c r="Q133" i="630"/>
  <c r="Q134" i="630"/>
  <c r="Q135" i="630"/>
  <c r="Q136" i="630"/>
  <c r="Q137" i="630"/>
  <c r="Q138" i="630"/>
  <c r="Q139" i="630"/>
  <c r="Q140" i="630"/>
  <c r="Q141" i="630"/>
  <c r="Q142" i="630"/>
  <c r="Q143" i="630"/>
  <c r="Q144" i="630"/>
  <c r="Q145" i="630"/>
  <c r="Q146" i="630"/>
  <c r="Q147" i="630"/>
  <c r="Q148" i="630"/>
  <c r="Q149" i="630"/>
  <c r="Q150" i="630"/>
  <c r="Q151" i="630"/>
  <c r="Q152" i="630"/>
  <c r="Q153" i="630"/>
  <c r="Q154" i="630"/>
  <c r="Q155" i="630"/>
  <c r="Q157" i="630"/>
  <c r="Q158" i="630"/>
  <c r="Q159" i="630"/>
  <c r="Q160" i="630"/>
  <c r="Q161" i="630"/>
  <c r="Q162" i="630"/>
  <c r="Q163" i="630"/>
  <c r="Q164" i="630"/>
  <c r="Q165" i="630"/>
  <c r="Q166" i="630"/>
  <c r="Q167" i="630"/>
  <c r="Q168" i="630"/>
  <c r="Q169" i="630"/>
  <c r="Q170" i="630"/>
  <c r="Q171" i="630"/>
  <c r="Q172" i="630"/>
  <c r="Q173" i="630"/>
  <c r="Q174" i="630"/>
  <c r="Q175" i="630"/>
  <c r="T175" i="630" s="1"/>
  <c r="Q176" i="630"/>
  <c r="Q177" i="630"/>
  <c r="Q178" i="630"/>
  <c r="Q179" i="630"/>
  <c r="Q180" i="630"/>
  <c r="Q181" i="630"/>
  <c r="Q182" i="630"/>
  <c r="Q183" i="630"/>
  <c r="Q184" i="630"/>
  <c r="Q185" i="630"/>
  <c r="Q186" i="630"/>
  <c r="Q187" i="630"/>
  <c r="Q188" i="630"/>
  <c r="Q189" i="630"/>
  <c r="Q190" i="630"/>
  <c r="Q191" i="630"/>
  <c r="Q192" i="630"/>
  <c r="Q193" i="630"/>
  <c r="Q194" i="630"/>
  <c r="Q195" i="630"/>
  <c r="Q196" i="630"/>
  <c r="Q197" i="630"/>
  <c r="Q198" i="630"/>
  <c r="Q199" i="630"/>
  <c r="Q200" i="630"/>
  <c r="Q201" i="630"/>
  <c r="Q202" i="630"/>
  <c r="Q203" i="630"/>
  <c r="Q204" i="630"/>
  <c r="Q205" i="630"/>
  <c r="Q206" i="630"/>
  <c r="Q207" i="630"/>
  <c r="Q208" i="630"/>
  <c r="Q209" i="630"/>
  <c r="Q210" i="630"/>
  <c r="Q211" i="630"/>
  <c r="Q212" i="630"/>
  <c r="Q213" i="630"/>
  <c r="Q214" i="630"/>
  <c r="Q215" i="630"/>
  <c r="Q216" i="630"/>
  <c r="Q217" i="630"/>
  <c r="Q218" i="630"/>
  <c r="Q219" i="630"/>
  <c r="Q220" i="630"/>
  <c r="Q221" i="630"/>
  <c r="Q222" i="630"/>
  <c r="Q223" i="630"/>
  <c r="Q224" i="630"/>
  <c r="Q225" i="630"/>
  <c r="Q226" i="630"/>
  <c r="Q227" i="630"/>
  <c r="Q228" i="630"/>
  <c r="Q229" i="630"/>
  <c r="Q230" i="630"/>
  <c r="Q231" i="630"/>
  <c r="Q232" i="630"/>
  <c r="Q233" i="630"/>
  <c r="Q234" i="630"/>
  <c r="Q235" i="630"/>
  <c r="Q236" i="630"/>
  <c r="Q237" i="630"/>
  <c r="Q238" i="630"/>
  <c r="Q239" i="630"/>
  <c r="Q240" i="630"/>
  <c r="Q241" i="630"/>
  <c r="Q242" i="630"/>
  <c r="Q243" i="630"/>
  <c r="Q244" i="630"/>
  <c r="Q245" i="630"/>
  <c r="Q246" i="630"/>
  <c r="Q247" i="630"/>
  <c r="Q248" i="630"/>
  <c r="Q249" i="630"/>
  <c r="Q250" i="630"/>
  <c r="Q251" i="630"/>
  <c r="Q252" i="630"/>
  <c r="Q253" i="630"/>
  <c r="Q254" i="630"/>
  <c r="Q255" i="630"/>
  <c r="Q256" i="630"/>
  <c r="Q257" i="630"/>
  <c r="Q258" i="630"/>
  <c r="Q259" i="630"/>
  <c r="E151" i="785"/>
  <c r="E152" i="785"/>
  <c r="E155" i="785"/>
  <c r="E156" i="785"/>
  <c r="E194" i="785"/>
  <c r="E195" i="785"/>
  <c r="AA150" i="785"/>
  <c r="N96" i="785"/>
  <c r="O96" i="785"/>
  <c r="R96" i="785" s="1"/>
  <c r="O97" i="785"/>
  <c r="R97" i="785" s="1"/>
  <c r="V96" i="785"/>
  <c r="Y175" i="630"/>
  <c r="S131" i="630" l="1"/>
  <c r="E197" i="785"/>
  <c r="S96" i="785"/>
  <c r="E154" i="785"/>
  <c r="E157" i="785" s="1"/>
  <c r="E196" i="785"/>
  <c r="M1" i="811"/>
  <c r="L1" i="811"/>
  <c r="L2" i="811"/>
  <c r="L3" i="811"/>
  <c r="O226" i="785"/>
  <c r="R226" i="785" s="1"/>
  <c r="V226" i="785"/>
  <c r="V322" i="785"/>
  <c r="V323" i="785"/>
  <c r="O322" i="785"/>
  <c r="R322" i="785" s="1"/>
  <c r="V49" i="812"/>
  <c r="O49" i="812"/>
  <c r="R49" i="812" s="1"/>
  <c r="G261" i="630"/>
  <c r="J261" i="630"/>
  <c r="K261" i="630"/>
  <c r="G263" i="630"/>
  <c r="J263" i="630"/>
  <c r="K263" i="630"/>
  <c r="E263" i="630"/>
  <c r="E262" i="630"/>
  <c r="G262" i="630"/>
  <c r="J262" i="630"/>
  <c r="K262" i="630"/>
  <c r="AX150" i="785" l="1"/>
  <c r="L4" i="811"/>
  <c r="L5" i="811"/>
  <c r="L6" i="811"/>
  <c r="L7" i="811"/>
  <c r="L8" i="811"/>
  <c r="L9" i="811"/>
  <c r="L10" i="811"/>
  <c r="L11" i="811"/>
  <c r="L12" i="811"/>
  <c r="L13" i="811"/>
  <c r="L14" i="811"/>
  <c r="L15" i="811"/>
  <c r="L16" i="811"/>
  <c r="L17" i="811"/>
  <c r="L18" i="811"/>
  <c r="L19" i="811"/>
  <c r="L20" i="811"/>
  <c r="L21" i="811"/>
  <c r="L22" i="811"/>
  <c r="L23" i="811"/>
  <c r="L24" i="811"/>
  <c r="L25" i="811"/>
  <c r="L26" i="811"/>
  <c r="L27" i="811"/>
  <c r="L28" i="811"/>
  <c r="L29" i="811"/>
  <c r="L30" i="811"/>
  <c r="L31" i="811"/>
  <c r="AJ300" i="785"/>
  <c r="AJ150" i="785"/>
  <c r="O268" i="785"/>
  <c r="R268" i="785" s="1"/>
  <c r="V268" i="785"/>
  <c r="O269" i="785"/>
  <c r="R269" i="785" s="1"/>
  <c r="V269" i="785"/>
  <c r="BF261" i="630" l="1"/>
  <c r="AZ27" i="812"/>
  <c r="AX331" i="785" l="1"/>
  <c r="AX300" i="785"/>
  <c r="AX276" i="785"/>
  <c r="AX193" i="785"/>
  <c r="AX333" i="785" l="1"/>
  <c r="V115" i="785"/>
  <c r="O114" i="785"/>
  <c r="R114" i="785" s="1"/>
  <c r="S114" i="785" s="1"/>
  <c r="O115" i="785"/>
  <c r="R115" i="785" s="1"/>
  <c r="S115" i="785" s="1"/>
  <c r="BF13" i="630"/>
  <c r="BG13" i="630"/>
  <c r="BH13" i="630" s="1"/>
  <c r="Y13" i="630"/>
  <c r="Q13" i="630"/>
  <c r="T13" i="630" s="1"/>
  <c r="V139" i="785" l="1"/>
  <c r="AJ193" i="785" l="1"/>
  <c r="V248" i="785"/>
  <c r="O248" i="785"/>
  <c r="R248" i="785" s="1"/>
  <c r="S248" i="785" s="1"/>
  <c r="H20" i="800" l="1"/>
  <c r="H21" i="800"/>
  <c r="H19" i="800"/>
  <c r="BC47" i="812"/>
  <c r="BC48" i="812"/>
  <c r="V48" i="812"/>
  <c r="O48" i="812"/>
  <c r="R48" i="812" s="1"/>
  <c r="O50" i="812"/>
  <c r="R50" i="812" s="1"/>
  <c r="O321" i="785"/>
  <c r="R321" i="785" s="1"/>
  <c r="V321" i="785"/>
  <c r="V70" i="785" l="1"/>
  <c r="O70" i="785"/>
  <c r="R70" i="785" s="1"/>
  <c r="S70" i="785" s="1"/>
  <c r="V213" i="785"/>
  <c r="O213" i="785"/>
  <c r="R213" i="785" s="1"/>
  <c r="S213" i="785" s="1"/>
  <c r="C19" i="805"/>
  <c r="F19" i="805"/>
  <c r="J19" i="805"/>
  <c r="O19" i="805"/>
  <c r="A19" i="805" s="1"/>
  <c r="P19" i="805"/>
  <c r="F2" i="805"/>
  <c r="F3" i="805"/>
  <c r="F4" i="805"/>
  <c r="F5" i="805"/>
  <c r="F6" i="805"/>
  <c r="F7" i="805"/>
  <c r="F8" i="805"/>
  <c r="F9" i="805"/>
  <c r="F10" i="805"/>
  <c r="F11" i="805"/>
  <c r="F12" i="805"/>
  <c r="F13" i="805"/>
  <c r="F14" i="805"/>
  <c r="F15" i="805"/>
  <c r="F16" i="805"/>
  <c r="F17" i="805"/>
  <c r="F18" i="805"/>
  <c r="F20" i="805"/>
  <c r="F21" i="805"/>
  <c r="F22" i="805"/>
  <c r="F23" i="805"/>
  <c r="F24" i="805"/>
  <c r="F25" i="805"/>
  <c r="F26" i="805"/>
  <c r="F27" i="805"/>
  <c r="F28" i="805"/>
  <c r="F29" i="805"/>
  <c r="F30" i="805"/>
  <c r="F31" i="805"/>
  <c r="F32" i="805"/>
  <c r="F33" i="805"/>
  <c r="F34" i="805"/>
  <c r="F35" i="805"/>
  <c r="F36" i="805"/>
  <c r="F37" i="805"/>
  <c r="F38" i="805"/>
  <c r="F39" i="805"/>
  <c r="F40" i="805"/>
  <c r="F41" i="805"/>
  <c r="F42" i="805"/>
  <c r="F43" i="805"/>
  <c r="F44" i="805"/>
  <c r="F45" i="805"/>
  <c r="F46" i="805"/>
  <c r="F47" i="805"/>
  <c r="F48" i="805"/>
  <c r="F49" i="805"/>
  <c r="F50" i="805"/>
  <c r="F51" i="805"/>
  <c r="F52" i="805"/>
  <c r="F53" i="805"/>
  <c r="F54" i="805"/>
  <c r="F55" i="805"/>
  <c r="F56" i="805"/>
  <c r="F57" i="805"/>
  <c r="F58" i="805"/>
  <c r="F59" i="805"/>
  <c r="F60" i="805"/>
  <c r="F61" i="805"/>
  <c r="F62" i="805"/>
  <c r="F63" i="805"/>
  <c r="F64" i="805"/>
  <c r="F65" i="805"/>
  <c r="F66" i="805"/>
  <c r="F67" i="805"/>
  <c r="F68" i="805"/>
  <c r="F69" i="805"/>
  <c r="F70" i="805"/>
  <c r="F71" i="805"/>
  <c r="F72" i="805"/>
  <c r="F73" i="805"/>
  <c r="F74" i="805"/>
  <c r="F75" i="805"/>
  <c r="F76" i="805"/>
  <c r="F77" i="805"/>
  <c r="F78" i="805"/>
  <c r="F79" i="805"/>
  <c r="F80" i="805"/>
  <c r="F81" i="805"/>
  <c r="F82" i="805"/>
  <c r="F83" i="805"/>
  <c r="F84" i="805"/>
  <c r="F85" i="805"/>
  <c r="F86" i="805"/>
  <c r="F87" i="805"/>
  <c r="F88" i="805"/>
  <c r="F89" i="805"/>
  <c r="F90" i="805"/>
  <c r="F91" i="805"/>
  <c r="F92" i="805"/>
  <c r="F93" i="805"/>
  <c r="F94" i="805"/>
  <c r="F95" i="805"/>
  <c r="F96" i="805"/>
  <c r="F97" i="805"/>
  <c r="F98" i="805"/>
  <c r="F99" i="805"/>
  <c r="F100" i="805"/>
  <c r="F101" i="805"/>
  <c r="F102" i="805"/>
  <c r="F103" i="805"/>
  <c r="F104" i="805"/>
  <c r="F105" i="805"/>
  <c r="F106" i="805"/>
  <c r="F107" i="805"/>
  <c r="F108" i="805"/>
  <c r="F109" i="805"/>
  <c r="F110" i="805"/>
  <c r="F111" i="805"/>
  <c r="F112" i="805"/>
  <c r="F113" i="805"/>
  <c r="F114" i="805"/>
  <c r="F115" i="805"/>
  <c r="F116" i="805"/>
  <c r="F117" i="805"/>
  <c r="F118" i="805"/>
  <c r="F119" i="805"/>
  <c r="F120" i="805"/>
  <c r="F121" i="805"/>
  <c r="F122" i="805"/>
  <c r="F123" i="805"/>
  <c r="F124" i="805"/>
  <c r="F125" i="805"/>
  <c r="F126" i="805"/>
  <c r="F127" i="805"/>
  <c r="F128" i="805"/>
  <c r="F129" i="805"/>
  <c r="F130" i="805"/>
  <c r="F131" i="805"/>
  <c r="F132" i="805"/>
  <c r="F133" i="805"/>
  <c r="F134" i="805"/>
  <c r="F135" i="805"/>
  <c r="F136" i="805"/>
  <c r="F137" i="805"/>
  <c r="F138" i="805"/>
  <c r="F139" i="805"/>
  <c r="F140" i="805"/>
  <c r="F141" i="805"/>
  <c r="F142" i="805"/>
  <c r="F143" i="805"/>
  <c r="F144" i="805"/>
  <c r="F145" i="805"/>
  <c r="F146" i="805"/>
  <c r="F147" i="805"/>
  <c r="F148" i="805"/>
  <c r="F149" i="805"/>
  <c r="F150" i="805"/>
  <c r="F151" i="805"/>
  <c r="F152" i="805"/>
  <c r="F153" i="805"/>
  <c r="F154" i="805"/>
  <c r="F155" i="805"/>
  <c r="F156" i="805"/>
  <c r="F157" i="805"/>
  <c r="F158" i="805"/>
  <c r="F159" i="805"/>
  <c r="F160" i="805"/>
  <c r="F161" i="805"/>
  <c r="F162" i="805"/>
  <c r="F163" i="805"/>
  <c r="F164" i="805"/>
  <c r="F165" i="805"/>
  <c r="F166" i="805"/>
  <c r="F167" i="805"/>
  <c r="F168" i="805"/>
  <c r="F169" i="805"/>
  <c r="F170" i="805"/>
  <c r="F171" i="805"/>
  <c r="F172" i="805"/>
  <c r="F173" i="805"/>
  <c r="F174" i="805"/>
  <c r="F175" i="805"/>
  <c r="F176" i="805"/>
  <c r="F177" i="805"/>
  <c r="F178" i="805"/>
  <c r="F179" i="805"/>
  <c r="F180" i="805"/>
  <c r="F181" i="805"/>
  <c r="F182" i="805"/>
  <c r="F183" i="805"/>
  <c r="F184" i="805"/>
  <c r="F185" i="805"/>
  <c r="F186" i="805"/>
  <c r="F187" i="805"/>
  <c r="F188" i="805"/>
  <c r="F189" i="805"/>
  <c r="F190" i="805"/>
  <c r="F191" i="805"/>
  <c r="F192" i="805"/>
  <c r="F193" i="805"/>
  <c r="F194" i="805"/>
  <c r="F195" i="805"/>
  <c r="F196" i="805"/>
  <c r="F197" i="805"/>
  <c r="F198" i="805"/>
  <c r="F199" i="805"/>
  <c r="F200" i="805"/>
  <c r="F201" i="805"/>
  <c r="F202" i="805"/>
  <c r="F203" i="805"/>
  <c r="F204" i="805"/>
  <c r="F205" i="805"/>
  <c r="F206" i="805"/>
  <c r="F207" i="805"/>
  <c r="F208" i="805"/>
  <c r="F209" i="805"/>
  <c r="F210" i="805"/>
  <c r="F211" i="805"/>
  <c r="F212" i="805"/>
  <c r="F213" i="805"/>
  <c r="F214" i="805"/>
  <c r="F215" i="805"/>
  <c r="F216" i="805"/>
  <c r="F217" i="805"/>
  <c r="F218" i="805"/>
  <c r="F219" i="805"/>
  <c r="F220" i="805"/>
  <c r="F221" i="805"/>
  <c r="F222" i="805"/>
  <c r="F223" i="805"/>
  <c r="F224" i="805"/>
  <c r="F225" i="805"/>
  <c r="F226" i="805"/>
  <c r="F227" i="805"/>
  <c r="F228" i="805"/>
  <c r="F229" i="805"/>
  <c r="F230" i="805"/>
  <c r="F231" i="805"/>
  <c r="F232" i="805"/>
  <c r="F233" i="805"/>
  <c r="F234" i="805"/>
  <c r="F235" i="805"/>
  <c r="F236" i="805"/>
  <c r="F237" i="805"/>
  <c r="F238" i="805"/>
  <c r="F239" i="805"/>
  <c r="F240" i="805"/>
  <c r="F241" i="805"/>
  <c r="F242" i="805"/>
  <c r="F243" i="805"/>
  <c r="F244" i="805"/>
  <c r="F245" i="805"/>
  <c r="F246" i="805"/>
  <c r="F247" i="805"/>
  <c r="F248" i="805"/>
  <c r="F249" i="805"/>
  <c r="F250" i="805"/>
  <c r="F251" i="805"/>
  <c r="F252" i="805"/>
  <c r="F253" i="805"/>
  <c r="F254" i="805"/>
  <c r="F255" i="805"/>
  <c r="F256" i="805"/>
  <c r="F257" i="805"/>
  <c r="F258" i="805"/>
  <c r="F259" i="805"/>
  <c r="F260" i="805"/>
  <c r="F261" i="805"/>
  <c r="F262" i="805"/>
  <c r="F263" i="805"/>
  <c r="F264" i="805"/>
  <c r="F265" i="805"/>
  <c r="F266" i="805"/>
  <c r="F267" i="805"/>
  <c r="F268" i="805"/>
  <c r="F269" i="805"/>
  <c r="F270" i="805"/>
  <c r="F271" i="805"/>
  <c r="F272" i="805"/>
  <c r="F273" i="805"/>
  <c r="F274" i="805"/>
  <c r="F275" i="805"/>
  <c r="F276" i="805"/>
  <c r="F277" i="805"/>
  <c r="F278" i="805"/>
  <c r="F279" i="805"/>
  <c r="F280" i="805"/>
  <c r="F281" i="805"/>
  <c r="F282" i="805"/>
  <c r="F283" i="805"/>
  <c r="F284" i="805"/>
  <c r="F285" i="805"/>
  <c r="F286" i="805"/>
  <c r="F287" i="805"/>
  <c r="F288" i="805"/>
  <c r="F289" i="805"/>
  <c r="F290" i="805"/>
  <c r="F291" i="805"/>
  <c r="F292" i="805"/>
  <c r="F293" i="805"/>
  <c r="F294" i="805"/>
  <c r="F295" i="805"/>
  <c r="F296" i="805"/>
  <c r="F297" i="805"/>
  <c r="F298" i="805"/>
  <c r="F299" i="805"/>
  <c r="F300" i="805"/>
  <c r="F301" i="805"/>
  <c r="F302" i="805"/>
  <c r="F303" i="805"/>
  <c r="F304" i="805"/>
  <c r="F305" i="805"/>
  <c r="F306" i="805"/>
  <c r="F307" i="805"/>
  <c r="F308" i="805"/>
  <c r="F309" i="805"/>
  <c r="F310" i="805"/>
  <c r="F311" i="805"/>
  <c r="F312" i="805"/>
  <c r="F313" i="805"/>
  <c r="F314" i="805"/>
  <c r="F315" i="805"/>
  <c r="F316" i="805"/>
  <c r="F317" i="805"/>
  <c r="F318" i="805"/>
  <c r="F319" i="805"/>
  <c r="F320" i="805"/>
  <c r="F321" i="805"/>
  <c r="F322" i="805"/>
  <c r="F323" i="805"/>
  <c r="F324" i="805"/>
  <c r="F325" i="805"/>
  <c r="F326" i="805"/>
  <c r="F327" i="805"/>
  <c r="F328" i="805"/>
  <c r="F329" i="805"/>
  <c r="F330" i="805"/>
  <c r="P93" i="805"/>
  <c r="J93" i="805" s="1"/>
  <c r="P113" i="805"/>
  <c r="J113" i="805" s="1"/>
  <c r="P170" i="805"/>
  <c r="J170" i="805" s="1"/>
  <c r="P171" i="805"/>
  <c r="J171" i="805" s="1"/>
  <c r="P172" i="805"/>
  <c r="J172" i="805" s="1"/>
  <c r="P176" i="805"/>
  <c r="J176" i="805" s="1"/>
  <c r="P177" i="805"/>
  <c r="J177" i="805" s="1"/>
  <c r="P178" i="805"/>
  <c r="J178" i="805" s="1"/>
  <c r="P179" i="805"/>
  <c r="J179" i="805" s="1"/>
  <c r="P180" i="805"/>
  <c r="J180" i="805" s="1"/>
  <c r="P181" i="805"/>
  <c r="J181" i="805" s="1"/>
  <c r="P182" i="805"/>
  <c r="J182" i="805" s="1"/>
  <c r="P183" i="805"/>
  <c r="J183" i="805" s="1"/>
  <c r="P184" i="805"/>
  <c r="J184" i="805" s="1"/>
  <c r="P188" i="805"/>
  <c r="J188" i="805" s="1"/>
  <c r="P189" i="805"/>
  <c r="J189" i="805" s="1"/>
  <c r="P190" i="805"/>
  <c r="J190" i="805" s="1"/>
  <c r="P191" i="805"/>
  <c r="J191" i="805" s="1"/>
  <c r="P192" i="805"/>
  <c r="J192" i="805" s="1"/>
  <c r="P193" i="805"/>
  <c r="J193" i="805" s="1"/>
  <c r="P194" i="805"/>
  <c r="J194" i="805" s="1"/>
  <c r="P195" i="805"/>
  <c r="J195" i="805" s="1"/>
  <c r="P196" i="805"/>
  <c r="J196" i="805" s="1"/>
  <c r="P197" i="805"/>
  <c r="J197" i="805" s="1"/>
  <c r="P198" i="805"/>
  <c r="J198" i="805" s="1"/>
  <c r="P208" i="805"/>
  <c r="J208" i="805" s="1"/>
  <c r="P209" i="805"/>
  <c r="J209" i="805" s="1"/>
  <c r="P210" i="805"/>
  <c r="J210" i="805" s="1"/>
  <c r="P211" i="805"/>
  <c r="J211" i="805" s="1"/>
  <c r="P212" i="805"/>
  <c r="J212" i="805" s="1"/>
  <c r="P213" i="805"/>
  <c r="J213" i="805" s="1"/>
  <c r="P214" i="805"/>
  <c r="J214" i="805" s="1"/>
  <c r="P215" i="805"/>
  <c r="J215" i="805" s="1"/>
  <c r="P216" i="805"/>
  <c r="J216" i="805" s="1"/>
  <c r="P225" i="805"/>
  <c r="J225" i="805" s="1"/>
  <c r="P226" i="805"/>
  <c r="J226" i="805" s="1"/>
  <c r="P227" i="805"/>
  <c r="J227" i="805" s="1"/>
  <c r="P228" i="805"/>
  <c r="J228" i="805" s="1"/>
  <c r="P229" i="805"/>
  <c r="J229" i="805" s="1"/>
  <c r="P230" i="805"/>
  <c r="J230" i="805" s="1"/>
  <c r="P236" i="805"/>
  <c r="J236" i="805" s="1"/>
  <c r="P237" i="805"/>
  <c r="J237" i="805" s="1"/>
  <c r="P238" i="805"/>
  <c r="J238" i="805" s="1"/>
  <c r="P239" i="805"/>
  <c r="J239" i="805" s="1"/>
  <c r="P240" i="805"/>
  <c r="J240" i="805" s="1"/>
  <c r="P241" i="805"/>
  <c r="J241" i="805" s="1"/>
  <c r="P250" i="805"/>
  <c r="J250" i="805" s="1"/>
  <c r="P251" i="805"/>
  <c r="J251" i="805" s="1"/>
  <c r="P252" i="805"/>
  <c r="J252" i="805" s="1"/>
  <c r="P253" i="805"/>
  <c r="J253" i="805" s="1"/>
  <c r="P254" i="805"/>
  <c r="J254" i="805" s="1"/>
  <c r="P256" i="805"/>
  <c r="J256" i="805" s="1"/>
  <c r="P257" i="805"/>
  <c r="J257" i="805" s="1"/>
  <c r="P258" i="805"/>
  <c r="J258" i="805" s="1"/>
  <c r="P259" i="805"/>
  <c r="J259" i="805" s="1"/>
  <c r="P260" i="805"/>
  <c r="J260" i="805" s="1"/>
  <c r="P261" i="805"/>
  <c r="J261" i="805" s="1"/>
  <c r="P265" i="805"/>
  <c r="J265" i="805" s="1"/>
  <c r="P266" i="805"/>
  <c r="J266" i="805" s="1"/>
  <c r="P267" i="805"/>
  <c r="J267" i="805" s="1"/>
  <c r="P268" i="805"/>
  <c r="J268" i="805" s="1"/>
  <c r="P269" i="805"/>
  <c r="J269" i="805" s="1"/>
  <c r="P270" i="805"/>
  <c r="J270" i="805" s="1"/>
  <c r="P271" i="805"/>
  <c r="J271" i="805" s="1"/>
  <c r="P272" i="805"/>
  <c r="J272" i="805" s="1"/>
  <c r="P273" i="805"/>
  <c r="J273" i="805" s="1"/>
  <c r="P274" i="805"/>
  <c r="J274" i="805" s="1"/>
  <c r="C162" i="805"/>
  <c r="P162" i="805" s="1"/>
  <c r="J162" i="805" s="1"/>
  <c r="C163" i="805"/>
  <c r="P163" i="805" s="1"/>
  <c r="J163" i="805" s="1"/>
  <c r="C161" i="805"/>
  <c r="P161" i="805" s="1"/>
  <c r="J161" i="805" s="1"/>
  <c r="C153" i="805"/>
  <c r="P153" i="805" s="1"/>
  <c r="J153" i="805" s="1"/>
  <c r="C154" i="805"/>
  <c r="P154" i="805" s="1"/>
  <c r="J154" i="805" s="1"/>
  <c r="C152" i="805"/>
  <c r="P152" i="805" s="1"/>
  <c r="J152" i="805" s="1"/>
  <c r="C142" i="805"/>
  <c r="P142" i="805" s="1"/>
  <c r="J142" i="805" s="1"/>
  <c r="C138" i="805"/>
  <c r="P138" i="805" s="1"/>
  <c r="J138" i="805" s="1"/>
  <c r="C137" i="805"/>
  <c r="P137" i="805" s="1"/>
  <c r="J137" i="805" s="1"/>
  <c r="C123" i="805"/>
  <c r="P123" i="805" s="1"/>
  <c r="J123" i="805" s="1"/>
  <c r="C124" i="805"/>
  <c r="P124" i="805" s="1"/>
  <c r="J124" i="805" s="1"/>
  <c r="C125" i="805"/>
  <c r="P125" i="805" s="1"/>
  <c r="J125" i="805" s="1"/>
  <c r="C126" i="805"/>
  <c r="P126" i="805" s="1"/>
  <c r="J126" i="805" s="1"/>
  <c r="C127" i="805"/>
  <c r="P127" i="805" s="1"/>
  <c r="J127" i="805" s="1"/>
  <c r="C122" i="805"/>
  <c r="P122" i="805" s="1"/>
  <c r="J122" i="805" s="1"/>
  <c r="C101" i="805"/>
  <c r="P101" i="805" s="1"/>
  <c r="J101" i="805" s="1"/>
  <c r="C102" i="805"/>
  <c r="P102" i="805" s="1"/>
  <c r="J102" i="805" s="1"/>
  <c r="C103" i="805"/>
  <c r="P103" i="805" s="1"/>
  <c r="J103" i="805" s="1"/>
  <c r="C104" i="805"/>
  <c r="P104" i="805" s="1"/>
  <c r="J104" i="805" s="1"/>
  <c r="C105" i="805"/>
  <c r="P105" i="805" s="1"/>
  <c r="J105" i="805" s="1"/>
  <c r="C106" i="805"/>
  <c r="P106" i="805" s="1"/>
  <c r="J106" i="805" s="1"/>
  <c r="C107" i="805"/>
  <c r="P107" i="805" s="1"/>
  <c r="J107" i="805" s="1"/>
  <c r="C108" i="805"/>
  <c r="P108" i="805" s="1"/>
  <c r="J108" i="805" s="1"/>
  <c r="C109" i="805"/>
  <c r="P109" i="805" s="1"/>
  <c r="J109" i="805" s="1"/>
  <c r="C110" i="805"/>
  <c r="P110" i="805" s="1"/>
  <c r="J110" i="805" s="1"/>
  <c r="C111" i="805"/>
  <c r="P111" i="805" s="1"/>
  <c r="J111" i="805" s="1"/>
  <c r="C112" i="805"/>
  <c r="P112" i="805" s="1"/>
  <c r="J112" i="805" s="1"/>
  <c r="C100" i="805"/>
  <c r="P100" i="805" s="1"/>
  <c r="J100" i="805" s="1"/>
  <c r="C84" i="805"/>
  <c r="P84" i="805" s="1"/>
  <c r="J84" i="805" s="1"/>
  <c r="C85" i="805"/>
  <c r="P85" i="805" s="1"/>
  <c r="J85" i="805" s="1"/>
  <c r="C86" i="805"/>
  <c r="P86" i="805" s="1"/>
  <c r="J86" i="805" s="1"/>
  <c r="C87" i="805"/>
  <c r="P87" i="805" s="1"/>
  <c r="J87" i="805" s="1"/>
  <c r="C88" i="805"/>
  <c r="P88" i="805" s="1"/>
  <c r="J88" i="805" s="1"/>
  <c r="C89" i="805"/>
  <c r="P89" i="805" s="1"/>
  <c r="J89" i="805" s="1"/>
  <c r="C90" i="805"/>
  <c r="P90" i="805" s="1"/>
  <c r="J90" i="805" s="1"/>
  <c r="C91" i="805"/>
  <c r="P91" i="805" s="1"/>
  <c r="J91" i="805" s="1"/>
  <c r="C92" i="805"/>
  <c r="P92" i="805" s="1"/>
  <c r="J92" i="805" s="1"/>
  <c r="C83" i="805"/>
  <c r="P83" i="805" s="1"/>
  <c r="J83" i="805" s="1"/>
  <c r="C2" i="805"/>
  <c r="P2" i="805" s="1"/>
  <c r="J2" i="805" s="1"/>
  <c r="C3" i="805"/>
  <c r="P3" i="805" s="1"/>
  <c r="J3" i="805" s="1"/>
  <c r="C4" i="805"/>
  <c r="P4" i="805" s="1"/>
  <c r="J4" i="805" s="1"/>
  <c r="C5" i="805"/>
  <c r="P5" i="805" s="1"/>
  <c r="J5" i="805" s="1"/>
  <c r="C6" i="805"/>
  <c r="P6" i="805" s="1"/>
  <c r="J6" i="805" s="1"/>
  <c r="C7" i="805"/>
  <c r="P7" i="805" s="1"/>
  <c r="J7" i="805" s="1"/>
  <c r="C8" i="805"/>
  <c r="P8" i="805" s="1"/>
  <c r="J8" i="805" s="1"/>
  <c r="C9" i="805"/>
  <c r="P9" i="805" s="1"/>
  <c r="J9" i="805" s="1"/>
  <c r="C10" i="805"/>
  <c r="P10" i="805" s="1"/>
  <c r="J10" i="805" s="1"/>
  <c r="C11" i="805"/>
  <c r="P11" i="805" s="1"/>
  <c r="J11" i="805" s="1"/>
  <c r="C12" i="805"/>
  <c r="P12" i="805" s="1"/>
  <c r="J12" i="805" s="1"/>
  <c r="C13" i="805"/>
  <c r="P13" i="805" s="1"/>
  <c r="J13" i="805" s="1"/>
  <c r="C14" i="805"/>
  <c r="P14" i="805" s="1"/>
  <c r="J14" i="805" s="1"/>
  <c r="C15" i="805"/>
  <c r="P15" i="805" s="1"/>
  <c r="J15" i="805" s="1"/>
  <c r="C16" i="805"/>
  <c r="P16" i="805" s="1"/>
  <c r="J16" i="805" s="1"/>
  <c r="C17" i="805"/>
  <c r="P17" i="805" s="1"/>
  <c r="J17" i="805" s="1"/>
  <c r="C18" i="805"/>
  <c r="P18" i="805" s="1"/>
  <c r="J18" i="805" s="1"/>
  <c r="C20" i="805"/>
  <c r="P20" i="805" s="1"/>
  <c r="J20" i="805" s="1"/>
  <c r="C21" i="805"/>
  <c r="P21" i="805" s="1"/>
  <c r="J21" i="805" s="1"/>
  <c r="C22" i="805"/>
  <c r="P22" i="805" s="1"/>
  <c r="J22" i="805" s="1"/>
  <c r="C23" i="805"/>
  <c r="P23" i="805" s="1"/>
  <c r="J23" i="805" s="1"/>
  <c r="C24" i="805"/>
  <c r="P24" i="805" s="1"/>
  <c r="J24" i="805" s="1"/>
  <c r="C25" i="805"/>
  <c r="P25" i="805" s="1"/>
  <c r="J25" i="805" s="1"/>
  <c r="C26" i="805"/>
  <c r="P26" i="805" s="1"/>
  <c r="J26" i="805" s="1"/>
  <c r="C27" i="805"/>
  <c r="P27" i="805" s="1"/>
  <c r="J27" i="805" s="1"/>
  <c r="C28" i="805"/>
  <c r="P28" i="805" s="1"/>
  <c r="J28" i="805" s="1"/>
  <c r="C29" i="805"/>
  <c r="P29" i="805" s="1"/>
  <c r="J29" i="805" s="1"/>
  <c r="C30" i="805"/>
  <c r="P30" i="805" s="1"/>
  <c r="J30" i="805" s="1"/>
  <c r="C31" i="805"/>
  <c r="P31" i="805" s="1"/>
  <c r="J31" i="805" s="1"/>
  <c r="C32" i="805"/>
  <c r="P32" i="805" s="1"/>
  <c r="J32" i="805" s="1"/>
  <c r="C33" i="805"/>
  <c r="P33" i="805" s="1"/>
  <c r="J33" i="805" s="1"/>
  <c r="C34" i="805"/>
  <c r="P34" i="805" s="1"/>
  <c r="J34" i="805" s="1"/>
  <c r="C35" i="805"/>
  <c r="P35" i="805" s="1"/>
  <c r="J35" i="805" s="1"/>
  <c r="C36" i="805"/>
  <c r="P36" i="805" s="1"/>
  <c r="J36" i="805" s="1"/>
  <c r="C37" i="805"/>
  <c r="P37" i="805" s="1"/>
  <c r="J37" i="805" s="1"/>
  <c r="C38" i="805"/>
  <c r="P38" i="805" s="1"/>
  <c r="J38" i="805" s="1"/>
  <c r="C39" i="805"/>
  <c r="P39" i="805" s="1"/>
  <c r="J39" i="805" s="1"/>
  <c r="C40" i="805"/>
  <c r="P40" i="805" s="1"/>
  <c r="J40" i="805" s="1"/>
  <c r="C41" i="805"/>
  <c r="P41" i="805" s="1"/>
  <c r="J41" i="805" s="1"/>
  <c r="C42" i="805"/>
  <c r="P42" i="805" s="1"/>
  <c r="J42" i="805" s="1"/>
  <c r="C43" i="805"/>
  <c r="P43" i="805" s="1"/>
  <c r="J43" i="805" s="1"/>
  <c r="C44" i="805"/>
  <c r="P44" i="805" s="1"/>
  <c r="J44" i="805" s="1"/>
  <c r="C45" i="805"/>
  <c r="P45" i="805" s="1"/>
  <c r="J45" i="805" s="1"/>
  <c r="C46" i="805"/>
  <c r="P46" i="805" s="1"/>
  <c r="J46" i="805" s="1"/>
  <c r="C47" i="805"/>
  <c r="P47" i="805" s="1"/>
  <c r="J47" i="805" s="1"/>
  <c r="C48" i="805"/>
  <c r="P48" i="805" s="1"/>
  <c r="J48" i="805" s="1"/>
  <c r="C49" i="805"/>
  <c r="P49" i="805" s="1"/>
  <c r="J49" i="805" s="1"/>
  <c r="C50" i="805"/>
  <c r="P50" i="805" s="1"/>
  <c r="J50" i="805" s="1"/>
  <c r="C51" i="805"/>
  <c r="P51" i="805" s="1"/>
  <c r="J51" i="805" s="1"/>
  <c r="C52" i="805"/>
  <c r="P52" i="805" s="1"/>
  <c r="J52" i="805" s="1"/>
  <c r="C53" i="805"/>
  <c r="P53" i="805" s="1"/>
  <c r="J53" i="805" s="1"/>
  <c r="C54" i="805"/>
  <c r="P54" i="805" s="1"/>
  <c r="J54" i="805" s="1"/>
  <c r="C55" i="805"/>
  <c r="P55" i="805" s="1"/>
  <c r="J55" i="805" s="1"/>
  <c r="C56" i="805"/>
  <c r="P56" i="805" s="1"/>
  <c r="J56" i="805" s="1"/>
  <c r="C57" i="805"/>
  <c r="P57" i="805" s="1"/>
  <c r="J57" i="805" s="1"/>
  <c r="C58" i="805"/>
  <c r="P58" i="805" s="1"/>
  <c r="J58" i="805" s="1"/>
  <c r="C59" i="805"/>
  <c r="P59" i="805" s="1"/>
  <c r="J59" i="805" s="1"/>
  <c r="C60" i="805"/>
  <c r="P60" i="805" s="1"/>
  <c r="J60" i="805" s="1"/>
  <c r="C61" i="805"/>
  <c r="P61" i="805" s="1"/>
  <c r="J61" i="805" s="1"/>
  <c r="C62" i="805"/>
  <c r="P62" i="805" s="1"/>
  <c r="J62" i="805" s="1"/>
  <c r="C63" i="805"/>
  <c r="P63" i="805" s="1"/>
  <c r="J63" i="805" s="1"/>
  <c r="C64" i="805"/>
  <c r="P64" i="805" s="1"/>
  <c r="J64" i="805" s="1"/>
  <c r="C65" i="805"/>
  <c r="P65" i="805" s="1"/>
  <c r="J65" i="805" s="1"/>
  <c r="C66" i="805"/>
  <c r="P66" i="805" s="1"/>
  <c r="J66" i="805" s="1"/>
  <c r="C67" i="805"/>
  <c r="P67" i="805" s="1"/>
  <c r="J67" i="805" s="1"/>
  <c r="C68" i="805"/>
  <c r="P68" i="805" s="1"/>
  <c r="J68" i="805" s="1"/>
  <c r="C69" i="805"/>
  <c r="P69" i="805" s="1"/>
  <c r="J69" i="805" s="1"/>
  <c r="C70" i="805"/>
  <c r="P70" i="805" s="1"/>
  <c r="J70" i="805" s="1"/>
  <c r="C71" i="805"/>
  <c r="P71" i="805" s="1"/>
  <c r="J71" i="805" s="1"/>
  <c r="C72" i="805"/>
  <c r="P72" i="805" s="1"/>
  <c r="J72" i="805" s="1"/>
  <c r="C73" i="805"/>
  <c r="P73" i="805" s="1"/>
  <c r="J73" i="805" s="1"/>
  <c r="C74" i="805"/>
  <c r="P74" i="805" s="1"/>
  <c r="J74" i="805" s="1"/>
  <c r="C75" i="805"/>
  <c r="P75" i="805" s="1"/>
  <c r="J75" i="805" s="1"/>
  <c r="C76" i="805"/>
  <c r="P76" i="805" s="1"/>
  <c r="J76" i="805" s="1"/>
  <c r="C77" i="805"/>
  <c r="P77" i="805" s="1"/>
  <c r="J77" i="805" s="1"/>
  <c r="C78" i="805"/>
  <c r="P78" i="805" s="1"/>
  <c r="J78" i="805" s="1"/>
  <c r="C79" i="805"/>
  <c r="P79" i="805" s="1"/>
  <c r="J79" i="805" s="1"/>
  <c r="C80" i="805"/>
  <c r="P80" i="805" s="1"/>
  <c r="J80" i="805" s="1"/>
  <c r="C81" i="805"/>
  <c r="P81" i="805" s="1"/>
  <c r="J81" i="805" s="1"/>
  <c r="C82" i="805"/>
  <c r="P82" i="805" s="1"/>
  <c r="J82" i="805" s="1"/>
  <c r="C94" i="805"/>
  <c r="P94" i="805" s="1"/>
  <c r="J94" i="805" s="1"/>
  <c r="C95" i="805"/>
  <c r="P95" i="805" s="1"/>
  <c r="J95" i="805" s="1"/>
  <c r="C96" i="805"/>
  <c r="P96" i="805" s="1"/>
  <c r="J96" i="805" s="1"/>
  <c r="C97" i="805"/>
  <c r="P97" i="805" s="1"/>
  <c r="J97" i="805" s="1"/>
  <c r="C98" i="805"/>
  <c r="P98" i="805" s="1"/>
  <c r="J98" i="805" s="1"/>
  <c r="C99" i="805"/>
  <c r="P99" i="805" s="1"/>
  <c r="J99" i="805" s="1"/>
  <c r="C114" i="805"/>
  <c r="P114" i="805" s="1"/>
  <c r="J114" i="805" s="1"/>
  <c r="C115" i="805"/>
  <c r="P115" i="805" s="1"/>
  <c r="J115" i="805" s="1"/>
  <c r="C116" i="805"/>
  <c r="P116" i="805" s="1"/>
  <c r="J116" i="805" s="1"/>
  <c r="C117" i="805"/>
  <c r="P117" i="805" s="1"/>
  <c r="J117" i="805" s="1"/>
  <c r="C118" i="805"/>
  <c r="P118" i="805" s="1"/>
  <c r="J118" i="805" s="1"/>
  <c r="C119" i="805"/>
  <c r="P119" i="805" s="1"/>
  <c r="J119" i="805" s="1"/>
  <c r="C120" i="805"/>
  <c r="P120" i="805" s="1"/>
  <c r="J120" i="805" s="1"/>
  <c r="C121" i="805"/>
  <c r="P121" i="805" s="1"/>
  <c r="J121" i="805" s="1"/>
  <c r="C128" i="805"/>
  <c r="P128" i="805" s="1"/>
  <c r="J128" i="805" s="1"/>
  <c r="C129" i="805"/>
  <c r="P129" i="805" s="1"/>
  <c r="J129" i="805" s="1"/>
  <c r="C130" i="805"/>
  <c r="P130" i="805" s="1"/>
  <c r="J130" i="805" s="1"/>
  <c r="C131" i="805"/>
  <c r="P131" i="805" s="1"/>
  <c r="J131" i="805" s="1"/>
  <c r="C132" i="805"/>
  <c r="P132" i="805" s="1"/>
  <c r="J132" i="805" s="1"/>
  <c r="C133" i="805"/>
  <c r="P133" i="805" s="1"/>
  <c r="J133" i="805" s="1"/>
  <c r="C134" i="805"/>
  <c r="P134" i="805" s="1"/>
  <c r="J134" i="805" s="1"/>
  <c r="C135" i="805"/>
  <c r="P135" i="805" s="1"/>
  <c r="J135" i="805" s="1"/>
  <c r="C136" i="805"/>
  <c r="P136" i="805" s="1"/>
  <c r="J136" i="805" s="1"/>
  <c r="C139" i="805"/>
  <c r="P139" i="805" s="1"/>
  <c r="J139" i="805" s="1"/>
  <c r="C140" i="805"/>
  <c r="P140" i="805" s="1"/>
  <c r="J140" i="805" s="1"/>
  <c r="C141" i="805"/>
  <c r="P141" i="805" s="1"/>
  <c r="J141" i="805" s="1"/>
  <c r="C143" i="805"/>
  <c r="P143" i="805" s="1"/>
  <c r="J143" i="805" s="1"/>
  <c r="C144" i="805"/>
  <c r="P144" i="805" s="1"/>
  <c r="J144" i="805" s="1"/>
  <c r="C145" i="805"/>
  <c r="P145" i="805" s="1"/>
  <c r="J145" i="805" s="1"/>
  <c r="C146" i="805"/>
  <c r="P146" i="805" s="1"/>
  <c r="J146" i="805" s="1"/>
  <c r="C147" i="805"/>
  <c r="P147" i="805" s="1"/>
  <c r="J147" i="805" s="1"/>
  <c r="C148" i="805"/>
  <c r="P148" i="805" s="1"/>
  <c r="J148" i="805" s="1"/>
  <c r="C149" i="805"/>
  <c r="P149" i="805" s="1"/>
  <c r="J149" i="805" s="1"/>
  <c r="C150" i="805"/>
  <c r="P150" i="805" s="1"/>
  <c r="J150" i="805" s="1"/>
  <c r="C151" i="805"/>
  <c r="P151" i="805" s="1"/>
  <c r="J151" i="805" s="1"/>
  <c r="C155" i="805"/>
  <c r="P155" i="805" s="1"/>
  <c r="J155" i="805" s="1"/>
  <c r="C156" i="805"/>
  <c r="P156" i="805" s="1"/>
  <c r="J156" i="805" s="1"/>
  <c r="C157" i="805"/>
  <c r="P157" i="805" s="1"/>
  <c r="J157" i="805" s="1"/>
  <c r="C158" i="805"/>
  <c r="P158" i="805" s="1"/>
  <c r="J158" i="805" s="1"/>
  <c r="C159" i="805"/>
  <c r="P159" i="805" s="1"/>
  <c r="J159" i="805" s="1"/>
  <c r="C160" i="805"/>
  <c r="P160" i="805" s="1"/>
  <c r="J160" i="805" s="1"/>
  <c r="C164" i="805"/>
  <c r="P164" i="805" s="1"/>
  <c r="J164" i="805" s="1"/>
  <c r="C165" i="805"/>
  <c r="P165" i="805" s="1"/>
  <c r="J165" i="805" s="1"/>
  <c r="C166" i="805"/>
  <c r="P166" i="805" s="1"/>
  <c r="J166" i="805" s="1"/>
  <c r="C167" i="805"/>
  <c r="P167" i="805" s="1"/>
  <c r="J167" i="805" s="1"/>
  <c r="C168" i="805"/>
  <c r="P168" i="805" s="1"/>
  <c r="J168" i="805" s="1"/>
  <c r="C169" i="805"/>
  <c r="P169" i="805" s="1"/>
  <c r="J169" i="805" s="1"/>
  <c r="C173" i="805"/>
  <c r="P173" i="805" s="1"/>
  <c r="J173" i="805" s="1"/>
  <c r="C174" i="805"/>
  <c r="P174" i="805" s="1"/>
  <c r="J174" i="805" s="1"/>
  <c r="C175" i="805"/>
  <c r="P175" i="805" s="1"/>
  <c r="J175" i="805" s="1"/>
  <c r="C185" i="805"/>
  <c r="P185" i="805" s="1"/>
  <c r="J185" i="805" s="1"/>
  <c r="C186" i="805"/>
  <c r="P186" i="805" s="1"/>
  <c r="J186" i="805" s="1"/>
  <c r="C187" i="805"/>
  <c r="P187" i="805" s="1"/>
  <c r="J187" i="805" s="1"/>
  <c r="C199" i="805"/>
  <c r="P199" i="805" s="1"/>
  <c r="J199" i="805" s="1"/>
  <c r="C200" i="805"/>
  <c r="P200" i="805" s="1"/>
  <c r="J200" i="805" s="1"/>
  <c r="C201" i="805"/>
  <c r="P201" i="805" s="1"/>
  <c r="J201" i="805" s="1"/>
  <c r="C202" i="805"/>
  <c r="P202" i="805" s="1"/>
  <c r="J202" i="805" s="1"/>
  <c r="C203" i="805"/>
  <c r="P203" i="805" s="1"/>
  <c r="J203" i="805" s="1"/>
  <c r="C204" i="805"/>
  <c r="P204" i="805" s="1"/>
  <c r="J204" i="805" s="1"/>
  <c r="C205" i="805"/>
  <c r="P205" i="805" s="1"/>
  <c r="J205" i="805" s="1"/>
  <c r="C206" i="805"/>
  <c r="P206" i="805" s="1"/>
  <c r="J206" i="805" s="1"/>
  <c r="C207" i="805"/>
  <c r="P207" i="805" s="1"/>
  <c r="J207" i="805" s="1"/>
  <c r="C217" i="805"/>
  <c r="P217" i="805" s="1"/>
  <c r="J217" i="805" s="1"/>
  <c r="C218" i="805"/>
  <c r="P218" i="805" s="1"/>
  <c r="J218" i="805" s="1"/>
  <c r="C219" i="805"/>
  <c r="P219" i="805" s="1"/>
  <c r="J219" i="805" s="1"/>
  <c r="C220" i="805"/>
  <c r="P220" i="805" s="1"/>
  <c r="J220" i="805" s="1"/>
  <c r="C221" i="805"/>
  <c r="P221" i="805" s="1"/>
  <c r="J221" i="805" s="1"/>
  <c r="C222" i="805"/>
  <c r="P222" i="805" s="1"/>
  <c r="J222" i="805" s="1"/>
  <c r="C223" i="805"/>
  <c r="P223" i="805" s="1"/>
  <c r="J223" i="805" s="1"/>
  <c r="C224" i="805"/>
  <c r="P224" i="805" s="1"/>
  <c r="J224" i="805" s="1"/>
  <c r="C231" i="805"/>
  <c r="P231" i="805" s="1"/>
  <c r="J231" i="805" s="1"/>
  <c r="C232" i="805"/>
  <c r="P232" i="805" s="1"/>
  <c r="J232" i="805" s="1"/>
  <c r="C233" i="805"/>
  <c r="P233" i="805" s="1"/>
  <c r="J233" i="805" s="1"/>
  <c r="C234" i="805"/>
  <c r="P234" i="805" s="1"/>
  <c r="J234" i="805" s="1"/>
  <c r="C235" i="805"/>
  <c r="P235" i="805" s="1"/>
  <c r="J235" i="805" s="1"/>
  <c r="C242" i="805"/>
  <c r="P242" i="805" s="1"/>
  <c r="J242" i="805" s="1"/>
  <c r="C243" i="805"/>
  <c r="P243" i="805" s="1"/>
  <c r="J243" i="805" s="1"/>
  <c r="C244" i="805"/>
  <c r="P244" i="805" s="1"/>
  <c r="J244" i="805" s="1"/>
  <c r="C245" i="805"/>
  <c r="P245" i="805" s="1"/>
  <c r="J245" i="805" s="1"/>
  <c r="C246" i="805"/>
  <c r="P246" i="805" s="1"/>
  <c r="J246" i="805" s="1"/>
  <c r="C247" i="805"/>
  <c r="P247" i="805" s="1"/>
  <c r="J247" i="805" s="1"/>
  <c r="C248" i="805"/>
  <c r="P248" i="805" s="1"/>
  <c r="J248" i="805" s="1"/>
  <c r="C249" i="805"/>
  <c r="P249" i="805" s="1"/>
  <c r="J249" i="805" s="1"/>
  <c r="C255" i="805"/>
  <c r="P255" i="805" s="1"/>
  <c r="J255" i="805" s="1"/>
  <c r="C262" i="805"/>
  <c r="P262" i="805" s="1"/>
  <c r="J262" i="805" s="1"/>
  <c r="C263" i="805"/>
  <c r="P263" i="805" s="1"/>
  <c r="J263" i="805" s="1"/>
  <c r="C264" i="805"/>
  <c r="P264" i="805" s="1"/>
  <c r="J264" i="805" s="1"/>
  <c r="C275" i="805"/>
  <c r="P275" i="805" s="1"/>
  <c r="J275" i="805" s="1"/>
  <c r="C276" i="805"/>
  <c r="P276" i="805" s="1"/>
  <c r="J276" i="805" s="1"/>
  <c r="C277" i="805"/>
  <c r="P277" i="805" s="1"/>
  <c r="J277" i="805" s="1"/>
  <c r="C278" i="805"/>
  <c r="P278" i="805" s="1"/>
  <c r="J278" i="805" s="1"/>
  <c r="C279" i="805"/>
  <c r="P279" i="805" s="1"/>
  <c r="J279" i="805" s="1"/>
  <c r="C280" i="805"/>
  <c r="P280" i="805" s="1"/>
  <c r="J280" i="805" s="1"/>
  <c r="C281" i="805"/>
  <c r="P281" i="805" s="1"/>
  <c r="J281" i="805" s="1"/>
  <c r="C282" i="805"/>
  <c r="P282" i="805" s="1"/>
  <c r="J282" i="805" s="1"/>
  <c r="C283" i="805"/>
  <c r="P283" i="805" s="1"/>
  <c r="J283" i="805" s="1"/>
  <c r="C284" i="805"/>
  <c r="P284" i="805" s="1"/>
  <c r="J284" i="805" s="1"/>
  <c r="C285" i="805"/>
  <c r="P285" i="805" s="1"/>
  <c r="J285" i="805" s="1"/>
  <c r="C286" i="805"/>
  <c r="P286" i="805" s="1"/>
  <c r="J286" i="805" s="1"/>
  <c r="C287" i="805"/>
  <c r="P287" i="805" s="1"/>
  <c r="J287" i="805" s="1"/>
  <c r="C288" i="805"/>
  <c r="P288" i="805" s="1"/>
  <c r="J288" i="805" s="1"/>
  <c r="C289" i="805"/>
  <c r="P289" i="805" s="1"/>
  <c r="J289" i="805" s="1"/>
  <c r="C290" i="805"/>
  <c r="P290" i="805" s="1"/>
  <c r="J290" i="805" s="1"/>
  <c r="C291" i="805"/>
  <c r="P291" i="805" s="1"/>
  <c r="J291" i="805" s="1"/>
  <c r="C292" i="805"/>
  <c r="P292" i="805" s="1"/>
  <c r="J292" i="805" s="1"/>
  <c r="C293" i="805"/>
  <c r="P293" i="805" s="1"/>
  <c r="J293" i="805" s="1"/>
  <c r="C294" i="805"/>
  <c r="P294" i="805" s="1"/>
  <c r="J294" i="805" s="1"/>
  <c r="C295" i="805"/>
  <c r="P295" i="805" s="1"/>
  <c r="J295" i="805" s="1"/>
  <c r="C296" i="805"/>
  <c r="P296" i="805" s="1"/>
  <c r="J296" i="805" s="1"/>
  <c r="C297" i="805"/>
  <c r="P297" i="805" s="1"/>
  <c r="J297" i="805" s="1"/>
  <c r="C298" i="805"/>
  <c r="P298" i="805" s="1"/>
  <c r="J298" i="805" s="1"/>
  <c r="C299" i="805"/>
  <c r="P299" i="805" s="1"/>
  <c r="J299" i="805" s="1"/>
  <c r="C300" i="805"/>
  <c r="P300" i="805" s="1"/>
  <c r="J300" i="805" s="1"/>
  <c r="C301" i="805"/>
  <c r="P301" i="805" s="1"/>
  <c r="J301" i="805" s="1"/>
  <c r="C302" i="805"/>
  <c r="P302" i="805" s="1"/>
  <c r="J302" i="805" s="1"/>
  <c r="C303" i="805"/>
  <c r="P303" i="805" s="1"/>
  <c r="J303" i="805" s="1"/>
  <c r="C304" i="805"/>
  <c r="P304" i="805" s="1"/>
  <c r="J304" i="805" s="1"/>
  <c r="C305" i="805"/>
  <c r="P305" i="805" s="1"/>
  <c r="J305" i="805" s="1"/>
  <c r="C306" i="805"/>
  <c r="P306" i="805" s="1"/>
  <c r="J306" i="805" s="1"/>
  <c r="C307" i="805"/>
  <c r="P307" i="805" s="1"/>
  <c r="J307" i="805" s="1"/>
  <c r="C308" i="805"/>
  <c r="P308" i="805" s="1"/>
  <c r="J308" i="805" s="1"/>
  <c r="C309" i="805"/>
  <c r="P309" i="805" s="1"/>
  <c r="J309" i="805" s="1"/>
  <c r="C310" i="805"/>
  <c r="P310" i="805" s="1"/>
  <c r="J310" i="805" s="1"/>
  <c r="C311" i="805"/>
  <c r="P311" i="805" s="1"/>
  <c r="J311" i="805" s="1"/>
  <c r="C312" i="805"/>
  <c r="P312" i="805" s="1"/>
  <c r="J312" i="805" s="1"/>
  <c r="C313" i="805"/>
  <c r="P313" i="805" s="1"/>
  <c r="J313" i="805" s="1"/>
  <c r="C314" i="805"/>
  <c r="P314" i="805" s="1"/>
  <c r="J314" i="805" s="1"/>
  <c r="C315" i="805"/>
  <c r="P315" i="805" s="1"/>
  <c r="J315" i="805" s="1"/>
  <c r="C316" i="805"/>
  <c r="P316" i="805" s="1"/>
  <c r="J316" i="805" s="1"/>
  <c r="C317" i="805"/>
  <c r="P317" i="805" s="1"/>
  <c r="J317" i="805" s="1"/>
  <c r="C318" i="805"/>
  <c r="P318" i="805" s="1"/>
  <c r="J318" i="805" s="1"/>
  <c r="C319" i="805"/>
  <c r="P319" i="805" s="1"/>
  <c r="J319" i="805" s="1"/>
  <c r="C320" i="805"/>
  <c r="P320" i="805" s="1"/>
  <c r="J320" i="805" s="1"/>
  <c r="C321" i="805"/>
  <c r="P321" i="805" s="1"/>
  <c r="J321" i="805" s="1"/>
  <c r="C322" i="805"/>
  <c r="P322" i="805" s="1"/>
  <c r="J322" i="805" s="1"/>
  <c r="C323" i="805"/>
  <c r="P323" i="805" s="1"/>
  <c r="J323" i="805" s="1"/>
  <c r="C324" i="805"/>
  <c r="P324" i="805" s="1"/>
  <c r="J324" i="805" s="1"/>
  <c r="C325" i="805"/>
  <c r="P325" i="805" s="1"/>
  <c r="J325" i="805" s="1"/>
  <c r="C326" i="805"/>
  <c r="P326" i="805" s="1"/>
  <c r="J326" i="805" s="1"/>
  <c r="C327" i="805"/>
  <c r="P327" i="805" s="1"/>
  <c r="J327" i="805" s="1"/>
  <c r="C328" i="805"/>
  <c r="P328" i="805" s="1"/>
  <c r="J328" i="805" s="1"/>
  <c r="C329" i="805"/>
  <c r="P329" i="805" s="1"/>
  <c r="J329" i="805" s="1"/>
  <c r="C330" i="805"/>
  <c r="P330" i="805" s="1"/>
  <c r="J330" i="805" s="1"/>
  <c r="E84" i="805"/>
  <c r="E85" i="805"/>
  <c r="E86" i="805"/>
  <c r="E87" i="805"/>
  <c r="E88" i="805"/>
  <c r="E89" i="805"/>
  <c r="E90" i="805"/>
  <c r="E91" i="805"/>
  <c r="E92" i="805"/>
  <c r="E93" i="805"/>
  <c r="E100" i="805"/>
  <c r="E101" i="805"/>
  <c r="E102" i="805"/>
  <c r="E103" i="805"/>
  <c r="E104" i="805"/>
  <c r="E105" i="805"/>
  <c r="E106" i="805"/>
  <c r="E107" i="805"/>
  <c r="E108" i="805"/>
  <c r="E109" i="805"/>
  <c r="E110" i="805"/>
  <c r="E111" i="805"/>
  <c r="E113" i="805"/>
  <c r="E122" i="805"/>
  <c r="E123" i="805"/>
  <c r="E124" i="805"/>
  <c r="E125" i="805"/>
  <c r="E126" i="805"/>
  <c r="E127" i="805"/>
  <c r="E137" i="805"/>
  <c r="E138" i="805"/>
  <c r="E142" i="805"/>
  <c r="E152" i="805"/>
  <c r="E153" i="805"/>
  <c r="E154" i="805"/>
  <c r="E161" i="805"/>
  <c r="E162" i="805"/>
  <c r="E163" i="805"/>
  <c r="E170" i="805"/>
  <c r="E171" i="805"/>
  <c r="E172" i="805"/>
  <c r="E178" i="805"/>
  <c r="E179" i="805"/>
  <c r="E180" i="805"/>
  <c r="E181" i="805"/>
  <c r="E182" i="805"/>
  <c r="E183" i="805"/>
  <c r="E184" i="805"/>
  <c r="E189" i="805"/>
  <c r="E190" i="805"/>
  <c r="E191" i="805"/>
  <c r="E192" i="805"/>
  <c r="E193" i="805"/>
  <c r="E194" i="805"/>
  <c r="E195" i="805"/>
  <c r="E196" i="805"/>
  <c r="E197" i="805"/>
  <c r="E198" i="805"/>
  <c r="E201" i="805"/>
  <c r="E208" i="805"/>
  <c r="E209" i="805"/>
  <c r="E210" i="805"/>
  <c r="E211" i="805"/>
  <c r="E212" i="805"/>
  <c r="E213" i="805"/>
  <c r="E214" i="805"/>
  <c r="E215" i="805"/>
  <c r="E216" i="805"/>
  <c r="E225" i="805"/>
  <c r="E226" i="805"/>
  <c r="E227" i="805"/>
  <c r="E228" i="805"/>
  <c r="E229" i="805"/>
  <c r="E230" i="805"/>
  <c r="E237" i="805"/>
  <c r="E238" i="805"/>
  <c r="E239" i="805"/>
  <c r="E240" i="805"/>
  <c r="E241" i="805"/>
  <c r="E251" i="805"/>
  <c r="E252" i="805"/>
  <c r="E253" i="805"/>
  <c r="E254" i="805"/>
  <c r="E256" i="805"/>
  <c r="E257" i="805"/>
  <c r="E258" i="805"/>
  <c r="E259" i="805"/>
  <c r="E260" i="805"/>
  <c r="E261" i="805"/>
  <c r="E265" i="805"/>
  <c r="E266" i="805"/>
  <c r="E267" i="805"/>
  <c r="E268" i="805"/>
  <c r="E269" i="805"/>
  <c r="E270" i="805"/>
  <c r="E271" i="805"/>
  <c r="E272" i="805"/>
  <c r="E273" i="805"/>
  <c r="E274" i="805"/>
  <c r="E83" i="805"/>
  <c r="O2" i="805" l="1"/>
  <c r="A2" i="805" s="1"/>
  <c r="O3" i="805"/>
  <c r="A3" i="805" s="1"/>
  <c r="O4" i="805"/>
  <c r="A4" i="805" s="1"/>
  <c r="O5" i="805"/>
  <c r="A5" i="805" s="1"/>
  <c r="O6" i="805"/>
  <c r="A6" i="805" s="1"/>
  <c r="O7" i="805"/>
  <c r="A7" i="805" s="1"/>
  <c r="O8" i="805"/>
  <c r="A8" i="805" s="1"/>
  <c r="O9" i="805"/>
  <c r="A9" i="805" s="1"/>
  <c r="O10" i="805"/>
  <c r="A10" i="805" s="1"/>
  <c r="O11" i="805"/>
  <c r="A11" i="805" s="1"/>
  <c r="O12" i="805"/>
  <c r="A12" i="805" s="1"/>
  <c r="O13" i="805"/>
  <c r="A13" i="805" s="1"/>
  <c r="O14" i="805"/>
  <c r="A14" i="805" s="1"/>
  <c r="O15" i="805"/>
  <c r="A15" i="805" s="1"/>
  <c r="O16" i="805"/>
  <c r="A16" i="805" s="1"/>
  <c r="O17" i="805"/>
  <c r="A17" i="805" s="1"/>
  <c r="O18" i="805"/>
  <c r="A18" i="805" s="1"/>
  <c r="O20" i="805"/>
  <c r="A20" i="805" s="1"/>
  <c r="O21" i="805"/>
  <c r="A21" i="805" s="1"/>
  <c r="O22" i="805"/>
  <c r="A22" i="805" s="1"/>
  <c r="O23" i="805"/>
  <c r="A23" i="805" s="1"/>
  <c r="O24" i="805"/>
  <c r="A24" i="805" s="1"/>
  <c r="O25" i="805"/>
  <c r="A25" i="805" s="1"/>
  <c r="O26" i="805"/>
  <c r="A26" i="805" s="1"/>
  <c r="O27" i="805"/>
  <c r="A27" i="805" s="1"/>
  <c r="O28" i="805"/>
  <c r="A28" i="805" s="1"/>
  <c r="O29" i="805"/>
  <c r="A29" i="805" s="1"/>
  <c r="O30" i="805"/>
  <c r="A30" i="805" s="1"/>
  <c r="O31" i="805"/>
  <c r="A31" i="805" s="1"/>
  <c r="O32" i="805"/>
  <c r="A32" i="805" s="1"/>
  <c r="O33" i="805"/>
  <c r="A33" i="805" s="1"/>
  <c r="O34" i="805"/>
  <c r="A34" i="805" s="1"/>
  <c r="O35" i="805"/>
  <c r="A35" i="805" s="1"/>
  <c r="O36" i="805"/>
  <c r="A36" i="805" s="1"/>
  <c r="O37" i="805"/>
  <c r="A37" i="805" s="1"/>
  <c r="O38" i="805"/>
  <c r="A38" i="805" s="1"/>
  <c r="O39" i="805"/>
  <c r="A39" i="805" s="1"/>
  <c r="O40" i="805"/>
  <c r="A40" i="805" s="1"/>
  <c r="O41" i="805"/>
  <c r="A41" i="805" s="1"/>
  <c r="O42" i="805"/>
  <c r="A42" i="805" s="1"/>
  <c r="O43" i="805"/>
  <c r="A43" i="805" s="1"/>
  <c r="O44" i="805"/>
  <c r="A44" i="805" s="1"/>
  <c r="O45" i="805"/>
  <c r="A45" i="805" s="1"/>
  <c r="O46" i="805"/>
  <c r="A46" i="805" s="1"/>
  <c r="O47" i="805"/>
  <c r="A47" i="805" s="1"/>
  <c r="O48" i="805"/>
  <c r="A48" i="805" s="1"/>
  <c r="O49" i="805"/>
  <c r="A49" i="805" s="1"/>
  <c r="O50" i="805"/>
  <c r="A50" i="805" s="1"/>
  <c r="O51" i="805"/>
  <c r="A51" i="805" s="1"/>
  <c r="O52" i="805"/>
  <c r="A52" i="805" s="1"/>
  <c r="O53" i="805"/>
  <c r="A53" i="805" s="1"/>
  <c r="O54" i="805"/>
  <c r="A54" i="805" s="1"/>
  <c r="O55" i="805"/>
  <c r="A55" i="805" s="1"/>
  <c r="O56" i="805"/>
  <c r="A56" i="805" s="1"/>
  <c r="O57" i="805"/>
  <c r="A57" i="805" s="1"/>
  <c r="O58" i="805"/>
  <c r="A58" i="805" s="1"/>
  <c r="O59" i="805"/>
  <c r="A59" i="805" s="1"/>
  <c r="O60" i="805"/>
  <c r="A60" i="805" s="1"/>
  <c r="O61" i="805"/>
  <c r="A61" i="805" s="1"/>
  <c r="O62" i="805"/>
  <c r="A62" i="805" s="1"/>
  <c r="O63" i="805"/>
  <c r="A63" i="805" s="1"/>
  <c r="O64" i="805"/>
  <c r="A64" i="805" s="1"/>
  <c r="O65" i="805"/>
  <c r="A65" i="805" s="1"/>
  <c r="O66" i="805"/>
  <c r="A66" i="805" s="1"/>
  <c r="O67" i="805"/>
  <c r="A67" i="805" s="1"/>
  <c r="O68" i="805"/>
  <c r="A68" i="805" s="1"/>
  <c r="O69" i="805"/>
  <c r="A69" i="805" s="1"/>
  <c r="O70" i="805"/>
  <c r="A70" i="805" s="1"/>
  <c r="O71" i="805"/>
  <c r="A71" i="805" s="1"/>
  <c r="O72" i="805"/>
  <c r="A72" i="805" s="1"/>
  <c r="O73" i="805"/>
  <c r="A73" i="805" s="1"/>
  <c r="O74" i="805"/>
  <c r="A74" i="805" s="1"/>
  <c r="O75" i="805"/>
  <c r="A75" i="805" s="1"/>
  <c r="O76" i="805"/>
  <c r="A76" i="805" s="1"/>
  <c r="O77" i="805"/>
  <c r="A77" i="805" s="1"/>
  <c r="O78" i="805"/>
  <c r="A78" i="805" s="1"/>
  <c r="O79" i="805"/>
  <c r="A79" i="805" s="1"/>
  <c r="O80" i="805"/>
  <c r="A80" i="805" s="1"/>
  <c r="O81" i="805"/>
  <c r="A81" i="805" s="1"/>
  <c r="O82" i="805"/>
  <c r="A82" i="805" s="1"/>
  <c r="O83" i="805"/>
  <c r="A83" i="805" s="1"/>
  <c r="O84" i="805"/>
  <c r="A84" i="805" s="1"/>
  <c r="O85" i="805"/>
  <c r="A85" i="805" s="1"/>
  <c r="O86" i="805"/>
  <c r="A86" i="805" s="1"/>
  <c r="O87" i="805"/>
  <c r="A87" i="805" s="1"/>
  <c r="O88" i="805"/>
  <c r="A88" i="805" s="1"/>
  <c r="O89" i="805"/>
  <c r="A89" i="805" s="1"/>
  <c r="O90" i="805"/>
  <c r="A90" i="805" s="1"/>
  <c r="O91" i="805"/>
  <c r="A91" i="805" s="1"/>
  <c r="O92" i="805"/>
  <c r="A92" i="805" s="1"/>
  <c r="O93" i="805"/>
  <c r="A93" i="805" s="1"/>
  <c r="O94" i="805"/>
  <c r="A94" i="805" s="1"/>
  <c r="O95" i="805"/>
  <c r="A95" i="805" s="1"/>
  <c r="O96" i="805"/>
  <c r="A96" i="805" s="1"/>
  <c r="O97" i="805"/>
  <c r="A97" i="805" s="1"/>
  <c r="O98" i="805"/>
  <c r="A98" i="805" s="1"/>
  <c r="O99" i="805"/>
  <c r="A99" i="805" s="1"/>
  <c r="O100" i="805"/>
  <c r="A100" i="805" s="1"/>
  <c r="O101" i="805"/>
  <c r="A101" i="805" s="1"/>
  <c r="O102" i="805"/>
  <c r="A102" i="805" s="1"/>
  <c r="O103" i="805"/>
  <c r="A103" i="805" s="1"/>
  <c r="O104" i="805"/>
  <c r="A104" i="805" s="1"/>
  <c r="O105" i="805"/>
  <c r="A105" i="805" s="1"/>
  <c r="O106" i="805"/>
  <c r="A106" i="805" s="1"/>
  <c r="O107" i="805"/>
  <c r="A107" i="805" s="1"/>
  <c r="O108" i="805"/>
  <c r="A108" i="805" s="1"/>
  <c r="O109" i="805"/>
  <c r="A109" i="805" s="1"/>
  <c r="O110" i="805"/>
  <c r="A110" i="805" s="1"/>
  <c r="O111" i="805"/>
  <c r="A111" i="805" s="1"/>
  <c r="O112" i="805"/>
  <c r="A112" i="805" s="1"/>
  <c r="O113" i="805"/>
  <c r="A113" i="805" s="1"/>
  <c r="O114" i="805"/>
  <c r="A114" i="805" s="1"/>
  <c r="O115" i="805"/>
  <c r="A115" i="805" s="1"/>
  <c r="O116" i="805"/>
  <c r="A116" i="805" s="1"/>
  <c r="O117" i="805"/>
  <c r="A117" i="805" s="1"/>
  <c r="O118" i="805"/>
  <c r="A118" i="805" s="1"/>
  <c r="O119" i="805"/>
  <c r="A119" i="805" s="1"/>
  <c r="O120" i="805"/>
  <c r="A120" i="805" s="1"/>
  <c r="O121" i="805"/>
  <c r="A121" i="805" s="1"/>
  <c r="O122" i="805"/>
  <c r="A122" i="805" s="1"/>
  <c r="O123" i="805"/>
  <c r="A123" i="805" s="1"/>
  <c r="O124" i="805"/>
  <c r="A124" i="805" s="1"/>
  <c r="O125" i="805"/>
  <c r="A125" i="805" s="1"/>
  <c r="O126" i="805"/>
  <c r="A126" i="805" s="1"/>
  <c r="O127" i="805"/>
  <c r="A127" i="805" s="1"/>
  <c r="O128" i="805"/>
  <c r="A128" i="805" s="1"/>
  <c r="O129" i="805"/>
  <c r="A129" i="805" s="1"/>
  <c r="O130" i="805"/>
  <c r="A130" i="805" s="1"/>
  <c r="O131" i="805"/>
  <c r="A131" i="805" s="1"/>
  <c r="O132" i="805"/>
  <c r="A132" i="805" s="1"/>
  <c r="O133" i="805"/>
  <c r="A133" i="805" s="1"/>
  <c r="O134" i="805"/>
  <c r="A134" i="805" s="1"/>
  <c r="O135" i="805"/>
  <c r="A135" i="805" s="1"/>
  <c r="O136" i="805"/>
  <c r="A136" i="805" s="1"/>
  <c r="O137" i="805"/>
  <c r="A137" i="805" s="1"/>
  <c r="O138" i="805"/>
  <c r="A138" i="805" s="1"/>
  <c r="O139" i="805"/>
  <c r="A139" i="805" s="1"/>
  <c r="O140" i="805"/>
  <c r="A140" i="805" s="1"/>
  <c r="O141" i="805"/>
  <c r="A141" i="805" s="1"/>
  <c r="O142" i="805"/>
  <c r="A142" i="805" s="1"/>
  <c r="O143" i="805"/>
  <c r="A143" i="805" s="1"/>
  <c r="O144" i="805"/>
  <c r="A144" i="805" s="1"/>
  <c r="O145" i="805"/>
  <c r="A145" i="805" s="1"/>
  <c r="O146" i="805"/>
  <c r="A146" i="805" s="1"/>
  <c r="O147" i="805"/>
  <c r="A147" i="805" s="1"/>
  <c r="O148" i="805"/>
  <c r="A148" i="805" s="1"/>
  <c r="O149" i="805"/>
  <c r="A149" i="805" s="1"/>
  <c r="O150" i="805"/>
  <c r="A150" i="805" s="1"/>
  <c r="O151" i="805"/>
  <c r="A151" i="805" s="1"/>
  <c r="O152" i="805"/>
  <c r="A152" i="805" s="1"/>
  <c r="O153" i="805"/>
  <c r="A153" i="805" s="1"/>
  <c r="O154" i="805"/>
  <c r="A154" i="805" s="1"/>
  <c r="O155" i="805"/>
  <c r="A155" i="805" s="1"/>
  <c r="O156" i="805"/>
  <c r="A156" i="805" s="1"/>
  <c r="O157" i="805"/>
  <c r="A157" i="805" s="1"/>
  <c r="O158" i="805"/>
  <c r="A158" i="805" s="1"/>
  <c r="O159" i="805"/>
  <c r="A159" i="805" s="1"/>
  <c r="O160" i="805"/>
  <c r="A160" i="805" s="1"/>
  <c r="O161" i="805"/>
  <c r="A161" i="805" s="1"/>
  <c r="O162" i="805"/>
  <c r="A162" i="805" s="1"/>
  <c r="O163" i="805"/>
  <c r="A163" i="805" s="1"/>
  <c r="O164" i="805"/>
  <c r="A164" i="805" s="1"/>
  <c r="O165" i="805"/>
  <c r="A165" i="805" s="1"/>
  <c r="O166" i="805"/>
  <c r="A166" i="805" s="1"/>
  <c r="O167" i="805"/>
  <c r="A167" i="805" s="1"/>
  <c r="O168" i="805"/>
  <c r="A168" i="805" s="1"/>
  <c r="O169" i="805"/>
  <c r="A169" i="805" s="1"/>
  <c r="O170" i="805"/>
  <c r="A170" i="805" s="1"/>
  <c r="O171" i="805"/>
  <c r="A171" i="805" s="1"/>
  <c r="O172" i="805"/>
  <c r="A172" i="805" s="1"/>
  <c r="O173" i="805"/>
  <c r="A173" i="805" s="1"/>
  <c r="O174" i="805"/>
  <c r="A174" i="805" s="1"/>
  <c r="O175" i="805"/>
  <c r="A175" i="805" s="1"/>
  <c r="O176" i="805"/>
  <c r="A176" i="805" s="1"/>
  <c r="O177" i="805"/>
  <c r="A177" i="805" s="1"/>
  <c r="O178" i="805"/>
  <c r="A178" i="805" s="1"/>
  <c r="O179" i="805"/>
  <c r="A179" i="805" s="1"/>
  <c r="O180" i="805"/>
  <c r="A180" i="805" s="1"/>
  <c r="O181" i="805"/>
  <c r="A181" i="805" s="1"/>
  <c r="O182" i="805"/>
  <c r="A182" i="805" s="1"/>
  <c r="O183" i="805"/>
  <c r="A183" i="805" s="1"/>
  <c r="O184" i="805"/>
  <c r="A184" i="805" s="1"/>
  <c r="O185" i="805"/>
  <c r="A185" i="805" s="1"/>
  <c r="O186" i="805"/>
  <c r="A186" i="805" s="1"/>
  <c r="O187" i="805"/>
  <c r="A187" i="805" s="1"/>
  <c r="O188" i="805"/>
  <c r="A188" i="805" s="1"/>
  <c r="O189" i="805"/>
  <c r="A189" i="805" s="1"/>
  <c r="O190" i="805"/>
  <c r="A190" i="805" s="1"/>
  <c r="O191" i="805"/>
  <c r="A191" i="805" s="1"/>
  <c r="O192" i="805"/>
  <c r="A192" i="805" s="1"/>
  <c r="O193" i="805"/>
  <c r="A193" i="805" s="1"/>
  <c r="O194" i="805"/>
  <c r="A194" i="805" s="1"/>
  <c r="O195" i="805"/>
  <c r="A195" i="805" s="1"/>
  <c r="O196" i="805"/>
  <c r="A196" i="805" s="1"/>
  <c r="O197" i="805"/>
  <c r="A197" i="805" s="1"/>
  <c r="O198" i="805"/>
  <c r="A198" i="805" s="1"/>
  <c r="O199" i="805"/>
  <c r="A199" i="805" s="1"/>
  <c r="O200" i="805"/>
  <c r="A200" i="805" s="1"/>
  <c r="O201" i="805"/>
  <c r="A201" i="805" s="1"/>
  <c r="O202" i="805"/>
  <c r="A202" i="805" s="1"/>
  <c r="O203" i="805"/>
  <c r="A203" i="805" s="1"/>
  <c r="O204" i="805"/>
  <c r="A204" i="805" s="1"/>
  <c r="O205" i="805"/>
  <c r="A205" i="805" s="1"/>
  <c r="O206" i="805"/>
  <c r="A206" i="805" s="1"/>
  <c r="O207" i="805"/>
  <c r="A207" i="805" s="1"/>
  <c r="O208" i="805"/>
  <c r="A208" i="805" s="1"/>
  <c r="O209" i="805"/>
  <c r="A209" i="805" s="1"/>
  <c r="O210" i="805"/>
  <c r="A210" i="805" s="1"/>
  <c r="O211" i="805"/>
  <c r="A211" i="805" s="1"/>
  <c r="O212" i="805"/>
  <c r="A212" i="805" s="1"/>
  <c r="O213" i="805"/>
  <c r="A213" i="805" s="1"/>
  <c r="O214" i="805"/>
  <c r="A214" i="805" s="1"/>
  <c r="O215" i="805"/>
  <c r="A215" i="805" s="1"/>
  <c r="O216" i="805"/>
  <c r="A216" i="805" s="1"/>
  <c r="O217" i="805"/>
  <c r="A217" i="805" s="1"/>
  <c r="O218" i="805"/>
  <c r="A218" i="805" s="1"/>
  <c r="O219" i="805"/>
  <c r="A219" i="805" s="1"/>
  <c r="O220" i="805"/>
  <c r="A220" i="805" s="1"/>
  <c r="O221" i="805"/>
  <c r="A221" i="805" s="1"/>
  <c r="O222" i="805"/>
  <c r="A222" i="805" s="1"/>
  <c r="O223" i="805"/>
  <c r="A223" i="805" s="1"/>
  <c r="O224" i="805"/>
  <c r="A224" i="805" s="1"/>
  <c r="O225" i="805"/>
  <c r="A225" i="805" s="1"/>
  <c r="O226" i="805"/>
  <c r="A226" i="805" s="1"/>
  <c r="O227" i="805"/>
  <c r="A227" i="805" s="1"/>
  <c r="O228" i="805"/>
  <c r="A228" i="805" s="1"/>
  <c r="O229" i="805"/>
  <c r="A229" i="805" s="1"/>
  <c r="O230" i="805"/>
  <c r="A230" i="805" s="1"/>
  <c r="O231" i="805"/>
  <c r="A231" i="805" s="1"/>
  <c r="O232" i="805"/>
  <c r="A232" i="805" s="1"/>
  <c r="O233" i="805"/>
  <c r="A233" i="805" s="1"/>
  <c r="O234" i="805"/>
  <c r="A234" i="805" s="1"/>
  <c r="O235" i="805"/>
  <c r="A235" i="805" s="1"/>
  <c r="O236" i="805"/>
  <c r="A236" i="805" s="1"/>
  <c r="O237" i="805"/>
  <c r="A237" i="805" s="1"/>
  <c r="O238" i="805"/>
  <c r="A238" i="805" s="1"/>
  <c r="O239" i="805"/>
  <c r="A239" i="805" s="1"/>
  <c r="O240" i="805"/>
  <c r="A240" i="805" s="1"/>
  <c r="O241" i="805"/>
  <c r="A241" i="805" s="1"/>
  <c r="O242" i="805"/>
  <c r="A242" i="805" s="1"/>
  <c r="O243" i="805"/>
  <c r="A243" i="805" s="1"/>
  <c r="O244" i="805"/>
  <c r="A244" i="805" s="1"/>
  <c r="O245" i="805"/>
  <c r="A245" i="805" s="1"/>
  <c r="O246" i="805"/>
  <c r="A246" i="805" s="1"/>
  <c r="O247" i="805"/>
  <c r="A247" i="805" s="1"/>
  <c r="O248" i="805"/>
  <c r="A248" i="805" s="1"/>
  <c r="O249" i="805"/>
  <c r="A249" i="805" s="1"/>
  <c r="O250" i="805"/>
  <c r="A250" i="805" s="1"/>
  <c r="O251" i="805"/>
  <c r="A251" i="805" s="1"/>
  <c r="O252" i="805"/>
  <c r="A252" i="805" s="1"/>
  <c r="O253" i="805"/>
  <c r="A253" i="805" s="1"/>
  <c r="O254" i="805"/>
  <c r="A254" i="805" s="1"/>
  <c r="O255" i="805"/>
  <c r="A255" i="805" s="1"/>
  <c r="O256" i="805"/>
  <c r="A256" i="805" s="1"/>
  <c r="O257" i="805"/>
  <c r="A257" i="805" s="1"/>
  <c r="O258" i="805"/>
  <c r="A258" i="805" s="1"/>
  <c r="O259" i="805"/>
  <c r="A259" i="805" s="1"/>
  <c r="O260" i="805"/>
  <c r="A260" i="805" s="1"/>
  <c r="O261" i="805"/>
  <c r="A261" i="805" s="1"/>
  <c r="O262" i="805"/>
  <c r="A262" i="805" s="1"/>
  <c r="O263" i="805"/>
  <c r="A263" i="805" s="1"/>
  <c r="O264" i="805"/>
  <c r="A264" i="805" s="1"/>
  <c r="O265" i="805"/>
  <c r="A265" i="805" s="1"/>
  <c r="O266" i="805"/>
  <c r="A266" i="805" s="1"/>
  <c r="O267" i="805"/>
  <c r="A267" i="805" s="1"/>
  <c r="O268" i="805"/>
  <c r="A268" i="805" s="1"/>
  <c r="O269" i="805"/>
  <c r="A269" i="805" s="1"/>
  <c r="O270" i="805"/>
  <c r="A270" i="805" s="1"/>
  <c r="O271" i="805"/>
  <c r="A271" i="805" s="1"/>
  <c r="O272" i="805"/>
  <c r="A272" i="805" s="1"/>
  <c r="O273" i="805"/>
  <c r="A273" i="805" s="1"/>
  <c r="O274" i="805"/>
  <c r="A274" i="805" s="1"/>
  <c r="O275" i="805"/>
  <c r="A275" i="805" s="1"/>
  <c r="O276" i="805"/>
  <c r="A276" i="805" s="1"/>
  <c r="O277" i="805"/>
  <c r="A277" i="805" s="1"/>
  <c r="O278" i="805"/>
  <c r="A278" i="805" s="1"/>
  <c r="O279" i="805"/>
  <c r="A279" i="805" s="1"/>
  <c r="O280" i="805"/>
  <c r="A280" i="805" s="1"/>
  <c r="O281" i="805"/>
  <c r="A281" i="805" s="1"/>
  <c r="O282" i="805"/>
  <c r="A282" i="805" s="1"/>
  <c r="O283" i="805"/>
  <c r="A283" i="805" s="1"/>
  <c r="O284" i="805"/>
  <c r="A284" i="805" s="1"/>
  <c r="O285" i="805"/>
  <c r="A285" i="805" s="1"/>
  <c r="O286" i="805"/>
  <c r="A286" i="805" s="1"/>
  <c r="O287" i="805"/>
  <c r="A287" i="805" s="1"/>
  <c r="O288" i="805"/>
  <c r="A288" i="805" s="1"/>
  <c r="O289" i="805"/>
  <c r="A289" i="805" s="1"/>
  <c r="O290" i="805"/>
  <c r="A290" i="805" s="1"/>
  <c r="O291" i="805"/>
  <c r="A291" i="805" s="1"/>
  <c r="O292" i="805"/>
  <c r="A292" i="805" s="1"/>
  <c r="O293" i="805"/>
  <c r="A293" i="805" s="1"/>
  <c r="O294" i="805"/>
  <c r="A294" i="805" s="1"/>
  <c r="O295" i="805"/>
  <c r="A295" i="805" s="1"/>
  <c r="O296" i="805"/>
  <c r="A296" i="805" s="1"/>
  <c r="O297" i="805"/>
  <c r="A297" i="805" s="1"/>
  <c r="O298" i="805"/>
  <c r="A298" i="805" s="1"/>
  <c r="O299" i="805"/>
  <c r="A299" i="805" s="1"/>
  <c r="O300" i="805"/>
  <c r="A300" i="805" s="1"/>
  <c r="O301" i="805"/>
  <c r="A301" i="805" s="1"/>
  <c r="O302" i="805"/>
  <c r="A302" i="805" s="1"/>
  <c r="O303" i="805"/>
  <c r="A303" i="805" s="1"/>
  <c r="O304" i="805"/>
  <c r="A304" i="805" s="1"/>
  <c r="O305" i="805"/>
  <c r="A305" i="805" s="1"/>
  <c r="O306" i="805"/>
  <c r="A306" i="805" s="1"/>
  <c r="O307" i="805"/>
  <c r="A307" i="805" s="1"/>
  <c r="O308" i="805"/>
  <c r="A308" i="805" s="1"/>
  <c r="O309" i="805"/>
  <c r="A309" i="805" s="1"/>
  <c r="O310" i="805"/>
  <c r="A310" i="805" s="1"/>
  <c r="O311" i="805"/>
  <c r="A311" i="805" s="1"/>
  <c r="O312" i="805"/>
  <c r="A312" i="805" s="1"/>
  <c r="O313" i="805"/>
  <c r="A313" i="805" s="1"/>
  <c r="O314" i="805"/>
  <c r="A314" i="805" s="1"/>
  <c r="O315" i="805"/>
  <c r="A315" i="805" s="1"/>
  <c r="O316" i="805"/>
  <c r="A316" i="805" s="1"/>
  <c r="O317" i="805"/>
  <c r="A317" i="805" s="1"/>
  <c r="O318" i="805"/>
  <c r="A318" i="805" s="1"/>
  <c r="O319" i="805"/>
  <c r="A319" i="805" s="1"/>
  <c r="O320" i="805"/>
  <c r="A320" i="805" s="1"/>
  <c r="O321" i="805"/>
  <c r="A321" i="805" s="1"/>
  <c r="O322" i="805"/>
  <c r="A322" i="805" s="1"/>
  <c r="O323" i="805"/>
  <c r="A323" i="805" s="1"/>
  <c r="O324" i="805"/>
  <c r="A324" i="805" s="1"/>
  <c r="O325" i="805"/>
  <c r="A325" i="805" s="1"/>
  <c r="O326" i="805"/>
  <c r="A326" i="805" s="1"/>
  <c r="O327" i="805"/>
  <c r="A327" i="805" s="1"/>
  <c r="O328" i="805"/>
  <c r="A328" i="805" s="1"/>
  <c r="O329" i="805"/>
  <c r="A329" i="805" s="1"/>
  <c r="O330" i="805"/>
  <c r="A330" i="805" s="1"/>
  <c r="O215" i="785" l="1"/>
  <c r="R215" i="785" s="1"/>
  <c r="V215" i="785"/>
  <c r="AU193" i="785" l="1"/>
  <c r="BD15" i="785"/>
  <c r="BD14" i="785"/>
  <c r="AN193" i="785"/>
  <c r="AM193" i="785"/>
  <c r="AI27" i="812"/>
  <c r="AJ27" i="812"/>
  <c r="V235" i="785"/>
  <c r="G194" i="785"/>
  <c r="V173" i="785"/>
  <c r="O173" i="785"/>
  <c r="R173" i="785" s="1"/>
  <c r="V100" i="785"/>
  <c r="O100" i="785"/>
  <c r="R100" i="785" s="1"/>
  <c r="O21" i="812"/>
  <c r="R21" i="812" s="1"/>
  <c r="S21" i="812" s="1"/>
  <c r="V21" i="812"/>
  <c r="BC45" i="812"/>
  <c r="V45" i="812"/>
  <c r="O45" i="812"/>
  <c r="R45" i="812" s="1"/>
  <c r="V318" i="785"/>
  <c r="O318" i="785"/>
  <c r="R318" i="785" s="1"/>
  <c r="O94" i="785"/>
  <c r="R94" i="785" s="1"/>
  <c r="O89" i="785"/>
  <c r="R89" i="785" s="1"/>
  <c r="O77" i="785"/>
  <c r="R77" i="785" s="1"/>
  <c r="O36" i="785"/>
  <c r="R36" i="785" s="1"/>
  <c r="R151" i="785" s="1"/>
  <c r="V236" i="785"/>
  <c r="V13" i="812"/>
  <c r="N21" i="800"/>
  <c r="O21" i="800" s="1"/>
  <c r="J21" i="800"/>
  <c r="V62" i="785"/>
  <c r="BF32" i="785"/>
  <c r="O62" i="785"/>
  <c r="R62" i="785" s="1"/>
  <c r="S62" i="785" s="1"/>
  <c r="BF120" i="630"/>
  <c r="BF121" i="630"/>
  <c r="BF122" i="630"/>
  <c r="BF123" i="630"/>
  <c r="BF124" i="630"/>
  <c r="BF125" i="630"/>
  <c r="BF126" i="630"/>
  <c r="BF127" i="630"/>
  <c r="BF128" i="630"/>
  <c r="BF129" i="630"/>
  <c r="BF130" i="630"/>
  <c r="BF131" i="630"/>
  <c r="BF132" i="630"/>
  <c r="BF133" i="630"/>
  <c r="BF134" i="630"/>
  <c r="BF135" i="630"/>
  <c r="BF136" i="630"/>
  <c r="BF137" i="630"/>
  <c r="BF138" i="630"/>
  <c r="BF139" i="630"/>
  <c r="BF140" i="630"/>
  <c r="BF141" i="630"/>
  <c r="BF142" i="630"/>
  <c r="BF143" i="630"/>
  <c r="BF144" i="630"/>
  <c r="BF145" i="630"/>
  <c r="BF146" i="630"/>
  <c r="BF147" i="630"/>
  <c r="BF148" i="630"/>
  <c r="BF149" i="630"/>
  <c r="BF150" i="630"/>
  <c r="BF151" i="630"/>
  <c r="BF152" i="630"/>
  <c r="BF153" i="630"/>
  <c r="BF154" i="630"/>
  <c r="BF155" i="630"/>
  <c r="BF157" i="630"/>
  <c r="BF158" i="630"/>
  <c r="BF159" i="630"/>
  <c r="BF160" i="630"/>
  <c r="BF161" i="630"/>
  <c r="BF162" i="630"/>
  <c r="BF163" i="630"/>
  <c r="BF164" i="630"/>
  <c r="BF165" i="630"/>
  <c r="BF166" i="630"/>
  <c r="BF167" i="630"/>
  <c r="BF168" i="630"/>
  <c r="BF169" i="630"/>
  <c r="BF170" i="630"/>
  <c r="BF171" i="630"/>
  <c r="BF172" i="630"/>
  <c r="BF173" i="630"/>
  <c r="BF174" i="630"/>
  <c r="BF176" i="630"/>
  <c r="BF177" i="630"/>
  <c r="BF178" i="630"/>
  <c r="BF179" i="630"/>
  <c r="BF180" i="630"/>
  <c r="BF181" i="630"/>
  <c r="BF182" i="630"/>
  <c r="BF183" i="630"/>
  <c r="BF184" i="630"/>
  <c r="BF185" i="630"/>
  <c r="BF186" i="630"/>
  <c r="BF187" i="630"/>
  <c r="BF188" i="630"/>
  <c r="BF189" i="630"/>
  <c r="BF190" i="630"/>
  <c r="BF191" i="630"/>
  <c r="BF192" i="630"/>
  <c r="BF193" i="630"/>
  <c r="BF194" i="630"/>
  <c r="BF195" i="630"/>
  <c r="BF196" i="630"/>
  <c r="BF197" i="630"/>
  <c r="BF198" i="630"/>
  <c r="BF199" i="630"/>
  <c r="BF200" i="630"/>
  <c r="BF201" i="630"/>
  <c r="BF202" i="630"/>
  <c r="BF203" i="630"/>
  <c r="BF204" i="630"/>
  <c r="BF205" i="630"/>
  <c r="BF206" i="630"/>
  <c r="BF207" i="630"/>
  <c r="BF208" i="630"/>
  <c r="BF209" i="630"/>
  <c r="BF210" i="630"/>
  <c r="BF211" i="630"/>
  <c r="BF212" i="630"/>
  <c r="BF213" i="630"/>
  <c r="BF214" i="630"/>
  <c r="BF215" i="630"/>
  <c r="BF216" i="630"/>
  <c r="BF217" i="630"/>
  <c r="BF218" i="630"/>
  <c r="BF219" i="630"/>
  <c r="BF220" i="630"/>
  <c r="BF221" i="630"/>
  <c r="BF222" i="630"/>
  <c r="BF223" i="630"/>
  <c r="BF224" i="630"/>
  <c r="BF225" i="630"/>
  <c r="BF226" i="630"/>
  <c r="BF227" i="630"/>
  <c r="BF228" i="630"/>
  <c r="BF229" i="630"/>
  <c r="BF230" i="630"/>
  <c r="BF231" i="630"/>
  <c r="BF232" i="630"/>
  <c r="BF233" i="630"/>
  <c r="BF234" i="630"/>
  <c r="BF235" i="630"/>
  <c r="BF236" i="630"/>
  <c r="BF237" i="630"/>
  <c r="BF238" i="630"/>
  <c r="BF239" i="630"/>
  <c r="BF240" i="630"/>
  <c r="BF241" i="630"/>
  <c r="BF242" i="630"/>
  <c r="BF243" i="630"/>
  <c r="BF244" i="630"/>
  <c r="BF245" i="630"/>
  <c r="BF246" i="630"/>
  <c r="BF247" i="630"/>
  <c r="BF248" i="630"/>
  <c r="BF249" i="630"/>
  <c r="BF250" i="630"/>
  <c r="BF251" i="630"/>
  <c r="BF252" i="630"/>
  <c r="BF253" i="630"/>
  <c r="BF254" i="630"/>
  <c r="BF255" i="630"/>
  <c r="BF256" i="630"/>
  <c r="BF257" i="630"/>
  <c r="BF258" i="630"/>
  <c r="BF259" i="630"/>
  <c r="BF260" i="630"/>
  <c r="T197" i="630"/>
  <c r="T199" i="630"/>
  <c r="T200" i="630"/>
  <c r="U200" i="630" s="1"/>
  <c r="T201" i="630"/>
  <c r="U201" i="630" s="1"/>
  <c r="T202" i="630"/>
  <c r="T203" i="630"/>
  <c r="U203" i="630" s="1"/>
  <c r="T204" i="630"/>
  <c r="U204" i="630" s="1"/>
  <c r="T205" i="630"/>
  <c r="U205" i="630" s="1"/>
  <c r="T206" i="630"/>
  <c r="U206" i="630" s="1"/>
  <c r="T207" i="630"/>
  <c r="U207" i="630" s="1"/>
  <c r="T208" i="630"/>
  <c r="U208" i="630" s="1"/>
  <c r="T209" i="630"/>
  <c r="U209" i="630" s="1"/>
  <c r="T210" i="630"/>
  <c r="U210" i="630" s="1"/>
  <c r="T211" i="630"/>
  <c r="U211" i="630" s="1"/>
  <c r="T212" i="630"/>
  <c r="T213" i="630"/>
  <c r="U213" i="630" s="1"/>
  <c r="T214" i="630"/>
  <c r="U214" i="630" s="1"/>
  <c r="T215" i="630"/>
  <c r="U215" i="630" s="1"/>
  <c r="T216" i="630"/>
  <c r="T217" i="630"/>
  <c r="T218" i="630"/>
  <c r="U218" i="630" s="1"/>
  <c r="T219" i="630"/>
  <c r="U219" i="630" s="1"/>
  <c r="T220" i="630"/>
  <c r="U220" i="630" s="1"/>
  <c r="T221" i="630"/>
  <c r="U221" i="630" s="1"/>
  <c r="T222" i="630"/>
  <c r="U222" i="630" s="1"/>
  <c r="T223" i="630"/>
  <c r="U223" i="630" s="1"/>
  <c r="T224" i="630"/>
  <c r="U224" i="630" s="1"/>
  <c r="T225" i="630"/>
  <c r="U225" i="630" s="1"/>
  <c r="T226" i="630"/>
  <c r="U226" i="630" s="1"/>
  <c r="T227" i="630"/>
  <c r="U227" i="630" s="1"/>
  <c r="T228" i="630"/>
  <c r="U228" i="630" s="1"/>
  <c r="T229" i="630"/>
  <c r="U229" i="630" s="1"/>
  <c r="T230" i="630"/>
  <c r="U230" i="630" s="1"/>
  <c r="T231" i="630"/>
  <c r="U231" i="630" s="1"/>
  <c r="T232" i="630"/>
  <c r="U232" i="630" s="1"/>
  <c r="T233" i="630"/>
  <c r="T234" i="630"/>
  <c r="U234" i="630" s="1"/>
  <c r="T235" i="630"/>
  <c r="U235" i="630" s="1"/>
  <c r="T236" i="630"/>
  <c r="T237" i="630"/>
  <c r="U237" i="630" s="1"/>
  <c r="T238" i="630"/>
  <c r="U238" i="630" s="1"/>
  <c r="T239" i="630"/>
  <c r="U239" i="630" s="1"/>
  <c r="T240" i="630"/>
  <c r="U240" i="630" s="1"/>
  <c r="T241" i="630"/>
  <c r="U241" i="630" s="1"/>
  <c r="T242" i="630"/>
  <c r="U242" i="630" s="1"/>
  <c r="T243" i="630"/>
  <c r="U243" i="630" s="1"/>
  <c r="T244" i="630"/>
  <c r="T245" i="630"/>
  <c r="U245" i="630" s="1"/>
  <c r="T246" i="630"/>
  <c r="U246" i="630" s="1"/>
  <c r="T247" i="630"/>
  <c r="U247" i="630" s="1"/>
  <c r="T248" i="630"/>
  <c r="T249" i="630"/>
  <c r="U249" i="630" s="1"/>
  <c r="T250" i="630"/>
  <c r="U250" i="630" s="1"/>
  <c r="T251" i="630"/>
  <c r="T252" i="630"/>
  <c r="U252" i="630" s="1"/>
  <c r="T253" i="630"/>
  <c r="U253" i="630" s="1"/>
  <c r="T254" i="630"/>
  <c r="U254" i="630" s="1"/>
  <c r="T255" i="630"/>
  <c r="U255" i="630" s="1"/>
  <c r="T256" i="630"/>
  <c r="U256" i="630" s="1"/>
  <c r="T257" i="630"/>
  <c r="U257" i="630" s="1"/>
  <c r="T258" i="630"/>
  <c r="U258" i="630" s="1"/>
  <c r="T259" i="630"/>
  <c r="U259" i="630" s="1"/>
  <c r="Q260" i="630"/>
  <c r="T260" i="630" s="1"/>
  <c r="U260" i="630" s="1"/>
  <c r="V225" i="785"/>
  <c r="V50" i="785"/>
  <c r="O50" i="785"/>
  <c r="R50" i="785" s="1"/>
  <c r="S50" i="785" s="1"/>
  <c r="N50" i="785"/>
  <c r="E265" i="630"/>
  <c r="AY193" i="785"/>
  <c r="O320" i="785"/>
  <c r="R320" i="785" s="1"/>
  <c r="AR193" i="785"/>
  <c r="V212" i="785"/>
  <c r="O53" i="812"/>
  <c r="R53" i="812" s="1"/>
  <c r="O52" i="812"/>
  <c r="R52" i="812" s="1"/>
  <c r="S52" i="812" s="1"/>
  <c r="BC44" i="812"/>
  <c r="AK58" i="812"/>
  <c r="BG249" i="630"/>
  <c r="BG237" i="630"/>
  <c r="BG219" i="630"/>
  <c r="BG201" i="630"/>
  <c r="BG195" i="630"/>
  <c r="BG189" i="630"/>
  <c r="BG183" i="630"/>
  <c r="BG177" i="630"/>
  <c r="BG170" i="630"/>
  <c r="BG164" i="630"/>
  <c r="BG158" i="630"/>
  <c r="T139" i="630"/>
  <c r="U139" i="630" s="1"/>
  <c r="T133" i="630"/>
  <c r="BG130" i="630"/>
  <c r="BG124" i="630"/>
  <c r="T121" i="630"/>
  <c r="U121" i="630" s="1"/>
  <c r="AC276" i="785"/>
  <c r="E269" i="630"/>
  <c r="V214" i="785"/>
  <c r="BD167" i="785"/>
  <c r="BD166" i="785"/>
  <c r="V220" i="785"/>
  <c r="V219" i="785"/>
  <c r="BA193" i="785"/>
  <c r="BD291" i="785"/>
  <c r="BD292" i="785"/>
  <c r="BD293" i="785"/>
  <c r="BD294" i="785"/>
  <c r="BD295" i="785"/>
  <c r="BD296" i="785"/>
  <c r="BD297" i="785"/>
  <c r="BD298" i="785"/>
  <c r="BD299" i="785"/>
  <c r="BD315" i="785"/>
  <c r="BD314" i="785"/>
  <c r="BD290" i="785"/>
  <c r="BD16" i="785"/>
  <c r="BD17" i="785"/>
  <c r="BD13" i="785"/>
  <c r="BG119" i="630"/>
  <c r="BG120" i="630"/>
  <c r="BG122" i="630"/>
  <c r="BG123" i="630"/>
  <c r="BG125" i="630"/>
  <c r="BG126" i="630"/>
  <c r="BG128" i="630"/>
  <c r="BG129" i="630"/>
  <c r="BG131" i="630"/>
  <c r="BG132" i="630"/>
  <c r="BG134" i="630"/>
  <c r="BG135" i="630"/>
  <c r="BG136" i="630"/>
  <c r="BG137" i="630"/>
  <c r="BG138" i="630"/>
  <c r="BG139" i="630"/>
  <c r="BG140" i="630"/>
  <c r="BG141" i="630"/>
  <c r="BG142" i="630"/>
  <c r="BG143" i="630"/>
  <c r="BG144" i="630"/>
  <c r="BG145" i="630"/>
  <c r="BG146" i="630"/>
  <c r="BG147" i="630"/>
  <c r="BG148" i="630"/>
  <c r="BG149" i="630"/>
  <c r="BG150" i="630"/>
  <c r="BG151" i="630"/>
  <c r="BG152" i="630"/>
  <c r="BG153" i="630"/>
  <c r="BG154" i="630"/>
  <c r="BG155" i="630"/>
  <c r="BG157" i="630"/>
  <c r="BG159" i="630"/>
  <c r="BG160" i="630"/>
  <c r="BG161" i="630"/>
  <c r="BG162" i="630"/>
  <c r="BG163" i="630"/>
  <c r="BG165" i="630"/>
  <c r="BG166" i="630"/>
  <c r="BG167" i="630"/>
  <c r="BG168" i="630"/>
  <c r="BG169" i="630"/>
  <c r="BG171" i="630"/>
  <c r="BG172" i="630"/>
  <c r="BG173" i="630"/>
  <c r="BG174" i="630"/>
  <c r="BG176" i="630"/>
  <c r="BG178" i="630"/>
  <c r="BG179" i="630"/>
  <c r="BG180" i="630"/>
  <c r="BG181" i="630"/>
  <c r="BG182" i="630"/>
  <c r="BG184" i="630"/>
  <c r="BG185" i="630"/>
  <c r="BG186" i="630"/>
  <c r="BG187" i="630"/>
  <c r="BG188" i="630"/>
  <c r="BG190" i="630"/>
  <c r="BG191" i="630"/>
  <c r="BG192" i="630"/>
  <c r="BG193" i="630"/>
  <c r="BG194" i="630"/>
  <c r="BG196" i="630"/>
  <c r="BG197" i="630"/>
  <c r="BG198" i="630"/>
  <c r="BG199" i="630"/>
  <c r="BG200" i="630"/>
  <c r="BG202" i="630"/>
  <c r="BG203" i="630"/>
  <c r="BG204" i="630"/>
  <c r="BG205" i="630"/>
  <c r="BG206" i="630"/>
  <c r="BG208" i="630"/>
  <c r="BG209" i="630"/>
  <c r="BG210" i="630"/>
  <c r="BG211" i="630"/>
  <c r="BG212" i="630"/>
  <c r="BG214" i="630"/>
  <c r="BG215" i="630"/>
  <c r="BG216" i="630"/>
  <c r="BG217" i="630"/>
  <c r="BG218" i="630"/>
  <c r="BG220" i="630"/>
  <c r="BG221" i="630"/>
  <c r="BG222" i="630"/>
  <c r="BG223" i="630"/>
  <c r="BG224" i="630"/>
  <c r="BG226" i="630"/>
  <c r="BG227" i="630"/>
  <c r="BG228" i="630"/>
  <c r="BG229" i="630"/>
  <c r="BG230" i="630"/>
  <c r="BG232" i="630"/>
  <c r="BG233" i="630"/>
  <c r="BG234" i="630"/>
  <c r="BG235" i="630"/>
  <c r="BG236" i="630"/>
  <c r="BG238" i="630"/>
  <c r="BG239" i="630"/>
  <c r="BG240" i="630"/>
  <c r="BG241" i="630"/>
  <c r="BG242" i="630"/>
  <c r="BG244" i="630"/>
  <c r="BG245" i="630"/>
  <c r="BG246" i="630"/>
  <c r="BG247" i="630"/>
  <c r="BG248" i="630"/>
  <c r="BG250" i="630"/>
  <c r="BG251" i="630"/>
  <c r="BG252" i="630"/>
  <c r="BG253" i="630"/>
  <c r="BG254" i="630"/>
  <c r="BG256" i="630"/>
  <c r="BG257" i="630"/>
  <c r="BG258" i="630"/>
  <c r="BG259" i="630"/>
  <c r="BG260" i="630"/>
  <c r="BG261" i="630"/>
  <c r="BG118" i="630"/>
  <c r="BG11" i="630"/>
  <c r="BG12" i="630"/>
  <c r="BG14" i="630"/>
  <c r="BG15" i="630"/>
  <c r="BG16" i="630"/>
  <c r="BG17" i="630"/>
  <c r="BG18" i="630"/>
  <c r="BG19" i="630"/>
  <c r="BG20" i="630"/>
  <c r="BG21" i="630"/>
  <c r="BG22" i="630"/>
  <c r="BG23" i="630"/>
  <c r="BG24" i="630"/>
  <c r="BG25" i="630"/>
  <c r="BG26" i="630"/>
  <c r="BG27" i="630"/>
  <c r="BG28" i="630"/>
  <c r="BG29" i="630"/>
  <c r="BG30" i="630"/>
  <c r="BG31" i="630"/>
  <c r="BG32" i="630"/>
  <c r="BG33" i="630"/>
  <c r="BG34" i="630"/>
  <c r="BG35" i="630"/>
  <c r="BG36" i="630"/>
  <c r="BG37" i="630"/>
  <c r="BG38" i="630"/>
  <c r="BG39" i="630"/>
  <c r="BG40" i="630"/>
  <c r="BG41" i="630"/>
  <c r="BG42" i="630"/>
  <c r="BG43" i="630"/>
  <c r="BG44" i="630"/>
  <c r="BG45" i="630"/>
  <c r="BG46" i="630"/>
  <c r="BG47" i="630"/>
  <c r="BG48" i="630"/>
  <c r="BG49" i="630"/>
  <c r="BG50" i="630"/>
  <c r="BG51" i="630"/>
  <c r="BG52" i="630"/>
  <c r="BG53" i="630"/>
  <c r="BG54" i="630"/>
  <c r="BG55" i="630"/>
  <c r="BG56" i="630"/>
  <c r="BG57" i="630"/>
  <c r="BG58" i="630"/>
  <c r="BG59" i="630"/>
  <c r="BG60" i="630"/>
  <c r="BG61" i="630"/>
  <c r="BG62" i="630"/>
  <c r="BG63" i="630"/>
  <c r="BG64" i="630"/>
  <c r="BG65" i="630"/>
  <c r="BG66" i="630"/>
  <c r="BG67" i="630"/>
  <c r="BG68" i="630"/>
  <c r="BG69" i="630"/>
  <c r="BG70" i="630"/>
  <c r="BG71" i="630"/>
  <c r="BG72" i="630"/>
  <c r="BG73" i="630"/>
  <c r="BG74" i="630"/>
  <c r="BG75" i="630"/>
  <c r="BG76" i="630"/>
  <c r="BG77" i="630"/>
  <c r="BG78" i="630"/>
  <c r="BG79" i="630"/>
  <c r="BG80" i="630"/>
  <c r="BG81" i="630"/>
  <c r="BG82" i="630"/>
  <c r="BG83" i="630"/>
  <c r="BG84" i="630"/>
  <c r="BG85" i="630"/>
  <c r="BG86" i="630"/>
  <c r="BG87" i="630"/>
  <c r="BG88" i="630"/>
  <c r="BG89" i="630"/>
  <c r="BG90" i="630"/>
  <c r="BG91" i="630"/>
  <c r="BG92" i="630"/>
  <c r="BG93" i="630"/>
  <c r="BG94" i="630"/>
  <c r="BG95" i="630"/>
  <c r="BG96" i="630"/>
  <c r="BG97" i="630"/>
  <c r="BG98" i="630"/>
  <c r="BG99" i="630"/>
  <c r="BG100" i="630"/>
  <c r="BG101" i="630"/>
  <c r="BG102" i="630"/>
  <c r="BG10" i="630"/>
  <c r="O294" i="785"/>
  <c r="R294" i="785" s="1"/>
  <c r="O20" i="812"/>
  <c r="R20" i="812" s="1"/>
  <c r="S20" i="812" s="1"/>
  <c r="BC14" i="812"/>
  <c r="V49" i="785"/>
  <c r="O49" i="785"/>
  <c r="R49" i="785" s="1"/>
  <c r="O135" i="785"/>
  <c r="R135" i="785" s="1"/>
  <c r="S135" i="785" s="1"/>
  <c r="V135" i="785"/>
  <c r="BC14" i="785"/>
  <c r="Y163" i="630"/>
  <c r="T163" i="630"/>
  <c r="U163" i="630" s="1"/>
  <c r="Y154" i="630"/>
  <c r="T154" i="630"/>
  <c r="U154" i="630" s="1"/>
  <c r="Y221" i="630"/>
  <c r="Y232" i="630"/>
  <c r="V231" i="785"/>
  <c r="T173" i="630"/>
  <c r="U173" i="630" s="1"/>
  <c r="T167" i="630"/>
  <c r="U167" i="630" s="1"/>
  <c r="T160" i="630"/>
  <c r="U160" i="630" s="1"/>
  <c r="T152" i="630"/>
  <c r="U152" i="630" s="1"/>
  <c r="T146" i="630"/>
  <c r="T134" i="630"/>
  <c r="U134" i="630" s="1"/>
  <c r="T128" i="630"/>
  <c r="U128" i="630" s="1"/>
  <c r="T122" i="630"/>
  <c r="E104" i="630"/>
  <c r="AI193" i="785"/>
  <c r="V229" i="785"/>
  <c r="O179" i="785"/>
  <c r="R179" i="785" s="1"/>
  <c r="S179" i="785" s="1"/>
  <c r="O172" i="785"/>
  <c r="R172" i="785" s="1"/>
  <c r="BC166" i="785"/>
  <c r="V53" i="785"/>
  <c r="N53" i="785"/>
  <c r="O53" i="785"/>
  <c r="R53" i="785" s="1"/>
  <c r="S53" i="785" s="1"/>
  <c r="V46" i="785"/>
  <c r="O46" i="785"/>
  <c r="R46" i="785" s="1"/>
  <c r="S46" i="785" s="1"/>
  <c r="V230" i="785"/>
  <c r="AC103" i="630"/>
  <c r="O16" i="785"/>
  <c r="O17" i="785"/>
  <c r="O20" i="785"/>
  <c r="R20" i="785" s="1"/>
  <c r="O21" i="785"/>
  <c r="R21" i="785" s="1"/>
  <c r="S21" i="785" s="1"/>
  <c r="O22" i="785"/>
  <c r="R22" i="785" s="1"/>
  <c r="S22" i="785" s="1"/>
  <c r="O24" i="785"/>
  <c r="R24" i="785" s="1"/>
  <c r="S24" i="785" s="1"/>
  <c r="O25" i="785"/>
  <c r="R25" i="785" s="1"/>
  <c r="S25" i="785" s="1"/>
  <c r="O26" i="785"/>
  <c r="R26" i="785" s="1"/>
  <c r="O29" i="785"/>
  <c r="R29" i="785" s="1"/>
  <c r="O30" i="785"/>
  <c r="R30" i="785" s="1"/>
  <c r="S30" i="785" s="1"/>
  <c r="N31" i="785"/>
  <c r="O31" i="785"/>
  <c r="R31" i="785" s="1"/>
  <c r="S31" i="785" s="1"/>
  <c r="O33" i="785"/>
  <c r="R33" i="785" s="1"/>
  <c r="S33" i="785" s="1"/>
  <c r="O34" i="785"/>
  <c r="R34" i="785" s="1"/>
  <c r="N35" i="785"/>
  <c r="O35" i="785"/>
  <c r="R35" i="785" s="1"/>
  <c r="S35" i="785" s="1"/>
  <c r="O37" i="785"/>
  <c r="R37" i="785" s="1"/>
  <c r="S37" i="785" s="1"/>
  <c r="O38" i="785"/>
  <c r="R38" i="785" s="1"/>
  <c r="S38" i="785" s="1"/>
  <c r="O39" i="785"/>
  <c r="R39" i="785" s="1"/>
  <c r="O41" i="785"/>
  <c r="R41" i="785" s="1"/>
  <c r="O42" i="785"/>
  <c r="O43" i="785"/>
  <c r="R43" i="785" s="1"/>
  <c r="S43" i="785" s="1"/>
  <c r="O44" i="785"/>
  <c r="R44" i="785" s="1"/>
  <c r="O45" i="785"/>
  <c r="R45" i="785" s="1"/>
  <c r="O47" i="785"/>
  <c r="R47" i="785" s="1"/>
  <c r="O48" i="785"/>
  <c r="R48" i="785" s="1"/>
  <c r="S48" i="785" s="1"/>
  <c r="O51" i="785"/>
  <c r="R51" i="785" s="1"/>
  <c r="S51" i="785" s="1"/>
  <c r="O52" i="785"/>
  <c r="R52" i="785" s="1"/>
  <c r="S52" i="785" s="1"/>
  <c r="O54" i="785"/>
  <c r="R54" i="785" s="1"/>
  <c r="O55" i="785"/>
  <c r="R55" i="785" s="1"/>
  <c r="O57" i="785"/>
  <c r="R57" i="785" s="1"/>
  <c r="O58" i="785"/>
  <c r="R58" i="785" s="1"/>
  <c r="O59" i="785"/>
  <c r="R59" i="785" s="1"/>
  <c r="S59" i="785" s="1"/>
  <c r="O60" i="785"/>
  <c r="R60" i="785" s="1"/>
  <c r="S60" i="785" s="1"/>
  <c r="O61" i="785"/>
  <c r="R61" i="785" s="1"/>
  <c r="O63" i="785"/>
  <c r="O65" i="785"/>
  <c r="R65" i="785" s="1"/>
  <c r="O66" i="785"/>
  <c r="R66" i="785" s="1"/>
  <c r="O67" i="785"/>
  <c r="R67" i="785" s="1"/>
  <c r="S67" i="785" s="1"/>
  <c r="O69" i="785"/>
  <c r="R69" i="785" s="1"/>
  <c r="O71" i="785"/>
  <c r="R71" i="785" s="1"/>
  <c r="O72" i="785"/>
  <c r="R72" i="785" s="1"/>
  <c r="O73" i="785"/>
  <c r="R73" i="785" s="1"/>
  <c r="S73" i="785" s="1"/>
  <c r="O74" i="785"/>
  <c r="R74" i="785" s="1"/>
  <c r="S74" i="785" s="1"/>
  <c r="O75" i="785"/>
  <c r="R75" i="785" s="1"/>
  <c r="O76" i="785"/>
  <c r="R76" i="785" s="1"/>
  <c r="S76" i="785" s="1"/>
  <c r="O78" i="785"/>
  <c r="R78" i="785" s="1"/>
  <c r="S78" i="785" s="1"/>
  <c r="O79" i="785"/>
  <c r="R79" i="785" s="1"/>
  <c r="S79" i="785" s="1"/>
  <c r="O80" i="785"/>
  <c r="R80" i="785" s="1"/>
  <c r="S80" i="785" s="1"/>
  <c r="O82" i="785"/>
  <c r="R82" i="785" s="1"/>
  <c r="S82" i="785" s="1"/>
  <c r="O83" i="785"/>
  <c r="R83" i="785" s="1"/>
  <c r="S83" i="785" s="1"/>
  <c r="N84" i="785"/>
  <c r="O84" i="785"/>
  <c r="R84" i="785" s="1"/>
  <c r="S84" i="785" s="1"/>
  <c r="N85" i="785"/>
  <c r="O85" i="785"/>
  <c r="R85" i="785" s="1"/>
  <c r="S85" i="785" s="1"/>
  <c r="O86" i="785"/>
  <c r="R86" i="785" s="1"/>
  <c r="O87" i="785"/>
  <c r="R87" i="785" s="1"/>
  <c r="S87" i="785" s="1"/>
  <c r="O88" i="785"/>
  <c r="R88" i="785" s="1"/>
  <c r="S88" i="785" s="1"/>
  <c r="N89" i="785"/>
  <c r="O90" i="785"/>
  <c r="R90" i="785" s="1"/>
  <c r="O91" i="785"/>
  <c r="R91" i="785" s="1"/>
  <c r="O95" i="785"/>
  <c r="R95" i="785" s="1"/>
  <c r="S95" i="785" s="1"/>
  <c r="N98" i="785"/>
  <c r="O98" i="785"/>
  <c r="N101" i="785"/>
  <c r="O101" i="785"/>
  <c r="R101" i="785" s="1"/>
  <c r="S101" i="785" s="1"/>
  <c r="N102" i="785"/>
  <c r="O102" i="785"/>
  <c r="R102" i="785" s="1"/>
  <c r="O103" i="785"/>
  <c r="R103" i="785" s="1"/>
  <c r="O104" i="785"/>
  <c r="R104" i="785" s="1"/>
  <c r="N105" i="785"/>
  <c r="O105" i="785"/>
  <c r="R105" i="785" s="1"/>
  <c r="N107" i="785"/>
  <c r="O107" i="785"/>
  <c r="R107" i="785" s="1"/>
  <c r="O108" i="785"/>
  <c r="R108" i="785" s="1"/>
  <c r="O109" i="785"/>
  <c r="R109" i="785" s="1"/>
  <c r="N110" i="785"/>
  <c r="O110" i="785"/>
  <c r="R110" i="785" s="1"/>
  <c r="S110" i="785" s="1"/>
  <c r="O111" i="785"/>
  <c r="R111" i="785" s="1"/>
  <c r="N112" i="785"/>
  <c r="O112" i="785"/>
  <c r="R112" i="785" s="1"/>
  <c r="O113" i="785"/>
  <c r="R113" i="785" s="1"/>
  <c r="N114" i="785"/>
  <c r="O116" i="785"/>
  <c r="R116" i="785" s="1"/>
  <c r="O117" i="785"/>
  <c r="R117" i="785" s="1"/>
  <c r="N118" i="785"/>
  <c r="O118" i="785"/>
  <c r="R118" i="785" s="1"/>
  <c r="O119" i="785"/>
  <c r="R119" i="785" s="1"/>
  <c r="N120" i="785"/>
  <c r="O120" i="785"/>
  <c r="R120" i="785" s="1"/>
  <c r="S120" i="785" s="1"/>
  <c r="O121" i="785"/>
  <c r="R121" i="785" s="1"/>
  <c r="O122" i="785"/>
  <c r="R122" i="785" s="1"/>
  <c r="N123" i="785"/>
  <c r="O123" i="785"/>
  <c r="R123" i="785" s="1"/>
  <c r="N124" i="785"/>
  <c r="O124" i="785"/>
  <c r="R124" i="785" s="1"/>
  <c r="S124" i="785" s="1"/>
  <c r="N125" i="785"/>
  <c r="O125" i="785"/>
  <c r="R125" i="785" s="1"/>
  <c r="S125" i="785" s="1"/>
  <c r="O126" i="785"/>
  <c r="R126" i="785" s="1"/>
  <c r="N127" i="785"/>
  <c r="O127" i="785"/>
  <c r="R127" i="785" s="1"/>
  <c r="N128" i="785"/>
  <c r="O128" i="785"/>
  <c r="R128" i="785" s="1"/>
  <c r="O129" i="785"/>
  <c r="R129" i="785" s="1"/>
  <c r="N130" i="785"/>
  <c r="O130" i="785"/>
  <c r="R130" i="785" s="1"/>
  <c r="S130" i="785" s="1"/>
  <c r="O131" i="785"/>
  <c r="R131" i="785" s="1"/>
  <c r="O132" i="785"/>
  <c r="R132" i="785" s="1"/>
  <c r="O133" i="785"/>
  <c r="R133" i="785" s="1"/>
  <c r="N134" i="785"/>
  <c r="O134" i="785"/>
  <c r="R134" i="785" s="1"/>
  <c r="N136" i="785"/>
  <c r="O136" i="785"/>
  <c r="R136" i="785" s="1"/>
  <c r="O137" i="785"/>
  <c r="R137" i="785" s="1"/>
  <c r="O138" i="785"/>
  <c r="R138" i="785" s="1"/>
  <c r="S138" i="785" s="1"/>
  <c r="N139" i="785"/>
  <c r="O139" i="785"/>
  <c r="R139" i="785" s="1"/>
  <c r="S139" i="785" s="1"/>
  <c r="O140" i="785"/>
  <c r="R140" i="785" s="1"/>
  <c r="N141" i="785"/>
  <c r="O141" i="785"/>
  <c r="R141" i="785" s="1"/>
  <c r="N142" i="785"/>
  <c r="O142" i="785"/>
  <c r="R142" i="785" s="1"/>
  <c r="S142" i="785" s="1"/>
  <c r="O143" i="785"/>
  <c r="R143" i="785" s="1"/>
  <c r="O144" i="785"/>
  <c r="R144" i="785" s="1"/>
  <c r="O145" i="785"/>
  <c r="R145" i="785" s="1"/>
  <c r="O146" i="785"/>
  <c r="R146" i="785" s="1"/>
  <c r="S146" i="785" s="1"/>
  <c r="O147" i="785"/>
  <c r="R147" i="785" s="1"/>
  <c r="S147" i="785" s="1"/>
  <c r="O148" i="785"/>
  <c r="R148" i="785" s="1"/>
  <c r="O149" i="785"/>
  <c r="R149" i="785" s="1"/>
  <c r="V54" i="785"/>
  <c r="V65" i="785"/>
  <c r="V71" i="785"/>
  <c r="Y182" i="630"/>
  <c r="T182" i="630"/>
  <c r="Y189" i="630"/>
  <c r="T189" i="630"/>
  <c r="Y247" i="630"/>
  <c r="Y254" i="630"/>
  <c r="AJ103" i="630"/>
  <c r="V142" i="785"/>
  <c r="V98" i="785"/>
  <c r="S98" i="785"/>
  <c r="V138" i="785"/>
  <c r="AT276" i="785"/>
  <c r="AR300" i="785"/>
  <c r="Z27" i="812"/>
  <c r="Y211" i="630"/>
  <c r="T118" i="630"/>
  <c r="T119" i="630"/>
  <c r="T123" i="630"/>
  <c r="T124" i="630"/>
  <c r="U124" i="630" s="1"/>
  <c r="T125" i="630"/>
  <c r="U125" i="630" s="1"/>
  <c r="T126" i="630"/>
  <c r="U126" i="630" s="1"/>
  <c r="T129" i="630"/>
  <c r="T131" i="630"/>
  <c r="U131" i="630" s="1"/>
  <c r="T132" i="630"/>
  <c r="U132" i="630" s="1"/>
  <c r="T135" i="630"/>
  <c r="U135" i="630" s="1"/>
  <c r="T136" i="630"/>
  <c r="U136" i="630" s="1"/>
  <c r="T137" i="630"/>
  <c r="U137" i="630" s="1"/>
  <c r="T138" i="630"/>
  <c r="U138" i="630" s="1"/>
  <c r="T140" i="630"/>
  <c r="U140" i="630" s="1"/>
  <c r="T141" i="630"/>
  <c r="T142" i="630"/>
  <c r="U142" i="630" s="1"/>
  <c r="T143" i="630"/>
  <c r="T144" i="630"/>
  <c r="T145" i="630"/>
  <c r="T147" i="630"/>
  <c r="U147" i="630" s="1"/>
  <c r="T148" i="630"/>
  <c r="U148" i="630" s="1"/>
  <c r="T149" i="630"/>
  <c r="U149" i="630" s="1"/>
  <c r="T150" i="630"/>
  <c r="T151" i="630"/>
  <c r="U151" i="630" s="1"/>
  <c r="T153" i="630"/>
  <c r="U153" i="630" s="1"/>
  <c r="T155" i="630"/>
  <c r="T157" i="630"/>
  <c r="T159" i="630"/>
  <c r="U159" i="630" s="1"/>
  <c r="T161" i="630"/>
  <c r="T162" i="630"/>
  <c r="U162" i="630" s="1"/>
  <c r="T164" i="630"/>
  <c r="T165" i="630"/>
  <c r="U165" i="630" s="1"/>
  <c r="T166" i="630"/>
  <c r="T168" i="630"/>
  <c r="U168" i="630" s="1"/>
  <c r="T169" i="630"/>
  <c r="U169" i="630" s="1"/>
  <c r="T171" i="630"/>
  <c r="U171" i="630" s="1"/>
  <c r="T172" i="630"/>
  <c r="U172" i="630" s="1"/>
  <c r="T174" i="630"/>
  <c r="T176" i="630"/>
  <c r="T178" i="630"/>
  <c r="U178" i="630" s="1"/>
  <c r="T179" i="630"/>
  <c r="U179" i="630" s="1"/>
  <c r="T180" i="630"/>
  <c r="T181" i="630"/>
  <c r="T184" i="630"/>
  <c r="U184" i="630" s="1"/>
  <c r="T185" i="630"/>
  <c r="U185" i="630" s="1"/>
  <c r="T186" i="630"/>
  <c r="U186" i="630" s="1"/>
  <c r="T187" i="630"/>
  <c r="T188" i="630"/>
  <c r="T190" i="630"/>
  <c r="U190" i="630" s="1"/>
  <c r="T191" i="630"/>
  <c r="U191" i="630" s="1"/>
  <c r="T192" i="630"/>
  <c r="U192" i="630" s="1"/>
  <c r="T193" i="630"/>
  <c r="U193" i="630" s="1"/>
  <c r="T194" i="630"/>
  <c r="U194" i="630" s="1"/>
  <c r="T196" i="630"/>
  <c r="U196" i="630" s="1"/>
  <c r="L32" i="811"/>
  <c r="V224" i="785"/>
  <c r="V227" i="785"/>
  <c r="V114" i="785"/>
  <c r="N20" i="800"/>
  <c r="O20" i="800" s="1"/>
  <c r="V218" i="785"/>
  <c r="U277" i="785"/>
  <c r="U281" i="785" s="1"/>
  <c r="J20" i="800"/>
  <c r="X300" i="785"/>
  <c r="I24" i="806"/>
  <c r="I29" i="806" s="1"/>
  <c r="B1" i="811"/>
  <c r="A1" i="811" s="1"/>
  <c r="B2" i="811"/>
  <c r="B3" i="811"/>
  <c r="B4" i="811"/>
  <c r="B5" i="811"/>
  <c r="B6" i="811"/>
  <c r="B7" i="811"/>
  <c r="B8" i="811"/>
  <c r="B9" i="811"/>
  <c r="B10" i="811"/>
  <c r="B11" i="811"/>
  <c r="B12" i="811"/>
  <c r="B13" i="811"/>
  <c r="B14" i="811"/>
  <c r="B15" i="811"/>
  <c r="B16" i="811"/>
  <c r="B17" i="811"/>
  <c r="B18" i="811"/>
  <c r="B19" i="811"/>
  <c r="B20" i="811"/>
  <c r="B21" i="811"/>
  <c r="B22" i="811"/>
  <c r="B23" i="811"/>
  <c r="B24" i="811"/>
  <c r="B25" i="811"/>
  <c r="B26" i="811"/>
  <c r="B27" i="811"/>
  <c r="B28" i="811"/>
  <c r="B29" i="811"/>
  <c r="B30" i="811"/>
  <c r="B31" i="811"/>
  <c r="B32" i="811"/>
  <c r="B33" i="811"/>
  <c r="L33" i="811"/>
  <c r="B34" i="811"/>
  <c r="L34" i="811"/>
  <c r="B35" i="811"/>
  <c r="L35" i="811"/>
  <c r="B36" i="811"/>
  <c r="L36" i="811"/>
  <c r="B37" i="811"/>
  <c r="L37" i="811"/>
  <c r="B38" i="811"/>
  <c r="L38" i="811"/>
  <c r="B39" i="811"/>
  <c r="L39" i="811"/>
  <c r="B40" i="811"/>
  <c r="L40" i="811"/>
  <c r="B41" i="811"/>
  <c r="L41" i="811"/>
  <c r="B42" i="811"/>
  <c r="L42" i="811"/>
  <c r="B43" i="811"/>
  <c r="L43" i="811"/>
  <c r="B44" i="811"/>
  <c r="L44" i="811"/>
  <c r="B45" i="811"/>
  <c r="L45" i="811"/>
  <c r="B46" i="811"/>
  <c r="L46" i="811"/>
  <c r="B47" i="811"/>
  <c r="L47" i="811"/>
  <c r="B48" i="811"/>
  <c r="L48" i="811"/>
  <c r="B49" i="811"/>
  <c r="L49" i="811"/>
  <c r="B50" i="811"/>
  <c r="L50" i="811"/>
  <c r="B51" i="811"/>
  <c r="L51" i="811"/>
  <c r="B52" i="811"/>
  <c r="L52" i="811"/>
  <c r="B53" i="811"/>
  <c r="B54" i="811"/>
  <c r="B55" i="811"/>
  <c r="B56" i="811"/>
  <c r="B57" i="811"/>
  <c r="B58" i="811"/>
  <c r="B59" i="811"/>
  <c r="B60" i="811"/>
  <c r="B61" i="811"/>
  <c r="B62" i="811"/>
  <c r="B63" i="811"/>
  <c r="B64" i="811"/>
  <c r="B65" i="811"/>
  <c r="B66" i="811"/>
  <c r="B67" i="811"/>
  <c r="B68" i="811"/>
  <c r="B69" i="811"/>
  <c r="B70" i="811"/>
  <c r="B71" i="811"/>
  <c r="B72" i="811"/>
  <c r="B73" i="811"/>
  <c r="B74" i="811"/>
  <c r="B75" i="811"/>
  <c r="B76" i="811"/>
  <c r="B77" i="811"/>
  <c r="B78" i="811"/>
  <c r="B79" i="811"/>
  <c r="B80" i="811"/>
  <c r="B81" i="811"/>
  <c r="B82" i="811"/>
  <c r="B83" i="811"/>
  <c r="B84" i="811"/>
  <c r="B85" i="811"/>
  <c r="B86" i="811"/>
  <c r="B87" i="811"/>
  <c r="B88" i="811"/>
  <c r="B89" i="811"/>
  <c r="B90" i="811"/>
  <c r="B91" i="811"/>
  <c r="B92" i="811"/>
  <c r="B93" i="811"/>
  <c r="B94" i="811"/>
  <c r="B95" i="811"/>
  <c r="B96" i="811"/>
  <c r="B97" i="811"/>
  <c r="B98" i="811"/>
  <c r="B99" i="811"/>
  <c r="B100" i="811"/>
  <c r="B101" i="811"/>
  <c r="B102" i="811"/>
  <c r="B103" i="811"/>
  <c r="B104" i="811"/>
  <c r="B105" i="811"/>
  <c r="B106" i="811"/>
  <c r="B107" i="811"/>
  <c r="B108" i="811"/>
  <c r="B109" i="811"/>
  <c r="B110" i="811"/>
  <c r="B111" i="811"/>
  <c r="B112" i="811"/>
  <c r="B113" i="811"/>
  <c r="B114" i="811"/>
  <c r="B115" i="811"/>
  <c r="B116" i="811"/>
  <c r="B117" i="811"/>
  <c r="B118" i="811"/>
  <c r="B119" i="811"/>
  <c r="B120" i="811"/>
  <c r="B121" i="811"/>
  <c r="B122" i="811"/>
  <c r="B123" i="811"/>
  <c r="B124" i="811"/>
  <c r="B125" i="811"/>
  <c r="B126" i="811"/>
  <c r="B127" i="811"/>
  <c r="B128" i="811"/>
  <c r="B129" i="811"/>
  <c r="B130" i="811"/>
  <c r="B131" i="811"/>
  <c r="B132" i="811"/>
  <c r="B133" i="811"/>
  <c r="B134" i="811"/>
  <c r="B135" i="811"/>
  <c r="B136" i="811"/>
  <c r="B137" i="811"/>
  <c r="B138" i="811"/>
  <c r="B139" i="811"/>
  <c r="B140" i="811"/>
  <c r="B141" i="811"/>
  <c r="B142" i="811"/>
  <c r="B143" i="811"/>
  <c r="B144" i="811"/>
  <c r="B145" i="811"/>
  <c r="B146" i="811"/>
  <c r="B147" i="811"/>
  <c r="B148" i="811"/>
  <c r="B149" i="811"/>
  <c r="B150" i="811"/>
  <c r="B151" i="811"/>
  <c r="B152" i="811"/>
  <c r="B153" i="811"/>
  <c r="B154" i="811"/>
  <c r="B155" i="811"/>
  <c r="B156" i="811"/>
  <c r="B157" i="811"/>
  <c r="B158" i="811"/>
  <c r="B159" i="811"/>
  <c r="B160" i="811"/>
  <c r="B161" i="811"/>
  <c r="B162" i="811"/>
  <c r="B163" i="811"/>
  <c r="B164" i="811"/>
  <c r="B165" i="811"/>
  <c r="B166" i="811"/>
  <c r="B167" i="811"/>
  <c r="B168" i="811"/>
  <c r="B169" i="811"/>
  <c r="B170" i="811"/>
  <c r="B171" i="811"/>
  <c r="B172" i="811"/>
  <c r="B173" i="811"/>
  <c r="B174" i="811"/>
  <c r="B175" i="811"/>
  <c r="B176" i="811"/>
  <c r="B177" i="811"/>
  <c r="B178" i="811"/>
  <c r="B179" i="811"/>
  <c r="B180" i="811"/>
  <c r="B181" i="811"/>
  <c r="B1" i="809"/>
  <c r="A1" i="809" s="1"/>
  <c r="B2" i="809"/>
  <c r="B3" i="809"/>
  <c r="B4" i="809"/>
  <c r="B5" i="809"/>
  <c r="B6" i="809"/>
  <c r="B7" i="809"/>
  <c r="B8" i="809"/>
  <c r="B9" i="809"/>
  <c r="B10" i="809"/>
  <c r="B11" i="809"/>
  <c r="B12" i="809"/>
  <c r="B13" i="809"/>
  <c r="B14" i="809"/>
  <c r="B15" i="809"/>
  <c r="B16" i="809"/>
  <c r="B17" i="809"/>
  <c r="B18" i="809"/>
  <c r="B19" i="809"/>
  <c r="B20" i="809"/>
  <c r="B21" i="809"/>
  <c r="B22" i="809"/>
  <c r="B23" i="809"/>
  <c r="B24" i="809"/>
  <c r="B25" i="809"/>
  <c r="B26" i="809"/>
  <c r="B27" i="809"/>
  <c r="B28" i="809"/>
  <c r="B29" i="809"/>
  <c r="B30" i="809"/>
  <c r="B31" i="809"/>
  <c r="B32" i="809"/>
  <c r="B33" i="809"/>
  <c r="B34" i="809"/>
  <c r="B35" i="809"/>
  <c r="B36" i="809"/>
  <c r="B37" i="809"/>
  <c r="B38" i="809"/>
  <c r="B39" i="809"/>
  <c r="B40" i="809"/>
  <c r="B41" i="809"/>
  <c r="B42" i="809"/>
  <c r="B43" i="809"/>
  <c r="B44" i="809"/>
  <c r="B45" i="809"/>
  <c r="B46" i="809"/>
  <c r="B47" i="809"/>
  <c r="B48" i="809"/>
  <c r="B49" i="809"/>
  <c r="B50" i="809"/>
  <c r="B51" i="809"/>
  <c r="B52" i="809"/>
  <c r="B53" i="809"/>
  <c r="B54" i="809"/>
  <c r="B55" i="809"/>
  <c r="B56" i="809"/>
  <c r="B57" i="809"/>
  <c r="B58" i="809"/>
  <c r="B59" i="809"/>
  <c r="B60" i="809"/>
  <c r="B61" i="809"/>
  <c r="B62" i="809"/>
  <c r="B63" i="809"/>
  <c r="B64" i="809"/>
  <c r="B65" i="809"/>
  <c r="B66" i="809"/>
  <c r="B67" i="809"/>
  <c r="B68" i="809"/>
  <c r="B69" i="809"/>
  <c r="B70" i="809"/>
  <c r="B71" i="809"/>
  <c r="B72" i="809"/>
  <c r="B73" i="809"/>
  <c r="B74" i="809"/>
  <c r="B75" i="809"/>
  <c r="B76" i="809"/>
  <c r="B77" i="809"/>
  <c r="B78" i="809"/>
  <c r="B79" i="809"/>
  <c r="B80" i="809"/>
  <c r="B81" i="809"/>
  <c r="B82" i="809"/>
  <c r="B83" i="809"/>
  <c r="B84" i="809"/>
  <c r="B85" i="809"/>
  <c r="B86" i="809"/>
  <c r="B87" i="809"/>
  <c r="B88" i="809"/>
  <c r="B89" i="809"/>
  <c r="B90" i="809"/>
  <c r="B91" i="809"/>
  <c r="B92" i="809"/>
  <c r="B93" i="809"/>
  <c r="B94" i="809"/>
  <c r="B95" i="809"/>
  <c r="B96" i="809"/>
  <c r="B97" i="809"/>
  <c r="B98" i="809"/>
  <c r="B99" i="809"/>
  <c r="B100" i="809"/>
  <c r="B101" i="809"/>
  <c r="B102" i="809"/>
  <c r="B103" i="809"/>
  <c r="B104" i="809"/>
  <c r="B105" i="809"/>
  <c r="B106" i="809"/>
  <c r="B107" i="809"/>
  <c r="B108" i="809"/>
  <c r="B109" i="809"/>
  <c r="B110" i="809"/>
  <c r="B111" i="809"/>
  <c r="B112" i="809"/>
  <c r="B113" i="809"/>
  <c r="B114" i="809"/>
  <c r="B115" i="809"/>
  <c r="B116" i="809"/>
  <c r="B117" i="809"/>
  <c r="B118" i="809"/>
  <c r="B119" i="809"/>
  <c r="B120" i="809"/>
  <c r="B121" i="809"/>
  <c r="B122" i="809"/>
  <c r="B123" i="809"/>
  <c r="B124" i="809"/>
  <c r="B125" i="809"/>
  <c r="B126" i="809"/>
  <c r="B127" i="809"/>
  <c r="B128" i="809"/>
  <c r="B129" i="809"/>
  <c r="B130" i="809"/>
  <c r="B131" i="809"/>
  <c r="B132" i="809"/>
  <c r="B133" i="809"/>
  <c r="B134" i="809"/>
  <c r="B135" i="809"/>
  <c r="B136" i="809"/>
  <c r="B137" i="809"/>
  <c r="B138" i="809"/>
  <c r="B139" i="809"/>
  <c r="B140" i="809"/>
  <c r="B141" i="809"/>
  <c r="B142" i="809"/>
  <c r="B143" i="809"/>
  <c r="B144" i="809"/>
  <c r="B145" i="809"/>
  <c r="B146" i="809"/>
  <c r="B147" i="809"/>
  <c r="B148" i="809"/>
  <c r="B149" i="809"/>
  <c r="B150" i="809"/>
  <c r="B151" i="809"/>
  <c r="B152" i="809"/>
  <c r="B153" i="809"/>
  <c r="B154" i="809"/>
  <c r="B155" i="809"/>
  <c r="B156" i="809"/>
  <c r="B157" i="809"/>
  <c r="B158" i="809"/>
  <c r="B159" i="809"/>
  <c r="B160" i="809"/>
  <c r="B161" i="809"/>
  <c r="B162" i="809"/>
  <c r="B163" i="809"/>
  <c r="B164" i="809"/>
  <c r="B165" i="809"/>
  <c r="B166" i="809"/>
  <c r="B167" i="809"/>
  <c r="B168" i="809"/>
  <c r="B169" i="809"/>
  <c r="B170" i="809"/>
  <c r="B171" i="809"/>
  <c r="B172" i="809"/>
  <c r="B173" i="809"/>
  <c r="B174" i="809"/>
  <c r="B175" i="809"/>
  <c r="B176" i="809"/>
  <c r="B177" i="809"/>
  <c r="B178" i="809"/>
  <c r="B179" i="809"/>
  <c r="B180" i="809"/>
  <c r="B181" i="809"/>
  <c r="B1" i="808"/>
  <c r="A1" i="808" s="1"/>
  <c r="B2" i="808"/>
  <c r="A2" i="808" s="1"/>
  <c r="B3" i="808"/>
  <c r="B4" i="808"/>
  <c r="B5" i="808"/>
  <c r="B6" i="808"/>
  <c r="B7" i="808"/>
  <c r="B8" i="808"/>
  <c r="B9" i="808"/>
  <c r="B10" i="808"/>
  <c r="B11" i="808"/>
  <c r="B12" i="808"/>
  <c r="B13" i="808"/>
  <c r="B14" i="808"/>
  <c r="B15" i="808"/>
  <c r="B16" i="808"/>
  <c r="B17" i="808"/>
  <c r="B18" i="808"/>
  <c r="B19" i="808"/>
  <c r="B20" i="808"/>
  <c r="B21" i="808"/>
  <c r="B22" i="808"/>
  <c r="B23" i="808"/>
  <c r="B24" i="808"/>
  <c r="B25" i="808"/>
  <c r="B26" i="808"/>
  <c r="B27" i="808"/>
  <c r="B28" i="808"/>
  <c r="B29" i="808"/>
  <c r="B30" i="808"/>
  <c r="B31" i="808"/>
  <c r="B32" i="808"/>
  <c r="B33" i="808"/>
  <c r="B34" i="808"/>
  <c r="B35" i="808"/>
  <c r="B36" i="808"/>
  <c r="B37" i="808"/>
  <c r="B38" i="808"/>
  <c r="B39" i="808"/>
  <c r="B40" i="808"/>
  <c r="B41" i="808"/>
  <c r="B42" i="808"/>
  <c r="B43" i="808"/>
  <c r="B44" i="808"/>
  <c r="B45" i="808"/>
  <c r="B46" i="808"/>
  <c r="B47" i="808"/>
  <c r="B48" i="808"/>
  <c r="B49" i="808"/>
  <c r="B50" i="808"/>
  <c r="B51" i="808"/>
  <c r="B52" i="808"/>
  <c r="B53" i="808"/>
  <c r="B54" i="808"/>
  <c r="B55" i="808"/>
  <c r="B56" i="808"/>
  <c r="B57" i="808"/>
  <c r="B58" i="808"/>
  <c r="B59" i="808"/>
  <c r="B60" i="808"/>
  <c r="B61" i="808"/>
  <c r="B62" i="808"/>
  <c r="B63" i="808"/>
  <c r="B64" i="808"/>
  <c r="B65" i="808"/>
  <c r="B66" i="808"/>
  <c r="B67" i="808"/>
  <c r="B68" i="808"/>
  <c r="B69" i="808"/>
  <c r="B70" i="808"/>
  <c r="B71" i="808"/>
  <c r="B72" i="808"/>
  <c r="B73" i="808"/>
  <c r="B74" i="808"/>
  <c r="B75" i="808"/>
  <c r="B76" i="808"/>
  <c r="B77" i="808"/>
  <c r="B78" i="808"/>
  <c r="B79" i="808"/>
  <c r="B80" i="808"/>
  <c r="B81" i="808"/>
  <c r="B82" i="808"/>
  <c r="B83" i="808"/>
  <c r="B84" i="808"/>
  <c r="B85" i="808"/>
  <c r="B86" i="808"/>
  <c r="B87" i="808"/>
  <c r="B88" i="808"/>
  <c r="B89" i="808"/>
  <c r="B90" i="808"/>
  <c r="B91" i="808"/>
  <c r="B92" i="808"/>
  <c r="B93" i="808"/>
  <c r="B94" i="808"/>
  <c r="B95" i="808"/>
  <c r="B96" i="808"/>
  <c r="B97" i="808"/>
  <c r="B98" i="808"/>
  <c r="B99" i="808"/>
  <c r="B100" i="808"/>
  <c r="B101" i="808"/>
  <c r="B102" i="808"/>
  <c r="B103" i="808"/>
  <c r="B104" i="808"/>
  <c r="B105" i="808"/>
  <c r="B106" i="808"/>
  <c r="B107" i="808"/>
  <c r="B108" i="808"/>
  <c r="B109" i="808"/>
  <c r="B110" i="808"/>
  <c r="B111" i="808"/>
  <c r="B112" i="808"/>
  <c r="B113" i="808"/>
  <c r="B114" i="808"/>
  <c r="B115" i="808"/>
  <c r="B116" i="808"/>
  <c r="B117" i="808"/>
  <c r="B118" i="808"/>
  <c r="B119" i="808"/>
  <c r="B120" i="808"/>
  <c r="B121" i="808"/>
  <c r="B122" i="808"/>
  <c r="B123" i="808"/>
  <c r="B124" i="808"/>
  <c r="B125" i="808"/>
  <c r="B126" i="808"/>
  <c r="B127" i="808"/>
  <c r="B128" i="808"/>
  <c r="B129" i="808"/>
  <c r="B130" i="808"/>
  <c r="B131" i="808"/>
  <c r="B132" i="808"/>
  <c r="B133" i="808"/>
  <c r="B134" i="808"/>
  <c r="B135" i="808"/>
  <c r="B136" i="808"/>
  <c r="B137" i="808"/>
  <c r="B138" i="808"/>
  <c r="B139" i="808"/>
  <c r="B140" i="808"/>
  <c r="A140" i="808" s="1"/>
  <c r="B141" i="808"/>
  <c r="A141" i="808" s="1"/>
  <c r="B142" i="808"/>
  <c r="A142" i="808" s="1"/>
  <c r="B143" i="808"/>
  <c r="A143" i="808" s="1"/>
  <c r="B144" i="808"/>
  <c r="A144" i="808" s="1"/>
  <c r="B145" i="808"/>
  <c r="A145" i="808" s="1"/>
  <c r="B146" i="808"/>
  <c r="A146" i="808" s="1"/>
  <c r="B147" i="808"/>
  <c r="A147" i="808" s="1"/>
  <c r="B148" i="808"/>
  <c r="A148" i="808" s="1"/>
  <c r="B149" i="808"/>
  <c r="A149" i="808" s="1"/>
  <c r="B150" i="808"/>
  <c r="A150" i="808" s="1"/>
  <c r="B151" i="808"/>
  <c r="A151" i="808" s="1"/>
  <c r="B152" i="808"/>
  <c r="A152" i="808" s="1"/>
  <c r="B153" i="808"/>
  <c r="A153" i="808" s="1"/>
  <c r="B154" i="808"/>
  <c r="A154" i="808" s="1"/>
  <c r="B155" i="808"/>
  <c r="A155" i="808" s="1"/>
  <c r="B156" i="808"/>
  <c r="A156" i="808" s="1"/>
  <c r="B157" i="808"/>
  <c r="A157" i="808" s="1"/>
  <c r="B158" i="808"/>
  <c r="A158" i="808" s="1"/>
  <c r="B159" i="808"/>
  <c r="A159" i="808" s="1"/>
  <c r="B160" i="808"/>
  <c r="A160" i="808" s="1"/>
  <c r="B161" i="808"/>
  <c r="A161" i="808" s="1"/>
  <c r="B162" i="808"/>
  <c r="A162" i="808" s="1"/>
  <c r="B163" i="808"/>
  <c r="A163" i="808" s="1"/>
  <c r="B164" i="808"/>
  <c r="A164" i="808" s="1"/>
  <c r="B165" i="808"/>
  <c r="A165" i="808" s="1"/>
  <c r="B166" i="808"/>
  <c r="A166" i="808" s="1"/>
  <c r="B167" i="808"/>
  <c r="A167" i="808" s="1"/>
  <c r="B168" i="808"/>
  <c r="A168" i="808" s="1"/>
  <c r="B169" i="808"/>
  <c r="A169" i="808" s="1"/>
  <c r="B170" i="808"/>
  <c r="A170" i="808" s="1"/>
  <c r="B171" i="808"/>
  <c r="A171" i="808" s="1"/>
  <c r="B172" i="808"/>
  <c r="A172" i="808" s="1"/>
  <c r="B173" i="808"/>
  <c r="A173" i="808" s="1"/>
  <c r="B174" i="808"/>
  <c r="A174" i="808" s="1"/>
  <c r="B175" i="808"/>
  <c r="A175" i="808" s="1"/>
  <c r="B176" i="808"/>
  <c r="A176" i="808" s="1"/>
  <c r="B177" i="808"/>
  <c r="A177" i="808" s="1"/>
  <c r="B178" i="808"/>
  <c r="A178" i="808" s="1"/>
  <c r="B179" i="808"/>
  <c r="A179" i="808" s="1"/>
  <c r="B180" i="808"/>
  <c r="A180" i="808" s="1"/>
  <c r="B181" i="808"/>
  <c r="B1" i="803"/>
  <c r="A1" i="803" s="1"/>
  <c r="B2" i="803"/>
  <c r="A2" i="803" s="1"/>
  <c r="B3" i="803"/>
  <c r="A3" i="803" s="1"/>
  <c r="B4" i="803"/>
  <c r="A4" i="803" s="1"/>
  <c r="B5" i="803"/>
  <c r="A5" i="803" s="1"/>
  <c r="B6" i="803"/>
  <c r="A6" i="803" s="1"/>
  <c r="B7" i="803"/>
  <c r="A7" i="803" s="1"/>
  <c r="B8" i="803"/>
  <c r="A8" i="803" s="1"/>
  <c r="B9" i="803"/>
  <c r="A9" i="803" s="1"/>
  <c r="B10" i="803"/>
  <c r="A10" i="803" s="1"/>
  <c r="B11" i="803"/>
  <c r="A11" i="803" s="1"/>
  <c r="B12" i="803"/>
  <c r="A12" i="803" s="1"/>
  <c r="B13" i="803"/>
  <c r="A13" i="803" s="1"/>
  <c r="B14" i="803"/>
  <c r="A14" i="803" s="1"/>
  <c r="B15" i="803"/>
  <c r="A15" i="803" s="1"/>
  <c r="B16" i="803"/>
  <c r="A16" i="803" s="1"/>
  <c r="B17" i="803"/>
  <c r="A17" i="803" s="1"/>
  <c r="B18" i="803"/>
  <c r="A18" i="803" s="1"/>
  <c r="B19" i="803"/>
  <c r="A19" i="803" s="1"/>
  <c r="B20" i="803"/>
  <c r="A20" i="803" s="1"/>
  <c r="B21" i="803"/>
  <c r="A21" i="803" s="1"/>
  <c r="B22" i="803"/>
  <c r="A22" i="803" s="1"/>
  <c r="B23" i="803"/>
  <c r="A23" i="803" s="1"/>
  <c r="B24" i="803"/>
  <c r="A24" i="803" s="1"/>
  <c r="B25" i="803"/>
  <c r="A25" i="803" s="1"/>
  <c r="B26" i="803"/>
  <c r="A26" i="803" s="1"/>
  <c r="B27" i="803"/>
  <c r="A27" i="803" s="1"/>
  <c r="B28" i="803"/>
  <c r="A28" i="803" s="1"/>
  <c r="B29" i="803"/>
  <c r="A29" i="803" s="1"/>
  <c r="B30" i="803"/>
  <c r="A30" i="803" s="1"/>
  <c r="B31" i="803"/>
  <c r="A31" i="803" s="1"/>
  <c r="B32" i="803"/>
  <c r="A32" i="803" s="1"/>
  <c r="B33" i="803"/>
  <c r="A33" i="803" s="1"/>
  <c r="B34" i="803"/>
  <c r="A34" i="803" s="1"/>
  <c r="B35" i="803"/>
  <c r="A35" i="803" s="1"/>
  <c r="B36" i="803"/>
  <c r="A36" i="803" s="1"/>
  <c r="B37" i="803"/>
  <c r="A37" i="803" s="1"/>
  <c r="B38" i="803"/>
  <c r="A38" i="803" s="1"/>
  <c r="B39" i="803"/>
  <c r="A39" i="803" s="1"/>
  <c r="B40" i="803"/>
  <c r="A40" i="803" s="1"/>
  <c r="B41" i="803"/>
  <c r="A41" i="803" s="1"/>
  <c r="B42" i="803"/>
  <c r="A42" i="803" s="1"/>
  <c r="B43" i="803"/>
  <c r="A43" i="803" s="1"/>
  <c r="B44" i="803"/>
  <c r="A44" i="803" s="1"/>
  <c r="B45" i="803"/>
  <c r="A45" i="803" s="1"/>
  <c r="B46" i="803"/>
  <c r="A46" i="803" s="1"/>
  <c r="B47" i="803"/>
  <c r="A47" i="803" s="1"/>
  <c r="B48" i="803"/>
  <c r="A48" i="803" s="1"/>
  <c r="B49" i="803"/>
  <c r="A49" i="803" s="1"/>
  <c r="B50" i="803"/>
  <c r="A50" i="803" s="1"/>
  <c r="B51" i="803"/>
  <c r="A51" i="803" s="1"/>
  <c r="B52" i="803"/>
  <c r="A52" i="803" s="1"/>
  <c r="B53" i="803"/>
  <c r="A53" i="803" s="1"/>
  <c r="B54" i="803"/>
  <c r="A54" i="803" s="1"/>
  <c r="B55" i="803"/>
  <c r="A55" i="803" s="1"/>
  <c r="B56" i="803"/>
  <c r="A56" i="803" s="1"/>
  <c r="B57" i="803"/>
  <c r="A57" i="803" s="1"/>
  <c r="B58" i="803"/>
  <c r="A58" i="803" s="1"/>
  <c r="B59" i="803"/>
  <c r="A59" i="803" s="1"/>
  <c r="B60" i="803"/>
  <c r="A60" i="803" s="1"/>
  <c r="B61" i="803"/>
  <c r="A61" i="803" s="1"/>
  <c r="B62" i="803"/>
  <c r="A62" i="803" s="1"/>
  <c r="B63" i="803"/>
  <c r="A63" i="803" s="1"/>
  <c r="B64" i="803"/>
  <c r="A64" i="803" s="1"/>
  <c r="B65" i="803"/>
  <c r="A65" i="803" s="1"/>
  <c r="B66" i="803"/>
  <c r="A66" i="803" s="1"/>
  <c r="B67" i="803"/>
  <c r="A67" i="803" s="1"/>
  <c r="B68" i="803"/>
  <c r="A68" i="803" s="1"/>
  <c r="B69" i="803"/>
  <c r="A69" i="803" s="1"/>
  <c r="B70" i="803"/>
  <c r="A70" i="803" s="1"/>
  <c r="B71" i="803"/>
  <c r="A71" i="803" s="1"/>
  <c r="B72" i="803"/>
  <c r="A72" i="803" s="1"/>
  <c r="B73" i="803"/>
  <c r="A73" i="803" s="1"/>
  <c r="B74" i="803"/>
  <c r="A74" i="803" s="1"/>
  <c r="B75" i="803"/>
  <c r="A75" i="803" s="1"/>
  <c r="B76" i="803"/>
  <c r="A76" i="803" s="1"/>
  <c r="B77" i="803"/>
  <c r="A77" i="803" s="1"/>
  <c r="B78" i="803"/>
  <c r="A78" i="803" s="1"/>
  <c r="B79" i="803"/>
  <c r="A79" i="803" s="1"/>
  <c r="B80" i="803"/>
  <c r="A80" i="803" s="1"/>
  <c r="B81" i="803"/>
  <c r="A81" i="803" s="1"/>
  <c r="B82" i="803"/>
  <c r="A82" i="803" s="1"/>
  <c r="B83" i="803"/>
  <c r="A83" i="803" s="1"/>
  <c r="B84" i="803"/>
  <c r="A84" i="803" s="1"/>
  <c r="B85" i="803"/>
  <c r="A85" i="803" s="1"/>
  <c r="B86" i="803"/>
  <c r="A86" i="803" s="1"/>
  <c r="B87" i="803"/>
  <c r="A87" i="803" s="1"/>
  <c r="B88" i="803"/>
  <c r="A88" i="803" s="1"/>
  <c r="B89" i="803"/>
  <c r="A89" i="803" s="1"/>
  <c r="B90" i="803"/>
  <c r="A90" i="803" s="1"/>
  <c r="B91" i="803"/>
  <c r="A91" i="803" s="1"/>
  <c r="B92" i="803"/>
  <c r="A92" i="803" s="1"/>
  <c r="B93" i="803"/>
  <c r="A93" i="803" s="1"/>
  <c r="B94" i="803"/>
  <c r="A94" i="803" s="1"/>
  <c r="B95" i="803"/>
  <c r="A95" i="803" s="1"/>
  <c r="B96" i="803"/>
  <c r="A96" i="803" s="1"/>
  <c r="B97" i="803"/>
  <c r="A97" i="803" s="1"/>
  <c r="B98" i="803"/>
  <c r="A98" i="803" s="1"/>
  <c r="B99" i="803"/>
  <c r="A99" i="803" s="1"/>
  <c r="B100" i="803"/>
  <c r="A100" i="803" s="1"/>
  <c r="B101" i="803"/>
  <c r="A101" i="803" s="1"/>
  <c r="B102" i="803"/>
  <c r="A102" i="803" s="1"/>
  <c r="B103" i="803"/>
  <c r="A103" i="803" s="1"/>
  <c r="B104" i="803"/>
  <c r="A104" i="803" s="1"/>
  <c r="B105" i="803"/>
  <c r="A105" i="803" s="1"/>
  <c r="B106" i="803"/>
  <c r="A106" i="803" s="1"/>
  <c r="B107" i="803"/>
  <c r="A107" i="803" s="1"/>
  <c r="B108" i="803"/>
  <c r="A108" i="803" s="1"/>
  <c r="B109" i="803"/>
  <c r="A109" i="803" s="1"/>
  <c r="B110" i="803"/>
  <c r="A110" i="803" s="1"/>
  <c r="B111" i="803"/>
  <c r="A111" i="803" s="1"/>
  <c r="B112" i="803"/>
  <c r="A112" i="803" s="1"/>
  <c r="B113" i="803"/>
  <c r="A113" i="803" s="1"/>
  <c r="B114" i="803"/>
  <c r="A114" i="803" s="1"/>
  <c r="B115" i="803"/>
  <c r="A115" i="803" s="1"/>
  <c r="B116" i="803"/>
  <c r="A116" i="803" s="1"/>
  <c r="B117" i="803"/>
  <c r="A117" i="803" s="1"/>
  <c r="B118" i="803"/>
  <c r="A118" i="803" s="1"/>
  <c r="B119" i="803"/>
  <c r="A119" i="803" s="1"/>
  <c r="B120" i="803"/>
  <c r="A120" i="803" s="1"/>
  <c r="B121" i="803"/>
  <c r="A121" i="803" s="1"/>
  <c r="B122" i="803"/>
  <c r="A122" i="803" s="1"/>
  <c r="B123" i="803"/>
  <c r="A123" i="803" s="1"/>
  <c r="B124" i="803"/>
  <c r="A124" i="803" s="1"/>
  <c r="B125" i="803"/>
  <c r="A125" i="803" s="1"/>
  <c r="B126" i="803"/>
  <c r="A126" i="803" s="1"/>
  <c r="B127" i="803"/>
  <c r="A127" i="803" s="1"/>
  <c r="B128" i="803"/>
  <c r="A128" i="803" s="1"/>
  <c r="B129" i="803"/>
  <c r="A129" i="803" s="1"/>
  <c r="B130" i="803"/>
  <c r="A130" i="803" s="1"/>
  <c r="B131" i="803"/>
  <c r="A131" i="803" s="1"/>
  <c r="B132" i="803"/>
  <c r="A132" i="803" s="1"/>
  <c r="B133" i="803"/>
  <c r="A133" i="803" s="1"/>
  <c r="B134" i="803"/>
  <c r="A134" i="803" s="1"/>
  <c r="B135" i="803"/>
  <c r="A135" i="803" s="1"/>
  <c r="B136" i="803"/>
  <c r="A136" i="803" s="1"/>
  <c r="B137" i="803"/>
  <c r="A137" i="803" s="1"/>
  <c r="B138" i="803"/>
  <c r="A138" i="803" s="1"/>
  <c r="B139" i="803"/>
  <c r="A139" i="803" s="1"/>
  <c r="B140" i="803"/>
  <c r="A140" i="803" s="1"/>
  <c r="B141" i="803"/>
  <c r="A141" i="803" s="1"/>
  <c r="B142" i="803"/>
  <c r="A142" i="803" s="1"/>
  <c r="B143" i="803"/>
  <c r="A143" i="803" s="1"/>
  <c r="B144" i="803"/>
  <c r="A144" i="803" s="1"/>
  <c r="B145" i="803"/>
  <c r="A145" i="803" s="1"/>
  <c r="B146" i="803"/>
  <c r="A146" i="803" s="1"/>
  <c r="B147" i="803"/>
  <c r="A147" i="803" s="1"/>
  <c r="B148" i="803"/>
  <c r="A148" i="803" s="1"/>
  <c r="B149" i="803"/>
  <c r="A149" i="803" s="1"/>
  <c r="B150" i="803"/>
  <c r="A150" i="803" s="1"/>
  <c r="B151" i="803"/>
  <c r="A151" i="803" s="1"/>
  <c r="B152" i="803"/>
  <c r="A152" i="803" s="1"/>
  <c r="B153" i="803"/>
  <c r="A153" i="803" s="1"/>
  <c r="B154" i="803"/>
  <c r="A154" i="803" s="1"/>
  <c r="B155" i="803"/>
  <c r="A155" i="803" s="1"/>
  <c r="B156" i="803"/>
  <c r="A156" i="803" s="1"/>
  <c r="B157" i="803"/>
  <c r="A157" i="803" s="1"/>
  <c r="B158" i="803"/>
  <c r="A158" i="803" s="1"/>
  <c r="B159" i="803"/>
  <c r="A159" i="803" s="1"/>
  <c r="B160" i="803"/>
  <c r="A160" i="803" s="1"/>
  <c r="B161" i="803"/>
  <c r="A161" i="803" s="1"/>
  <c r="B162" i="803"/>
  <c r="A162" i="803" s="1"/>
  <c r="B163" i="803"/>
  <c r="A163" i="803" s="1"/>
  <c r="B164" i="803"/>
  <c r="A164" i="803" s="1"/>
  <c r="B165" i="803"/>
  <c r="A165" i="803" s="1"/>
  <c r="B166" i="803"/>
  <c r="A166" i="803" s="1"/>
  <c r="B167" i="803"/>
  <c r="A167" i="803" s="1"/>
  <c r="B168" i="803"/>
  <c r="A168" i="803" s="1"/>
  <c r="B169" i="803"/>
  <c r="A169" i="803" s="1"/>
  <c r="B170" i="803"/>
  <c r="A170" i="803" s="1"/>
  <c r="B171" i="803"/>
  <c r="A171" i="803" s="1"/>
  <c r="B172" i="803"/>
  <c r="A172" i="803" s="1"/>
  <c r="B173" i="803"/>
  <c r="A173" i="803" s="1"/>
  <c r="B174" i="803"/>
  <c r="A174" i="803" s="1"/>
  <c r="B175" i="803"/>
  <c r="A175" i="803" s="1"/>
  <c r="B176" i="803"/>
  <c r="A176" i="803" s="1"/>
  <c r="B177" i="803"/>
  <c r="A177" i="803" s="1"/>
  <c r="B178" i="803"/>
  <c r="A178" i="803" s="1"/>
  <c r="B179" i="803"/>
  <c r="A179" i="803" s="1"/>
  <c r="B180" i="803"/>
  <c r="A180" i="803" s="1"/>
  <c r="B177" i="801"/>
  <c r="C177" i="801"/>
  <c r="B178" i="801"/>
  <c r="C178" i="801"/>
  <c r="B179" i="801"/>
  <c r="C179" i="801"/>
  <c r="B180" i="801"/>
  <c r="C180" i="801"/>
  <c r="B181" i="801"/>
  <c r="C181" i="801"/>
  <c r="B182" i="801"/>
  <c r="C182" i="801"/>
  <c r="B183" i="801"/>
  <c r="C183" i="801"/>
  <c r="B184" i="801"/>
  <c r="C184" i="801"/>
  <c r="B185" i="801"/>
  <c r="C185" i="801"/>
  <c r="B186" i="801"/>
  <c r="C186" i="801"/>
  <c r="B187" i="801"/>
  <c r="C187" i="801"/>
  <c r="B188" i="801"/>
  <c r="C188" i="801"/>
  <c r="B189" i="801"/>
  <c r="C189" i="801"/>
  <c r="B190" i="801"/>
  <c r="C190" i="801"/>
  <c r="B191" i="801"/>
  <c r="C191" i="801"/>
  <c r="B192" i="801"/>
  <c r="C192" i="801"/>
  <c r="B193" i="801"/>
  <c r="C193" i="801"/>
  <c r="B194" i="801"/>
  <c r="C194" i="801"/>
  <c r="B195" i="801"/>
  <c r="C195" i="801"/>
  <c r="B196" i="801"/>
  <c r="C196" i="801"/>
  <c r="B197" i="801"/>
  <c r="C197" i="801"/>
  <c r="B198" i="801"/>
  <c r="C198" i="801"/>
  <c r="B199" i="801"/>
  <c r="C199" i="801"/>
  <c r="B200" i="801"/>
  <c r="C200" i="801"/>
  <c r="B201" i="801"/>
  <c r="C201" i="801"/>
  <c r="B202" i="801"/>
  <c r="C202" i="801"/>
  <c r="B203" i="801"/>
  <c r="C203" i="801"/>
  <c r="B204" i="801"/>
  <c r="C204" i="801"/>
  <c r="B205" i="801"/>
  <c r="C205" i="801"/>
  <c r="B206" i="801"/>
  <c r="C206" i="801"/>
  <c r="B207" i="801"/>
  <c r="C207" i="801"/>
  <c r="B208" i="801"/>
  <c r="C208" i="801"/>
  <c r="B209" i="801"/>
  <c r="C209" i="801"/>
  <c r="B210" i="801"/>
  <c r="C210" i="801"/>
  <c r="B211" i="801"/>
  <c r="C211" i="801"/>
  <c r="B212" i="801"/>
  <c r="C212" i="801"/>
  <c r="B213" i="801"/>
  <c r="C213" i="801"/>
  <c r="B214" i="801"/>
  <c r="C214" i="801"/>
  <c r="B215" i="801"/>
  <c r="C215" i="801"/>
  <c r="B216" i="801"/>
  <c r="C216" i="801"/>
  <c r="B217" i="801"/>
  <c r="C217" i="801"/>
  <c r="B218" i="801"/>
  <c r="C218" i="801"/>
  <c r="B219" i="801"/>
  <c r="C219" i="801"/>
  <c r="B220" i="801"/>
  <c r="C220" i="801"/>
  <c r="B221" i="801"/>
  <c r="C221" i="801"/>
  <c r="B222" i="801"/>
  <c r="C222" i="801"/>
  <c r="B223" i="801"/>
  <c r="C223" i="801"/>
  <c r="B224" i="801"/>
  <c r="C224" i="801"/>
  <c r="B225" i="801"/>
  <c r="C225" i="801"/>
  <c r="B226" i="801"/>
  <c r="C226" i="801"/>
  <c r="B227" i="801"/>
  <c r="C227" i="801"/>
  <c r="B228" i="801"/>
  <c r="C228" i="801"/>
  <c r="B229" i="801"/>
  <c r="C229" i="801"/>
  <c r="B230" i="801"/>
  <c r="C230" i="801"/>
  <c r="B231" i="801"/>
  <c r="C231" i="801"/>
  <c r="B232" i="801"/>
  <c r="C232" i="801"/>
  <c r="B233" i="801"/>
  <c r="C233" i="801"/>
  <c r="B234" i="801"/>
  <c r="C234" i="801"/>
  <c r="B235" i="801"/>
  <c r="C235" i="801"/>
  <c r="B236" i="801"/>
  <c r="C236" i="801"/>
  <c r="B237" i="801"/>
  <c r="C237" i="801"/>
  <c r="B238" i="801"/>
  <c r="C238" i="801"/>
  <c r="B239" i="801"/>
  <c r="C239" i="801"/>
  <c r="B240" i="801"/>
  <c r="C240" i="801"/>
  <c r="B241" i="801"/>
  <c r="C241" i="801"/>
  <c r="B242" i="801"/>
  <c r="C242" i="801"/>
  <c r="B243" i="801"/>
  <c r="C243" i="801"/>
  <c r="B244" i="801"/>
  <c r="C244" i="801"/>
  <c r="B245" i="801"/>
  <c r="C245" i="801"/>
  <c r="B246" i="801"/>
  <c r="C246" i="801"/>
  <c r="B247" i="801"/>
  <c r="C247" i="801"/>
  <c r="B248" i="801"/>
  <c r="C248" i="801"/>
  <c r="B249" i="801"/>
  <c r="C249" i="801"/>
  <c r="B250" i="801"/>
  <c r="C250" i="801"/>
  <c r="B251" i="801"/>
  <c r="C251" i="801"/>
  <c r="B252" i="801"/>
  <c r="C252" i="801"/>
  <c r="B253" i="801"/>
  <c r="C253" i="801"/>
  <c r="B254" i="801"/>
  <c r="C254" i="801"/>
  <c r="B255" i="801"/>
  <c r="C255" i="801"/>
  <c r="B256" i="801"/>
  <c r="C256" i="801"/>
  <c r="B257" i="801"/>
  <c r="C257" i="801"/>
  <c r="B258" i="801"/>
  <c r="C258" i="801"/>
  <c r="B259" i="801"/>
  <c r="C259" i="801"/>
  <c r="B260" i="801"/>
  <c r="C260" i="801"/>
  <c r="B261" i="801"/>
  <c r="C261" i="801"/>
  <c r="B262" i="801"/>
  <c r="C262" i="801"/>
  <c r="B263" i="801"/>
  <c r="C263" i="801"/>
  <c r="B264" i="801"/>
  <c r="C264" i="801"/>
  <c r="B265" i="801"/>
  <c r="C265" i="801"/>
  <c r="B266" i="801"/>
  <c r="C266" i="801"/>
  <c r="B267" i="801"/>
  <c r="C267" i="801"/>
  <c r="B268" i="801"/>
  <c r="C268" i="801"/>
  <c r="B269" i="801"/>
  <c r="C269" i="801"/>
  <c r="B270" i="801"/>
  <c r="C270" i="801"/>
  <c r="B271" i="801"/>
  <c r="C271" i="801"/>
  <c r="B272" i="801"/>
  <c r="C272" i="801"/>
  <c r="E272" i="801"/>
  <c r="B273" i="801"/>
  <c r="C273" i="801"/>
  <c r="E273" i="801"/>
  <c r="B274" i="801"/>
  <c r="C274" i="801"/>
  <c r="E274" i="801"/>
  <c r="B275" i="801"/>
  <c r="C275" i="801"/>
  <c r="E275" i="801"/>
  <c r="B276" i="801"/>
  <c r="C276" i="801"/>
  <c r="E276" i="801"/>
  <c r="B277" i="801"/>
  <c r="C277" i="801"/>
  <c r="E277" i="801"/>
  <c r="B278" i="801"/>
  <c r="C278" i="801"/>
  <c r="E278" i="801"/>
  <c r="B279" i="801"/>
  <c r="C279" i="801"/>
  <c r="E279" i="801"/>
  <c r="B280" i="801"/>
  <c r="C280" i="801"/>
  <c r="E280" i="801"/>
  <c r="B281" i="801"/>
  <c r="C281" i="801"/>
  <c r="E281" i="801"/>
  <c r="B282" i="801"/>
  <c r="C282" i="801"/>
  <c r="E282" i="801"/>
  <c r="B283" i="801"/>
  <c r="C283" i="801"/>
  <c r="E283" i="801"/>
  <c r="B284" i="801"/>
  <c r="C284" i="801"/>
  <c r="E284" i="801"/>
  <c r="B285" i="801"/>
  <c r="C285" i="801"/>
  <c r="E285" i="801"/>
  <c r="B286" i="801"/>
  <c r="C286" i="801"/>
  <c r="E286" i="801"/>
  <c r="B287" i="801"/>
  <c r="C287" i="801"/>
  <c r="E287" i="801"/>
  <c r="B288" i="801"/>
  <c r="C288" i="801"/>
  <c r="E288" i="801"/>
  <c r="B289" i="801"/>
  <c r="C289" i="801"/>
  <c r="E289" i="801"/>
  <c r="B290" i="801"/>
  <c r="C290" i="801"/>
  <c r="E290" i="801"/>
  <c r="B291" i="801"/>
  <c r="C291" i="801"/>
  <c r="E291" i="801"/>
  <c r="B292" i="801"/>
  <c r="C292" i="801"/>
  <c r="E292" i="801"/>
  <c r="B293" i="801"/>
  <c r="C293" i="801"/>
  <c r="E293" i="801"/>
  <c r="B294" i="801"/>
  <c r="C294" i="801"/>
  <c r="E294" i="801"/>
  <c r="B295" i="801"/>
  <c r="C295" i="801"/>
  <c r="E295" i="801"/>
  <c r="B296" i="801"/>
  <c r="C296" i="801"/>
  <c r="E296" i="801"/>
  <c r="B297" i="801"/>
  <c r="C297" i="801"/>
  <c r="E297" i="801"/>
  <c r="B298" i="801"/>
  <c r="C298" i="801"/>
  <c r="E298" i="801"/>
  <c r="B299" i="801"/>
  <c r="C299" i="801"/>
  <c r="E299" i="801"/>
  <c r="B300" i="801"/>
  <c r="C300" i="801"/>
  <c r="E300" i="801"/>
  <c r="B301" i="801"/>
  <c r="C301" i="801"/>
  <c r="E301" i="801"/>
  <c r="B302" i="801"/>
  <c r="C302" i="801"/>
  <c r="E302" i="801"/>
  <c r="B303" i="801"/>
  <c r="C303" i="801"/>
  <c r="E303" i="801"/>
  <c r="B304" i="801"/>
  <c r="C304" i="801"/>
  <c r="E304" i="801"/>
  <c r="B305" i="801"/>
  <c r="C305" i="801"/>
  <c r="E305" i="801"/>
  <c r="B306" i="801"/>
  <c r="C306" i="801"/>
  <c r="E306" i="801"/>
  <c r="B307" i="801"/>
  <c r="C307" i="801"/>
  <c r="E307" i="801"/>
  <c r="B308" i="801"/>
  <c r="C308" i="801"/>
  <c r="E308" i="801"/>
  <c r="B309" i="801"/>
  <c r="C309" i="801"/>
  <c r="E309" i="801"/>
  <c r="B310" i="801"/>
  <c r="C310" i="801"/>
  <c r="E310" i="801"/>
  <c r="B311" i="801"/>
  <c r="C311" i="801"/>
  <c r="E311" i="801"/>
  <c r="B312" i="801"/>
  <c r="C312" i="801"/>
  <c r="E312" i="801"/>
  <c r="B313" i="801"/>
  <c r="C313" i="801"/>
  <c r="E313" i="801"/>
  <c r="B314" i="801"/>
  <c r="C314" i="801"/>
  <c r="E314" i="801"/>
  <c r="B315" i="801"/>
  <c r="C315" i="801"/>
  <c r="E315" i="801"/>
  <c r="B316" i="801"/>
  <c r="C316" i="801"/>
  <c r="E316" i="801"/>
  <c r="B317" i="801"/>
  <c r="C317" i="801"/>
  <c r="E317" i="801"/>
  <c r="B318" i="801"/>
  <c r="C318" i="801"/>
  <c r="E318" i="801"/>
  <c r="B319" i="801"/>
  <c r="C319" i="801"/>
  <c r="E319" i="801"/>
  <c r="B320" i="801"/>
  <c r="C320" i="801"/>
  <c r="E320" i="801"/>
  <c r="B321" i="801"/>
  <c r="C321" i="801"/>
  <c r="E321" i="801"/>
  <c r="B322" i="801"/>
  <c r="C322" i="801"/>
  <c r="E322" i="801"/>
  <c r="B323" i="801"/>
  <c r="C323" i="801"/>
  <c r="E323" i="801"/>
  <c r="B324" i="801"/>
  <c r="C324" i="801"/>
  <c r="E324" i="801"/>
  <c r="B325" i="801"/>
  <c r="C325" i="801"/>
  <c r="E325" i="801"/>
  <c r="B326" i="801"/>
  <c r="C326" i="801"/>
  <c r="E326" i="801"/>
  <c r="B327" i="801"/>
  <c r="C327" i="801"/>
  <c r="E327" i="801"/>
  <c r="B328" i="801"/>
  <c r="C328" i="801"/>
  <c r="E328" i="801"/>
  <c r="B329" i="801"/>
  <c r="C329" i="801"/>
  <c r="E329" i="801"/>
  <c r="B330" i="801"/>
  <c r="C330" i="801"/>
  <c r="E330" i="801"/>
  <c r="B331" i="801"/>
  <c r="C331" i="801"/>
  <c r="E331" i="801"/>
  <c r="B332" i="801"/>
  <c r="C332" i="801"/>
  <c r="E332" i="801"/>
  <c r="B333" i="801"/>
  <c r="C333" i="801"/>
  <c r="E333" i="801"/>
  <c r="B334" i="801"/>
  <c r="C334" i="801"/>
  <c r="E334" i="801"/>
  <c r="B335" i="801"/>
  <c r="C335" i="801"/>
  <c r="E335" i="801"/>
  <c r="B336" i="801"/>
  <c r="C336" i="801"/>
  <c r="E336" i="801"/>
  <c r="B337" i="801"/>
  <c r="C337" i="801"/>
  <c r="E337" i="801"/>
  <c r="B338" i="801"/>
  <c r="C338" i="801"/>
  <c r="E338" i="801"/>
  <c r="B339" i="801"/>
  <c r="C339" i="801"/>
  <c r="E339" i="801"/>
  <c r="B340" i="801"/>
  <c r="C340" i="801"/>
  <c r="E340" i="801"/>
  <c r="B341" i="801"/>
  <c r="C341" i="801"/>
  <c r="E341" i="801"/>
  <c r="B342" i="801"/>
  <c r="C342" i="801"/>
  <c r="E342" i="801"/>
  <c r="B343" i="801"/>
  <c r="C343" i="801"/>
  <c r="E343" i="801"/>
  <c r="B344" i="801"/>
  <c r="C344" i="801"/>
  <c r="E344" i="801"/>
  <c r="B345" i="801"/>
  <c r="C345" i="801"/>
  <c r="E345" i="801"/>
  <c r="B346" i="801"/>
  <c r="C346" i="801"/>
  <c r="E346" i="801"/>
  <c r="B347" i="801"/>
  <c r="C347" i="801"/>
  <c r="E347" i="801"/>
  <c r="B348" i="801"/>
  <c r="C348" i="801"/>
  <c r="E348" i="801"/>
  <c r="B349" i="801"/>
  <c r="C349" i="801"/>
  <c r="E349" i="801"/>
  <c r="B350" i="801"/>
  <c r="C350" i="801"/>
  <c r="E350" i="801"/>
  <c r="B351" i="801"/>
  <c r="C351" i="801"/>
  <c r="E351" i="801"/>
  <c r="B352" i="801"/>
  <c r="C352" i="801"/>
  <c r="E352" i="801"/>
  <c r="B353" i="801"/>
  <c r="C353" i="801"/>
  <c r="E353" i="801"/>
  <c r="B354" i="801"/>
  <c r="C354" i="801"/>
  <c r="E354" i="801"/>
  <c r="B355" i="801"/>
  <c r="C355" i="801"/>
  <c r="E355" i="801"/>
  <c r="B356" i="801"/>
  <c r="C356" i="801"/>
  <c r="E356" i="801"/>
  <c r="B357" i="801"/>
  <c r="C357" i="801"/>
  <c r="E357" i="801"/>
  <c r="B358" i="801"/>
  <c r="C358" i="801"/>
  <c r="E358" i="801"/>
  <c r="B359" i="801"/>
  <c r="C359" i="801"/>
  <c r="E359" i="801"/>
  <c r="B360" i="801"/>
  <c r="C360" i="801"/>
  <c r="E360" i="801"/>
  <c r="B361" i="801"/>
  <c r="C361" i="801"/>
  <c r="E361" i="801"/>
  <c r="B362" i="801"/>
  <c r="C362" i="801"/>
  <c r="E362" i="801"/>
  <c r="B363" i="801"/>
  <c r="C363" i="801"/>
  <c r="E363" i="801"/>
  <c r="B364" i="801"/>
  <c r="C364" i="801"/>
  <c r="E364" i="801"/>
  <c r="B365" i="801"/>
  <c r="C365" i="801"/>
  <c r="E365" i="801"/>
  <c r="B366" i="801"/>
  <c r="C366" i="801"/>
  <c r="E366" i="801"/>
  <c r="B367" i="801"/>
  <c r="C367" i="801"/>
  <c r="E367" i="801"/>
  <c r="B368" i="801"/>
  <c r="C368" i="801"/>
  <c r="E368" i="801"/>
  <c r="B369" i="801"/>
  <c r="C369" i="801"/>
  <c r="E369" i="801"/>
  <c r="B370" i="801"/>
  <c r="C370" i="801"/>
  <c r="E370" i="801"/>
  <c r="B371" i="801"/>
  <c r="C371" i="801"/>
  <c r="E371" i="801"/>
  <c r="B372" i="801"/>
  <c r="C372" i="801"/>
  <c r="E372" i="801"/>
  <c r="B373" i="801"/>
  <c r="C373" i="801"/>
  <c r="E373" i="801"/>
  <c r="B374" i="801"/>
  <c r="C374" i="801"/>
  <c r="E374" i="801"/>
  <c r="B375" i="801"/>
  <c r="C375" i="801"/>
  <c r="E375" i="801"/>
  <c r="B376" i="801"/>
  <c r="C376" i="801"/>
  <c r="E376" i="801"/>
  <c r="B377" i="801"/>
  <c r="C377" i="801"/>
  <c r="E377" i="801"/>
  <c r="B378" i="801"/>
  <c r="C378" i="801"/>
  <c r="E378" i="801"/>
  <c r="B379" i="801"/>
  <c r="C379" i="801"/>
  <c r="E379" i="801"/>
  <c r="B380" i="801"/>
  <c r="C380" i="801"/>
  <c r="E380" i="801"/>
  <c r="B381" i="801"/>
  <c r="C381" i="801"/>
  <c r="E381" i="801"/>
  <c r="B382" i="801"/>
  <c r="C382" i="801"/>
  <c r="E382" i="801"/>
  <c r="B383" i="801"/>
  <c r="C383" i="801"/>
  <c r="E383" i="801"/>
  <c r="B384" i="801"/>
  <c r="C384" i="801"/>
  <c r="E384" i="801"/>
  <c r="B385" i="801"/>
  <c r="C385" i="801"/>
  <c r="E385" i="801"/>
  <c r="B386" i="801"/>
  <c r="C386" i="801"/>
  <c r="E386" i="801"/>
  <c r="B387" i="801"/>
  <c r="C387" i="801"/>
  <c r="E387" i="801"/>
  <c r="B388" i="801"/>
  <c r="C388" i="801"/>
  <c r="E388" i="801"/>
  <c r="B389" i="801"/>
  <c r="C389" i="801"/>
  <c r="E389" i="801"/>
  <c r="B390" i="801"/>
  <c r="C390" i="801"/>
  <c r="E390" i="801"/>
  <c r="B391" i="801"/>
  <c r="C391" i="801"/>
  <c r="E391" i="801"/>
  <c r="B392" i="801"/>
  <c r="C392" i="801"/>
  <c r="E392" i="801"/>
  <c r="B393" i="801"/>
  <c r="C393" i="801"/>
  <c r="E393" i="801"/>
  <c r="B394" i="801"/>
  <c r="C394" i="801"/>
  <c r="E394" i="801"/>
  <c r="B395" i="801"/>
  <c r="C395" i="801"/>
  <c r="E395" i="801"/>
  <c r="B396" i="801"/>
  <c r="C396" i="801"/>
  <c r="E396" i="801"/>
  <c r="B397" i="801"/>
  <c r="C397" i="801"/>
  <c r="E397" i="801"/>
  <c r="B398" i="801"/>
  <c r="C398" i="801"/>
  <c r="E398" i="801"/>
  <c r="B399" i="801"/>
  <c r="C399" i="801"/>
  <c r="E399" i="801"/>
  <c r="B400" i="801"/>
  <c r="C400" i="801"/>
  <c r="E400" i="801"/>
  <c r="B401" i="801"/>
  <c r="C401" i="801"/>
  <c r="E401" i="801"/>
  <c r="B402" i="801"/>
  <c r="C402" i="801"/>
  <c r="E402" i="801"/>
  <c r="B403" i="801"/>
  <c r="C403" i="801"/>
  <c r="E403" i="801"/>
  <c r="B404" i="801"/>
  <c r="C404" i="801"/>
  <c r="E404" i="801"/>
  <c r="B405" i="801"/>
  <c r="C405" i="801"/>
  <c r="E405" i="801"/>
  <c r="B406" i="801"/>
  <c r="C406" i="801"/>
  <c r="E406" i="801"/>
  <c r="B407" i="801"/>
  <c r="C407" i="801"/>
  <c r="E407" i="801"/>
  <c r="B408" i="801"/>
  <c r="C408" i="801"/>
  <c r="E408" i="801"/>
  <c r="B409" i="801"/>
  <c r="C409" i="801"/>
  <c r="E409" i="801"/>
  <c r="B410" i="801"/>
  <c r="C410" i="801"/>
  <c r="E410" i="801"/>
  <c r="B411" i="801"/>
  <c r="C411" i="801"/>
  <c r="E411" i="801"/>
  <c r="B412" i="801"/>
  <c r="C412" i="801"/>
  <c r="E412" i="801"/>
  <c r="B413" i="801"/>
  <c r="C413" i="801"/>
  <c r="E413" i="801"/>
  <c r="B414" i="801"/>
  <c r="C414" i="801"/>
  <c r="E414" i="801"/>
  <c r="B415" i="801"/>
  <c r="C415" i="801"/>
  <c r="E415" i="801"/>
  <c r="B416" i="801"/>
  <c r="C416" i="801"/>
  <c r="E416" i="801"/>
  <c r="B417" i="801"/>
  <c r="C417" i="801"/>
  <c r="E417" i="801"/>
  <c r="B418" i="801"/>
  <c r="C418" i="801"/>
  <c r="E418" i="801"/>
  <c r="B419" i="801"/>
  <c r="C419" i="801"/>
  <c r="E419" i="801"/>
  <c r="B420" i="801"/>
  <c r="C420" i="801"/>
  <c r="E420" i="801"/>
  <c r="B421" i="801"/>
  <c r="C421" i="801"/>
  <c r="E421" i="801"/>
  <c r="B422" i="801"/>
  <c r="C422" i="801"/>
  <c r="E422" i="801"/>
  <c r="B423" i="801"/>
  <c r="C423" i="801"/>
  <c r="E423" i="801"/>
  <c r="B424" i="801"/>
  <c r="C424" i="801"/>
  <c r="E424" i="801"/>
  <c r="B425" i="801"/>
  <c r="C425" i="801"/>
  <c r="E425" i="801"/>
  <c r="B426" i="801"/>
  <c r="C426" i="801"/>
  <c r="E426" i="801"/>
  <c r="B427" i="801"/>
  <c r="C427" i="801"/>
  <c r="E427" i="801"/>
  <c r="B428" i="801"/>
  <c r="C428" i="801"/>
  <c r="E428" i="801"/>
  <c r="B429" i="801"/>
  <c r="C429" i="801"/>
  <c r="E429" i="801"/>
  <c r="B430" i="801"/>
  <c r="C430" i="801"/>
  <c r="E430" i="801"/>
  <c r="B431" i="801"/>
  <c r="C431" i="801"/>
  <c r="E431" i="801"/>
  <c r="B432" i="801"/>
  <c r="C432" i="801"/>
  <c r="E432" i="801"/>
  <c r="B433" i="801"/>
  <c r="C433" i="801"/>
  <c r="E433" i="801"/>
  <c r="B434" i="801"/>
  <c r="C434" i="801"/>
  <c r="E434" i="801"/>
  <c r="B435" i="801"/>
  <c r="C435" i="801"/>
  <c r="E435" i="801"/>
  <c r="B436" i="801"/>
  <c r="C436" i="801"/>
  <c r="E436" i="801"/>
  <c r="B437" i="801"/>
  <c r="C437" i="801"/>
  <c r="E437" i="801"/>
  <c r="B438" i="801"/>
  <c r="C438" i="801"/>
  <c r="E438" i="801"/>
  <c r="B439" i="801"/>
  <c r="C439" i="801"/>
  <c r="E439" i="801"/>
  <c r="B440" i="801"/>
  <c r="C440" i="801"/>
  <c r="E440" i="801"/>
  <c r="B441" i="801"/>
  <c r="C441" i="801"/>
  <c r="E441" i="801"/>
  <c r="B442" i="801"/>
  <c r="C442" i="801"/>
  <c r="E442" i="801"/>
  <c r="B443" i="801"/>
  <c r="C443" i="801"/>
  <c r="E443" i="801"/>
  <c r="B444" i="801"/>
  <c r="C444" i="801"/>
  <c r="E444" i="801"/>
  <c r="B445" i="801"/>
  <c r="C445" i="801"/>
  <c r="E445" i="801"/>
  <c r="B446" i="801"/>
  <c r="C446" i="801"/>
  <c r="E446" i="801"/>
  <c r="B447" i="801"/>
  <c r="C447" i="801"/>
  <c r="E447" i="801"/>
  <c r="B448" i="801"/>
  <c r="C448" i="801"/>
  <c r="E448" i="801"/>
  <c r="B449" i="801"/>
  <c r="C449" i="801"/>
  <c r="E449" i="801"/>
  <c r="B450" i="801"/>
  <c r="C450" i="801"/>
  <c r="E450" i="801"/>
  <c r="B451" i="801"/>
  <c r="C451" i="801"/>
  <c r="E451" i="801"/>
  <c r="B452" i="801"/>
  <c r="C452" i="801"/>
  <c r="E452" i="801"/>
  <c r="B453" i="801"/>
  <c r="C453" i="801"/>
  <c r="E453" i="801"/>
  <c r="B454" i="801"/>
  <c r="C454" i="801"/>
  <c r="E454" i="801"/>
  <c r="B455" i="801"/>
  <c r="C455" i="801"/>
  <c r="E455" i="801"/>
  <c r="B456" i="801"/>
  <c r="C456" i="801"/>
  <c r="E456" i="801"/>
  <c r="B457" i="801"/>
  <c r="C457" i="801"/>
  <c r="E457" i="801"/>
  <c r="B458" i="801"/>
  <c r="C458" i="801"/>
  <c r="E458" i="801"/>
  <c r="B459" i="801"/>
  <c r="C459" i="801"/>
  <c r="E459" i="801"/>
  <c r="B460" i="801"/>
  <c r="C460" i="801"/>
  <c r="E460" i="801"/>
  <c r="B461" i="801"/>
  <c r="C461" i="801"/>
  <c r="E461" i="801"/>
  <c r="B462" i="801"/>
  <c r="C462" i="801"/>
  <c r="E462" i="801"/>
  <c r="B463" i="801"/>
  <c r="C463" i="801"/>
  <c r="E463" i="801"/>
  <c r="B464" i="801"/>
  <c r="C464" i="801"/>
  <c r="E464" i="801"/>
  <c r="B465" i="801"/>
  <c r="C465" i="801"/>
  <c r="E465" i="801"/>
  <c r="B466" i="801"/>
  <c r="C466" i="801"/>
  <c r="E466" i="801"/>
  <c r="B467" i="801"/>
  <c r="C467" i="801"/>
  <c r="E467" i="801"/>
  <c r="B468" i="801"/>
  <c r="C468" i="801"/>
  <c r="E468" i="801"/>
  <c r="B469" i="801"/>
  <c r="C469" i="801"/>
  <c r="E469" i="801"/>
  <c r="B470" i="801"/>
  <c r="C470" i="801"/>
  <c r="E470" i="801"/>
  <c r="B471" i="801"/>
  <c r="C471" i="801"/>
  <c r="E471" i="801"/>
  <c r="B472" i="801"/>
  <c r="C472" i="801"/>
  <c r="E472" i="801"/>
  <c r="B473" i="801"/>
  <c r="C473" i="801"/>
  <c r="E473" i="801"/>
  <c r="B474" i="801"/>
  <c r="C474" i="801"/>
  <c r="E474" i="801"/>
  <c r="B475" i="801"/>
  <c r="C475" i="801"/>
  <c r="E475" i="801"/>
  <c r="B476" i="801"/>
  <c r="C476" i="801"/>
  <c r="E476" i="801"/>
  <c r="B477" i="801"/>
  <c r="C477" i="801"/>
  <c r="E477" i="801"/>
  <c r="B478" i="801"/>
  <c r="C478" i="801"/>
  <c r="E478" i="801"/>
  <c r="B479" i="801"/>
  <c r="C479" i="801"/>
  <c r="E479" i="801"/>
  <c r="B480" i="801"/>
  <c r="C480" i="801"/>
  <c r="E480" i="801"/>
  <c r="B481" i="801"/>
  <c r="C481" i="801"/>
  <c r="E481" i="801"/>
  <c r="B482" i="801"/>
  <c r="C482" i="801"/>
  <c r="E482" i="801"/>
  <c r="B483" i="801"/>
  <c r="C483" i="801"/>
  <c r="E483" i="801"/>
  <c r="B484" i="801"/>
  <c r="C484" i="801"/>
  <c r="E484" i="801"/>
  <c r="B485" i="801"/>
  <c r="C485" i="801"/>
  <c r="E485" i="801"/>
  <c r="B486" i="801"/>
  <c r="C486" i="801"/>
  <c r="E486" i="801"/>
  <c r="B487" i="801"/>
  <c r="C487" i="801"/>
  <c r="E487" i="801"/>
  <c r="B488" i="801"/>
  <c r="C488" i="801"/>
  <c r="E488" i="801"/>
  <c r="B489" i="801"/>
  <c r="C489" i="801"/>
  <c r="E489" i="801"/>
  <c r="B490" i="801"/>
  <c r="C490" i="801"/>
  <c r="E490" i="801"/>
  <c r="B491" i="801"/>
  <c r="C491" i="801"/>
  <c r="E491" i="801"/>
  <c r="B492" i="801"/>
  <c r="C492" i="801"/>
  <c r="E492" i="801"/>
  <c r="B493" i="801"/>
  <c r="C493" i="801"/>
  <c r="E493" i="801"/>
  <c r="B494" i="801"/>
  <c r="C494" i="801"/>
  <c r="E494" i="801"/>
  <c r="B495" i="801"/>
  <c r="C495" i="801"/>
  <c r="E495" i="801"/>
  <c r="B496" i="801"/>
  <c r="C496" i="801"/>
  <c r="E496" i="801"/>
  <c r="B497" i="801"/>
  <c r="C497" i="801"/>
  <c r="E497" i="801"/>
  <c r="B498" i="801"/>
  <c r="C498" i="801"/>
  <c r="E498" i="801"/>
  <c r="B499" i="801"/>
  <c r="C499" i="801"/>
  <c r="E499" i="801"/>
  <c r="B500" i="801"/>
  <c r="C500" i="801"/>
  <c r="E500" i="801"/>
  <c r="B501" i="801"/>
  <c r="C501" i="801"/>
  <c r="E501" i="801"/>
  <c r="B502" i="801"/>
  <c r="C502" i="801"/>
  <c r="E502" i="801"/>
  <c r="B503" i="801"/>
  <c r="C503" i="801"/>
  <c r="E503" i="801"/>
  <c r="B504" i="801"/>
  <c r="C504" i="801"/>
  <c r="E504" i="801"/>
  <c r="B505" i="801"/>
  <c r="C505" i="801"/>
  <c r="E505" i="801"/>
  <c r="B506" i="801"/>
  <c r="C506" i="801"/>
  <c r="E506" i="801"/>
  <c r="B507" i="801"/>
  <c r="C507" i="801"/>
  <c r="E507" i="801"/>
  <c r="B508" i="801"/>
  <c r="C508" i="801"/>
  <c r="E508" i="801"/>
  <c r="B509" i="801"/>
  <c r="C509" i="801"/>
  <c r="E509" i="801"/>
  <c r="B510" i="801"/>
  <c r="C510" i="801"/>
  <c r="E510" i="801"/>
  <c r="B511" i="801"/>
  <c r="C511" i="801"/>
  <c r="E511" i="801"/>
  <c r="B512" i="801"/>
  <c r="C512" i="801"/>
  <c r="E512" i="801"/>
  <c r="B513" i="801"/>
  <c r="C513" i="801"/>
  <c r="E513" i="801"/>
  <c r="B514" i="801"/>
  <c r="C514" i="801"/>
  <c r="E514" i="801"/>
  <c r="B515" i="801"/>
  <c r="C515" i="801"/>
  <c r="E515" i="801"/>
  <c r="B516" i="801"/>
  <c r="C516" i="801"/>
  <c r="E516" i="801"/>
  <c r="B517" i="801"/>
  <c r="C517" i="801"/>
  <c r="E517" i="801"/>
  <c r="B518" i="801"/>
  <c r="C518" i="801"/>
  <c r="E518" i="801"/>
  <c r="B519" i="801"/>
  <c r="C519" i="801"/>
  <c r="E519" i="801"/>
  <c r="B520" i="801"/>
  <c r="C520" i="801"/>
  <c r="E520" i="801"/>
  <c r="B521" i="801"/>
  <c r="C521" i="801"/>
  <c r="E521" i="801"/>
  <c r="B522" i="801"/>
  <c r="C522" i="801"/>
  <c r="E522" i="801"/>
  <c r="B523" i="801"/>
  <c r="C523" i="801"/>
  <c r="E523" i="801"/>
  <c r="B524" i="801"/>
  <c r="C524" i="801"/>
  <c r="E524" i="801"/>
  <c r="B525" i="801"/>
  <c r="C525" i="801"/>
  <c r="E525" i="801"/>
  <c r="B526" i="801"/>
  <c r="C526" i="801"/>
  <c r="E526" i="801"/>
  <c r="B527" i="801"/>
  <c r="C527" i="801"/>
  <c r="E527" i="801"/>
  <c r="B528" i="801"/>
  <c r="C528" i="801"/>
  <c r="E528" i="801"/>
  <c r="B529" i="801"/>
  <c r="C529" i="801"/>
  <c r="E529" i="801"/>
  <c r="B530" i="801"/>
  <c r="C530" i="801"/>
  <c r="E530" i="801"/>
  <c r="B531" i="801"/>
  <c r="C531" i="801"/>
  <c r="E531" i="801"/>
  <c r="B532" i="801"/>
  <c r="C532" i="801"/>
  <c r="E532" i="801"/>
  <c r="B533" i="801"/>
  <c r="C533" i="801"/>
  <c r="E533" i="801"/>
  <c r="B534" i="801"/>
  <c r="C534" i="801"/>
  <c r="E534" i="801"/>
  <c r="B535" i="801"/>
  <c r="C535" i="801"/>
  <c r="E535" i="801"/>
  <c r="B536" i="801"/>
  <c r="C536" i="801"/>
  <c r="E536" i="801"/>
  <c r="B537" i="801"/>
  <c r="C537" i="801"/>
  <c r="E537" i="801"/>
  <c r="B538" i="801"/>
  <c r="C538" i="801"/>
  <c r="E538" i="801"/>
  <c r="B539" i="801"/>
  <c r="C539" i="801"/>
  <c r="E539" i="801"/>
  <c r="B540" i="801"/>
  <c r="C540" i="801"/>
  <c r="E540" i="801"/>
  <c r="B541" i="801"/>
  <c r="C541" i="801"/>
  <c r="E541" i="801"/>
  <c r="B542" i="801"/>
  <c r="C542" i="801"/>
  <c r="E542" i="801"/>
  <c r="B543" i="801"/>
  <c r="C543" i="801"/>
  <c r="E543" i="801"/>
  <c r="B544" i="801"/>
  <c r="C544" i="801"/>
  <c r="E544" i="801"/>
  <c r="B545" i="801"/>
  <c r="C545" i="801"/>
  <c r="E545" i="801"/>
  <c r="B546" i="801"/>
  <c r="C546" i="801"/>
  <c r="E546" i="801"/>
  <c r="B547" i="801"/>
  <c r="C547" i="801"/>
  <c r="E547" i="801"/>
  <c r="B548" i="801"/>
  <c r="C548" i="801"/>
  <c r="E548" i="801"/>
  <c r="B549" i="801"/>
  <c r="C549" i="801"/>
  <c r="E549" i="801"/>
  <c r="B550" i="801"/>
  <c r="C550" i="801"/>
  <c r="E550" i="801"/>
  <c r="B551" i="801"/>
  <c r="C551" i="801"/>
  <c r="E551" i="801"/>
  <c r="B552" i="801"/>
  <c r="C552" i="801"/>
  <c r="E552" i="801"/>
  <c r="B553" i="801"/>
  <c r="C553" i="801"/>
  <c r="E553" i="801"/>
  <c r="B554" i="801"/>
  <c r="C554" i="801"/>
  <c r="E554" i="801"/>
  <c r="B555" i="801"/>
  <c r="C555" i="801"/>
  <c r="E555" i="801"/>
  <c r="B556" i="801"/>
  <c r="C556" i="801"/>
  <c r="E556" i="801"/>
  <c r="B557" i="801"/>
  <c r="C557" i="801"/>
  <c r="E557" i="801"/>
  <c r="B558" i="801"/>
  <c r="C558" i="801"/>
  <c r="E558" i="801"/>
  <c r="B559" i="801"/>
  <c r="C559" i="801"/>
  <c r="E559" i="801"/>
  <c r="B560" i="801"/>
  <c r="C560" i="801"/>
  <c r="E560" i="801"/>
  <c r="B561" i="801"/>
  <c r="C561" i="801"/>
  <c r="E561" i="801"/>
  <c r="B562" i="801"/>
  <c r="C562" i="801"/>
  <c r="E562" i="801"/>
  <c r="B563" i="801"/>
  <c r="C563" i="801"/>
  <c r="E563" i="801"/>
  <c r="B564" i="801"/>
  <c r="C564" i="801"/>
  <c r="E564" i="801"/>
  <c r="B565" i="801"/>
  <c r="C565" i="801"/>
  <c r="E565" i="801"/>
  <c r="B566" i="801"/>
  <c r="C566" i="801"/>
  <c r="E566" i="801"/>
  <c r="B567" i="801"/>
  <c r="C567" i="801"/>
  <c r="E567" i="801"/>
  <c r="B568" i="801"/>
  <c r="C568" i="801"/>
  <c r="E568" i="801"/>
  <c r="B569" i="801"/>
  <c r="C569" i="801"/>
  <c r="E569" i="801"/>
  <c r="B570" i="801"/>
  <c r="C570" i="801"/>
  <c r="E570" i="801"/>
  <c r="B571" i="801"/>
  <c r="C571" i="801"/>
  <c r="E571" i="801"/>
  <c r="B572" i="801"/>
  <c r="C572" i="801"/>
  <c r="E572" i="801"/>
  <c r="B573" i="801"/>
  <c r="C573" i="801"/>
  <c r="E573" i="801"/>
  <c r="B574" i="801"/>
  <c r="C574" i="801"/>
  <c r="E574" i="801"/>
  <c r="B575" i="801"/>
  <c r="C575" i="801"/>
  <c r="E575" i="801"/>
  <c r="B576" i="801"/>
  <c r="C576" i="801"/>
  <c r="E576" i="801"/>
  <c r="B577" i="801"/>
  <c r="C577" i="801"/>
  <c r="E577" i="801"/>
  <c r="B578" i="801"/>
  <c r="C578" i="801"/>
  <c r="E578" i="801"/>
  <c r="B579" i="801"/>
  <c r="C579" i="801"/>
  <c r="E579" i="801"/>
  <c r="B580" i="801"/>
  <c r="C580" i="801"/>
  <c r="E580" i="801"/>
  <c r="B581" i="801"/>
  <c r="C581" i="801"/>
  <c r="E581" i="801"/>
  <c r="B582" i="801"/>
  <c r="C582" i="801"/>
  <c r="E582" i="801"/>
  <c r="B583" i="801"/>
  <c r="C583" i="801"/>
  <c r="E583" i="801"/>
  <c r="B584" i="801"/>
  <c r="C584" i="801"/>
  <c r="E584" i="801"/>
  <c r="B585" i="801"/>
  <c r="C585" i="801"/>
  <c r="E585" i="801"/>
  <c r="B586" i="801"/>
  <c r="C586" i="801"/>
  <c r="E586" i="801"/>
  <c r="B587" i="801"/>
  <c r="C587" i="801"/>
  <c r="E587" i="801"/>
  <c r="B588" i="801"/>
  <c r="C588" i="801"/>
  <c r="E588" i="801"/>
  <c r="B589" i="801"/>
  <c r="C589" i="801"/>
  <c r="E589" i="801"/>
  <c r="B590" i="801"/>
  <c r="C590" i="801"/>
  <c r="E590" i="801"/>
  <c r="B591" i="801"/>
  <c r="C591" i="801"/>
  <c r="E591" i="801"/>
  <c r="B592" i="801"/>
  <c r="C592" i="801"/>
  <c r="E592" i="801"/>
  <c r="B593" i="801"/>
  <c r="C593" i="801"/>
  <c r="E593" i="801"/>
  <c r="B594" i="801"/>
  <c r="C594" i="801"/>
  <c r="E594" i="801"/>
  <c r="B595" i="801"/>
  <c r="C595" i="801"/>
  <c r="E595" i="801"/>
  <c r="B596" i="801"/>
  <c r="C596" i="801"/>
  <c r="E596" i="801"/>
  <c r="B597" i="801"/>
  <c r="C597" i="801"/>
  <c r="E597" i="801"/>
  <c r="B598" i="801"/>
  <c r="C598" i="801"/>
  <c r="E598" i="801"/>
  <c r="B599" i="801"/>
  <c r="C599" i="801"/>
  <c r="E599" i="801"/>
  <c r="B600" i="801"/>
  <c r="C600" i="801"/>
  <c r="E600" i="801"/>
  <c r="B601" i="801"/>
  <c r="C601" i="801"/>
  <c r="E601" i="801"/>
  <c r="B602" i="801"/>
  <c r="C602" i="801"/>
  <c r="E602" i="801"/>
  <c r="B603" i="801"/>
  <c r="C603" i="801"/>
  <c r="E603" i="801"/>
  <c r="B604" i="801"/>
  <c r="C604" i="801"/>
  <c r="E604" i="801"/>
  <c r="B605" i="801"/>
  <c r="C605" i="801"/>
  <c r="E605" i="801"/>
  <c r="B606" i="801"/>
  <c r="C606" i="801"/>
  <c r="E606" i="801"/>
  <c r="B607" i="801"/>
  <c r="C607" i="801"/>
  <c r="E607" i="801"/>
  <c r="B608" i="801"/>
  <c r="C608" i="801"/>
  <c r="E608" i="801"/>
  <c r="B609" i="801"/>
  <c r="C609" i="801"/>
  <c r="E609" i="801"/>
  <c r="B610" i="801"/>
  <c r="C610" i="801"/>
  <c r="E610" i="801"/>
  <c r="B611" i="801"/>
  <c r="C611" i="801"/>
  <c r="E611" i="801"/>
  <c r="B612" i="801"/>
  <c r="C612" i="801"/>
  <c r="E612" i="801"/>
  <c r="B613" i="801"/>
  <c r="C613" i="801"/>
  <c r="E613" i="801"/>
  <c r="B614" i="801"/>
  <c r="C614" i="801"/>
  <c r="E614" i="801"/>
  <c r="B615" i="801"/>
  <c r="C615" i="801"/>
  <c r="E615" i="801"/>
  <c r="B616" i="801"/>
  <c r="C616" i="801"/>
  <c r="E616" i="801"/>
  <c r="B617" i="801"/>
  <c r="C617" i="801"/>
  <c r="E617" i="801"/>
  <c r="B618" i="801"/>
  <c r="C618" i="801"/>
  <c r="E618" i="801"/>
  <c r="B619" i="801"/>
  <c r="C619" i="801"/>
  <c r="E619" i="801"/>
  <c r="B620" i="801"/>
  <c r="C620" i="801"/>
  <c r="E620" i="801"/>
  <c r="B621" i="801"/>
  <c r="C621" i="801"/>
  <c r="E621" i="801"/>
  <c r="B622" i="801"/>
  <c r="C622" i="801"/>
  <c r="E622" i="801"/>
  <c r="B623" i="801"/>
  <c r="C623" i="801"/>
  <c r="E623" i="801"/>
  <c r="B624" i="801"/>
  <c r="C624" i="801"/>
  <c r="E624" i="801"/>
  <c r="B625" i="801"/>
  <c r="C625" i="801"/>
  <c r="E625" i="801"/>
  <c r="B626" i="801"/>
  <c r="C626" i="801"/>
  <c r="E626" i="801"/>
  <c r="B627" i="801"/>
  <c r="C627" i="801"/>
  <c r="E627" i="801"/>
  <c r="B628" i="801"/>
  <c r="C628" i="801"/>
  <c r="E628" i="801"/>
  <c r="B629" i="801"/>
  <c r="C629" i="801"/>
  <c r="E629" i="801"/>
  <c r="B630" i="801"/>
  <c r="C630" i="801"/>
  <c r="E630" i="801"/>
  <c r="B631" i="801"/>
  <c r="C631" i="801"/>
  <c r="E631" i="801"/>
  <c r="B632" i="801"/>
  <c r="C632" i="801"/>
  <c r="E632" i="801"/>
  <c r="B633" i="801"/>
  <c r="C633" i="801"/>
  <c r="E633" i="801"/>
  <c r="B634" i="801"/>
  <c r="C634" i="801"/>
  <c r="E634" i="801"/>
  <c r="B635" i="801"/>
  <c r="C635" i="801"/>
  <c r="E635" i="801"/>
  <c r="B636" i="801"/>
  <c r="C636" i="801"/>
  <c r="E636" i="801"/>
  <c r="B637" i="801"/>
  <c r="C637" i="801"/>
  <c r="E637" i="801"/>
  <c r="B638" i="801"/>
  <c r="C638" i="801"/>
  <c r="E638" i="801"/>
  <c r="B639" i="801"/>
  <c r="C639" i="801"/>
  <c r="E639" i="801"/>
  <c r="B640" i="801"/>
  <c r="C640" i="801"/>
  <c r="E640" i="801"/>
  <c r="B641" i="801"/>
  <c r="C641" i="801"/>
  <c r="E641" i="801"/>
  <c r="B642" i="801"/>
  <c r="C642" i="801"/>
  <c r="E642" i="801"/>
  <c r="B643" i="801"/>
  <c r="C643" i="801"/>
  <c r="E643" i="801"/>
  <c r="B644" i="801"/>
  <c r="C644" i="801"/>
  <c r="E644" i="801"/>
  <c r="B645" i="801"/>
  <c r="C645" i="801"/>
  <c r="E645" i="801"/>
  <c r="B646" i="801"/>
  <c r="C646" i="801"/>
  <c r="E646" i="801"/>
  <c r="B647" i="801"/>
  <c r="C647" i="801"/>
  <c r="E647" i="801"/>
  <c r="B648" i="801"/>
  <c r="C648" i="801"/>
  <c r="E648" i="801"/>
  <c r="B649" i="801"/>
  <c r="C649" i="801"/>
  <c r="E649" i="801"/>
  <c r="B650" i="801"/>
  <c r="C650" i="801"/>
  <c r="E650" i="801"/>
  <c r="B651" i="801"/>
  <c r="C651" i="801"/>
  <c r="E651" i="801"/>
  <c r="B652" i="801"/>
  <c r="C652" i="801"/>
  <c r="E652" i="801"/>
  <c r="B653" i="801"/>
  <c r="C653" i="801"/>
  <c r="E653" i="801"/>
  <c r="B654" i="801"/>
  <c r="C654" i="801"/>
  <c r="E654" i="801"/>
  <c r="B655" i="801"/>
  <c r="C655" i="801"/>
  <c r="E655" i="801"/>
  <c r="B656" i="801"/>
  <c r="C656" i="801"/>
  <c r="E656" i="801"/>
  <c r="B657" i="801"/>
  <c r="C657" i="801"/>
  <c r="E657" i="801"/>
  <c r="B658" i="801"/>
  <c r="C658" i="801"/>
  <c r="E658" i="801"/>
  <c r="B659" i="801"/>
  <c r="C659" i="801"/>
  <c r="E659" i="801"/>
  <c r="B660" i="801"/>
  <c r="C660" i="801"/>
  <c r="E660" i="801"/>
  <c r="B661" i="801"/>
  <c r="C661" i="801"/>
  <c r="E661" i="801"/>
  <c r="B662" i="801"/>
  <c r="C662" i="801"/>
  <c r="E662" i="801"/>
  <c r="B663" i="801"/>
  <c r="C663" i="801"/>
  <c r="E663" i="801"/>
  <c r="B664" i="801"/>
  <c r="C664" i="801"/>
  <c r="E664" i="801"/>
  <c r="B665" i="801"/>
  <c r="C665" i="801"/>
  <c r="E665" i="801"/>
  <c r="B666" i="801"/>
  <c r="C666" i="801"/>
  <c r="E666" i="801"/>
  <c r="B667" i="801"/>
  <c r="C667" i="801"/>
  <c r="E667" i="801"/>
  <c r="B668" i="801"/>
  <c r="C668" i="801"/>
  <c r="E668" i="801"/>
  <c r="B669" i="801"/>
  <c r="C669" i="801"/>
  <c r="E669" i="801"/>
  <c r="B670" i="801"/>
  <c r="C670" i="801"/>
  <c r="E670" i="801"/>
  <c r="B671" i="801"/>
  <c r="C671" i="801"/>
  <c r="E671" i="801"/>
  <c r="B672" i="801"/>
  <c r="C672" i="801"/>
  <c r="E672" i="801"/>
  <c r="B673" i="801"/>
  <c r="C673" i="801"/>
  <c r="E673" i="801"/>
  <c r="B674" i="801"/>
  <c r="C674" i="801"/>
  <c r="E674" i="801"/>
  <c r="B675" i="801"/>
  <c r="C675" i="801"/>
  <c r="E675" i="801"/>
  <c r="B676" i="801"/>
  <c r="C676" i="801"/>
  <c r="E676" i="801"/>
  <c r="B677" i="801"/>
  <c r="C677" i="801"/>
  <c r="E677" i="801"/>
  <c r="B678" i="801"/>
  <c r="C678" i="801"/>
  <c r="E678" i="801"/>
  <c r="B679" i="801"/>
  <c r="C679" i="801"/>
  <c r="E679" i="801"/>
  <c r="B680" i="801"/>
  <c r="C680" i="801"/>
  <c r="E680" i="801"/>
  <c r="B681" i="801"/>
  <c r="C681" i="801"/>
  <c r="E681" i="801"/>
  <c r="B682" i="801"/>
  <c r="C682" i="801"/>
  <c r="E682" i="801"/>
  <c r="B683" i="801"/>
  <c r="C683" i="801"/>
  <c r="E683" i="801"/>
  <c r="B684" i="801"/>
  <c r="C684" i="801"/>
  <c r="E684" i="801"/>
  <c r="B685" i="801"/>
  <c r="C685" i="801"/>
  <c r="E685" i="801"/>
  <c r="B686" i="801"/>
  <c r="C686" i="801"/>
  <c r="E686" i="801"/>
  <c r="B687" i="801"/>
  <c r="C687" i="801"/>
  <c r="E687" i="801"/>
  <c r="B688" i="801"/>
  <c r="C688" i="801"/>
  <c r="E688" i="801"/>
  <c r="B689" i="801"/>
  <c r="C689" i="801"/>
  <c r="E689" i="801"/>
  <c r="B690" i="801"/>
  <c r="C690" i="801"/>
  <c r="E690" i="801"/>
  <c r="B691" i="801"/>
  <c r="C691" i="801"/>
  <c r="E691" i="801"/>
  <c r="B692" i="801"/>
  <c r="C692" i="801"/>
  <c r="E692" i="801"/>
  <c r="B693" i="801"/>
  <c r="C693" i="801"/>
  <c r="E693" i="801"/>
  <c r="B694" i="801"/>
  <c r="C694" i="801"/>
  <c r="E694" i="801"/>
  <c r="B695" i="801"/>
  <c r="C695" i="801"/>
  <c r="E695" i="801"/>
  <c r="B696" i="801"/>
  <c r="C696" i="801"/>
  <c r="E696" i="801"/>
  <c r="B697" i="801"/>
  <c r="C697" i="801"/>
  <c r="E697" i="801"/>
  <c r="B698" i="801"/>
  <c r="C698" i="801"/>
  <c r="E698" i="801"/>
  <c r="B699" i="801"/>
  <c r="C699" i="801"/>
  <c r="E699" i="801"/>
  <c r="B700" i="801"/>
  <c r="C700" i="801"/>
  <c r="E700" i="801"/>
  <c r="B701" i="801"/>
  <c r="C701" i="801"/>
  <c r="E701" i="801"/>
  <c r="B702" i="801"/>
  <c r="C702" i="801"/>
  <c r="E702" i="801"/>
  <c r="B703" i="801"/>
  <c r="C703" i="801"/>
  <c r="E703" i="801"/>
  <c r="B704" i="801"/>
  <c r="C704" i="801"/>
  <c r="E704" i="801"/>
  <c r="B705" i="801"/>
  <c r="C705" i="801"/>
  <c r="E705" i="801"/>
  <c r="B706" i="801"/>
  <c r="C706" i="801"/>
  <c r="E706" i="801"/>
  <c r="B707" i="801"/>
  <c r="C707" i="801"/>
  <c r="E707" i="801"/>
  <c r="B708" i="801"/>
  <c r="C708" i="801"/>
  <c r="E708" i="801"/>
  <c r="B709" i="801"/>
  <c r="C709" i="801"/>
  <c r="E709" i="801"/>
  <c r="B710" i="801"/>
  <c r="C710" i="801"/>
  <c r="E710" i="801"/>
  <c r="B711" i="801"/>
  <c r="C711" i="801"/>
  <c r="E711" i="801"/>
  <c r="B712" i="801"/>
  <c r="C712" i="801"/>
  <c r="E712" i="801"/>
  <c r="B713" i="801"/>
  <c r="C713" i="801"/>
  <c r="E713" i="801"/>
  <c r="B714" i="801"/>
  <c r="C714" i="801"/>
  <c r="E714" i="801"/>
  <c r="B715" i="801"/>
  <c r="C715" i="801"/>
  <c r="E715" i="801"/>
  <c r="B716" i="801"/>
  <c r="C716" i="801"/>
  <c r="E716" i="801"/>
  <c r="B717" i="801"/>
  <c r="C717" i="801"/>
  <c r="E717" i="801"/>
  <c r="B718" i="801"/>
  <c r="C718" i="801"/>
  <c r="E718" i="801"/>
  <c r="B719" i="801"/>
  <c r="C719" i="801"/>
  <c r="E719" i="801"/>
  <c r="B720" i="801"/>
  <c r="C720" i="801"/>
  <c r="E720" i="801"/>
  <c r="B721" i="801"/>
  <c r="C721" i="801"/>
  <c r="E721" i="801"/>
  <c r="B722" i="801"/>
  <c r="C722" i="801"/>
  <c r="E722" i="801"/>
  <c r="B723" i="801"/>
  <c r="C723" i="801"/>
  <c r="E723" i="801"/>
  <c r="B724" i="801"/>
  <c r="C724" i="801"/>
  <c r="E724" i="801"/>
  <c r="B725" i="801"/>
  <c r="C725" i="801"/>
  <c r="E725" i="801"/>
  <c r="B726" i="801"/>
  <c r="C726" i="801"/>
  <c r="E726" i="801"/>
  <c r="B727" i="801"/>
  <c r="C727" i="801"/>
  <c r="E727" i="801"/>
  <c r="B728" i="801"/>
  <c r="C728" i="801"/>
  <c r="E728" i="801"/>
  <c r="B729" i="801"/>
  <c r="C729" i="801"/>
  <c r="E729" i="801"/>
  <c r="B730" i="801"/>
  <c r="C730" i="801"/>
  <c r="E730" i="801"/>
  <c r="B731" i="801"/>
  <c r="C731" i="801"/>
  <c r="E731" i="801"/>
  <c r="B732" i="801"/>
  <c r="C732" i="801"/>
  <c r="E732" i="801"/>
  <c r="B733" i="801"/>
  <c r="C733" i="801"/>
  <c r="E733" i="801"/>
  <c r="B734" i="801"/>
  <c r="C734" i="801"/>
  <c r="E734" i="801"/>
  <c r="B735" i="801"/>
  <c r="C735" i="801"/>
  <c r="E735" i="801"/>
  <c r="B736" i="801"/>
  <c r="C736" i="801"/>
  <c r="E736" i="801"/>
  <c r="B737" i="801"/>
  <c r="C737" i="801"/>
  <c r="E737" i="801"/>
  <c r="B738" i="801"/>
  <c r="C738" i="801"/>
  <c r="E738" i="801"/>
  <c r="B739" i="801"/>
  <c r="C739" i="801"/>
  <c r="E739" i="801"/>
  <c r="B740" i="801"/>
  <c r="C740" i="801"/>
  <c r="E740" i="801"/>
  <c r="B741" i="801"/>
  <c r="C741" i="801"/>
  <c r="E741" i="801"/>
  <c r="B742" i="801"/>
  <c r="C742" i="801"/>
  <c r="E742" i="801"/>
  <c r="B743" i="801"/>
  <c r="C743" i="801"/>
  <c r="E743" i="801"/>
  <c r="B744" i="801"/>
  <c r="C744" i="801"/>
  <c r="E744" i="801"/>
  <c r="B745" i="801"/>
  <c r="C745" i="801"/>
  <c r="E745" i="801"/>
  <c r="B746" i="801"/>
  <c r="C746" i="801"/>
  <c r="E746" i="801"/>
  <c r="B747" i="801"/>
  <c r="C747" i="801"/>
  <c r="E747" i="801"/>
  <c r="B748" i="801"/>
  <c r="C748" i="801"/>
  <c r="E748" i="801"/>
  <c r="B749" i="801"/>
  <c r="C749" i="801"/>
  <c r="E749" i="801"/>
  <c r="B750" i="801"/>
  <c r="C750" i="801"/>
  <c r="E750" i="801"/>
  <c r="B751" i="801"/>
  <c r="C751" i="801"/>
  <c r="E751" i="801"/>
  <c r="B752" i="801"/>
  <c r="C752" i="801"/>
  <c r="E752" i="801"/>
  <c r="B753" i="801"/>
  <c r="C753" i="801"/>
  <c r="E753" i="801"/>
  <c r="B754" i="801"/>
  <c r="C754" i="801"/>
  <c r="E754" i="801"/>
  <c r="B755" i="801"/>
  <c r="C755" i="801"/>
  <c r="E755" i="801"/>
  <c r="B756" i="801"/>
  <c r="C756" i="801"/>
  <c r="E756" i="801"/>
  <c r="B757" i="801"/>
  <c r="C757" i="801"/>
  <c r="E757" i="801"/>
  <c r="B758" i="801"/>
  <c r="C758" i="801"/>
  <c r="E758" i="801"/>
  <c r="B759" i="801"/>
  <c r="C759" i="801"/>
  <c r="E759" i="801"/>
  <c r="B760" i="801"/>
  <c r="C760" i="801"/>
  <c r="E760" i="801"/>
  <c r="B761" i="801"/>
  <c r="C761" i="801"/>
  <c r="E761" i="801"/>
  <c r="B762" i="801"/>
  <c r="C762" i="801"/>
  <c r="E762" i="801"/>
  <c r="B763" i="801"/>
  <c r="C763" i="801"/>
  <c r="E763" i="801"/>
  <c r="B764" i="801"/>
  <c r="C764" i="801"/>
  <c r="E764" i="801"/>
  <c r="B765" i="801"/>
  <c r="C765" i="801"/>
  <c r="E765" i="801"/>
  <c r="B766" i="801"/>
  <c r="C766" i="801"/>
  <c r="E766" i="801"/>
  <c r="B767" i="801"/>
  <c r="C767" i="801"/>
  <c r="E767" i="801"/>
  <c r="B768" i="801"/>
  <c r="C768" i="801"/>
  <c r="E768" i="801"/>
  <c r="B769" i="801"/>
  <c r="C769" i="801"/>
  <c r="E769" i="801"/>
  <c r="B770" i="801"/>
  <c r="C770" i="801"/>
  <c r="E770" i="801"/>
  <c r="B771" i="801"/>
  <c r="C771" i="801"/>
  <c r="E771" i="801"/>
  <c r="B772" i="801"/>
  <c r="C772" i="801"/>
  <c r="E772" i="801"/>
  <c r="B773" i="801"/>
  <c r="C773" i="801"/>
  <c r="E773" i="801"/>
  <c r="B774" i="801"/>
  <c r="C774" i="801"/>
  <c r="E774" i="801"/>
  <c r="B775" i="801"/>
  <c r="C775" i="801"/>
  <c r="E775" i="801"/>
  <c r="B776" i="801"/>
  <c r="C776" i="801"/>
  <c r="E776" i="801"/>
  <c r="B777" i="801"/>
  <c r="C777" i="801"/>
  <c r="E777" i="801"/>
  <c r="B778" i="801"/>
  <c r="C778" i="801"/>
  <c r="E778" i="801"/>
  <c r="B779" i="801"/>
  <c r="C779" i="801"/>
  <c r="E779" i="801"/>
  <c r="B780" i="801"/>
  <c r="C780" i="801"/>
  <c r="E780" i="801"/>
  <c r="B781" i="801"/>
  <c r="C781" i="801"/>
  <c r="E781" i="801"/>
  <c r="B782" i="801"/>
  <c r="C782" i="801"/>
  <c r="E782" i="801"/>
  <c r="B783" i="801"/>
  <c r="C783" i="801"/>
  <c r="E783" i="801"/>
  <c r="B784" i="801"/>
  <c r="C784" i="801"/>
  <c r="E784" i="801"/>
  <c r="B785" i="801"/>
  <c r="C785" i="801"/>
  <c r="E785" i="801"/>
  <c r="B786" i="801"/>
  <c r="C786" i="801"/>
  <c r="E786" i="801"/>
  <c r="B787" i="801"/>
  <c r="C787" i="801"/>
  <c r="E787" i="801"/>
  <c r="B788" i="801"/>
  <c r="C788" i="801"/>
  <c r="E788" i="801"/>
  <c r="B789" i="801"/>
  <c r="C789" i="801"/>
  <c r="E789" i="801"/>
  <c r="B790" i="801"/>
  <c r="C790" i="801"/>
  <c r="E790" i="801"/>
  <c r="B791" i="801"/>
  <c r="C791" i="801"/>
  <c r="E791" i="801"/>
  <c r="B792" i="801"/>
  <c r="C792" i="801"/>
  <c r="E792" i="801"/>
  <c r="B793" i="801"/>
  <c r="C793" i="801"/>
  <c r="E793" i="801"/>
  <c r="B794" i="801"/>
  <c r="C794" i="801"/>
  <c r="E794" i="801"/>
  <c r="B795" i="801"/>
  <c r="C795" i="801"/>
  <c r="E795" i="801"/>
  <c r="B796" i="801"/>
  <c r="C796" i="801"/>
  <c r="E796" i="801"/>
  <c r="B797" i="801"/>
  <c r="C797" i="801"/>
  <c r="E797" i="801"/>
  <c r="B798" i="801"/>
  <c r="C798" i="801"/>
  <c r="E798" i="801"/>
  <c r="B799" i="801"/>
  <c r="C799" i="801"/>
  <c r="E799" i="801"/>
  <c r="B800" i="801"/>
  <c r="C800" i="801"/>
  <c r="E800" i="801"/>
  <c r="B801" i="801"/>
  <c r="C801" i="801"/>
  <c r="E801" i="801"/>
  <c r="B802" i="801"/>
  <c r="C802" i="801"/>
  <c r="E802" i="801"/>
  <c r="B803" i="801"/>
  <c r="C803" i="801"/>
  <c r="E803" i="801"/>
  <c r="B804" i="801"/>
  <c r="C804" i="801"/>
  <c r="E804" i="801"/>
  <c r="B805" i="801"/>
  <c r="C805" i="801"/>
  <c r="E805" i="801"/>
  <c r="B806" i="801"/>
  <c r="C806" i="801"/>
  <c r="E806" i="801"/>
  <c r="B807" i="801"/>
  <c r="C807" i="801"/>
  <c r="E807" i="801"/>
  <c r="B808" i="801"/>
  <c r="C808" i="801"/>
  <c r="E808" i="801"/>
  <c r="B809" i="801"/>
  <c r="C809" i="801"/>
  <c r="E809" i="801"/>
  <c r="B810" i="801"/>
  <c r="C810" i="801"/>
  <c r="E810" i="801"/>
  <c r="B811" i="801"/>
  <c r="C811" i="801"/>
  <c r="E811" i="801"/>
  <c r="B812" i="801"/>
  <c r="C812" i="801"/>
  <c r="E812" i="801"/>
  <c r="B813" i="801"/>
  <c r="C813" i="801"/>
  <c r="E813" i="801"/>
  <c r="B814" i="801"/>
  <c r="C814" i="801"/>
  <c r="E814" i="801"/>
  <c r="B815" i="801"/>
  <c r="C815" i="801"/>
  <c r="E815" i="801"/>
  <c r="B816" i="801"/>
  <c r="C816" i="801"/>
  <c r="E816" i="801"/>
  <c r="B817" i="801"/>
  <c r="C817" i="801"/>
  <c r="E817" i="801"/>
  <c r="B818" i="801"/>
  <c r="C818" i="801"/>
  <c r="E818" i="801"/>
  <c r="B819" i="801"/>
  <c r="C819" i="801"/>
  <c r="E819" i="801"/>
  <c r="B820" i="801"/>
  <c r="C820" i="801"/>
  <c r="E820" i="801"/>
  <c r="B821" i="801"/>
  <c r="C821" i="801"/>
  <c r="E821" i="801"/>
  <c r="B822" i="801"/>
  <c r="C822" i="801"/>
  <c r="E822" i="801"/>
  <c r="B823" i="801"/>
  <c r="C823" i="801"/>
  <c r="E823" i="801"/>
  <c r="B824" i="801"/>
  <c r="C824" i="801"/>
  <c r="E824" i="801"/>
  <c r="B825" i="801"/>
  <c r="C825" i="801"/>
  <c r="E825" i="801"/>
  <c r="B826" i="801"/>
  <c r="C826" i="801"/>
  <c r="E826" i="801"/>
  <c r="B827" i="801"/>
  <c r="C827" i="801"/>
  <c r="E827" i="801"/>
  <c r="B828" i="801"/>
  <c r="C828" i="801"/>
  <c r="E828" i="801"/>
  <c r="B829" i="801"/>
  <c r="C829" i="801"/>
  <c r="E829" i="801"/>
  <c r="B830" i="801"/>
  <c r="C830" i="801"/>
  <c r="E830" i="801"/>
  <c r="B831" i="801"/>
  <c r="C831" i="801"/>
  <c r="E831" i="801"/>
  <c r="B832" i="801"/>
  <c r="C832" i="801"/>
  <c r="E832" i="801"/>
  <c r="B833" i="801"/>
  <c r="C833" i="801"/>
  <c r="E833" i="801"/>
  <c r="B834" i="801"/>
  <c r="C834" i="801"/>
  <c r="E834" i="801"/>
  <c r="B835" i="801"/>
  <c r="C835" i="801"/>
  <c r="E835" i="801"/>
  <c r="B836" i="801"/>
  <c r="C836" i="801"/>
  <c r="E836" i="801"/>
  <c r="B837" i="801"/>
  <c r="C837" i="801"/>
  <c r="E837" i="801"/>
  <c r="B838" i="801"/>
  <c r="C838" i="801"/>
  <c r="E838" i="801"/>
  <c r="B839" i="801"/>
  <c r="C839" i="801"/>
  <c r="E839" i="801"/>
  <c r="B840" i="801"/>
  <c r="C840" i="801"/>
  <c r="E840" i="801"/>
  <c r="B841" i="801"/>
  <c r="C841" i="801"/>
  <c r="E841" i="801"/>
  <c r="B842" i="801"/>
  <c r="C842" i="801"/>
  <c r="E842" i="801"/>
  <c r="B843" i="801"/>
  <c r="C843" i="801"/>
  <c r="E843" i="801"/>
  <c r="B844" i="801"/>
  <c r="C844" i="801"/>
  <c r="E844" i="801"/>
  <c r="B845" i="801"/>
  <c r="C845" i="801"/>
  <c r="E845" i="801"/>
  <c r="B846" i="801"/>
  <c r="C846" i="801"/>
  <c r="E846" i="801"/>
  <c r="B847" i="801"/>
  <c r="C847" i="801"/>
  <c r="E847" i="801"/>
  <c r="B848" i="801"/>
  <c r="C848" i="801"/>
  <c r="E848" i="801"/>
  <c r="B849" i="801"/>
  <c r="C849" i="801"/>
  <c r="E849" i="801"/>
  <c r="B850" i="801"/>
  <c r="C850" i="801"/>
  <c r="E850" i="801"/>
  <c r="B851" i="801"/>
  <c r="C851" i="801"/>
  <c r="E851" i="801"/>
  <c r="B852" i="801"/>
  <c r="C852" i="801"/>
  <c r="E852" i="801"/>
  <c r="B853" i="801"/>
  <c r="C853" i="801"/>
  <c r="E853" i="801"/>
  <c r="B854" i="801"/>
  <c r="C854" i="801"/>
  <c r="E854" i="801"/>
  <c r="B855" i="801"/>
  <c r="C855" i="801"/>
  <c r="E855" i="801"/>
  <c r="B856" i="801"/>
  <c r="C856" i="801"/>
  <c r="E856" i="801"/>
  <c r="B857" i="801"/>
  <c r="C857" i="801"/>
  <c r="E857" i="801"/>
  <c r="B858" i="801"/>
  <c r="C858" i="801"/>
  <c r="E858" i="801"/>
  <c r="B859" i="801"/>
  <c r="C859" i="801"/>
  <c r="E859" i="801"/>
  <c r="B860" i="801"/>
  <c r="C860" i="801"/>
  <c r="E860" i="801"/>
  <c r="B861" i="801"/>
  <c r="C861" i="801"/>
  <c r="E861" i="801"/>
  <c r="B862" i="801"/>
  <c r="C862" i="801"/>
  <c r="E862" i="801"/>
  <c r="B863" i="801"/>
  <c r="C863" i="801"/>
  <c r="E863" i="801"/>
  <c r="B864" i="801"/>
  <c r="C864" i="801"/>
  <c r="E864" i="801"/>
  <c r="B865" i="801"/>
  <c r="C865" i="801"/>
  <c r="E865" i="801"/>
  <c r="B866" i="801"/>
  <c r="C866" i="801"/>
  <c r="E866" i="801"/>
  <c r="B867" i="801"/>
  <c r="C867" i="801"/>
  <c r="E867" i="801"/>
  <c r="B868" i="801"/>
  <c r="C868" i="801"/>
  <c r="E868" i="801"/>
  <c r="B869" i="801"/>
  <c r="C869" i="801"/>
  <c r="E869" i="801"/>
  <c r="B870" i="801"/>
  <c r="C870" i="801"/>
  <c r="E870" i="801"/>
  <c r="B871" i="801"/>
  <c r="C871" i="801"/>
  <c r="E871" i="801"/>
  <c r="B872" i="801"/>
  <c r="C872" i="801"/>
  <c r="E872" i="801"/>
  <c r="B873" i="801"/>
  <c r="C873" i="801"/>
  <c r="E873" i="801"/>
  <c r="B874" i="801"/>
  <c r="C874" i="801"/>
  <c r="E874" i="801"/>
  <c r="B875" i="801"/>
  <c r="C875" i="801"/>
  <c r="E875" i="801"/>
  <c r="B876" i="801"/>
  <c r="C876" i="801"/>
  <c r="E876" i="801"/>
  <c r="B877" i="801"/>
  <c r="C877" i="801"/>
  <c r="E877" i="801"/>
  <c r="B878" i="801"/>
  <c r="C878" i="801"/>
  <c r="E878" i="801"/>
  <c r="B879" i="801"/>
  <c r="C879" i="801"/>
  <c r="E879" i="801"/>
  <c r="B880" i="801"/>
  <c r="C880" i="801"/>
  <c r="E880" i="801"/>
  <c r="B881" i="801"/>
  <c r="C881" i="801"/>
  <c r="E881" i="801"/>
  <c r="B882" i="801"/>
  <c r="C882" i="801"/>
  <c r="E882" i="801"/>
  <c r="B883" i="801"/>
  <c r="C883" i="801"/>
  <c r="E883" i="801"/>
  <c r="B884" i="801"/>
  <c r="C884" i="801"/>
  <c r="E884" i="801"/>
  <c r="B885" i="801"/>
  <c r="C885" i="801"/>
  <c r="E885" i="801"/>
  <c r="B886" i="801"/>
  <c r="C886" i="801"/>
  <c r="E886" i="801"/>
  <c r="B887" i="801"/>
  <c r="C887" i="801"/>
  <c r="E887" i="801"/>
  <c r="B888" i="801"/>
  <c r="C888" i="801"/>
  <c r="E888" i="801"/>
  <c r="B889" i="801"/>
  <c r="C889" i="801"/>
  <c r="E889" i="801"/>
  <c r="B890" i="801"/>
  <c r="C890" i="801"/>
  <c r="E890" i="801"/>
  <c r="B891" i="801"/>
  <c r="C891" i="801"/>
  <c r="E891" i="801"/>
  <c r="B892" i="801"/>
  <c r="C892" i="801"/>
  <c r="E892" i="801"/>
  <c r="B893" i="801"/>
  <c r="C893" i="801"/>
  <c r="E893" i="801"/>
  <c r="B894" i="801"/>
  <c r="C894" i="801"/>
  <c r="E894" i="801"/>
  <c r="B895" i="801"/>
  <c r="C895" i="801"/>
  <c r="E895" i="801"/>
  <c r="B896" i="801"/>
  <c r="C896" i="801"/>
  <c r="E896" i="801"/>
  <c r="B897" i="801"/>
  <c r="C897" i="801"/>
  <c r="E897" i="801"/>
  <c r="B898" i="801"/>
  <c r="C898" i="801"/>
  <c r="E898" i="801"/>
  <c r="B899" i="801"/>
  <c r="C899" i="801"/>
  <c r="E899" i="801"/>
  <c r="B900" i="801"/>
  <c r="C900" i="801"/>
  <c r="E900" i="801"/>
  <c r="B901" i="801"/>
  <c r="C901" i="801"/>
  <c r="E901" i="801"/>
  <c r="B902" i="801"/>
  <c r="C902" i="801"/>
  <c r="E902" i="801"/>
  <c r="B903" i="801"/>
  <c r="C903" i="801"/>
  <c r="E903" i="801"/>
  <c r="B904" i="801"/>
  <c r="C904" i="801"/>
  <c r="E904" i="801"/>
  <c r="B905" i="801"/>
  <c r="C905" i="801"/>
  <c r="E905" i="801"/>
  <c r="B906" i="801"/>
  <c r="C906" i="801"/>
  <c r="E906" i="801"/>
  <c r="B907" i="801"/>
  <c r="C907" i="801"/>
  <c r="E907" i="801"/>
  <c r="B908" i="801"/>
  <c r="C908" i="801"/>
  <c r="E908" i="801"/>
  <c r="B909" i="801"/>
  <c r="C909" i="801"/>
  <c r="E909" i="801"/>
  <c r="B910" i="801"/>
  <c r="C910" i="801"/>
  <c r="E910" i="801"/>
  <c r="B911" i="801"/>
  <c r="C911" i="801"/>
  <c r="E911" i="801"/>
  <c r="B912" i="801"/>
  <c r="C912" i="801"/>
  <c r="E912" i="801"/>
  <c r="B913" i="801"/>
  <c r="C913" i="801"/>
  <c r="E913" i="801"/>
  <c r="B914" i="801"/>
  <c r="C914" i="801"/>
  <c r="E914" i="801"/>
  <c r="B915" i="801"/>
  <c r="C915" i="801"/>
  <c r="E915" i="801"/>
  <c r="B916" i="801"/>
  <c r="C916" i="801"/>
  <c r="E916" i="801"/>
  <c r="B917" i="801"/>
  <c r="C917" i="801"/>
  <c r="E917" i="801"/>
  <c r="B918" i="801"/>
  <c r="C918" i="801"/>
  <c r="E918" i="801"/>
  <c r="B919" i="801"/>
  <c r="C919" i="801"/>
  <c r="E919" i="801"/>
  <c r="B920" i="801"/>
  <c r="C920" i="801"/>
  <c r="E920" i="801"/>
  <c r="B921" i="801"/>
  <c r="C921" i="801"/>
  <c r="E921" i="801"/>
  <c r="B922" i="801"/>
  <c r="C922" i="801"/>
  <c r="E922" i="801"/>
  <c r="B923" i="801"/>
  <c r="C923" i="801"/>
  <c r="E923" i="801"/>
  <c r="B924" i="801"/>
  <c r="C924" i="801"/>
  <c r="E924" i="801"/>
  <c r="B925" i="801"/>
  <c r="C925" i="801"/>
  <c r="E925" i="801"/>
  <c r="B926" i="801"/>
  <c r="C926" i="801"/>
  <c r="E926" i="801"/>
  <c r="B927" i="801"/>
  <c r="C927" i="801"/>
  <c r="E927" i="801"/>
  <c r="B928" i="801"/>
  <c r="C928" i="801"/>
  <c r="E928" i="801"/>
  <c r="B929" i="801"/>
  <c r="C929" i="801"/>
  <c r="E929" i="801"/>
  <c r="B930" i="801"/>
  <c r="C930" i="801"/>
  <c r="E930" i="801"/>
  <c r="B931" i="801"/>
  <c r="C931" i="801"/>
  <c r="E931" i="801"/>
  <c r="B932" i="801"/>
  <c r="C932" i="801"/>
  <c r="E932" i="801"/>
  <c r="B933" i="801"/>
  <c r="C933" i="801"/>
  <c r="E933" i="801"/>
  <c r="B934" i="801"/>
  <c r="C934" i="801"/>
  <c r="E934" i="801"/>
  <c r="B935" i="801"/>
  <c r="C935" i="801"/>
  <c r="E935" i="801"/>
  <c r="B936" i="801"/>
  <c r="C936" i="801"/>
  <c r="E936" i="801"/>
  <c r="B937" i="801"/>
  <c r="C937" i="801"/>
  <c r="E937" i="801"/>
  <c r="B938" i="801"/>
  <c r="C938" i="801"/>
  <c r="E938" i="801"/>
  <c r="B939" i="801"/>
  <c r="C939" i="801"/>
  <c r="E939" i="801"/>
  <c r="B940" i="801"/>
  <c r="C940" i="801"/>
  <c r="E940" i="801"/>
  <c r="B941" i="801"/>
  <c r="C941" i="801"/>
  <c r="E941" i="801"/>
  <c r="B942" i="801"/>
  <c r="C942" i="801"/>
  <c r="E942" i="801"/>
  <c r="B943" i="801"/>
  <c r="C943" i="801"/>
  <c r="E943" i="801"/>
  <c r="B944" i="801"/>
  <c r="C944" i="801"/>
  <c r="E944" i="801"/>
  <c r="B945" i="801"/>
  <c r="C945" i="801"/>
  <c r="E945" i="801"/>
  <c r="B946" i="801"/>
  <c r="C946" i="801"/>
  <c r="E946" i="801"/>
  <c r="B947" i="801"/>
  <c r="C947" i="801"/>
  <c r="E947" i="801"/>
  <c r="B948" i="801"/>
  <c r="C948" i="801"/>
  <c r="E948" i="801"/>
  <c r="B949" i="801"/>
  <c r="C949" i="801"/>
  <c r="E949" i="801"/>
  <c r="B950" i="801"/>
  <c r="C950" i="801"/>
  <c r="E950" i="801"/>
  <c r="B951" i="801"/>
  <c r="C951" i="801"/>
  <c r="E951" i="801"/>
  <c r="B952" i="801"/>
  <c r="C952" i="801"/>
  <c r="E952" i="801"/>
  <c r="B953" i="801"/>
  <c r="C953" i="801"/>
  <c r="E953" i="801"/>
  <c r="B954" i="801"/>
  <c r="C954" i="801"/>
  <c r="E954" i="801"/>
  <c r="B955" i="801"/>
  <c r="C955" i="801"/>
  <c r="E955" i="801"/>
  <c r="B956" i="801"/>
  <c r="C956" i="801"/>
  <c r="E956" i="801"/>
  <c r="B957" i="801"/>
  <c r="C957" i="801"/>
  <c r="E957" i="801"/>
  <c r="B958" i="801"/>
  <c r="C958" i="801"/>
  <c r="E958" i="801"/>
  <c r="B959" i="801"/>
  <c r="C959" i="801"/>
  <c r="E959" i="801"/>
  <c r="B960" i="801"/>
  <c r="C960" i="801"/>
  <c r="E960" i="801"/>
  <c r="B961" i="801"/>
  <c r="C961" i="801"/>
  <c r="E961" i="801"/>
  <c r="B962" i="801"/>
  <c r="C962" i="801"/>
  <c r="E962" i="801"/>
  <c r="B963" i="801"/>
  <c r="C963" i="801"/>
  <c r="E963" i="801"/>
  <c r="B964" i="801"/>
  <c r="C964" i="801"/>
  <c r="E964" i="801"/>
  <c r="B965" i="801"/>
  <c r="C965" i="801"/>
  <c r="E965" i="801"/>
  <c r="B966" i="801"/>
  <c r="C966" i="801"/>
  <c r="E966" i="801"/>
  <c r="B967" i="801"/>
  <c r="C967" i="801"/>
  <c r="E967" i="801"/>
  <c r="B968" i="801"/>
  <c r="C968" i="801"/>
  <c r="E968" i="801"/>
  <c r="B969" i="801"/>
  <c r="C969" i="801"/>
  <c r="E969" i="801"/>
  <c r="B970" i="801"/>
  <c r="C970" i="801"/>
  <c r="E970" i="801"/>
  <c r="B971" i="801"/>
  <c r="C971" i="801"/>
  <c r="E971" i="801"/>
  <c r="B972" i="801"/>
  <c r="C972" i="801"/>
  <c r="E972" i="801"/>
  <c r="B973" i="801"/>
  <c r="C973" i="801"/>
  <c r="E973" i="801"/>
  <c r="B974" i="801"/>
  <c r="C974" i="801"/>
  <c r="E974" i="801"/>
  <c r="B975" i="801"/>
  <c r="C975" i="801"/>
  <c r="E975" i="801"/>
  <c r="B976" i="801"/>
  <c r="C976" i="801"/>
  <c r="E976" i="801"/>
  <c r="B977" i="801"/>
  <c r="C977" i="801"/>
  <c r="E977" i="801"/>
  <c r="B978" i="801"/>
  <c r="C978" i="801"/>
  <c r="E978" i="801"/>
  <c r="B979" i="801"/>
  <c r="C979" i="801"/>
  <c r="E979" i="801"/>
  <c r="B980" i="801"/>
  <c r="C980" i="801"/>
  <c r="E980" i="801"/>
  <c r="B981" i="801"/>
  <c r="C981" i="801"/>
  <c r="E981" i="801"/>
  <c r="B982" i="801"/>
  <c r="C982" i="801"/>
  <c r="E982" i="801"/>
  <c r="B983" i="801"/>
  <c r="C983" i="801"/>
  <c r="E983" i="801"/>
  <c r="B984" i="801"/>
  <c r="C984" i="801"/>
  <c r="E984" i="801"/>
  <c r="B985" i="801"/>
  <c r="C985" i="801"/>
  <c r="E985" i="801"/>
  <c r="B986" i="801"/>
  <c r="C986" i="801"/>
  <c r="E986" i="801"/>
  <c r="B987" i="801"/>
  <c r="C987" i="801"/>
  <c r="E987" i="801"/>
  <c r="B988" i="801"/>
  <c r="C988" i="801"/>
  <c r="E988" i="801"/>
  <c r="B989" i="801"/>
  <c r="C989" i="801"/>
  <c r="E989" i="801"/>
  <c r="B990" i="801"/>
  <c r="C990" i="801"/>
  <c r="E990" i="801"/>
  <c r="B991" i="801"/>
  <c r="C991" i="801"/>
  <c r="E991" i="801"/>
  <c r="B992" i="801"/>
  <c r="C992" i="801"/>
  <c r="E992" i="801"/>
  <c r="B993" i="801"/>
  <c r="C993" i="801"/>
  <c r="E993" i="801"/>
  <c r="B994" i="801"/>
  <c r="C994" i="801"/>
  <c r="E994" i="801"/>
  <c r="B995" i="801"/>
  <c r="C995" i="801"/>
  <c r="E995" i="801"/>
  <c r="B996" i="801"/>
  <c r="C996" i="801"/>
  <c r="E996" i="801"/>
  <c r="B997" i="801"/>
  <c r="C997" i="801"/>
  <c r="E997" i="801"/>
  <c r="B998" i="801"/>
  <c r="C998" i="801"/>
  <c r="E998" i="801"/>
  <c r="B999" i="801"/>
  <c r="C999" i="801"/>
  <c r="E999" i="801"/>
  <c r="B1000" i="801"/>
  <c r="C1000" i="801"/>
  <c r="E1000" i="801"/>
  <c r="B1001" i="801"/>
  <c r="C1001" i="801"/>
  <c r="E1001" i="801"/>
  <c r="B1002" i="801"/>
  <c r="C1002" i="801"/>
  <c r="E1002" i="801"/>
  <c r="B1003" i="801"/>
  <c r="C1003" i="801"/>
  <c r="E1003" i="801"/>
  <c r="B1004" i="801"/>
  <c r="C1004" i="801"/>
  <c r="E1004" i="801"/>
  <c r="B1005" i="801"/>
  <c r="C1005" i="801"/>
  <c r="E1005" i="801"/>
  <c r="B1006" i="801"/>
  <c r="C1006" i="801"/>
  <c r="E1006" i="801"/>
  <c r="B1007" i="801"/>
  <c r="C1007" i="801"/>
  <c r="E1007" i="801"/>
  <c r="B1008" i="801"/>
  <c r="C1008" i="801"/>
  <c r="E1008" i="801"/>
  <c r="B1009" i="801"/>
  <c r="C1009" i="801"/>
  <c r="E1009" i="801"/>
  <c r="B1010" i="801"/>
  <c r="C1010" i="801"/>
  <c r="E1010" i="801"/>
  <c r="B1011" i="801"/>
  <c r="C1011" i="801"/>
  <c r="E1011" i="801"/>
  <c r="B1012" i="801"/>
  <c r="C1012" i="801"/>
  <c r="E1012" i="801"/>
  <c r="B1013" i="801"/>
  <c r="C1013" i="801"/>
  <c r="E1013" i="801"/>
  <c r="B1014" i="801"/>
  <c r="C1014" i="801"/>
  <c r="E1014" i="801"/>
  <c r="B1015" i="801"/>
  <c r="C1015" i="801"/>
  <c r="E1015" i="801"/>
  <c r="B1016" i="801"/>
  <c r="C1016" i="801"/>
  <c r="E1016" i="801"/>
  <c r="B1017" i="801"/>
  <c r="C1017" i="801"/>
  <c r="E1017" i="801"/>
  <c r="B1018" i="801"/>
  <c r="C1018" i="801"/>
  <c r="E1018" i="801"/>
  <c r="B1019" i="801"/>
  <c r="C1019" i="801"/>
  <c r="E1019" i="801"/>
  <c r="B1020" i="801"/>
  <c r="C1020" i="801"/>
  <c r="E1020" i="801"/>
  <c r="B1021" i="801"/>
  <c r="C1021" i="801"/>
  <c r="E1021" i="801"/>
  <c r="B1022" i="801"/>
  <c r="C1022" i="801"/>
  <c r="E1022" i="801"/>
  <c r="B1023" i="801"/>
  <c r="C1023" i="801"/>
  <c r="E1023" i="801"/>
  <c r="B1024" i="801"/>
  <c r="C1024" i="801"/>
  <c r="E1024" i="801"/>
  <c r="B1025" i="801"/>
  <c r="C1025" i="801"/>
  <c r="E1025" i="801"/>
  <c r="B1026" i="801"/>
  <c r="C1026" i="801"/>
  <c r="E1026" i="801"/>
  <c r="B1027" i="801"/>
  <c r="C1027" i="801"/>
  <c r="E1027" i="801"/>
  <c r="B1028" i="801"/>
  <c r="C1028" i="801"/>
  <c r="E1028" i="801"/>
  <c r="B1029" i="801"/>
  <c r="C1029" i="801"/>
  <c r="E1029" i="801"/>
  <c r="B1030" i="801"/>
  <c r="C1030" i="801"/>
  <c r="E1030" i="801"/>
  <c r="B1031" i="801"/>
  <c r="C1031" i="801"/>
  <c r="E1031" i="801"/>
  <c r="B1032" i="801"/>
  <c r="C1032" i="801"/>
  <c r="E1032" i="801"/>
  <c r="B1033" i="801"/>
  <c r="C1033" i="801"/>
  <c r="E1033" i="801"/>
  <c r="B1034" i="801"/>
  <c r="C1034" i="801"/>
  <c r="E1034" i="801"/>
  <c r="B1035" i="801"/>
  <c r="C1035" i="801"/>
  <c r="E1035" i="801"/>
  <c r="B1036" i="801"/>
  <c r="C1036" i="801"/>
  <c r="E1036" i="801"/>
  <c r="B1037" i="801"/>
  <c r="C1037" i="801"/>
  <c r="E1037" i="801"/>
  <c r="B1038" i="801"/>
  <c r="C1038" i="801"/>
  <c r="E1038" i="801"/>
  <c r="B1039" i="801"/>
  <c r="C1039" i="801"/>
  <c r="E1039" i="801"/>
  <c r="B1040" i="801"/>
  <c r="C1040" i="801"/>
  <c r="E1040" i="801"/>
  <c r="B1041" i="801"/>
  <c r="C1041" i="801"/>
  <c r="E1041" i="801"/>
  <c r="B1042" i="801"/>
  <c r="C1042" i="801"/>
  <c r="E1042" i="801"/>
  <c r="B1043" i="801"/>
  <c r="C1043" i="801"/>
  <c r="E1043" i="801"/>
  <c r="B1044" i="801"/>
  <c r="C1044" i="801"/>
  <c r="E1044" i="801"/>
  <c r="B1045" i="801"/>
  <c r="C1045" i="801"/>
  <c r="E1045" i="801"/>
  <c r="B1046" i="801"/>
  <c r="C1046" i="801"/>
  <c r="E1046" i="801"/>
  <c r="B1047" i="801"/>
  <c r="C1047" i="801"/>
  <c r="E1047" i="801"/>
  <c r="B1048" i="801"/>
  <c r="C1048" i="801"/>
  <c r="E1048" i="801"/>
  <c r="B1049" i="801"/>
  <c r="C1049" i="801"/>
  <c r="E1049" i="801"/>
  <c r="B1050" i="801"/>
  <c r="C1050" i="801"/>
  <c r="E1050" i="801"/>
  <c r="B1051" i="801"/>
  <c r="C1051" i="801"/>
  <c r="E1051" i="801"/>
  <c r="B1052" i="801"/>
  <c r="C1052" i="801"/>
  <c r="E1052" i="801"/>
  <c r="B1053" i="801"/>
  <c r="C1053" i="801"/>
  <c r="E1053" i="801"/>
  <c r="B1054" i="801"/>
  <c r="C1054" i="801"/>
  <c r="E1054" i="801"/>
  <c r="B1055" i="801"/>
  <c r="C1055" i="801"/>
  <c r="E1055" i="801"/>
  <c r="B1056" i="801"/>
  <c r="C1056" i="801"/>
  <c r="E1056" i="801"/>
  <c r="B1057" i="801"/>
  <c r="C1057" i="801"/>
  <c r="E1057" i="801"/>
  <c r="B1058" i="801"/>
  <c r="C1058" i="801"/>
  <c r="E1058" i="801"/>
  <c r="B1059" i="801"/>
  <c r="C1059" i="801"/>
  <c r="E1059" i="801"/>
  <c r="B1060" i="801"/>
  <c r="C1060" i="801"/>
  <c r="E1060" i="801"/>
  <c r="B1061" i="801"/>
  <c r="C1061" i="801"/>
  <c r="E1061" i="801"/>
  <c r="B1062" i="801"/>
  <c r="C1062" i="801"/>
  <c r="E1062" i="801"/>
  <c r="B1063" i="801"/>
  <c r="C1063" i="801"/>
  <c r="E1063" i="801"/>
  <c r="B1064" i="801"/>
  <c r="C1064" i="801"/>
  <c r="E1064" i="801"/>
  <c r="B1065" i="801"/>
  <c r="C1065" i="801"/>
  <c r="E1065" i="801"/>
  <c r="B1066" i="801"/>
  <c r="C1066" i="801"/>
  <c r="E1066" i="801"/>
  <c r="B1067" i="801"/>
  <c r="C1067" i="801"/>
  <c r="E1067" i="801"/>
  <c r="B1068" i="801"/>
  <c r="C1068" i="801"/>
  <c r="E1068" i="801"/>
  <c r="B1069" i="801"/>
  <c r="C1069" i="801"/>
  <c r="E1069" i="801"/>
  <c r="B1070" i="801"/>
  <c r="C1070" i="801"/>
  <c r="E1070" i="801"/>
  <c r="B1071" i="801"/>
  <c r="C1071" i="801"/>
  <c r="E1071" i="801"/>
  <c r="B1072" i="801"/>
  <c r="C1072" i="801"/>
  <c r="E1072" i="801"/>
  <c r="B1073" i="801"/>
  <c r="C1073" i="801"/>
  <c r="E1073" i="801"/>
  <c r="B1074" i="801"/>
  <c r="C1074" i="801"/>
  <c r="E1074" i="801"/>
  <c r="B1075" i="801"/>
  <c r="C1075" i="801"/>
  <c r="E1075" i="801"/>
  <c r="B1076" i="801"/>
  <c r="C1076" i="801"/>
  <c r="E1076" i="801"/>
  <c r="B1077" i="801"/>
  <c r="C1077" i="801"/>
  <c r="E1077" i="801"/>
  <c r="B1078" i="801"/>
  <c r="C1078" i="801"/>
  <c r="E1078" i="801"/>
  <c r="B1079" i="801"/>
  <c r="C1079" i="801"/>
  <c r="E1079" i="801"/>
  <c r="B1080" i="801"/>
  <c r="C1080" i="801"/>
  <c r="E1080" i="801"/>
  <c r="B1081" i="801"/>
  <c r="C1081" i="801"/>
  <c r="E1081" i="801"/>
  <c r="B1082" i="801"/>
  <c r="C1082" i="801"/>
  <c r="E1082" i="801"/>
  <c r="B1083" i="801"/>
  <c r="C1083" i="801"/>
  <c r="E1083" i="801"/>
  <c r="B1084" i="801"/>
  <c r="C1084" i="801"/>
  <c r="E1084" i="801"/>
  <c r="B1085" i="801"/>
  <c r="C1085" i="801"/>
  <c r="E1085" i="801"/>
  <c r="B1086" i="801"/>
  <c r="C1086" i="801"/>
  <c r="E1086" i="801"/>
  <c r="B1087" i="801"/>
  <c r="C1087" i="801"/>
  <c r="E1087" i="801"/>
  <c r="B1088" i="801"/>
  <c r="C1088" i="801"/>
  <c r="E1088" i="801"/>
  <c r="B1089" i="801"/>
  <c r="C1089" i="801"/>
  <c r="E1089" i="801"/>
  <c r="B1090" i="801"/>
  <c r="C1090" i="801"/>
  <c r="E1090" i="801"/>
  <c r="B1091" i="801"/>
  <c r="C1091" i="801"/>
  <c r="E1091" i="801"/>
  <c r="B1092" i="801"/>
  <c r="C1092" i="801"/>
  <c r="E1092" i="801"/>
  <c r="B1093" i="801"/>
  <c r="C1093" i="801"/>
  <c r="E1093" i="801"/>
  <c r="B1094" i="801"/>
  <c r="C1094" i="801"/>
  <c r="E1094" i="801"/>
  <c r="B1095" i="801"/>
  <c r="C1095" i="801"/>
  <c r="E1095" i="801"/>
  <c r="B1096" i="801"/>
  <c r="C1096" i="801"/>
  <c r="E1096" i="801"/>
  <c r="B1097" i="801"/>
  <c r="C1097" i="801"/>
  <c r="E1097" i="801"/>
  <c r="B1098" i="801"/>
  <c r="C1098" i="801"/>
  <c r="E1098" i="801"/>
  <c r="B1099" i="801"/>
  <c r="C1099" i="801"/>
  <c r="E1099" i="801"/>
  <c r="B1100" i="801"/>
  <c r="C1100" i="801"/>
  <c r="E1100" i="801"/>
  <c r="B1101" i="801"/>
  <c r="C1101" i="801"/>
  <c r="E1101" i="801"/>
  <c r="B1102" i="801"/>
  <c r="C1102" i="801"/>
  <c r="E1102" i="801"/>
  <c r="B1103" i="801"/>
  <c r="C1103" i="801"/>
  <c r="E1103" i="801"/>
  <c r="B1104" i="801"/>
  <c r="C1104" i="801"/>
  <c r="E1104" i="801"/>
  <c r="B1105" i="801"/>
  <c r="C1105" i="801"/>
  <c r="E1105" i="801"/>
  <c r="B1106" i="801"/>
  <c r="C1106" i="801"/>
  <c r="E1106" i="801"/>
  <c r="B1107" i="801"/>
  <c r="C1107" i="801"/>
  <c r="E1107" i="801"/>
  <c r="B1108" i="801"/>
  <c r="C1108" i="801"/>
  <c r="E1108" i="801"/>
  <c r="B1109" i="801"/>
  <c r="C1109" i="801"/>
  <c r="E1109" i="801"/>
  <c r="B1110" i="801"/>
  <c r="C1110" i="801"/>
  <c r="E1110" i="801"/>
  <c r="B1111" i="801"/>
  <c r="C1111" i="801"/>
  <c r="E1111" i="801"/>
  <c r="B1112" i="801"/>
  <c r="C1112" i="801"/>
  <c r="E1112" i="801"/>
  <c r="B1113" i="801"/>
  <c r="C1113" i="801"/>
  <c r="E1113" i="801"/>
  <c r="B1114" i="801"/>
  <c r="C1114" i="801"/>
  <c r="E1114" i="801"/>
  <c r="B1115" i="801"/>
  <c r="C1115" i="801"/>
  <c r="E1115" i="801"/>
  <c r="B1116" i="801"/>
  <c r="C1116" i="801"/>
  <c r="E1116" i="801"/>
  <c r="B1117" i="801"/>
  <c r="C1117" i="801"/>
  <c r="E1117" i="801"/>
  <c r="B1118" i="801"/>
  <c r="C1118" i="801"/>
  <c r="E1118" i="801"/>
  <c r="B1119" i="801"/>
  <c r="C1119" i="801"/>
  <c r="E1119" i="801"/>
  <c r="B1120" i="801"/>
  <c r="C1120" i="801"/>
  <c r="E1120" i="801"/>
  <c r="B1121" i="801"/>
  <c r="C1121" i="801"/>
  <c r="E1121" i="801"/>
  <c r="B1122" i="801"/>
  <c r="C1122" i="801"/>
  <c r="E1122" i="801"/>
  <c r="B1123" i="801"/>
  <c r="C1123" i="801"/>
  <c r="E1123" i="801"/>
  <c r="B1124" i="801"/>
  <c r="C1124" i="801"/>
  <c r="E1124" i="801"/>
  <c r="B1125" i="801"/>
  <c r="C1125" i="801"/>
  <c r="E1125" i="801"/>
  <c r="B1126" i="801"/>
  <c r="C1126" i="801"/>
  <c r="E1126" i="801"/>
  <c r="B1127" i="801"/>
  <c r="C1127" i="801"/>
  <c r="E1127" i="801"/>
  <c r="B1128" i="801"/>
  <c r="C1128" i="801"/>
  <c r="E1128" i="801"/>
  <c r="B1129" i="801"/>
  <c r="C1129" i="801"/>
  <c r="E1129" i="801"/>
  <c r="B1130" i="801"/>
  <c r="C1130" i="801"/>
  <c r="E1130" i="801"/>
  <c r="B1131" i="801"/>
  <c r="C1131" i="801"/>
  <c r="E1131" i="801"/>
  <c r="B1132" i="801"/>
  <c r="C1132" i="801"/>
  <c r="E1132" i="801"/>
  <c r="B1133" i="801"/>
  <c r="C1133" i="801"/>
  <c r="E1133" i="801"/>
  <c r="B1134" i="801"/>
  <c r="C1134" i="801"/>
  <c r="E1134" i="801"/>
  <c r="B1135" i="801"/>
  <c r="C1135" i="801"/>
  <c r="E1135" i="801"/>
  <c r="B1136" i="801"/>
  <c r="C1136" i="801"/>
  <c r="E1136" i="801"/>
  <c r="B1137" i="801"/>
  <c r="C1137" i="801"/>
  <c r="E1137" i="801"/>
  <c r="B1138" i="801"/>
  <c r="C1138" i="801"/>
  <c r="E1138" i="801"/>
  <c r="B1139" i="801"/>
  <c r="C1139" i="801"/>
  <c r="E1139" i="801"/>
  <c r="B1140" i="801"/>
  <c r="C1140" i="801"/>
  <c r="E1140" i="801"/>
  <c r="B1141" i="801"/>
  <c r="C1141" i="801"/>
  <c r="E1141" i="801"/>
  <c r="B1142" i="801"/>
  <c r="C1142" i="801"/>
  <c r="E1142" i="801"/>
  <c r="B1143" i="801"/>
  <c r="C1143" i="801"/>
  <c r="E1143" i="801"/>
  <c r="B1144" i="801"/>
  <c r="C1144" i="801"/>
  <c r="E1144" i="801"/>
  <c r="B1145" i="801"/>
  <c r="C1145" i="801"/>
  <c r="E1145" i="801"/>
  <c r="B1146" i="801"/>
  <c r="C1146" i="801"/>
  <c r="E1146" i="801"/>
  <c r="B1147" i="801"/>
  <c r="C1147" i="801"/>
  <c r="E1147" i="801"/>
  <c r="B1148" i="801"/>
  <c r="C1148" i="801"/>
  <c r="E1148" i="801"/>
  <c r="B1149" i="801"/>
  <c r="C1149" i="801"/>
  <c r="E1149" i="801"/>
  <c r="B1150" i="801"/>
  <c r="C1150" i="801"/>
  <c r="E1150" i="801"/>
  <c r="B1151" i="801"/>
  <c r="C1151" i="801"/>
  <c r="E1151" i="801"/>
  <c r="B1152" i="801"/>
  <c r="C1152" i="801"/>
  <c r="E1152" i="801"/>
  <c r="B1153" i="801"/>
  <c r="C1153" i="801"/>
  <c r="E1153" i="801"/>
  <c r="B1154" i="801"/>
  <c r="C1154" i="801"/>
  <c r="E1154" i="801"/>
  <c r="B1155" i="801"/>
  <c r="C1155" i="801"/>
  <c r="E1155" i="801"/>
  <c r="B1156" i="801"/>
  <c r="C1156" i="801"/>
  <c r="E1156" i="801"/>
  <c r="B1157" i="801"/>
  <c r="C1157" i="801"/>
  <c r="E1157" i="801"/>
  <c r="B1158" i="801"/>
  <c r="C1158" i="801"/>
  <c r="E1158" i="801"/>
  <c r="B1159" i="801"/>
  <c r="C1159" i="801"/>
  <c r="E1159" i="801"/>
  <c r="B1160" i="801"/>
  <c r="C1160" i="801"/>
  <c r="E1160" i="801"/>
  <c r="B1161" i="801"/>
  <c r="C1161" i="801"/>
  <c r="E1161" i="801"/>
  <c r="B1162" i="801"/>
  <c r="C1162" i="801"/>
  <c r="E1162" i="801"/>
  <c r="B1163" i="801"/>
  <c r="C1163" i="801"/>
  <c r="E1163" i="801"/>
  <c r="B1164" i="801"/>
  <c r="C1164" i="801"/>
  <c r="E1164" i="801"/>
  <c r="B1165" i="801"/>
  <c r="C1165" i="801"/>
  <c r="E1165" i="801"/>
  <c r="B1166" i="801"/>
  <c r="C1166" i="801"/>
  <c r="E1166" i="801"/>
  <c r="B1167" i="801"/>
  <c r="C1167" i="801"/>
  <c r="E1167" i="801"/>
  <c r="B1168" i="801"/>
  <c r="C1168" i="801"/>
  <c r="E1168" i="801"/>
  <c r="B1169" i="801"/>
  <c r="C1169" i="801"/>
  <c r="E1169" i="801"/>
  <c r="B1170" i="801"/>
  <c r="C1170" i="801"/>
  <c r="E1170" i="801"/>
  <c r="B1171" i="801"/>
  <c r="C1171" i="801"/>
  <c r="E1171" i="801"/>
  <c r="B1172" i="801"/>
  <c r="C1172" i="801"/>
  <c r="E1172" i="801"/>
  <c r="B1173" i="801"/>
  <c r="C1173" i="801"/>
  <c r="E1173" i="801"/>
  <c r="B1174" i="801"/>
  <c r="C1174" i="801"/>
  <c r="E1174" i="801"/>
  <c r="B1175" i="801"/>
  <c r="C1175" i="801"/>
  <c r="E1175" i="801"/>
  <c r="B1176" i="801"/>
  <c r="C1176" i="801"/>
  <c r="E1176" i="801"/>
  <c r="B1177" i="801"/>
  <c r="C1177" i="801"/>
  <c r="E1177" i="801"/>
  <c r="B1178" i="801"/>
  <c r="C1178" i="801"/>
  <c r="E1178" i="801"/>
  <c r="B1179" i="801"/>
  <c r="C1179" i="801"/>
  <c r="E1179" i="801"/>
  <c r="B1180" i="801"/>
  <c r="C1180" i="801"/>
  <c r="E1180" i="801"/>
  <c r="B1181" i="801"/>
  <c r="C1181" i="801"/>
  <c r="E1181" i="801"/>
  <c r="B1182" i="801"/>
  <c r="C1182" i="801"/>
  <c r="E1182" i="801"/>
  <c r="B1183" i="801"/>
  <c r="C1183" i="801"/>
  <c r="E1183" i="801"/>
  <c r="B1184" i="801"/>
  <c r="C1184" i="801"/>
  <c r="E1184" i="801"/>
  <c r="B1185" i="801"/>
  <c r="C1185" i="801"/>
  <c r="E1185" i="801"/>
  <c r="B1186" i="801"/>
  <c r="C1186" i="801"/>
  <c r="E1186" i="801"/>
  <c r="B1187" i="801"/>
  <c r="C1187" i="801"/>
  <c r="E1187" i="801"/>
  <c r="B1188" i="801"/>
  <c r="C1188" i="801"/>
  <c r="E1188" i="801"/>
  <c r="B1189" i="801"/>
  <c r="C1189" i="801"/>
  <c r="E1189" i="801"/>
  <c r="B1190" i="801"/>
  <c r="C1190" i="801"/>
  <c r="E1190" i="801"/>
  <c r="B1191" i="801"/>
  <c r="C1191" i="801"/>
  <c r="E1191" i="801"/>
  <c r="B1192" i="801"/>
  <c r="C1192" i="801"/>
  <c r="E1192" i="801"/>
  <c r="B1193" i="801"/>
  <c r="C1193" i="801"/>
  <c r="E1193" i="801"/>
  <c r="B1194" i="801"/>
  <c r="C1194" i="801"/>
  <c r="E1194" i="801"/>
  <c r="B1195" i="801"/>
  <c r="C1195" i="801"/>
  <c r="E1195" i="801"/>
  <c r="B1196" i="801"/>
  <c r="C1196" i="801"/>
  <c r="E1196" i="801"/>
  <c r="B1197" i="801"/>
  <c r="C1197" i="801"/>
  <c r="E1197" i="801"/>
  <c r="B1198" i="801"/>
  <c r="C1198" i="801"/>
  <c r="E1198" i="801"/>
  <c r="B1199" i="801"/>
  <c r="C1199" i="801"/>
  <c r="E1199" i="801"/>
  <c r="B1200" i="801"/>
  <c r="C1200" i="801"/>
  <c r="E1200" i="801"/>
  <c r="B1201" i="801"/>
  <c r="C1201" i="801"/>
  <c r="E1201" i="801"/>
  <c r="B1202" i="801"/>
  <c r="C1202" i="801"/>
  <c r="E1202" i="801"/>
  <c r="B1203" i="801"/>
  <c r="C1203" i="801"/>
  <c r="E1203" i="801"/>
  <c r="B1204" i="801"/>
  <c r="C1204" i="801"/>
  <c r="E1204" i="801"/>
  <c r="B1205" i="801"/>
  <c r="C1205" i="801"/>
  <c r="E1205" i="801"/>
  <c r="B1206" i="801"/>
  <c r="C1206" i="801"/>
  <c r="E1206" i="801"/>
  <c r="B1207" i="801"/>
  <c r="C1207" i="801"/>
  <c r="E1207" i="801"/>
  <c r="B1208" i="801"/>
  <c r="C1208" i="801"/>
  <c r="E1208" i="801"/>
  <c r="B1209" i="801"/>
  <c r="C1209" i="801"/>
  <c r="E1209" i="801"/>
  <c r="B1210" i="801"/>
  <c r="C1210" i="801"/>
  <c r="E1210" i="801"/>
  <c r="B1211" i="801"/>
  <c r="C1211" i="801"/>
  <c r="E1211" i="801"/>
  <c r="B1212" i="801"/>
  <c r="C1212" i="801"/>
  <c r="E1212" i="801"/>
  <c r="B1213" i="801"/>
  <c r="C1213" i="801"/>
  <c r="E1213" i="801"/>
  <c r="B1214" i="801"/>
  <c r="C1214" i="801"/>
  <c r="E1214" i="801"/>
  <c r="B1215" i="801"/>
  <c r="C1215" i="801"/>
  <c r="E1215" i="801"/>
  <c r="B1216" i="801"/>
  <c r="C1216" i="801"/>
  <c r="E1216" i="801"/>
  <c r="B1217" i="801"/>
  <c r="C1217" i="801"/>
  <c r="E1217" i="801"/>
  <c r="B1218" i="801"/>
  <c r="C1218" i="801"/>
  <c r="E1218" i="801"/>
  <c r="B1219" i="801"/>
  <c r="C1219" i="801"/>
  <c r="E1219" i="801"/>
  <c r="B1220" i="801"/>
  <c r="C1220" i="801"/>
  <c r="E1220" i="801"/>
  <c r="B1221" i="801"/>
  <c r="C1221" i="801"/>
  <c r="E1221" i="801"/>
  <c r="B1222" i="801"/>
  <c r="C1222" i="801"/>
  <c r="E1222" i="801"/>
  <c r="B1223" i="801"/>
  <c r="C1223" i="801"/>
  <c r="E1223" i="801"/>
  <c r="B1224" i="801"/>
  <c r="C1224" i="801"/>
  <c r="E1224" i="801"/>
  <c r="B1225" i="801"/>
  <c r="C1225" i="801"/>
  <c r="E1225" i="801"/>
  <c r="B1226" i="801"/>
  <c r="C1226" i="801"/>
  <c r="E1226" i="801"/>
  <c r="B1227" i="801"/>
  <c r="C1227" i="801"/>
  <c r="E1227" i="801"/>
  <c r="B1228" i="801"/>
  <c r="C1228" i="801"/>
  <c r="E1228" i="801"/>
  <c r="B1229" i="801"/>
  <c r="C1229" i="801"/>
  <c r="E1229" i="801"/>
  <c r="B1230" i="801"/>
  <c r="C1230" i="801"/>
  <c r="E1230" i="801"/>
  <c r="B1231" i="801"/>
  <c r="C1231" i="801"/>
  <c r="E1231" i="801"/>
  <c r="B1232" i="801"/>
  <c r="C1232" i="801"/>
  <c r="E1232" i="801"/>
  <c r="B1233" i="801"/>
  <c r="C1233" i="801"/>
  <c r="E1233" i="801"/>
  <c r="B1234" i="801"/>
  <c r="C1234" i="801"/>
  <c r="E1234" i="801"/>
  <c r="B1235" i="801"/>
  <c r="C1235" i="801"/>
  <c r="E1235" i="801"/>
  <c r="B1236" i="801"/>
  <c r="C1236" i="801"/>
  <c r="E1236" i="801"/>
  <c r="B1237" i="801"/>
  <c r="C1237" i="801"/>
  <c r="E1237" i="801"/>
  <c r="B1238" i="801"/>
  <c r="C1238" i="801"/>
  <c r="E1238" i="801"/>
  <c r="B1239" i="801"/>
  <c r="C1239" i="801"/>
  <c r="E1239" i="801"/>
  <c r="B1240" i="801"/>
  <c r="C1240" i="801"/>
  <c r="E1240" i="801"/>
  <c r="B1241" i="801"/>
  <c r="C1241" i="801"/>
  <c r="E1241" i="801"/>
  <c r="B1242" i="801"/>
  <c r="C1242" i="801"/>
  <c r="E1242" i="801"/>
  <c r="B1243" i="801"/>
  <c r="C1243" i="801"/>
  <c r="E1243" i="801"/>
  <c r="B1244" i="801"/>
  <c r="C1244" i="801"/>
  <c r="E1244" i="801"/>
  <c r="B1245" i="801"/>
  <c r="C1245" i="801"/>
  <c r="E1245" i="801"/>
  <c r="B1246" i="801"/>
  <c r="C1246" i="801"/>
  <c r="E1246" i="801"/>
  <c r="B1247" i="801"/>
  <c r="C1247" i="801"/>
  <c r="E1247" i="801"/>
  <c r="B1248" i="801"/>
  <c r="C1248" i="801"/>
  <c r="E1248" i="801"/>
  <c r="B1249" i="801"/>
  <c r="C1249" i="801"/>
  <c r="E1249" i="801"/>
  <c r="B1250" i="801"/>
  <c r="C1250" i="801"/>
  <c r="E1250" i="801"/>
  <c r="B1251" i="801"/>
  <c r="C1251" i="801"/>
  <c r="E1251" i="801"/>
  <c r="B1252" i="801"/>
  <c r="C1252" i="801"/>
  <c r="E1252" i="801"/>
  <c r="B1253" i="801"/>
  <c r="C1253" i="801"/>
  <c r="E1253" i="801"/>
  <c r="B1254" i="801"/>
  <c r="C1254" i="801"/>
  <c r="E1254" i="801"/>
  <c r="B1255" i="801"/>
  <c r="C1255" i="801"/>
  <c r="E1255" i="801"/>
  <c r="B1256" i="801"/>
  <c r="C1256" i="801"/>
  <c r="E1256" i="801"/>
  <c r="B1257" i="801"/>
  <c r="C1257" i="801"/>
  <c r="E1257" i="801"/>
  <c r="B1258" i="801"/>
  <c r="C1258" i="801"/>
  <c r="E1258" i="801"/>
  <c r="B1259" i="801"/>
  <c r="C1259" i="801"/>
  <c r="E1259" i="801"/>
  <c r="B1260" i="801"/>
  <c r="C1260" i="801"/>
  <c r="E1260" i="801"/>
  <c r="B1261" i="801"/>
  <c r="C1261" i="801"/>
  <c r="E1261" i="801"/>
  <c r="B1262" i="801"/>
  <c r="C1262" i="801"/>
  <c r="E1262" i="801"/>
  <c r="B1263" i="801"/>
  <c r="C1263" i="801"/>
  <c r="E1263" i="801"/>
  <c r="B1264" i="801"/>
  <c r="C1264" i="801"/>
  <c r="E1264" i="801"/>
  <c r="B1265" i="801"/>
  <c r="C1265" i="801"/>
  <c r="E1265" i="801"/>
  <c r="B1266" i="801"/>
  <c r="C1266" i="801"/>
  <c r="E1266" i="801"/>
  <c r="B1267" i="801"/>
  <c r="C1267" i="801"/>
  <c r="E1267" i="801"/>
  <c r="B1268" i="801"/>
  <c r="C1268" i="801"/>
  <c r="E1268" i="801"/>
  <c r="B1269" i="801"/>
  <c r="C1269" i="801"/>
  <c r="E1269" i="801"/>
  <c r="B1270" i="801"/>
  <c r="C1270" i="801"/>
  <c r="E1270" i="801"/>
  <c r="B1271" i="801"/>
  <c r="C1271" i="801"/>
  <c r="E1271" i="801"/>
  <c r="B1272" i="801"/>
  <c r="C1272" i="801"/>
  <c r="E1272" i="801"/>
  <c r="B1273" i="801"/>
  <c r="C1273" i="801"/>
  <c r="E1273" i="801"/>
  <c r="B1274" i="801"/>
  <c r="C1274" i="801"/>
  <c r="E1274" i="801"/>
  <c r="B1275" i="801"/>
  <c r="C1275" i="801"/>
  <c r="E1275" i="801"/>
  <c r="B1276" i="801"/>
  <c r="C1276" i="801"/>
  <c r="E1276" i="801"/>
  <c r="B1277" i="801"/>
  <c r="C1277" i="801"/>
  <c r="E1277" i="801"/>
  <c r="B1278" i="801"/>
  <c r="C1278" i="801"/>
  <c r="E1278" i="801"/>
  <c r="B1279" i="801"/>
  <c r="C1279" i="801"/>
  <c r="E1279" i="801"/>
  <c r="B1280" i="801"/>
  <c r="C1280" i="801"/>
  <c r="E1280" i="801"/>
  <c r="B1281" i="801"/>
  <c r="C1281" i="801"/>
  <c r="E1281" i="801"/>
  <c r="B1282" i="801"/>
  <c r="C1282" i="801"/>
  <c r="E1282" i="801"/>
  <c r="B1283" i="801"/>
  <c r="C1283" i="801"/>
  <c r="E1283" i="801"/>
  <c r="B1284" i="801"/>
  <c r="C1284" i="801"/>
  <c r="E1284" i="801"/>
  <c r="B1285" i="801"/>
  <c r="C1285" i="801"/>
  <c r="E1285" i="801"/>
  <c r="B1286" i="801"/>
  <c r="C1286" i="801"/>
  <c r="E1286" i="801"/>
  <c r="B1287" i="801"/>
  <c r="C1287" i="801"/>
  <c r="E1287" i="801"/>
  <c r="B1288" i="801"/>
  <c r="C1288" i="801"/>
  <c r="E1288" i="801"/>
  <c r="B1289" i="801"/>
  <c r="C1289" i="801"/>
  <c r="E1289" i="801"/>
  <c r="B1290" i="801"/>
  <c r="C1290" i="801"/>
  <c r="E1290" i="801"/>
  <c r="B1291" i="801"/>
  <c r="C1291" i="801"/>
  <c r="E1291" i="801"/>
  <c r="B1292" i="801"/>
  <c r="C1292" i="801"/>
  <c r="E1292" i="801"/>
  <c r="B1293" i="801"/>
  <c r="C1293" i="801"/>
  <c r="E1293" i="801"/>
  <c r="B1294" i="801"/>
  <c r="C1294" i="801"/>
  <c r="E1294" i="801"/>
  <c r="B1295" i="801"/>
  <c r="C1295" i="801"/>
  <c r="E1295" i="801"/>
  <c r="B1296" i="801"/>
  <c r="C1296" i="801"/>
  <c r="E1296" i="801"/>
  <c r="B1297" i="801"/>
  <c r="C1297" i="801"/>
  <c r="E1297" i="801"/>
  <c r="B1298" i="801"/>
  <c r="C1298" i="801"/>
  <c r="E1298" i="801"/>
  <c r="B1299" i="801"/>
  <c r="C1299" i="801"/>
  <c r="E1299" i="801"/>
  <c r="B1300" i="801"/>
  <c r="C1300" i="801"/>
  <c r="E1300" i="801"/>
  <c r="B1301" i="801"/>
  <c r="C1301" i="801"/>
  <c r="E1301" i="801"/>
  <c r="B1302" i="801"/>
  <c r="C1302" i="801"/>
  <c r="E1302" i="801"/>
  <c r="B1303" i="801"/>
  <c r="C1303" i="801"/>
  <c r="E1303" i="801"/>
  <c r="B1304" i="801"/>
  <c r="C1304" i="801"/>
  <c r="E1304" i="801"/>
  <c r="B1305" i="801"/>
  <c r="C1305" i="801"/>
  <c r="E1305" i="801"/>
  <c r="B1306" i="801"/>
  <c r="C1306" i="801"/>
  <c r="E1306" i="801"/>
  <c r="B1307" i="801"/>
  <c r="C1307" i="801"/>
  <c r="E1307" i="801"/>
  <c r="B1308" i="801"/>
  <c r="C1308" i="801"/>
  <c r="E1308" i="801"/>
  <c r="B1309" i="801"/>
  <c r="C1309" i="801"/>
  <c r="E1309" i="801"/>
  <c r="B1310" i="801"/>
  <c r="C1310" i="801"/>
  <c r="E1310" i="801"/>
  <c r="B1311" i="801"/>
  <c r="C1311" i="801"/>
  <c r="E1311" i="801"/>
  <c r="B1312" i="801"/>
  <c r="C1312" i="801"/>
  <c r="E1312" i="801"/>
  <c r="B1313" i="801"/>
  <c r="C1313" i="801"/>
  <c r="E1313" i="801"/>
  <c r="B1314" i="801"/>
  <c r="C1314" i="801"/>
  <c r="E1314" i="801"/>
  <c r="B1315" i="801"/>
  <c r="C1315" i="801"/>
  <c r="E1315" i="801"/>
  <c r="B1316" i="801"/>
  <c r="C1316" i="801"/>
  <c r="E1316" i="801"/>
  <c r="B1317" i="801"/>
  <c r="C1317" i="801"/>
  <c r="E1317" i="801"/>
  <c r="B1318" i="801"/>
  <c r="C1318" i="801"/>
  <c r="E1318" i="801"/>
  <c r="B1319" i="801"/>
  <c r="C1319" i="801"/>
  <c r="E1319" i="801"/>
  <c r="B1320" i="801"/>
  <c r="C1320" i="801"/>
  <c r="E1320" i="801"/>
  <c r="B1321" i="801"/>
  <c r="C1321" i="801"/>
  <c r="E1321" i="801"/>
  <c r="B1322" i="801"/>
  <c r="C1322" i="801"/>
  <c r="E1322" i="801"/>
  <c r="B1323" i="801"/>
  <c r="C1323" i="801"/>
  <c r="E1323" i="801"/>
  <c r="B1324" i="801"/>
  <c r="C1324" i="801"/>
  <c r="E1324" i="801"/>
  <c r="B1325" i="801"/>
  <c r="C1325" i="801"/>
  <c r="E1325" i="801"/>
  <c r="B1326" i="801"/>
  <c r="C1326" i="801"/>
  <c r="E1326" i="801"/>
  <c r="B1327" i="801"/>
  <c r="C1327" i="801"/>
  <c r="E1327" i="801"/>
  <c r="B1328" i="801"/>
  <c r="C1328" i="801"/>
  <c r="E1328" i="801"/>
  <c r="B1329" i="801"/>
  <c r="C1329" i="801"/>
  <c r="E1329" i="801"/>
  <c r="B1330" i="801"/>
  <c r="C1330" i="801"/>
  <c r="E1330" i="801"/>
  <c r="B1331" i="801"/>
  <c r="C1331" i="801"/>
  <c r="E1331" i="801"/>
  <c r="B1332" i="801"/>
  <c r="C1332" i="801"/>
  <c r="E1332" i="801"/>
  <c r="B1333" i="801"/>
  <c r="C1333" i="801"/>
  <c r="E1333" i="801"/>
  <c r="B1334" i="801"/>
  <c r="C1334" i="801"/>
  <c r="E1334" i="801"/>
  <c r="B1335" i="801"/>
  <c r="C1335" i="801"/>
  <c r="E1335" i="801"/>
  <c r="B1336" i="801"/>
  <c r="C1336" i="801"/>
  <c r="E1336" i="801"/>
  <c r="B1337" i="801"/>
  <c r="C1337" i="801"/>
  <c r="E1337" i="801"/>
  <c r="B1338" i="801"/>
  <c r="C1338" i="801"/>
  <c r="E1338" i="801"/>
  <c r="B1339" i="801"/>
  <c r="C1339" i="801"/>
  <c r="E1339" i="801"/>
  <c r="B1340" i="801"/>
  <c r="C1340" i="801"/>
  <c r="E1340" i="801"/>
  <c r="B1341" i="801"/>
  <c r="C1341" i="801"/>
  <c r="E1341" i="801"/>
  <c r="B1342" i="801"/>
  <c r="C1342" i="801"/>
  <c r="E1342" i="801"/>
  <c r="B1343" i="801"/>
  <c r="C1343" i="801"/>
  <c r="E1343" i="801"/>
  <c r="B1344" i="801"/>
  <c r="C1344" i="801"/>
  <c r="E1344" i="801"/>
  <c r="B1345" i="801"/>
  <c r="C1345" i="801"/>
  <c r="E1345" i="801"/>
  <c r="B1346" i="801"/>
  <c r="C1346" i="801"/>
  <c r="E1346" i="801"/>
  <c r="B1347" i="801"/>
  <c r="C1347" i="801"/>
  <c r="E1347" i="801"/>
  <c r="B1348" i="801"/>
  <c r="C1348" i="801"/>
  <c r="E1348" i="801"/>
  <c r="B1349" i="801"/>
  <c r="C1349" i="801"/>
  <c r="E1349" i="801"/>
  <c r="B1350" i="801"/>
  <c r="C1350" i="801"/>
  <c r="E1350" i="801"/>
  <c r="B1351" i="801"/>
  <c r="C1351" i="801"/>
  <c r="E1351" i="801"/>
  <c r="B1352" i="801"/>
  <c r="C1352" i="801"/>
  <c r="E1352" i="801"/>
  <c r="B1353" i="801"/>
  <c r="C1353" i="801"/>
  <c r="E1353" i="801"/>
  <c r="B1354" i="801"/>
  <c r="C1354" i="801"/>
  <c r="E1354" i="801"/>
  <c r="B1355" i="801"/>
  <c r="C1355" i="801"/>
  <c r="E1355" i="801"/>
  <c r="B1356" i="801"/>
  <c r="C1356" i="801"/>
  <c r="E1356" i="801"/>
  <c r="B1357" i="801"/>
  <c r="C1357" i="801"/>
  <c r="E1357" i="801"/>
  <c r="B1358" i="801"/>
  <c r="C1358" i="801"/>
  <c r="E1358" i="801"/>
  <c r="B1359" i="801"/>
  <c r="C1359" i="801"/>
  <c r="E1359" i="801"/>
  <c r="B1360" i="801"/>
  <c r="C1360" i="801"/>
  <c r="E1360" i="801"/>
  <c r="B1361" i="801"/>
  <c r="C1361" i="801"/>
  <c r="E1361" i="801"/>
  <c r="B1362" i="801"/>
  <c r="C1362" i="801"/>
  <c r="E1362" i="801"/>
  <c r="B1363" i="801"/>
  <c r="C1363" i="801"/>
  <c r="E1363" i="801"/>
  <c r="B1364" i="801"/>
  <c r="C1364" i="801"/>
  <c r="E1364" i="801"/>
  <c r="B1365" i="801"/>
  <c r="C1365" i="801"/>
  <c r="E1365" i="801"/>
  <c r="B1366" i="801"/>
  <c r="C1366" i="801"/>
  <c r="E1366" i="801"/>
  <c r="B1367" i="801"/>
  <c r="C1367" i="801"/>
  <c r="E1367" i="801"/>
  <c r="B1368" i="801"/>
  <c r="C1368" i="801"/>
  <c r="E1368" i="801"/>
  <c r="B1369" i="801"/>
  <c r="C1369" i="801"/>
  <c r="E1369" i="801"/>
  <c r="B1370" i="801"/>
  <c r="C1370" i="801"/>
  <c r="E1370" i="801"/>
  <c r="B1371" i="801"/>
  <c r="C1371" i="801"/>
  <c r="E1371" i="801"/>
  <c r="B1372" i="801"/>
  <c r="C1372" i="801"/>
  <c r="E1372" i="801"/>
  <c r="B1373" i="801"/>
  <c r="C1373" i="801"/>
  <c r="E1373" i="801"/>
  <c r="B1374" i="801"/>
  <c r="C1374" i="801"/>
  <c r="E1374" i="801"/>
  <c r="B1375" i="801"/>
  <c r="C1375" i="801"/>
  <c r="E1375" i="801"/>
  <c r="B1376" i="801"/>
  <c r="C1376" i="801"/>
  <c r="E1376" i="801"/>
  <c r="B1377" i="801"/>
  <c r="C1377" i="801"/>
  <c r="E1377" i="801"/>
  <c r="B1378" i="801"/>
  <c r="C1378" i="801"/>
  <c r="E1378" i="801"/>
  <c r="B1379" i="801"/>
  <c r="C1379" i="801"/>
  <c r="E1379" i="801"/>
  <c r="B1380" i="801"/>
  <c r="C1380" i="801"/>
  <c r="E1380" i="801"/>
  <c r="B1381" i="801"/>
  <c r="C1381" i="801"/>
  <c r="E1381" i="801"/>
  <c r="B1382" i="801"/>
  <c r="C1382" i="801"/>
  <c r="E1382" i="801"/>
  <c r="B1383" i="801"/>
  <c r="C1383" i="801"/>
  <c r="E1383" i="801"/>
  <c r="B1384" i="801"/>
  <c r="C1384" i="801"/>
  <c r="E1384" i="801"/>
  <c r="B1385" i="801"/>
  <c r="C1385" i="801"/>
  <c r="E1385" i="801"/>
  <c r="B1386" i="801"/>
  <c r="C1386" i="801"/>
  <c r="E1386" i="801"/>
  <c r="B1387" i="801"/>
  <c r="C1387" i="801"/>
  <c r="E1387" i="801"/>
  <c r="B1388" i="801"/>
  <c r="C1388" i="801"/>
  <c r="E1388" i="801"/>
  <c r="B1389" i="801"/>
  <c r="C1389" i="801"/>
  <c r="E1389" i="801"/>
  <c r="B1390" i="801"/>
  <c r="C1390" i="801"/>
  <c r="E1390" i="801"/>
  <c r="B1391" i="801"/>
  <c r="C1391" i="801"/>
  <c r="E1391" i="801"/>
  <c r="B1392" i="801"/>
  <c r="C1392" i="801"/>
  <c r="E1392" i="801"/>
  <c r="B1393" i="801"/>
  <c r="C1393" i="801"/>
  <c r="E1393" i="801"/>
  <c r="B1394" i="801"/>
  <c r="C1394" i="801"/>
  <c r="E1394" i="801"/>
  <c r="B1395" i="801"/>
  <c r="C1395" i="801"/>
  <c r="E1395" i="801"/>
  <c r="B1396" i="801"/>
  <c r="C1396" i="801"/>
  <c r="E1396" i="801"/>
  <c r="B1397" i="801"/>
  <c r="C1397" i="801"/>
  <c r="E1397" i="801"/>
  <c r="B1398" i="801"/>
  <c r="C1398" i="801"/>
  <c r="E1398" i="801"/>
  <c r="B1399" i="801"/>
  <c r="C1399" i="801"/>
  <c r="E1399" i="801"/>
  <c r="B1400" i="801"/>
  <c r="C1400" i="801"/>
  <c r="E1400" i="801"/>
  <c r="B1401" i="801"/>
  <c r="C1401" i="801"/>
  <c r="E1401" i="801"/>
  <c r="B1402" i="801"/>
  <c r="C1402" i="801"/>
  <c r="E1402" i="801"/>
  <c r="B1403" i="801"/>
  <c r="C1403" i="801"/>
  <c r="E1403" i="801"/>
  <c r="B1404" i="801"/>
  <c r="C1404" i="801"/>
  <c r="E1404" i="801"/>
  <c r="B1405" i="801"/>
  <c r="C1405" i="801"/>
  <c r="E1405" i="801"/>
  <c r="B1406" i="801"/>
  <c r="C1406" i="801"/>
  <c r="E1406" i="801"/>
  <c r="B1407" i="801"/>
  <c r="C1407" i="801"/>
  <c r="E1407" i="801"/>
  <c r="B1408" i="801"/>
  <c r="C1408" i="801"/>
  <c r="E1408" i="801"/>
  <c r="B1409" i="801"/>
  <c r="C1409" i="801"/>
  <c r="E1409" i="801"/>
  <c r="B1410" i="801"/>
  <c r="C1410" i="801"/>
  <c r="E1410" i="801"/>
  <c r="B1411" i="801"/>
  <c r="C1411" i="801"/>
  <c r="E1411" i="801"/>
  <c r="B1412" i="801"/>
  <c r="C1412" i="801"/>
  <c r="E1412" i="801"/>
  <c r="B1413" i="801"/>
  <c r="C1413" i="801"/>
  <c r="E1413" i="801"/>
  <c r="B1414" i="801"/>
  <c r="C1414" i="801"/>
  <c r="E1414" i="801"/>
  <c r="B1415" i="801"/>
  <c r="C1415" i="801"/>
  <c r="E1415" i="801"/>
  <c r="B1416" i="801"/>
  <c r="C1416" i="801"/>
  <c r="E1416" i="801"/>
  <c r="B1417" i="801"/>
  <c r="C1417" i="801"/>
  <c r="E1417" i="801"/>
  <c r="B1418" i="801"/>
  <c r="C1418" i="801"/>
  <c r="E1418" i="801"/>
  <c r="B1419" i="801"/>
  <c r="C1419" i="801"/>
  <c r="E1419" i="801"/>
  <c r="B1420" i="801"/>
  <c r="C1420" i="801"/>
  <c r="E1420" i="801"/>
  <c r="B1421" i="801"/>
  <c r="C1421" i="801"/>
  <c r="E1421" i="801"/>
  <c r="B1422" i="801"/>
  <c r="C1422" i="801"/>
  <c r="E1422" i="801"/>
  <c r="B1423" i="801"/>
  <c r="C1423" i="801"/>
  <c r="E1423" i="801"/>
  <c r="B1424" i="801"/>
  <c r="C1424" i="801"/>
  <c r="E1424" i="801"/>
  <c r="B1425" i="801"/>
  <c r="C1425" i="801"/>
  <c r="E1425" i="801"/>
  <c r="B1426" i="801"/>
  <c r="C1426" i="801"/>
  <c r="E1426" i="801"/>
  <c r="B1427" i="801"/>
  <c r="C1427" i="801"/>
  <c r="E1427" i="801"/>
  <c r="B1428" i="801"/>
  <c r="C1428" i="801"/>
  <c r="E1428" i="801"/>
  <c r="B1429" i="801"/>
  <c r="C1429" i="801"/>
  <c r="E1429" i="801"/>
  <c r="B1430" i="801"/>
  <c r="C1430" i="801"/>
  <c r="E1430" i="801"/>
  <c r="B1431" i="801"/>
  <c r="C1431" i="801"/>
  <c r="E1431" i="801"/>
  <c r="B1432" i="801"/>
  <c r="C1432" i="801"/>
  <c r="E1432" i="801"/>
  <c r="B1433" i="801"/>
  <c r="C1433" i="801"/>
  <c r="E1433" i="801"/>
  <c r="B1434" i="801"/>
  <c r="C1434" i="801"/>
  <c r="E1434" i="801"/>
  <c r="B1435" i="801"/>
  <c r="C1435" i="801"/>
  <c r="E1435" i="801"/>
  <c r="B1436" i="801"/>
  <c r="C1436" i="801"/>
  <c r="E1436" i="801"/>
  <c r="B1437" i="801"/>
  <c r="C1437" i="801"/>
  <c r="E1437" i="801"/>
  <c r="B1438" i="801"/>
  <c r="C1438" i="801"/>
  <c r="E1438" i="801"/>
  <c r="B1439" i="801"/>
  <c r="C1439" i="801"/>
  <c r="E1439" i="801"/>
  <c r="B1440" i="801"/>
  <c r="C1440" i="801"/>
  <c r="E1440" i="801"/>
  <c r="B1441" i="801"/>
  <c r="C1441" i="801"/>
  <c r="E1441" i="801"/>
  <c r="B1442" i="801"/>
  <c r="C1442" i="801"/>
  <c r="E1442" i="801"/>
  <c r="B1443" i="801"/>
  <c r="C1443" i="801"/>
  <c r="E1443" i="801"/>
  <c r="B1444" i="801"/>
  <c r="C1444" i="801"/>
  <c r="E1444" i="801"/>
  <c r="B1445" i="801"/>
  <c r="C1445" i="801"/>
  <c r="E1445" i="801"/>
  <c r="B1446" i="801"/>
  <c r="C1446" i="801"/>
  <c r="E1446" i="801"/>
  <c r="B1447" i="801"/>
  <c r="C1447" i="801"/>
  <c r="E1447" i="801"/>
  <c r="B1448" i="801"/>
  <c r="C1448" i="801"/>
  <c r="E1448" i="801"/>
  <c r="B1449" i="801"/>
  <c r="C1449" i="801"/>
  <c r="E1449" i="801"/>
  <c r="B1450" i="801"/>
  <c r="C1450" i="801"/>
  <c r="E1450" i="801"/>
  <c r="B1451" i="801"/>
  <c r="C1451" i="801"/>
  <c r="E1451" i="801"/>
  <c r="B1452" i="801"/>
  <c r="C1452" i="801"/>
  <c r="E1452" i="801"/>
  <c r="B1453" i="801"/>
  <c r="C1453" i="801"/>
  <c r="E1453" i="801"/>
  <c r="B1454" i="801"/>
  <c r="C1454" i="801"/>
  <c r="E1454" i="801"/>
  <c r="B1455" i="801"/>
  <c r="C1455" i="801"/>
  <c r="E1455" i="801"/>
  <c r="B1456" i="801"/>
  <c r="C1456" i="801"/>
  <c r="E1456" i="801"/>
  <c r="B1457" i="801"/>
  <c r="C1457" i="801"/>
  <c r="E1457" i="801"/>
  <c r="B1458" i="801"/>
  <c r="C1458" i="801"/>
  <c r="E1458" i="801"/>
  <c r="B1459" i="801"/>
  <c r="C1459" i="801"/>
  <c r="E1459" i="801"/>
  <c r="B1460" i="801"/>
  <c r="C1460" i="801"/>
  <c r="E1460" i="801"/>
  <c r="B1461" i="801"/>
  <c r="C1461" i="801"/>
  <c r="E1461" i="801"/>
  <c r="B1462" i="801"/>
  <c r="C1462" i="801"/>
  <c r="E1462" i="801"/>
  <c r="B1463" i="801"/>
  <c r="C1463" i="801"/>
  <c r="E1463" i="801"/>
  <c r="B1464" i="801"/>
  <c r="C1464" i="801"/>
  <c r="E1464" i="801"/>
  <c r="B1465" i="801"/>
  <c r="C1465" i="801"/>
  <c r="E1465" i="801"/>
  <c r="B1466" i="801"/>
  <c r="C1466" i="801"/>
  <c r="E1466" i="801"/>
  <c r="B1467" i="801"/>
  <c r="C1467" i="801"/>
  <c r="E1467" i="801"/>
  <c r="B1468" i="801"/>
  <c r="C1468" i="801"/>
  <c r="E1468" i="801"/>
  <c r="B1469" i="801"/>
  <c r="C1469" i="801"/>
  <c r="E1469" i="801"/>
  <c r="B1470" i="801"/>
  <c r="C1470" i="801"/>
  <c r="E1470" i="801"/>
  <c r="B1471" i="801"/>
  <c r="C1471" i="801"/>
  <c r="E1471" i="801"/>
  <c r="B1472" i="801"/>
  <c r="C1472" i="801"/>
  <c r="E1472" i="801"/>
  <c r="B1473" i="801"/>
  <c r="C1473" i="801"/>
  <c r="E1473" i="801"/>
  <c r="B1474" i="801"/>
  <c r="C1474" i="801"/>
  <c r="E1474" i="801"/>
  <c r="B1475" i="801"/>
  <c r="C1475" i="801"/>
  <c r="E1475" i="801"/>
  <c r="B1476" i="801"/>
  <c r="C1476" i="801"/>
  <c r="E1476" i="801"/>
  <c r="B1477" i="801"/>
  <c r="C1477" i="801"/>
  <c r="E1477" i="801"/>
  <c r="B1478" i="801"/>
  <c r="C1478" i="801"/>
  <c r="E1478" i="801"/>
  <c r="B1479" i="801"/>
  <c r="C1479" i="801"/>
  <c r="E1479" i="801"/>
  <c r="B1480" i="801"/>
  <c r="C1480" i="801"/>
  <c r="E1480" i="801"/>
  <c r="B1481" i="801"/>
  <c r="C1481" i="801"/>
  <c r="E1481" i="801"/>
  <c r="B1482" i="801"/>
  <c r="C1482" i="801"/>
  <c r="E1482" i="801"/>
  <c r="B1483" i="801"/>
  <c r="C1483" i="801"/>
  <c r="E1483" i="801"/>
  <c r="B1484" i="801"/>
  <c r="C1484" i="801"/>
  <c r="E1484" i="801"/>
  <c r="B1485" i="801"/>
  <c r="C1485" i="801"/>
  <c r="E1485" i="801"/>
  <c r="B1486" i="801"/>
  <c r="C1486" i="801"/>
  <c r="E1486" i="801"/>
  <c r="B1487" i="801"/>
  <c r="C1487" i="801"/>
  <c r="E1487" i="801"/>
  <c r="B1488" i="801"/>
  <c r="C1488" i="801"/>
  <c r="E1488" i="801"/>
  <c r="B1489" i="801"/>
  <c r="C1489" i="801"/>
  <c r="E1489" i="801"/>
  <c r="B1490" i="801"/>
  <c r="C1490" i="801"/>
  <c r="E1490" i="801"/>
  <c r="B1491" i="801"/>
  <c r="C1491" i="801"/>
  <c r="E1491" i="801"/>
  <c r="B1492" i="801"/>
  <c r="C1492" i="801"/>
  <c r="E1492" i="801"/>
  <c r="B1493" i="801"/>
  <c r="C1493" i="801"/>
  <c r="E1493" i="801"/>
  <c r="B1494" i="801"/>
  <c r="C1494" i="801"/>
  <c r="E1494" i="801"/>
  <c r="B1495" i="801"/>
  <c r="C1495" i="801"/>
  <c r="E1495" i="801"/>
  <c r="B1496" i="801"/>
  <c r="C1496" i="801"/>
  <c r="E1496" i="801"/>
  <c r="B1497" i="801"/>
  <c r="C1497" i="801"/>
  <c r="E1497" i="801"/>
  <c r="B1498" i="801"/>
  <c r="C1498" i="801"/>
  <c r="E1498" i="801"/>
  <c r="B1499" i="801"/>
  <c r="C1499" i="801"/>
  <c r="E1499" i="801"/>
  <c r="B1500" i="801"/>
  <c r="C1500" i="801"/>
  <c r="E1500" i="801"/>
  <c r="B1501" i="801"/>
  <c r="C1501" i="801"/>
  <c r="E1501" i="801"/>
  <c r="B1502" i="801"/>
  <c r="C1502" i="801"/>
  <c r="E1502" i="801"/>
  <c r="B1503" i="801"/>
  <c r="C1503" i="801"/>
  <c r="E1503" i="801"/>
  <c r="B1504" i="801"/>
  <c r="C1504" i="801"/>
  <c r="E1504" i="801"/>
  <c r="B1505" i="801"/>
  <c r="C1505" i="801"/>
  <c r="E1505" i="801"/>
  <c r="B1506" i="801"/>
  <c r="C1506" i="801"/>
  <c r="E1506" i="801"/>
  <c r="B1507" i="801"/>
  <c r="C1507" i="801"/>
  <c r="E1507" i="801"/>
  <c r="B1508" i="801"/>
  <c r="C1508" i="801"/>
  <c r="E1508" i="801"/>
  <c r="B1509" i="801"/>
  <c r="C1509" i="801"/>
  <c r="E1509" i="801"/>
  <c r="B1510" i="801"/>
  <c r="C1510" i="801"/>
  <c r="E1510" i="801"/>
  <c r="B1511" i="801"/>
  <c r="C1511" i="801"/>
  <c r="E1511" i="801"/>
  <c r="B1512" i="801"/>
  <c r="C1512" i="801"/>
  <c r="E1512" i="801"/>
  <c r="B1513" i="801"/>
  <c r="C1513" i="801"/>
  <c r="E1513" i="801"/>
  <c r="B1514" i="801"/>
  <c r="C1514" i="801"/>
  <c r="E1514" i="801"/>
  <c r="B1515" i="801"/>
  <c r="C1515" i="801"/>
  <c r="E1515" i="801"/>
  <c r="B1516" i="801"/>
  <c r="C1516" i="801"/>
  <c r="E1516" i="801"/>
  <c r="B1517" i="801"/>
  <c r="C1517" i="801"/>
  <c r="E1517" i="801"/>
  <c r="B1518" i="801"/>
  <c r="C1518" i="801"/>
  <c r="E1518" i="801"/>
  <c r="B1519" i="801"/>
  <c r="C1519" i="801"/>
  <c r="E1519" i="801"/>
  <c r="B1520" i="801"/>
  <c r="C1520" i="801"/>
  <c r="E1520" i="801"/>
  <c r="B1521" i="801"/>
  <c r="C1521" i="801"/>
  <c r="E1521" i="801"/>
  <c r="B1522" i="801"/>
  <c r="C1522" i="801"/>
  <c r="E1522" i="801"/>
  <c r="B1523" i="801"/>
  <c r="C1523" i="801"/>
  <c r="E1523" i="801"/>
  <c r="B1524" i="801"/>
  <c r="C1524" i="801"/>
  <c r="E1524" i="801"/>
  <c r="B1525" i="801"/>
  <c r="C1525" i="801"/>
  <c r="E1525" i="801"/>
  <c r="B1526" i="801"/>
  <c r="C1526" i="801"/>
  <c r="E1526" i="801"/>
  <c r="B1527" i="801"/>
  <c r="C1527" i="801"/>
  <c r="E1527" i="801"/>
  <c r="B1528" i="801"/>
  <c r="C1528" i="801"/>
  <c r="E1528" i="801"/>
  <c r="B1529" i="801"/>
  <c r="C1529" i="801"/>
  <c r="E1529" i="801"/>
  <c r="B1530" i="801"/>
  <c r="C1530" i="801"/>
  <c r="E1530" i="801"/>
  <c r="B1531" i="801"/>
  <c r="C1531" i="801"/>
  <c r="E1531" i="801"/>
  <c r="B1532" i="801"/>
  <c r="C1532" i="801"/>
  <c r="E1532" i="801"/>
  <c r="B1533" i="801"/>
  <c r="C1533" i="801"/>
  <c r="E1533" i="801"/>
  <c r="B1534" i="801"/>
  <c r="C1534" i="801"/>
  <c r="E1534" i="801"/>
  <c r="B1535" i="801"/>
  <c r="C1535" i="801"/>
  <c r="E1535" i="801"/>
  <c r="B1536" i="801"/>
  <c r="C1536" i="801"/>
  <c r="E1536" i="801"/>
  <c r="B1537" i="801"/>
  <c r="C1537" i="801"/>
  <c r="E1537" i="801"/>
  <c r="B1538" i="801"/>
  <c r="C1538" i="801"/>
  <c r="E1538" i="801"/>
  <c r="B1539" i="801"/>
  <c r="C1539" i="801"/>
  <c r="E1539" i="801"/>
  <c r="B1540" i="801"/>
  <c r="C1540" i="801"/>
  <c r="E1540" i="801"/>
  <c r="B1541" i="801"/>
  <c r="C1541" i="801"/>
  <c r="E1541" i="801"/>
  <c r="B1542" i="801"/>
  <c r="C1542" i="801"/>
  <c r="E1542" i="801"/>
  <c r="B1543" i="801"/>
  <c r="C1543" i="801"/>
  <c r="E1543" i="801"/>
  <c r="B1544" i="801"/>
  <c r="C1544" i="801"/>
  <c r="E1544" i="801"/>
  <c r="B1545" i="801"/>
  <c r="C1545" i="801"/>
  <c r="E1545" i="801"/>
  <c r="B1546" i="801"/>
  <c r="C1546" i="801"/>
  <c r="E1546" i="801"/>
  <c r="B1547" i="801"/>
  <c r="C1547" i="801"/>
  <c r="E1547" i="801"/>
  <c r="B1548" i="801"/>
  <c r="C1548" i="801"/>
  <c r="E1548" i="801"/>
  <c r="B1549" i="801"/>
  <c r="C1549" i="801"/>
  <c r="E1549" i="801"/>
  <c r="B1550" i="801"/>
  <c r="C1550" i="801"/>
  <c r="E1550" i="801"/>
  <c r="B1551" i="801"/>
  <c r="C1551" i="801"/>
  <c r="E1551" i="801"/>
  <c r="B1552" i="801"/>
  <c r="C1552" i="801"/>
  <c r="E1552" i="801"/>
  <c r="B1553" i="801"/>
  <c r="C1553" i="801"/>
  <c r="E1553" i="801"/>
  <c r="B1554" i="801"/>
  <c r="C1554" i="801"/>
  <c r="E1554" i="801"/>
  <c r="B1555" i="801"/>
  <c r="C1555" i="801"/>
  <c r="E1555" i="801"/>
  <c r="B1556" i="801"/>
  <c r="C1556" i="801"/>
  <c r="E1556" i="801"/>
  <c r="B1557" i="801"/>
  <c r="C1557" i="801"/>
  <c r="E1557" i="801"/>
  <c r="B1558" i="801"/>
  <c r="C1558" i="801"/>
  <c r="E1558" i="801"/>
  <c r="B1559" i="801"/>
  <c r="C1559" i="801"/>
  <c r="E1559" i="801"/>
  <c r="B1560" i="801"/>
  <c r="C1560" i="801"/>
  <c r="E1560" i="801"/>
  <c r="B1561" i="801"/>
  <c r="C1561" i="801"/>
  <c r="E1561" i="801"/>
  <c r="B1562" i="801"/>
  <c r="C1562" i="801"/>
  <c r="E1562" i="801"/>
  <c r="B1563" i="801"/>
  <c r="C1563" i="801"/>
  <c r="E1563" i="801"/>
  <c r="B1564" i="801"/>
  <c r="C1564" i="801"/>
  <c r="E1564" i="801"/>
  <c r="B1565" i="801"/>
  <c r="C1565" i="801"/>
  <c r="E1565" i="801"/>
  <c r="B1566" i="801"/>
  <c r="C1566" i="801"/>
  <c r="E1566" i="801"/>
  <c r="B1567" i="801"/>
  <c r="C1567" i="801"/>
  <c r="E1567" i="801"/>
  <c r="B1568" i="801"/>
  <c r="C1568" i="801"/>
  <c r="E1568" i="801"/>
  <c r="B1569" i="801"/>
  <c r="C1569" i="801"/>
  <c r="E1569" i="801"/>
  <c r="B1570" i="801"/>
  <c r="C1570" i="801"/>
  <c r="E1570" i="801"/>
  <c r="B1571" i="801"/>
  <c r="C1571" i="801"/>
  <c r="E1571" i="801"/>
  <c r="B1572" i="801"/>
  <c r="C1572" i="801"/>
  <c r="E1572" i="801"/>
  <c r="B1573" i="801"/>
  <c r="C1573" i="801"/>
  <c r="E1573" i="801"/>
  <c r="B1574" i="801"/>
  <c r="C1574" i="801"/>
  <c r="E1574" i="801"/>
  <c r="B1575" i="801"/>
  <c r="C1575" i="801"/>
  <c r="E1575" i="801"/>
  <c r="B1576" i="801"/>
  <c r="C1576" i="801"/>
  <c r="E1576" i="801"/>
  <c r="B1577" i="801"/>
  <c r="C1577" i="801"/>
  <c r="E1577" i="801"/>
  <c r="B1578" i="801"/>
  <c r="C1578" i="801"/>
  <c r="E1578" i="801"/>
  <c r="B1579" i="801"/>
  <c r="C1579" i="801"/>
  <c r="E1579" i="801"/>
  <c r="B1580" i="801"/>
  <c r="C1580" i="801"/>
  <c r="E1580" i="801"/>
  <c r="B1581" i="801"/>
  <c r="C1581" i="801"/>
  <c r="E1581" i="801"/>
  <c r="B1582" i="801"/>
  <c r="C1582" i="801"/>
  <c r="E1582" i="801"/>
  <c r="B1583" i="801"/>
  <c r="C1583" i="801"/>
  <c r="E1583" i="801"/>
  <c r="B1584" i="801"/>
  <c r="C1584" i="801"/>
  <c r="E1584" i="801"/>
  <c r="B1585" i="801"/>
  <c r="C1585" i="801"/>
  <c r="E1585" i="801"/>
  <c r="B1586" i="801"/>
  <c r="C1586" i="801"/>
  <c r="E1586" i="801"/>
  <c r="B1587" i="801"/>
  <c r="C1587" i="801"/>
  <c r="E1587" i="801"/>
  <c r="B1588" i="801"/>
  <c r="C1588" i="801"/>
  <c r="E1588" i="801"/>
  <c r="B1589" i="801"/>
  <c r="C1589" i="801"/>
  <c r="E1589" i="801"/>
  <c r="B1590" i="801"/>
  <c r="C1590" i="801"/>
  <c r="E1590" i="801"/>
  <c r="B1591" i="801"/>
  <c r="C1591" i="801"/>
  <c r="E1591" i="801"/>
  <c r="B1592" i="801"/>
  <c r="C1592" i="801"/>
  <c r="E1592" i="801"/>
  <c r="B1593" i="801"/>
  <c r="C1593" i="801"/>
  <c r="E1593" i="801"/>
  <c r="B1594" i="801"/>
  <c r="C1594" i="801"/>
  <c r="E1594" i="801"/>
  <c r="B1595" i="801"/>
  <c r="C1595" i="801"/>
  <c r="E1595" i="801"/>
  <c r="B1596" i="801"/>
  <c r="C1596" i="801"/>
  <c r="E1596" i="801"/>
  <c r="B1597" i="801"/>
  <c r="C1597" i="801"/>
  <c r="E1597" i="801"/>
  <c r="B1598" i="801"/>
  <c r="C1598" i="801"/>
  <c r="E1598" i="801"/>
  <c r="B1599" i="801"/>
  <c r="C1599" i="801"/>
  <c r="E1599" i="801"/>
  <c r="B1600" i="801"/>
  <c r="C1600" i="801"/>
  <c r="E1600" i="801"/>
  <c r="B1601" i="801"/>
  <c r="C1601" i="801"/>
  <c r="E1601" i="801"/>
  <c r="B1602" i="801"/>
  <c r="C1602" i="801"/>
  <c r="E1602" i="801"/>
  <c r="B1603" i="801"/>
  <c r="C1603" i="801"/>
  <c r="E1603" i="801"/>
  <c r="B1604" i="801"/>
  <c r="C1604" i="801"/>
  <c r="E1604" i="801"/>
  <c r="B1605" i="801"/>
  <c r="C1605" i="801"/>
  <c r="E1605" i="801"/>
  <c r="B1606" i="801"/>
  <c r="C1606" i="801"/>
  <c r="E1606" i="801"/>
  <c r="B1607" i="801"/>
  <c r="C1607" i="801"/>
  <c r="E1607" i="801"/>
  <c r="B1608" i="801"/>
  <c r="C1608" i="801"/>
  <c r="E1608" i="801"/>
  <c r="B1609" i="801"/>
  <c r="C1609" i="801"/>
  <c r="E1609" i="801"/>
  <c r="B1610" i="801"/>
  <c r="C1610" i="801"/>
  <c r="E1610" i="801"/>
  <c r="B1611" i="801"/>
  <c r="C1611" i="801"/>
  <c r="E1611" i="801"/>
  <c r="B1612" i="801"/>
  <c r="C1612" i="801"/>
  <c r="E1612" i="801"/>
  <c r="B1613" i="801"/>
  <c r="C1613" i="801"/>
  <c r="E1613" i="801"/>
  <c r="B1614" i="801"/>
  <c r="C1614" i="801"/>
  <c r="E1614" i="801"/>
  <c r="B1615" i="801"/>
  <c r="C1615" i="801"/>
  <c r="E1615" i="801"/>
  <c r="B1616" i="801"/>
  <c r="C1616" i="801"/>
  <c r="E1616" i="801"/>
  <c r="B1617" i="801"/>
  <c r="C1617" i="801"/>
  <c r="E1617" i="801"/>
  <c r="B1618" i="801"/>
  <c r="C1618" i="801"/>
  <c r="E1618" i="801"/>
  <c r="B1619" i="801"/>
  <c r="C1619" i="801"/>
  <c r="E1619" i="801"/>
  <c r="B1620" i="801"/>
  <c r="C1620" i="801"/>
  <c r="E1620" i="801"/>
  <c r="B1621" i="801"/>
  <c r="C1621" i="801"/>
  <c r="E1621" i="801"/>
  <c r="B1622" i="801"/>
  <c r="C1622" i="801"/>
  <c r="E1622" i="801"/>
  <c r="B1623" i="801"/>
  <c r="C1623" i="801"/>
  <c r="E1623" i="801"/>
  <c r="B1624" i="801"/>
  <c r="C1624" i="801"/>
  <c r="E1624" i="801"/>
  <c r="B1625" i="801"/>
  <c r="C1625" i="801"/>
  <c r="E1625" i="801"/>
  <c r="B1626" i="801"/>
  <c r="C1626" i="801"/>
  <c r="E1626" i="801"/>
  <c r="B1627" i="801"/>
  <c r="C1627" i="801"/>
  <c r="E1627" i="801"/>
  <c r="B1628" i="801"/>
  <c r="C1628" i="801"/>
  <c r="E1628" i="801"/>
  <c r="B1629" i="801"/>
  <c r="C1629" i="801"/>
  <c r="E1629" i="801"/>
  <c r="B1630" i="801"/>
  <c r="C1630" i="801"/>
  <c r="E1630" i="801"/>
  <c r="B1631" i="801"/>
  <c r="C1631" i="801"/>
  <c r="E1631" i="801"/>
  <c r="B1632" i="801"/>
  <c r="C1632" i="801"/>
  <c r="E1632" i="801"/>
  <c r="B1633" i="801"/>
  <c r="C1633" i="801"/>
  <c r="E1633" i="801"/>
  <c r="B1634" i="801"/>
  <c r="C1634" i="801"/>
  <c r="E1634" i="801"/>
  <c r="B1635" i="801"/>
  <c r="C1635" i="801"/>
  <c r="E1635" i="801"/>
  <c r="B1636" i="801"/>
  <c r="C1636" i="801"/>
  <c r="E1636" i="801"/>
  <c r="B1637" i="801"/>
  <c r="C1637" i="801"/>
  <c r="E1637" i="801"/>
  <c r="B1638" i="801"/>
  <c r="C1638" i="801"/>
  <c r="E1638" i="801"/>
  <c r="B1639" i="801"/>
  <c r="C1639" i="801"/>
  <c r="E1639" i="801"/>
  <c r="B1640" i="801"/>
  <c r="C1640" i="801"/>
  <c r="E1640" i="801"/>
  <c r="B1641" i="801"/>
  <c r="C1641" i="801"/>
  <c r="E1641" i="801"/>
  <c r="B1642" i="801"/>
  <c r="C1642" i="801"/>
  <c r="E1642" i="801"/>
  <c r="B1643" i="801"/>
  <c r="C1643" i="801"/>
  <c r="E1643" i="801"/>
  <c r="B1644" i="801"/>
  <c r="C1644" i="801"/>
  <c r="E1644" i="801"/>
  <c r="B1645" i="801"/>
  <c r="C1645" i="801"/>
  <c r="E1645" i="801"/>
  <c r="B1646" i="801"/>
  <c r="C1646" i="801"/>
  <c r="E1646" i="801"/>
  <c r="B1647" i="801"/>
  <c r="C1647" i="801"/>
  <c r="E1647" i="801"/>
  <c r="F1" i="802"/>
  <c r="F2" i="802"/>
  <c r="F3" i="802"/>
  <c r="F4" i="802"/>
  <c r="F5" i="802"/>
  <c r="F6" i="802"/>
  <c r="F7" i="802"/>
  <c r="F8" i="802"/>
  <c r="F9" i="802"/>
  <c r="F10" i="802"/>
  <c r="F11" i="802"/>
  <c r="F12" i="802"/>
  <c r="F13" i="802"/>
  <c r="F14" i="802"/>
  <c r="F15" i="802"/>
  <c r="F16" i="802"/>
  <c r="F17" i="802"/>
  <c r="F18" i="802"/>
  <c r="F19" i="802"/>
  <c r="F20" i="802"/>
  <c r="F21" i="802"/>
  <c r="F22" i="802"/>
  <c r="F23" i="802"/>
  <c r="F24" i="802"/>
  <c r="F25" i="802"/>
  <c r="F26" i="802"/>
  <c r="F27" i="802"/>
  <c r="F28" i="802"/>
  <c r="F29" i="802"/>
  <c r="F30" i="802"/>
  <c r="F31" i="802"/>
  <c r="F32" i="802"/>
  <c r="F33" i="802"/>
  <c r="F34" i="802"/>
  <c r="F35" i="802"/>
  <c r="F36" i="802"/>
  <c r="F37" i="802"/>
  <c r="F38" i="802"/>
  <c r="F39" i="802"/>
  <c r="F40" i="802"/>
  <c r="F41" i="802"/>
  <c r="F42" i="802"/>
  <c r="F43" i="802"/>
  <c r="F44" i="802"/>
  <c r="F45" i="802"/>
  <c r="F46" i="802"/>
  <c r="F47" i="802"/>
  <c r="F48" i="802"/>
  <c r="F49" i="802"/>
  <c r="F50" i="802"/>
  <c r="F51" i="802"/>
  <c r="F52" i="802"/>
  <c r="F54" i="802"/>
  <c r="F55" i="802"/>
  <c r="F56" i="802"/>
  <c r="F57" i="802"/>
  <c r="F58" i="802"/>
  <c r="F59" i="802"/>
  <c r="F60" i="802"/>
  <c r="F61" i="802"/>
  <c r="F62" i="802"/>
  <c r="F63" i="802"/>
  <c r="F64" i="802"/>
  <c r="F65" i="802"/>
  <c r="F66" i="802"/>
  <c r="F67" i="802"/>
  <c r="F68" i="802"/>
  <c r="F69" i="802"/>
  <c r="F70" i="802"/>
  <c r="F71" i="802"/>
  <c r="F72" i="802"/>
  <c r="F73" i="802"/>
  <c r="F74" i="802"/>
  <c r="F75" i="802"/>
  <c r="F76" i="802"/>
  <c r="F77" i="802"/>
  <c r="F78" i="802"/>
  <c r="F79" i="802"/>
  <c r="F80" i="802"/>
  <c r="F81" i="802"/>
  <c r="F82" i="802"/>
  <c r="F83" i="802"/>
  <c r="F84" i="802"/>
  <c r="F87" i="802"/>
  <c r="F88" i="802"/>
  <c r="F89" i="802"/>
  <c r="F91" i="802"/>
  <c r="F92" i="802"/>
  <c r="F93" i="802"/>
  <c r="F94" i="802"/>
  <c r="F95" i="802"/>
  <c r="F96" i="802"/>
  <c r="F97" i="802"/>
  <c r="F98" i="802"/>
  <c r="F99" i="802"/>
  <c r="F100" i="802"/>
  <c r="F101" i="802"/>
  <c r="F102" i="802"/>
  <c r="F103" i="802"/>
  <c r="F104" i="802"/>
  <c r="F105" i="802"/>
  <c r="F106" i="802"/>
  <c r="F107" i="802"/>
  <c r="F108" i="802"/>
  <c r="F109" i="802"/>
  <c r="F110" i="802"/>
  <c r="F111" i="802"/>
  <c r="F112" i="802"/>
  <c r="F113" i="802"/>
  <c r="F114" i="802"/>
  <c r="F115" i="802"/>
  <c r="F116" i="802"/>
  <c r="F117" i="802"/>
  <c r="F118" i="802"/>
  <c r="F119" i="802"/>
  <c r="F120" i="802"/>
  <c r="F121" i="802"/>
  <c r="F122" i="802"/>
  <c r="F123" i="802"/>
  <c r="F124" i="802"/>
  <c r="F125" i="802"/>
  <c r="F126" i="802"/>
  <c r="F127" i="802"/>
  <c r="F128" i="802"/>
  <c r="F129" i="802"/>
  <c r="F130" i="802"/>
  <c r="F131" i="802"/>
  <c r="F132" i="802"/>
  <c r="F133" i="802"/>
  <c r="F134" i="802"/>
  <c r="F135" i="802"/>
  <c r="F136" i="802"/>
  <c r="F137" i="802"/>
  <c r="F138" i="802"/>
  <c r="F139" i="802"/>
  <c r="F140" i="802"/>
  <c r="F141" i="802"/>
  <c r="F142" i="802"/>
  <c r="F143" i="802"/>
  <c r="F144" i="802"/>
  <c r="F145" i="802"/>
  <c r="F146" i="802"/>
  <c r="F147" i="802"/>
  <c r="F148" i="802"/>
  <c r="F150" i="802"/>
  <c r="F151" i="802"/>
  <c r="F152" i="802"/>
  <c r="F153" i="802"/>
  <c r="F154" i="802"/>
  <c r="F155" i="802"/>
  <c r="F156" i="802"/>
  <c r="F157" i="802"/>
  <c r="F158" i="802"/>
  <c r="F159" i="802"/>
  <c r="F160" i="802"/>
  <c r="F161" i="802"/>
  <c r="F162" i="802"/>
  <c r="F163" i="802"/>
  <c r="F164" i="802"/>
  <c r="F165" i="802"/>
  <c r="F166" i="802"/>
  <c r="F167" i="802"/>
  <c r="F168" i="802"/>
  <c r="F169" i="802"/>
  <c r="F170" i="802"/>
  <c r="F171" i="802"/>
  <c r="F172" i="802"/>
  <c r="F173" i="802"/>
  <c r="F174" i="802"/>
  <c r="F175" i="802"/>
  <c r="F176" i="802"/>
  <c r="F177" i="802"/>
  <c r="F178" i="802"/>
  <c r="F179" i="802"/>
  <c r="F180" i="802"/>
  <c r="F181" i="802"/>
  <c r="F182" i="802"/>
  <c r="F183" i="802"/>
  <c r="F184" i="802"/>
  <c r="F185" i="802"/>
  <c r="F186" i="802"/>
  <c r="F187" i="802"/>
  <c r="F188" i="802"/>
  <c r="F189" i="802"/>
  <c r="F190" i="802"/>
  <c r="F191" i="802"/>
  <c r="F192" i="802"/>
  <c r="F193" i="802"/>
  <c r="F194" i="802"/>
  <c r="F195" i="802"/>
  <c r="F196" i="802"/>
  <c r="F197" i="802"/>
  <c r="F198" i="802"/>
  <c r="B204" i="802"/>
  <c r="F284" i="802"/>
  <c r="F285" i="802"/>
  <c r="F286" i="802"/>
  <c r="B292" i="802"/>
  <c r="F326" i="802"/>
  <c r="F327" i="802"/>
  <c r="B574" i="802"/>
  <c r="N3" i="800"/>
  <c r="O3" i="800"/>
  <c r="P9" i="800"/>
  <c r="J19" i="800"/>
  <c r="N19" i="800"/>
  <c r="E23" i="800"/>
  <c r="E24" i="800" s="1"/>
  <c r="V23" i="800"/>
  <c r="W23" i="800"/>
  <c r="X23" i="800"/>
  <c r="Y23" i="800"/>
  <c r="Z23" i="800"/>
  <c r="AA23" i="800"/>
  <c r="AB23" i="800"/>
  <c r="AC23" i="800"/>
  <c r="AD23" i="800"/>
  <c r="AE23" i="800"/>
  <c r="AF23" i="800"/>
  <c r="AG23" i="800"/>
  <c r="AH23" i="800"/>
  <c r="AI23" i="800"/>
  <c r="AJ23" i="800"/>
  <c r="AK23" i="800"/>
  <c r="AL23" i="800"/>
  <c r="AM23" i="800"/>
  <c r="AN23" i="800"/>
  <c r="AO23" i="800"/>
  <c r="AP23" i="800"/>
  <c r="AQ23" i="800"/>
  <c r="AR23" i="800"/>
  <c r="AS23" i="800"/>
  <c r="AT23" i="800"/>
  <c r="AU23" i="800"/>
  <c r="AV23" i="800"/>
  <c r="AW23" i="800"/>
  <c r="AX23" i="800"/>
  <c r="AY24" i="800"/>
  <c r="Q3" i="630"/>
  <c r="Q10" i="630"/>
  <c r="Y10" i="630"/>
  <c r="BF10" i="630"/>
  <c r="Q11" i="630"/>
  <c r="Y11" i="630"/>
  <c r="BF11" i="630"/>
  <c r="Q12" i="630"/>
  <c r="T12" i="630" s="1"/>
  <c r="Y12" i="630"/>
  <c r="BF12" i="630"/>
  <c r="Q14" i="630"/>
  <c r="T14" i="630" s="1"/>
  <c r="Y14" i="630"/>
  <c r="BF14" i="630"/>
  <c r="Q15" i="630"/>
  <c r="T15" i="630" s="1"/>
  <c r="U15" i="630" s="1"/>
  <c r="Y15" i="630"/>
  <c r="BF15" i="630"/>
  <c r="Q16" i="630"/>
  <c r="T16" i="630" s="1"/>
  <c r="Y16" i="630"/>
  <c r="BF16" i="630"/>
  <c r="Q17" i="630"/>
  <c r="T17" i="630" s="1"/>
  <c r="U17" i="630" s="1"/>
  <c r="Y17" i="630"/>
  <c r="BF17" i="630"/>
  <c r="Q18" i="630"/>
  <c r="T18" i="630" s="1"/>
  <c r="U18" i="630" s="1"/>
  <c r="Y18" i="630"/>
  <c r="BF18" i="630"/>
  <c r="Q19" i="630"/>
  <c r="T19" i="630" s="1"/>
  <c r="U19" i="630" s="1"/>
  <c r="Y19" i="630"/>
  <c r="BF19" i="630"/>
  <c r="Q20" i="630"/>
  <c r="T20" i="630" s="1"/>
  <c r="U20" i="630" s="1"/>
  <c r="Y20" i="630"/>
  <c r="BF20" i="630"/>
  <c r="Q21" i="630"/>
  <c r="T21" i="630" s="1"/>
  <c r="Y21" i="630"/>
  <c r="BF21" i="630"/>
  <c r="Q22" i="630"/>
  <c r="T22" i="630" s="1"/>
  <c r="U22" i="630" s="1"/>
  <c r="Y22" i="630"/>
  <c r="BF22" i="630"/>
  <c r="Q23" i="630"/>
  <c r="T23" i="630" s="1"/>
  <c r="Y23" i="630"/>
  <c r="BF23" i="630"/>
  <c r="Q24" i="630"/>
  <c r="T24" i="630" s="1"/>
  <c r="Y24" i="630"/>
  <c r="BF24" i="630"/>
  <c r="Q25" i="630"/>
  <c r="T25" i="630" s="1"/>
  <c r="Y25" i="630"/>
  <c r="BF25" i="630"/>
  <c r="Q26" i="630"/>
  <c r="T26" i="630" s="1"/>
  <c r="U26" i="630" s="1"/>
  <c r="Y26" i="630"/>
  <c r="BF26" i="630"/>
  <c r="Q27" i="630"/>
  <c r="T27" i="630" s="1"/>
  <c r="U27" i="630" s="1"/>
  <c r="Y27" i="630"/>
  <c r="BF27" i="630"/>
  <c r="Q28" i="630"/>
  <c r="T28" i="630" s="1"/>
  <c r="U28" i="630" s="1"/>
  <c r="Y28" i="630"/>
  <c r="BF28" i="630"/>
  <c r="Q29" i="630"/>
  <c r="T29" i="630" s="1"/>
  <c r="Y29" i="630"/>
  <c r="BF29" i="630"/>
  <c r="Q30" i="630"/>
  <c r="T30" i="630" s="1"/>
  <c r="U30" i="630" s="1"/>
  <c r="Y30" i="630"/>
  <c r="BF30" i="630"/>
  <c r="Q31" i="630"/>
  <c r="T31" i="630" s="1"/>
  <c r="U31" i="630" s="1"/>
  <c r="Y31" i="630"/>
  <c r="BF31" i="630"/>
  <c r="Q32" i="630"/>
  <c r="T32" i="630" s="1"/>
  <c r="U32" i="630" s="1"/>
  <c r="Y32" i="630"/>
  <c r="BF32" i="630"/>
  <c r="Q33" i="630"/>
  <c r="T33" i="630" s="1"/>
  <c r="Y33" i="630"/>
  <c r="BF33" i="630"/>
  <c r="Q34" i="630"/>
  <c r="T34" i="630" s="1"/>
  <c r="U34" i="630" s="1"/>
  <c r="Y34" i="630"/>
  <c r="BF34" i="630"/>
  <c r="Q35" i="630"/>
  <c r="T35" i="630" s="1"/>
  <c r="U35" i="630" s="1"/>
  <c r="Y35" i="630"/>
  <c r="BF35" i="630"/>
  <c r="Q36" i="630"/>
  <c r="T36" i="630" s="1"/>
  <c r="Y36" i="630"/>
  <c r="BF36" i="630"/>
  <c r="Q37" i="630"/>
  <c r="T37" i="630" s="1"/>
  <c r="Y37" i="630"/>
  <c r="BF37" i="630"/>
  <c r="Q38" i="630"/>
  <c r="T38" i="630" s="1"/>
  <c r="U38" i="630" s="1"/>
  <c r="Y38" i="630"/>
  <c r="BF38" i="630"/>
  <c r="Q39" i="630"/>
  <c r="T39" i="630" s="1"/>
  <c r="Y39" i="630"/>
  <c r="BF39" i="630"/>
  <c r="Q40" i="630"/>
  <c r="T40" i="630" s="1"/>
  <c r="Y40" i="630"/>
  <c r="BF40" i="630"/>
  <c r="Q41" i="630"/>
  <c r="T41" i="630" s="1"/>
  <c r="Y41" i="630"/>
  <c r="BF41" i="630"/>
  <c r="Q42" i="630"/>
  <c r="T42" i="630" s="1"/>
  <c r="U42" i="630" s="1"/>
  <c r="Y42" i="630"/>
  <c r="BF42" i="630"/>
  <c r="Q43" i="630"/>
  <c r="T43" i="630" s="1"/>
  <c r="U43" i="630" s="1"/>
  <c r="Y43" i="630"/>
  <c r="BF43" i="630"/>
  <c r="Q44" i="630"/>
  <c r="T44" i="630" s="1"/>
  <c r="U44" i="630" s="1"/>
  <c r="Y44" i="630"/>
  <c r="BF44" i="630"/>
  <c r="Q45" i="630"/>
  <c r="T45" i="630" s="1"/>
  <c r="Y45" i="630"/>
  <c r="BF45" i="630"/>
  <c r="Q46" i="630"/>
  <c r="T46" i="630" s="1"/>
  <c r="U46" i="630" s="1"/>
  <c r="Y46" i="630"/>
  <c r="BF46" i="630"/>
  <c r="Q47" i="630"/>
  <c r="T47" i="630" s="1"/>
  <c r="U47" i="630" s="1"/>
  <c r="Y47" i="630"/>
  <c r="BF47" i="630"/>
  <c r="Q48" i="630"/>
  <c r="T48" i="630" s="1"/>
  <c r="U48" i="630" s="1"/>
  <c r="Y48" i="630"/>
  <c r="BF48" i="630"/>
  <c r="Q49" i="630"/>
  <c r="T49" i="630" s="1"/>
  <c r="U49" i="630" s="1"/>
  <c r="Y49" i="630"/>
  <c r="BF49" i="630"/>
  <c r="Q50" i="630"/>
  <c r="T50" i="630" s="1"/>
  <c r="U50" i="630" s="1"/>
  <c r="Y50" i="630"/>
  <c r="BF50" i="630"/>
  <c r="Q51" i="630"/>
  <c r="T51" i="630" s="1"/>
  <c r="U51" i="630" s="1"/>
  <c r="Y51" i="630"/>
  <c r="BF51" i="630"/>
  <c r="Q52" i="630"/>
  <c r="T52" i="630" s="1"/>
  <c r="U52" i="630" s="1"/>
  <c r="Y52" i="630"/>
  <c r="BF52" i="630"/>
  <c r="Q53" i="630"/>
  <c r="T53" i="630" s="1"/>
  <c r="U53" i="630" s="1"/>
  <c r="Y53" i="630"/>
  <c r="BF53" i="630"/>
  <c r="Q54" i="630"/>
  <c r="T54" i="630" s="1"/>
  <c r="U54" i="630" s="1"/>
  <c r="Y54" i="630"/>
  <c r="BF54" i="630"/>
  <c r="Q55" i="630"/>
  <c r="T55" i="630" s="1"/>
  <c r="U55" i="630" s="1"/>
  <c r="Y55" i="630"/>
  <c r="BF55" i="630"/>
  <c r="Q56" i="630"/>
  <c r="T56" i="630" s="1"/>
  <c r="Y56" i="630"/>
  <c r="BF56" i="630"/>
  <c r="Q57" i="630"/>
  <c r="Y57" i="630"/>
  <c r="BF57" i="630"/>
  <c r="Q58" i="630"/>
  <c r="Y58" i="630"/>
  <c r="BF58" i="630"/>
  <c r="Q59" i="630"/>
  <c r="T59" i="630" s="1"/>
  <c r="U59" i="630" s="1"/>
  <c r="Y59" i="630"/>
  <c r="BF59" i="630"/>
  <c r="Q60" i="630"/>
  <c r="T60" i="630" s="1"/>
  <c r="Y60" i="630"/>
  <c r="BF60" i="630"/>
  <c r="T61" i="630"/>
  <c r="Y61" i="630"/>
  <c r="BF61" i="630"/>
  <c r="T62" i="630"/>
  <c r="Y62" i="630"/>
  <c r="BF62" i="630"/>
  <c r="T63" i="630"/>
  <c r="U63" i="630" s="1"/>
  <c r="Y63" i="630"/>
  <c r="BF63" i="630"/>
  <c r="T64" i="630"/>
  <c r="U64" i="630" s="1"/>
  <c r="Y64" i="630"/>
  <c r="BF64" i="630"/>
  <c r="T65" i="630"/>
  <c r="U65" i="630" s="1"/>
  <c r="Y65" i="630"/>
  <c r="BF65" i="630"/>
  <c r="T66" i="630"/>
  <c r="U66" i="630" s="1"/>
  <c r="Y66" i="630"/>
  <c r="BF66" i="630"/>
  <c r="T67" i="630"/>
  <c r="U67" i="630" s="1"/>
  <c r="Y67" i="630"/>
  <c r="BF67" i="630"/>
  <c r="T68" i="630"/>
  <c r="U68" i="630" s="1"/>
  <c r="Y68" i="630"/>
  <c r="BF68" i="630"/>
  <c r="T69" i="630"/>
  <c r="U69" i="630" s="1"/>
  <c r="Y69" i="630"/>
  <c r="BF69" i="630"/>
  <c r="T70" i="630"/>
  <c r="U70" i="630" s="1"/>
  <c r="Y70" i="630"/>
  <c r="BF70" i="630"/>
  <c r="T71" i="630"/>
  <c r="U71" i="630" s="1"/>
  <c r="Y71" i="630"/>
  <c r="BF71" i="630"/>
  <c r="T72" i="630"/>
  <c r="U72" i="630" s="1"/>
  <c r="Y72" i="630"/>
  <c r="BF72" i="630"/>
  <c r="U73" i="630"/>
  <c r="Y73" i="630"/>
  <c r="BF73" i="630"/>
  <c r="T74" i="630"/>
  <c r="Y74" i="630"/>
  <c r="BF74" i="630"/>
  <c r="T75" i="630"/>
  <c r="Y75" i="630"/>
  <c r="BF75" i="630"/>
  <c r="T76" i="630"/>
  <c r="U76" i="630" s="1"/>
  <c r="Y76" i="630"/>
  <c r="BF76" i="630"/>
  <c r="T77" i="630"/>
  <c r="U77" i="630" s="1"/>
  <c r="Y77" i="630"/>
  <c r="BF77" i="630"/>
  <c r="T78" i="630"/>
  <c r="U78" i="630" s="1"/>
  <c r="Y78" i="630"/>
  <c r="BF78" i="630"/>
  <c r="T79" i="630"/>
  <c r="Y79" i="630"/>
  <c r="BF79" i="630"/>
  <c r="T80" i="630"/>
  <c r="U80" i="630" s="1"/>
  <c r="Y80" i="630"/>
  <c r="BF80" i="630"/>
  <c r="T81" i="630"/>
  <c r="U81" i="630" s="1"/>
  <c r="Y81" i="630"/>
  <c r="BF81" i="630"/>
  <c r="T82" i="630"/>
  <c r="U82" i="630" s="1"/>
  <c r="Y82" i="630"/>
  <c r="BF82" i="630"/>
  <c r="T83" i="630"/>
  <c r="U83" i="630" s="1"/>
  <c r="Y83" i="630"/>
  <c r="BF83" i="630"/>
  <c r="T84" i="630"/>
  <c r="U84" i="630" s="1"/>
  <c r="Y84" i="630"/>
  <c r="BF84" i="630"/>
  <c r="T85" i="630"/>
  <c r="U85" i="630" s="1"/>
  <c r="Y85" i="630"/>
  <c r="BF85" i="630"/>
  <c r="T86" i="630"/>
  <c r="U86" i="630" s="1"/>
  <c r="Y86" i="630"/>
  <c r="BF86" i="630"/>
  <c r="T87" i="630"/>
  <c r="U87" i="630" s="1"/>
  <c r="Y87" i="630"/>
  <c r="BF87" i="630"/>
  <c r="T88" i="630"/>
  <c r="U88" i="630" s="1"/>
  <c r="Y88" i="630"/>
  <c r="BF88" i="630"/>
  <c r="T89" i="630"/>
  <c r="U89" i="630" s="1"/>
  <c r="Y89" i="630"/>
  <c r="BF89" i="630"/>
  <c r="Q90" i="630"/>
  <c r="T90" i="630" s="1"/>
  <c r="U90" i="630" s="1"/>
  <c r="Y90" i="630"/>
  <c r="BF90" i="630"/>
  <c r="Q91" i="630"/>
  <c r="T91" i="630" s="1"/>
  <c r="U91" i="630" s="1"/>
  <c r="Y91" i="630"/>
  <c r="BF91" i="630"/>
  <c r="Q92" i="630"/>
  <c r="T92" i="630" s="1"/>
  <c r="U92" i="630" s="1"/>
  <c r="Y92" i="630"/>
  <c r="BF92" i="630"/>
  <c r="Q93" i="630"/>
  <c r="T93" i="630" s="1"/>
  <c r="U93" i="630" s="1"/>
  <c r="Y93" i="630"/>
  <c r="BF93" i="630"/>
  <c r="Q94" i="630"/>
  <c r="T94" i="630" s="1"/>
  <c r="U94" i="630" s="1"/>
  <c r="Y94" i="630"/>
  <c r="BF94" i="630"/>
  <c r="Q95" i="630"/>
  <c r="T95" i="630" s="1"/>
  <c r="U95" i="630" s="1"/>
  <c r="Y95" i="630"/>
  <c r="BF95" i="630"/>
  <c r="Q96" i="630"/>
  <c r="T96" i="630" s="1"/>
  <c r="U96" i="630" s="1"/>
  <c r="Y96" i="630"/>
  <c r="BF96" i="630"/>
  <c r="Q97" i="630"/>
  <c r="T97" i="630" s="1"/>
  <c r="U97" i="630" s="1"/>
  <c r="Y97" i="630"/>
  <c r="BF97" i="630"/>
  <c r="Q98" i="630"/>
  <c r="T98" i="630" s="1"/>
  <c r="U98" i="630" s="1"/>
  <c r="Y98" i="630"/>
  <c r="BF98" i="630"/>
  <c r="Q99" i="630"/>
  <c r="T99" i="630" s="1"/>
  <c r="U99" i="630" s="1"/>
  <c r="Y99" i="630"/>
  <c r="BF99" i="630"/>
  <c r="Q100" i="630"/>
  <c r="T100" i="630" s="1"/>
  <c r="U100" i="630" s="1"/>
  <c r="Y100" i="630"/>
  <c r="BF100" i="630"/>
  <c r="Q101" i="630"/>
  <c r="T101" i="630" s="1"/>
  <c r="U101" i="630" s="1"/>
  <c r="Y101" i="630"/>
  <c r="BF101" i="630"/>
  <c r="Q102" i="630"/>
  <c r="T102" i="630" s="1"/>
  <c r="U102" i="630" s="1"/>
  <c r="Y102" i="630"/>
  <c r="E103" i="630"/>
  <c r="G103" i="630"/>
  <c r="J103" i="630"/>
  <c r="K103" i="630"/>
  <c r="X103" i="630"/>
  <c r="Y103" i="630"/>
  <c r="AA103" i="630"/>
  <c r="AB103" i="630"/>
  <c r="AD103" i="630"/>
  <c r="AE103" i="630"/>
  <c r="AF103" i="630"/>
  <c r="AG103" i="630"/>
  <c r="AH103" i="630"/>
  <c r="AI103" i="630"/>
  <c r="AK103" i="630"/>
  <c r="AL103" i="630"/>
  <c r="AM103" i="630"/>
  <c r="AN103" i="630"/>
  <c r="AO103" i="630"/>
  <c r="AP103" i="630"/>
  <c r="AQ103" i="630"/>
  <c r="AR103" i="630"/>
  <c r="AS103" i="630"/>
  <c r="AT103" i="630"/>
  <c r="AU103" i="630"/>
  <c r="AV103" i="630"/>
  <c r="AW103" i="630"/>
  <c r="AX103" i="630"/>
  <c r="AY103" i="630"/>
  <c r="AZ103" i="630"/>
  <c r="BA103" i="630"/>
  <c r="BC103" i="630"/>
  <c r="BD103" i="630"/>
  <c r="BE103" i="630"/>
  <c r="G104" i="630"/>
  <c r="J104" i="630"/>
  <c r="K104" i="630"/>
  <c r="R104" i="630"/>
  <c r="S104" i="630"/>
  <c r="E105" i="630"/>
  <c r="G105" i="630"/>
  <c r="J105" i="630"/>
  <c r="J273" i="630" s="1"/>
  <c r="K105" i="630"/>
  <c r="X105" i="630"/>
  <c r="Y105" i="630"/>
  <c r="G106" i="630"/>
  <c r="O106" i="630"/>
  <c r="Y106" i="630"/>
  <c r="Y107" i="630"/>
  <c r="Y108" i="630"/>
  <c r="Y109" i="630"/>
  <c r="Y112" i="630"/>
  <c r="Y114" i="630"/>
  <c r="Y117" i="630"/>
  <c r="Y118" i="630"/>
  <c r="BF118" i="630"/>
  <c r="Y119" i="630"/>
  <c r="BF119" i="630"/>
  <c r="Y120" i="630"/>
  <c r="Y121" i="630"/>
  <c r="Y122" i="630"/>
  <c r="Y123" i="630"/>
  <c r="Y124" i="630"/>
  <c r="Y125" i="630"/>
  <c r="Y126" i="630"/>
  <c r="Y127" i="630"/>
  <c r="Y128" i="630"/>
  <c r="Y129" i="630"/>
  <c r="Y130" i="630"/>
  <c r="Y131" i="630"/>
  <c r="Y132" i="630"/>
  <c r="Y133" i="630"/>
  <c r="Y134" i="630"/>
  <c r="Y135" i="630"/>
  <c r="Y136" i="630"/>
  <c r="Y137" i="630"/>
  <c r="Y138" i="630"/>
  <c r="Y139" i="630"/>
  <c r="Y140" i="630"/>
  <c r="Y141" i="630"/>
  <c r="Y142" i="630"/>
  <c r="Y143" i="630"/>
  <c r="Y144" i="630"/>
  <c r="Y145" i="630"/>
  <c r="Y146" i="630"/>
  <c r="Y147" i="630"/>
  <c r="Y148" i="630"/>
  <c r="Y149" i="630"/>
  <c r="Y150" i="630"/>
  <c r="Y151" i="630"/>
  <c r="Y152" i="630"/>
  <c r="Y153" i="630"/>
  <c r="Y155" i="630"/>
  <c r="Y158" i="630"/>
  <c r="Y159" i="630"/>
  <c r="Y160" i="630"/>
  <c r="Y161" i="630"/>
  <c r="Y162" i="630"/>
  <c r="Y164" i="630"/>
  <c r="Y165" i="630"/>
  <c r="Y166" i="630"/>
  <c r="Y167" i="630"/>
  <c r="Y168" i="630"/>
  <c r="Y169" i="630"/>
  <c r="Y170" i="630"/>
  <c r="Y171" i="630"/>
  <c r="Y172" i="630"/>
  <c r="Y173" i="630"/>
  <c r="Y174" i="630"/>
  <c r="Y176" i="630"/>
  <c r="Y177" i="630"/>
  <c r="Y178" i="630"/>
  <c r="Y179" i="630"/>
  <c r="Y180" i="630"/>
  <c r="Y181" i="630"/>
  <c r="Y183" i="630"/>
  <c r="Y184" i="630"/>
  <c r="Y185" i="630"/>
  <c r="Y186" i="630"/>
  <c r="Y187" i="630"/>
  <c r="Y188" i="630"/>
  <c r="Y190" i="630"/>
  <c r="Y191" i="630"/>
  <c r="Y192" i="630"/>
  <c r="Y193" i="630"/>
  <c r="Y194" i="630"/>
  <c r="Y195" i="630"/>
  <c r="Y196" i="630"/>
  <c r="Y197" i="630"/>
  <c r="Y198" i="630"/>
  <c r="Y199" i="630"/>
  <c r="Y200" i="630"/>
  <c r="Y201" i="630"/>
  <c r="Y202" i="630"/>
  <c r="Y203" i="630"/>
  <c r="Y204" i="630"/>
  <c r="Y205" i="630"/>
  <c r="Y206" i="630"/>
  <c r="Y207" i="630"/>
  <c r="Y208" i="630"/>
  <c r="Y209" i="630"/>
  <c r="Y210" i="630"/>
  <c r="Y212" i="630"/>
  <c r="Y213" i="630"/>
  <c r="Y214" i="630"/>
  <c r="Y215" i="630"/>
  <c r="Y216" i="630"/>
  <c r="Y217" i="630"/>
  <c r="Y218" i="630"/>
  <c r="Y219" i="630"/>
  <c r="Y220" i="630"/>
  <c r="Y222" i="630"/>
  <c r="Y223" i="630"/>
  <c r="Y224" i="630"/>
  <c r="Y225" i="630"/>
  <c r="Y226" i="630"/>
  <c r="Y227" i="630"/>
  <c r="Y228" i="630"/>
  <c r="Y229" i="630"/>
  <c r="Y230" i="630"/>
  <c r="Y231" i="630"/>
  <c r="Y233" i="630"/>
  <c r="Y234" i="630"/>
  <c r="Y235" i="630"/>
  <c r="Y236" i="630"/>
  <c r="Y237" i="630"/>
  <c r="Y238" i="630"/>
  <c r="Y239" i="630"/>
  <c r="Y240" i="630"/>
  <c r="Y241" i="630"/>
  <c r="Y242" i="630"/>
  <c r="Y243" i="630"/>
  <c r="Y244" i="630"/>
  <c r="Y245" i="630"/>
  <c r="Y246" i="630"/>
  <c r="Y248" i="630"/>
  <c r="Y249" i="630"/>
  <c r="Y250" i="630"/>
  <c r="Y251" i="630"/>
  <c r="Y252" i="630"/>
  <c r="Y253" i="630"/>
  <c r="Y255" i="630"/>
  <c r="Y256" i="630"/>
  <c r="Y257" i="630"/>
  <c r="Y258" i="630"/>
  <c r="Y259" i="630"/>
  <c r="Y260" i="630"/>
  <c r="G270" i="630"/>
  <c r="J266" i="630"/>
  <c r="X261" i="630"/>
  <c r="R262" i="630"/>
  <c r="S262" i="630"/>
  <c r="X262" i="630"/>
  <c r="X265" i="630" s="1"/>
  <c r="AA262" i="630"/>
  <c r="AB262" i="630"/>
  <c r="AC262" i="630"/>
  <c r="AD262" i="630"/>
  <c r="AE262" i="630"/>
  <c r="AG262" i="630"/>
  <c r="AH262" i="630"/>
  <c r="AI262" i="630"/>
  <c r="AJ262" i="630"/>
  <c r="AL262" i="630"/>
  <c r="AM262" i="630"/>
  <c r="AO262" i="630"/>
  <c r="AP262" i="630"/>
  <c r="AQ262" i="630"/>
  <c r="AR262" i="630"/>
  <c r="AS262" i="630"/>
  <c r="AT262" i="630"/>
  <c r="AU262" i="630"/>
  <c r="AV262" i="630"/>
  <c r="AW262" i="630"/>
  <c r="AX262" i="630"/>
  <c r="AY262" i="630"/>
  <c r="AZ262" i="630"/>
  <c r="BA262" i="630"/>
  <c r="BB262" i="630"/>
  <c r="BC262" i="630"/>
  <c r="BD262" i="630"/>
  <c r="BE262" i="630"/>
  <c r="X263" i="630"/>
  <c r="G264" i="630"/>
  <c r="J264" i="630"/>
  <c r="K264" i="630"/>
  <c r="K265" i="630" s="1"/>
  <c r="K267" i="630" s="1"/>
  <c r="R264" i="630"/>
  <c r="S264" i="630"/>
  <c r="B298" i="630"/>
  <c r="B299" i="630" s="1"/>
  <c r="N298" i="630"/>
  <c r="O298" i="630"/>
  <c r="B300" i="630"/>
  <c r="B301" i="630" s="1"/>
  <c r="O300" i="630"/>
  <c r="B302" i="630"/>
  <c r="B303" i="630" s="1"/>
  <c r="O302" i="630"/>
  <c r="B304" i="630"/>
  <c r="B305" i="630" s="1"/>
  <c r="O304" i="630"/>
  <c r="Z315" i="630"/>
  <c r="O13" i="785"/>
  <c r="V13" i="785"/>
  <c r="BC13" i="785"/>
  <c r="O14" i="785"/>
  <c r="R14" i="785" s="1"/>
  <c r="S14" i="785" s="1"/>
  <c r="V14" i="785"/>
  <c r="V15" i="785"/>
  <c r="V16" i="785"/>
  <c r="V17" i="785"/>
  <c r="V18" i="785"/>
  <c r="V19" i="785"/>
  <c r="V20" i="785"/>
  <c r="V21" i="785"/>
  <c r="V22" i="785"/>
  <c r="V23" i="785"/>
  <c r="V24" i="785"/>
  <c r="V25" i="785"/>
  <c r="V26" i="785"/>
  <c r="V27" i="785"/>
  <c r="V29" i="785"/>
  <c r="V30" i="785"/>
  <c r="V31" i="785"/>
  <c r="V32" i="785"/>
  <c r="V33" i="785"/>
  <c r="V34" i="785"/>
  <c r="V35" i="785"/>
  <c r="V36" i="785"/>
  <c r="V37" i="785"/>
  <c r="V38" i="785"/>
  <c r="V39" i="785"/>
  <c r="V40" i="785"/>
  <c r="V41" i="785"/>
  <c r="V42" i="785"/>
  <c r="V43" i="785"/>
  <c r="V44" i="785"/>
  <c r="V45" i="785"/>
  <c r="V47" i="785"/>
  <c r="V48" i="785"/>
  <c r="V51" i="785"/>
  <c r="V52" i="785"/>
  <c r="V55" i="785"/>
  <c r="V56" i="785"/>
  <c r="V57" i="785"/>
  <c r="V58" i="785"/>
  <c r="V59" i="785"/>
  <c r="V60" i="785"/>
  <c r="V61" i="785"/>
  <c r="V63" i="785"/>
  <c r="V64" i="785"/>
  <c r="V66" i="785"/>
  <c r="V67" i="785"/>
  <c r="V68" i="785"/>
  <c r="V69" i="785"/>
  <c r="V72" i="785"/>
  <c r="V73" i="785"/>
  <c r="V74" i="785"/>
  <c r="V75" i="785"/>
  <c r="V76" i="785"/>
  <c r="V77" i="785"/>
  <c r="V78" i="785"/>
  <c r="V79" i="785"/>
  <c r="V80" i="785"/>
  <c r="V81" i="785"/>
  <c r="V82" i="785"/>
  <c r="V83" i="785"/>
  <c r="V84" i="785"/>
  <c r="V85" i="785"/>
  <c r="V86" i="785"/>
  <c r="V87" i="785"/>
  <c r="V88" i="785"/>
  <c r="V89" i="785"/>
  <c r="V90" i="785"/>
  <c r="V91" i="785"/>
  <c r="V93" i="785"/>
  <c r="V94" i="785"/>
  <c r="V95" i="785"/>
  <c r="V97" i="785"/>
  <c r="V99" i="785"/>
  <c r="V101" i="785"/>
  <c r="V102" i="785"/>
  <c r="V103" i="785"/>
  <c r="V104" i="785"/>
  <c r="V105" i="785"/>
  <c r="V107" i="785"/>
  <c r="V108" i="785"/>
  <c r="V109" i="785"/>
  <c r="V110" i="785"/>
  <c r="V111" i="785"/>
  <c r="V112" i="785"/>
  <c r="V113" i="785"/>
  <c r="V116" i="785"/>
  <c r="V117" i="785"/>
  <c r="V118" i="785"/>
  <c r="V119" i="785"/>
  <c r="V120" i="785"/>
  <c r="V121" i="785"/>
  <c r="V122" i="785"/>
  <c r="V123" i="785"/>
  <c r="V124" i="785"/>
  <c r="V125" i="785"/>
  <c r="V126" i="785"/>
  <c r="V127" i="785"/>
  <c r="V128" i="785"/>
  <c r="V129" i="785"/>
  <c r="V130" i="785"/>
  <c r="V131" i="785"/>
  <c r="V132" i="785"/>
  <c r="V133" i="785"/>
  <c r="V134" i="785"/>
  <c r="V136" i="785"/>
  <c r="V137" i="785"/>
  <c r="B140" i="785"/>
  <c r="V140" i="785" s="1"/>
  <c r="V141" i="785"/>
  <c r="V143" i="785"/>
  <c r="V144" i="785"/>
  <c r="V145" i="785"/>
  <c r="V146" i="785"/>
  <c r="V147" i="785"/>
  <c r="V148" i="785"/>
  <c r="V149" i="785"/>
  <c r="V150" i="785"/>
  <c r="X150" i="785"/>
  <c r="Y150" i="785"/>
  <c r="Z150" i="785"/>
  <c r="AB150" i="785"/>
  <c r="AC150" i="785"/>
  <c r="AD150" i="785"/>
  <c r="AE150" i="785"/>
  <c r="AF150" i="785"/>
  <c r="AG150" i="785"/>
  <c r="AH150" i="785"/>
  <c r="AI150" i="785"/>
  <c r="AK150" i="785"/>
  <c r="AL150" i="785"/>
  <c r="AM150" i="785"/>
  <c r="AN150" i="785"/>
  <c r="AO150" i="785"/>
  <c r="AP150" i="785"/>
  <c r="AQ150" i="785"/>
  <c r="AR150" i="785"/>
  <c r="AS150" i="785"/>
  <c r="AT150" i="785"/>
  <c r="AU150" i="785"/>
  <c r="AV150" i="785"/>
  <c r="AW150" i="785"/>
  <c r="AY150" i="785"/>
  <c r="AZ150" i="785"/>
  <c r="BA150" i="785"/>
  <c r="BB150" i="785"/>
  <c r="G151" i="785"/>
  <c r="G152" i="785"/>
  <c r="G269" i="630" s="1"/>
  <c r="U152" i="785"/>
  <c r="V152" i="785"/>
  <c r="U153" i="785"/>
  <c r="V153" i="785"/>
  <c r="U154" i="785"/>
  <c r="V154" i="785"/>
  <c r="P155" i="785"/>
  <c r="Q155" i="785"/>
  <c r="V155" i="785"/>
  <c r="V156" i="785"/>
  <c r="V157" i="785"/>
  <c r="V158" i="785"/>
  <c r="V159" i="785"/>
  <c r="V160" i="785"/>
  <c r="V161" i="785"/>
  <c r="V162" i="785"/>
  <c r="V164" i="785"/>
  <c r="V165" i="785"/>
  <c r="V166" i="785"/>
  <c r="O167" i="785"/>
  <c r="R167" i="785" s="1"/>
  <c r="V167" i="785"/>
  <c r="V168" i="785"/>
  <c r="O169" i="785"/>
  <c r="R169" i="785" s="1"/>
  <c r="S169" i="785" s="1"/>
  <c r="V169" i="785"/>
  <c r="O170" i="785"/>
  <c r="V170" i="785"/>
  <c r="O171" i="785"/>
  <c r="R171" i="785" s="1"/>
  <c r="S171" i="785" s="1"/>
  <c r="V171" i="785"/>
  <c r="V172" i="785"/>
  <c r="O174" i="785"/>
  <c r="V174" i="785"/>
  <c r="V175" i="785"/>
  <c r="O176" i="785"/>
  <c r="R176" i="785" s="1"/>
  <c r="V176" i="785"/>
  <c r="O177" i="785"/>
  <c r="R177" i="785" s="1"/>
  <c r="V177" i="785"/>
  <c r="O178" i="785"/>
  <c r="V178" i="785"/>
  <c r="V179" i="785"/>
  <c r="O180" i="785"/>
  <c r="R180" i="785" s="1"/>
  <c r="V180" i="785"/>
  <c r="V181" i="785"/>
  <c r="O182" i="785"/>
  <c r="R182" i="785" s="1"/>
  <c r="V182" i="785"/>
  <c r="O183" i="785"/>
  <c r="R183" i="785" s="1"/>
  <c r="V183" i="785"/>
  <c r="O184" i="785"/>
  <c r="R184" i="785" s="1"/>
  <c r="V184" i="785"/>
  <c r="O185" i="785"/>
  <c r="R185" i="785" s="1"/>
  <c r="V185" i="785"/>
  <c r="O186" i="785"/>
  <c r="R186" i="785" s="1"/>
  <c r="V186" i="785"/>
  <c r="V187" i="785"/>
  <c r="O188" i="785"/>
  <c r="R188" i="785" s="1"/>
  <c r="S188" i="785" s="1"/>
  <c r="V188" i="785"/>
  <c r="O189" i="785"/>
  <c r="R189" i="785" s="1"/>
  <c r="S189" i="785" s="1"/>
  <c r="V189" i="785"/>
  <c r="O190" i="785"/>
  <c r="R190" i="785" s="1"/>
  <c r="S190" i="785" s="1"/>
  <c r="V190" i="785"/>
  <c r="O191" i="785"/>
  <c r="R191" i="785" s="1"/>
  <c r="V191" i="785"/>
  <c r="O192" i="785"/>
  <c r="R192" i="785" s="1"/>
  <c r="V192" i="785"/>
  <c r="V193" i="785"/>
  <c r="X193" i="785"/>
  <c r="Y193" i="785"/>
  <c r="Z193" i="785"/>
  <c r="AA193" i="785"/>
  <c r="AD193" i="785"/>
  <c r="AE193" i="785"/>
  <c r="AF193" i="785"/>
  <c r="AG193" i="785"/>
  <c r="AH193" i="785"/>
  <c r="AK193" i="785"/>
  <c r="AL193" i="785"/>
  <c r="AO193" i="785"/>
  <c r="AP193" i="785"/>
  <c r="AQ193" i="785"/>
  <c r="AS193" i="785"/>
  <c r="AT193" i="785"/>
  <c r="AW193" i="785"/>
  <c r="AZ193" i="785"/>
  <c r="BB193" i="785"/>
  <c r="U194" i="785"/>
  <c r="V194" i="785"/>
  <c r="G195" i="785"/>
  <c r="P195" i="785"/>
  <c r="U195" i="785"/>
  <c r="V195" i="785"/>
  <c r="U196" i="785"/>
  <c r="V196" i="785"/>
  <c r="V197" i="785"/>
  <c r="V198" i="785"/>
  <c r="V199" i="785"/>
  <c r="V200" i="785"/>
  <c r="V201" i="785"/>
  <c r="V202" i="785"/>
  <c r="V204" i="785"/>
  <c r="V205" i="785"/>
  <c r="V206" i="785"/>
  <c r="V207" i="785"/>
  <c r="V208" i="785"/>
  <c r="N209" i="785"/>
  <c r="V209" i="785"/>
  <c r="N210" i="785"/>
  <c r="V210" i="785"/>
  <c r="V211" i="785"/>
  <c r="V216" i="785"/>
  <c r="V217" i="785"/>
  <c r="V221" i="785"/>
  <c r="V222" i="785"/>
  <c r="V223" i="785"/>
  <c r="V228" i="785"/>
  <c r="V232" i="785"/>
  <c r="V233" i="785"/>
  <c r="V234" i="785"/>
  <c r="V249" i="785"/>
  <c r="V250" i="785"/>
  <c r="V251" i="785"/>
  <c r="V252" i="785"/>
  <c r="V254" i="785"/>
  <c r="V255" i="785"/>
  <c r="V256" i="785"/>
  <c r="V257" i="785"/>
  <c r="V258" i="785"/>
  <c r="V259" i="785"/>
  <c r="V260" i="785"/>
  <c r="V261" i="785"/>
  <c r="V262" i="785"/>
  <c r="V263" i="785"/>
  <c r="V264" i="785"/>
  <c r="V265" i="785"/>
  <c r="V266" i="785"/>
  <c r="V267" i="785"/>
  <c r="V270" i="785"/>
  <c r="V271" i="785"/>
  <c r="V272" i="785"/>
  <c r="V273" i="785"/>
  <c r="V274" i="785"/>
  <c r="V275" i="785"/>
  <c r="V276" i="785"/>
  <c r="X276" i="785"/>
  <c r="Y276" i="785"/>
  <c r="Z276" i="785"/>
  <c r="AA276" i="785"/>
  <c r="AB276" i="785"/>
  <c r="AD276" i="785"/>
  <c r="AE276" i="785"/>
  <c r="AF276" i="785"/>
  <c r="AG276" i="785"/>
  <c r="AH276" i="785"/>
  <c r="AI276" i="785"/>
  <c r="AJ276" i="785"/>
  <c r="AK276" i="785"/>
  <c r="AL276" i="785"/>
  <c r="AM276" i="785"/>
  <c r="AN276" i="785"/>
  <c r="AO276" i="785"/>
  <c r="AP276" i="785"/>
  <c r="AQ276" i="785"/>
  <c r="AR276" i="785"/>
  <c r="AS276" i="785"/>
  <c r="AV276" i="785"/>
  <c r="AW276" i="785"/>
  <c r="AY276" i="785"/>
  <c r="AZ276" i="785"/>
  <c r="BA276" i="785"/>
  <c r="BB276" i="785"/>
  <c r="V277" i="785"/>
  <c r="U278" i="785"/>
  <c r="V278" i="785"/>
  <c r="U279" i="785"/>
  <c r="V279" i="785"/>
  <c r="V281" i="785"/>
  <c r="V282" i="785"/>
  <c r="V283" i="785"/>
  <c r="V284" i="785"/>
  <c r="V285" i="785"/>
  <c r="V286" i="785"/>
  <c r="V288" i="785"/>
  <c r="V289" i="785"/>
  <c r="O290" i="785"/>
  <c r="R290" i="785" s="1"/>
  <c r="S290" i="785" s="1"/>
  <c r="V290" i="785"/>
  <c r="BC290" i="785"/>
  <c r="O291" i="785"/>
  <c r="R291" i="785" s="1"/>
  <c r="S291" i="785" s="1"/>
  <c r="V291" i="785"/>
  <c r="O292" i="785"/>
  <c r="R292" i="785" s="1"/>
  <c r="S292" i="785" s="1"/>
  <c r="V292" i="785"/>
  <c r="O293" i="785"/>
  <c r="R293" i="785" s="1"/>
  <c r="S293" i="785" s="1"/>
  <c r="V293" i="785"/>
  <c r="V294" i="785"/>
  <c r="O295" i="785"/>
  <c r="V295" i="785"/>
  <c r="O296" i="785"/>
  <c r="R296" i="785" s="1"/>
  <c r="V296" i="785"/>
  <c r="O297" i="785"/>
  <c r="R297" i="785" s="1"/>
  <c r="S297" i="785" s="1"/>
  <c r="V297" i="785"/>
  <c r="O298" i="785"/>
  <c r="R298" i="785" s="1"/>
  <c r="V298" i="785"/>
  <c r="O299" i="785"/>
  <c r="R299" i="785" s="1"/>
  <c r="V299" i="785"/>
  <c r="V300" i="785"/>
  <c r="Y300" i="785"/>
  <c r="Z300" i="785"/>
  <c r="AA300" i="785"/>
  <c r="AB300" i="785"/>
  <c r="AC300" i="785"/>
  <c r="AD300" i="785"/>
  <c r="AE300" i="785"/>
  <c r="AF300" i="785"/>
  <c r="AG300" i="785"/>
  <c r="AH300" i="785"/>
  <c r="AI300" i="785"/>
  <c r="AK300" i="785"/>
  <c r="AL300" i="785"/>
  <c r="AM300" i="785"/>
  <c r="AN300" i="785"/>
  <c r="AO300" i="785"/>
  <c r="AP300" i="785"/>
  <c r="AQ300" i="785"/>
  <c r="AS300" i="785"/>
  <c r="AT300" i="785"/>
  <c r="AU300" i="785"/>
  <c r="AV300" i="785"/>
  <c r="AW300" i="785"/>
  <c r="AY300" i="785"/>
  <c r="AZ300" i="785"/>
  <c r="BA300" i="785"/>
  <c r="BB300" i="785"/>
  <c r="E301" i="785"/>
  <c r="E305" i="785" s="1"/>
  <c r="G301" i="785"/>
  <c r="G303" i="785" s="1"/>
  <c r="U301" i="785"/>
  <c r="U305" i="785" s="1"/>
  <c r="V301" i="785"/>
  <c r="V302" i="785"/>
  <c r="U303" i="785"/>
  <c r="V303" i="785"/>
  <c r="G304" i="785"/>
  <c r="M304" i="785"/>
  <c r="N304" i="785"/>
  <c r="V305" i="785"/>
  <c r="V306" i="785"/>
  <c r="V307" i="785"/>
  <c r="V308" i="785"/>
  <c r="V309" i="785"/>
  <c r="V310" i="785"/>
  <c r="V312" i="785"/>
  <c r="V313" i="785"/>
  <c r="N314" i="785"/>
  <c r="O314" i="785"/>
  <c r="R314" i="785" s="1"/>
  <c r="S314" i="785" s="1"/>
  <c r="V314" i="785"/>
  <c r="BC314" i="785"/>
  <c r="O315" i="785"/>
  <c r="R315" i="785" s="1"/>
  <c r="S315" i="785" s="1"/>
  <c r="V315" i="785"/>
  <c r="V316" i="785"/>
  <c r="O317" i="785"/>
  <c r="R317" i="785" s="1"/>
  <c r="V317" i="785"/>
  <c r="O319" i="785"/>
  <c r="Q319" i="785" s="1"/>
  <c r="V319" i="785"/>
  <c r="V320" i="785"/>
  <c r="O323" i="785"/>
  <c r="R323" i="785" s="1"/>
  <c r="O324" i="785"/>
  <c r="R324" i="785" s="1"/>
  <c r="V324" i="785"/>
  <c r="V325" i="785"/>
  <c r="O326" i="785"/>
  <c r="R326" i="785" s="1"/>
  <c r="V326" i="785"/>
  <c r="O327" i="785"/>
  <c r="R327" i="785" s="1"/>
  <c r="V327" i="785"/>
  <c r="O328" i="785"/>
  <c r="R328" i="785" s="1"/>
  <c r="V328" i="785"/>
  <c r="O329" i="785"/>
  <c r="R329" i="785" s="1"/>
  <c r="V329" i="785"/>
  <c r="O330" i="785"/>
  <c r="R330" i="785" s="1"/>
  <c r="V330" i="785"/>
  <c r="X331" i="785"/>
  <c r="Y331" i="785"/>
  <c r="Z331" i="785"/>
  <c r="AB331" i="785"/>
  <c r="AC331" i="785"/>
  <c r="AD331" i="785"/>
  <c r="AE331" i="785"/>
  <c r="AF331" i="785"/>
  <c r="AG331" i="785"/>
  <c r="AH331" i="785"/>
  <c r="AI331" i="785"/>
  <c r="AJ331" i="785"/>
  <c r="AK331" i="785"/>
  <c r="AL331" i="785"/>
  <c r="AM331" i="785"/>
  <c r="AN331" i="785"/>
  <c r="AO331" i="785"/>
  <c r="AP331" i="785"/>
  <c r="AR331" i="785"/>
  <c r="AS331" i="785"/>
  <c r="AT331" i="785"/>
  <c r="AU331" i="785"/>
  <c r="AV331" i="785"/>
  <c r="AW331" i="785"/>
  <c r="AY331" i="785"/>
  <c r="AZ331" i="785"/>
  <c r="BA331" i="785"/>
  <c r="BB331" i="785"/>
  <c r="E332" i="785"/>
  <c r="E335" i="785" s="1"/>
  <c r="G332" i="785"/>
  <c r="G336" i="785" s="1"/>
  <c r="U332" i="785"/>
  <c r="U336" i="785" s="1"/>
  <c r="G334" i="785"/>
  <c r="U335" i="785"/>
  <c r="C1" i="722"/>
  <c r="C4" i="722"/>
  <c r="C5" i="722"/>
  <c r="C6" i="722"/>
  <c r="C7" i="722"/>
  <c r="C8" i="722"/>
  <c r="C9" i="722"/>
  <c r="C10" i="722"/>
  <c r="C11" i="722"/>
  <c r="C12" i="722"/>
  <c r="C13" i="722"/>
  <c r="C14" i="722"/>
  <c r="A15" i="722"/>
  <c r="A16" i="722"/>
  <c r="A17" i="722"/>
  <c r="C18" i="722"/>
  <c r="C19" i="722"/>
  <c r="C20" i="722"/>
  <c r="A21" i="722"/>
  <c r="C21" i="722"/>
  <c r="A22" i="722"/>
  <c r="C22" i="722"/>
  <c r="A23" i="722"/>
  <c r="C23" i="722"/>
  <c r="A24" i="722"/>
  <c r="A25" i="722"/>
  <c r="A26" i="722"/>
  <c r="A27" i="722"/>
  <c r="C27" i="722"/>
  <c r="A28" i="722"/>
  <c r="C28" i="722"/>
  <c r="A29" i="722"/>
  <c r="C29" i="722"/>
  <c r="A30" i="722"/>
  <c r="C30" i="722"/>
  <c r="A31" i="722"/>
  <c r="C31" i="722"/>
  <c r="A32" i="722"/>
  <c r="C32" i="722"/>
  <c r="A33" i="722"/>
  <c r="C33" i="722"/>
  <c r="A34" i="722"/>
  <c r="C34" i="722"/>
  <c r="A35" i="722"/>
  <c r="C35" i="722"/>
  <c r="A36" i="722"/>
  <c r="C36" i="722"/>
  <c r="A37" i="722"/>
  <c r="A38" i="722"/>
  <c r="A39" i="722"/>
  <c r="C39" i="722"/>
  <c r="A40" i="722"/>
  <c r="C40" i="722"/>
  <c r="A41" i="722"/>
  <c r="C41" i="722"/>
  <c r="O3" i="812"/>
  <c r="O12" i="812"/>
  <c r="R12" i="812" s="1"/>
  <c r="V12" i="812"/>
  <c r="BC12" i="812"/>
  <c r="O13" i="812"/>
  <c r="R13" i="812" s="1"/>
  <c r="V14" i="812"/>
  <c r="O15" i="812"/>
  <c r="R15" i="812" s="1"/>
  <c r="V15" i="812"/>
  <c r="BC15" i="812"/>
  <c r="O16" i="812"/>
  <c r="R16" i="812" s="1"/>
  <c r="S16" i="812" s="1"/>
  <c r="V16" i="812"/>
  <c r="BC16" i="812"/>
  <c r="O17" i="812"/>
  <c r="R17" i="812" s="1"/>
  <c r="S17" i="812" s="1"/>
  <c r="V17" i="812"/>
  <c r="BC17" i="812"/>
  <c r="N18" i="812"/>
  <c r="O18" i="812"/>
  <c r="R18" i="812" s="1"/>
  <c r="V18" i="812"/>
  <c r="BC18" i="812"/>
  <c r="O19" i="812"/>
  <c r="R19" i="812" s="1"/>
  <c r="V19" i="812"/>
  <c r="BC19" i="812"/>
  <c r="V20" i="812"/>
  <c r="O22" i="812"/>
  <c r="R22" i="812" s="1"/>
  <c r="S22" i="812" s="1"/>
  <c r="V22" i="812"/>
  <c r="BC22" i="812"/>
  <c r="O23" i="812"/>
  <c r="R23" i="812" s="1"/>
  <c r="V23" i="812"/>
  <c r="BC23" i="812"/>
  <c r="O24" i="812"/>
  <c r="R24" i="812" s="1"/>
  <c r="V24" i="812"/>
  <c r="BC24" i="812"/>
  <c r="O25" i="812"/>
  <c r="R25" i="812" s="1"/>
  <c r="V25" i="812"/>
  <c r="BC25" i="812"/>
  <c r="O26" i="812"/>
  <c r="R26" i="812" s="1"/>
  <c r="V26" i="812"/>
  <c r="BC26" i="812"/>
  <c r="P27" i="812"/>
  <c r="Q27" i="812"/>
  <c r="V27" i="812"/>
  <c r="X27" i="812"/>
  <c r="Y27" i="812"/>
  <c r="AA27" i="812"/>
  <c r="AB27" i="812"/>
  <c r="AC27" i="812"/>
  <c r="AD27" i="812"/>
  <c r="AE27" i="812"/>
  <c r="AG27" i="812"/>
  <c r="AH27" i="812"/>
  <c r="AK27" i="812"/>
  <c r="AL27" i="812"/>
  <c r="AM27" i="812"/>
  <c r="AN27" i="812"/>
  <c r="AO27" i="812"/>
  <c r="AP27" i="812"/>
  <c r="AQ27" i="812"/>
  <c r="AR27" i="812"/>
  <c r="AS27" i="812"/>
  <c r="AT27" i="812"/>
  <c r="AU27" i="812"/>
  <c r="AV27" i="812"/>
  <c r="AW27" i="812"/>
  <c r="AY27" i="812"/>
  <c r="BA27" i="812"/>
  <c r="BB27" i="812"/>
  <c r="U29" i="812"/>
  <c r="V29" i="812"/>
  <c r="G30" i="812"/>
  <c r="P30" i="812"/>
  <c r="Q30" i="812"/>
  <c r="V30" i="812"/>
  <c r="V31" i="812"/>
  <c r="E32" i="812"/>
  <c r="G32" i="812"/>
  <c r="M32" i="812"/>
  <c r="N32" i="812"/>
  <c r="P32" i="812"/>
  <c r="Q32" i="812"/>
  <c r="V32" i="812"/>
  <c r="V33" i="812"/>
  <c r="V34" i="812"/>
  <c r="V35" i="812"/>
  <c r="V36" i="812"/>
  <c r="V37" i="812"/>
  <c r="V39" i="812"/>
  <c r="V40" i="812"/>
  <c r="O41" i="812"/>
  <c r="R41" i="812" s="1"/>
  <c r="S41" i="812" s="1"/>
  <c r="V41" i="812"/>
  <c r="BC41" i="812"/>
  <c r="O42" i="812"/>
  <c r="R42" i="812" s="1"/>
  <c r="S42" i="812" s="1"/>
  <c r="V42" i="812"/>
  <c r="BC42" i="812"/>
  <c r="O43" i="812"/>
  <c r="R43" i="812" s="1"/>
  <c r="S43" i="812" s="1"/>
  <c r="V43" i="812"/>
  <c r="V44" i="812"/>
  <c r="O46" i="812"/>
  <c r="R46" i="812" s="1"/>
  <c r="S46" i="812" s="1"/>
  <c r="V46" i="812"/>
  <c r="BC46" i="812"/>
  <c r="O47" i="812"/>
  <c r="R47" i="812" s="1"/>
  <c r="V47" i="812"/>
  <c r="V50" i="812"/>
  <c r="BC50" i="812"/>
  <c r="O51" i="812"/>
  <c r="R51" i="812" s="1"/>
  <c r="V51" i="812"/>
  <c r="BC51" i="812"/>
  <c r="V52" i="812"/>
  <c r="V53" i="812"/>
  <c r="O54" i="812"/>
  <c r="R54" i="812" s="1"/>
  <c r="V54" i="812"/>
  <c r="BC54" i="812"/>
  <c r="O55" i="812"/>
  <c r="R55" i="812" s="1"/>
  <c r="S55" i="812" s="1"/>
  <c r="V55" i="812"/>
  <c r="BC55" i="812"/>
  <c r="O56" i="812"/>
  <c r="R56" i="812" s="1"/>
  <c r="V56" i="812"/>
  <c r="BC56" i="812"/>
  <c r="O57" i="812"/>
  <c r="R57" i="812" s="1"/>
  <c r="V57" i="812"/>
  <c r="BC57" i="812"/>
  <c r="X58" i="812"/>
  <c r="Y58" i="812"/>
  <c r="Z58" i="812"/>
  <c r="AA58" i="812"/>
  <c r="AB58" i="812"/>
  <c r="AC58" i="812"/>
  <c r="AD58" i="812"/>
  <c r="AE58" i="812"/>
  <c r="AF58" i="812"/>
  <c r="AG58" i="812"/>
  <c r="AH58" i="812"/>
  <c r="AI58" i="812"/>
  <c r="AJ58" i="812"/>
  <c r="AL58" i="812"/>
  <c r="AM58" i="812"/>
  <c r="AN58" i="812"/>
  <c r="AO58" i="812"/>
  <c r="AP58" i="812"/>
  <c r="AQ58" i="812"/>
  <c r="AR58" i="812"/>
  <c r="AS58" i="812"/>
  <c r="AT58" i="812"/>
  <c r="AU58" i="812"/>
  <c r="AV58" i="812"/>
  <c r="AW58" i="812"/>
  <c r="AX58" i="812"/>
  <c r="AY58" i="812"/>
  <c r="AZ58" i="812"/>
  <c r="BA58" i="812"/>
  <c r="BB58" i="812"/>
  <c r="E59" i="812"/>
  <c r="E63" i="812" s="1"/>
  <c r="G59" i="812"/>
  <c r="G62" i="812" s="1"/>
  <c r="P59" i="812"/>
  <c r="Q59" i="812"/>
  <c r="U59" i="812"/>
  <c r="U63" i="812" s="1"/>
  <c r="U62" i="812"/>
  <c r="N208" i="785"/>
  <c r="O168" i="785"/>
  <c r="R168" i="785" s="1"/>
  <c r="S168" i="785" s="1"/>
  <c r="O166" i="785"/>
  <c r="AN262" i="630"/>
  <c r="E261" i="630"/>
  <c r="O14" i="812"/>
  <c r="R14" i="812" s="1"/>
  <c r="AX27" i="812"/>
  <c r="G273" i="630"/>
  <c r="O187" i="785"/>
  <c r="R187" i="785" s="1"/>
  <c r="S187" i="785" s="1"/>
  <c r="O181" i="785"/>
  <c r="R181" i="785" s="1"/>
  <c r="O175" i="785"/>
  <c r="R175" i="785" s="1"/>
  <c r="S175" i="785" s="1"/>
  <c r="AB193" i="785"/>
  <c r="B164" i="801"/>
  <c r="C164" i="801"/>
  <c r="B145" i="801"/>
  <c r="C145" i="801"/>
  <c r="B154" i="801"/>
  <c r="C154" i="801"/>
  <c r="B161" i="801"/>
  <c r="C161" i="801"/>
  <c r="B148" i="801"/>
  <c r="C148" i="801"/>
  <c r="B162" i="801"/>
  <c r="C162" i="801"/>
  <c r="B169" i="801"/>
  <c r="C169" i="801"/>
  <c r="B156" i="801"/>
  <c r="C156" i="801"/>
  <c r="B160" i="801"/>
  <c r="C160" i="801"/>
  <c r="B159" i="801"/>
  <c r="C159" i="801"/>
  <c r="B158" i="801"/>
  <c r="C158" i="801"/>
  <c r="B163" i="801"/>
  <c r="C163" i="801"/>
  <c r="B175" i="801"/>
  <c r="C175" i="801"/>
  <c r="B157" i="801"/>
  <c r="C157" i="801"/>
  <c r="B176" i="801"/>
  <c r="C176" i="801"/>
  <c r="B165" i="801"/>
  <c r="C165" i="801"/>
  <c r="B170" i="801"/>
  <c r="C170" i="801"/>
  <c r="B173" i="801"/>
  <c r="C173" i="801"/>
  <c r="B150" i="801"/>
  <c r="C150" i="801"/>
  <c r="B146" i="801"/>
  <c r="C146" i="801"/>
  <c r="B149" i="801"/>
  <c r="C149" i="801"/>
  <c r="B172" i="801"/>
  <c r="C172" i="801"/>
  <c r="B147" i="801"/>
  <c r="C147" i="801"/>
  <c r="B171" i="801"/>
  <c r="C171" i="801"/>
  <c r="B174" i="801"/>
  <c r="C174" i="801"/>
  <c r="B144" i="801"/>
  <c r="C144" i="801"/>
  <c r="B167" i="801"/>
  <c r="C167" i="801"/>
  <c r="B151" i="801"/>
  <c r="C151" i="801"/>
  <c r="B168" i="801"/>
  <c r="C168" i="801"/>
  <c r="B153" i="801"/>
  <c r="C153" i="801"/>
  <c r="B155" i="801"/>
  <c r="C155" i="801"/>
  <c r="B152" i="801"/>
  <c r="C152" i="801"/>
  <c r="B166" i="801"/>
  <c r="C166" i="801"/>
  <c r="T183" i="630"/>
  <c r="T177" i="630"/>
  <c r="U177" i="630" s="1"/>
  <c r="T170" i="630"/>
  <c r="U170" i="630" s="1"/>
  <c r="T127" i="630"/>
  <c r="U127" i="630" s="1"/>
  <c r="AF262" i="630"/>
  <c r="BG133" i="630"/>
  <c r="BG127" i="630"/>
  <c r="BG121" i="630"/>
  <c r="BG255" i="630"/>
  <c r="T158" i="630"/>
  <c r="U158" i="630" s="1"/>
  <c r="BG243" i="630"/>
  <c r="BG231" i="630"/>
  <c r="BG225" i="630"/>
  <c r="T195" i="630"/>
  <c r="U195" i="630" s="1"/>
  <c r="BG213" i="630"/>
  <c r="BG207" i="630"/>
  <c r="BC52" i="812"/>
  <c r="O44" i="812"/>
  <c r="R44" i="812" s="1"/>
  <c r="BC43" i="812"/>
  <c r="BC53" i="812"/>
  <c r="O325" i="785"/>
  <c r="R325" i="785" s="1"/>
  <c r="O316" i="785"/>
  <c r="Q323" i="785" s="1"/>
  <c r="O27" i="785"/>
  <c r="R27" i="785" s="1"/>
  <c r="O40" i="785"/>
  <c r="R40" i="785" s="1"/>
  <c r="O23" i="785"/>
  <c r="R23" i="785" s="1"/>
  <c r="S23" i="785" s="1"/>
  <c r="O32" i="785"/>
  <c r="R32" i="785" s="1"/>
  <c r="S32" i="785" s="1"/>
  <c r="O19" i="785"/>
  <c r="O56" i="785"/>
  <c r="R56" i="785" s="1"/>
  <c r="S56" i="785" s="1"/>
  <c r="O64" i="785"/>
  <c r="R64" i="785" s="1"/>
  <c r="S64" i="785" s="1"/>
  <c r="O99" i="785"/>
  <c r="O81" i="785"/>
  <c r="R81" i="785" s="1"/>
  <c r="O68" i="785"/>
  <c r="R68" i="785" s="1"/>
  <c r="O18" i="785"/>
  <c r="E30" i="812"/>
  <c r="E33" i="812" s="1"/>
  <c r="N94" i="785"/>
  <c r="O15" i="785"/>
  <c r="R15" i="785" s="1"/>
  <c r="O218" i="785"/>
  <c r="R218" i="785" s="1"/>
  <c r="S218" i="785" s="1"/>
  <c r="O260" i="785"/>
  <c r="R260" i="785" s="1"/>
  <c r="O256" i="785"/>
  <c r="O224" i="785"/>
  <c r="R224" i="785" s="1"/>
  <c r="S224" i="785" s="1"/>
  <c r="O259" i="785"/>
  <c r="R259" i="785" s="1"/>
  <c r="S259" i="785" s="1"/>
  <c r="O251" i="785"/>
  <c r="R251" i="785" s="1"/>
  <c r="O273" i="785"/>
  <c r="R273" i="785" s="1"/>
  <c r="O230" i="785"/>
  <c r="R230" i="785" s="1"/>
  <c r="O272" i="785"/>
  <c r="R272" i="785" s="1"/>
  <c r="S272" i="785" s="1"/>
  <c r="O222" i="785"/>
  <c r="R222" i="785" s="1"/>
  <c r="S222" i="785" s="1"/>
  <c r="O227" i="785"/>
  <c r="O223" i="785"/>
  <c r="O247" i="785"/>
  <c r="R247" i="785" s="1"/>
  <c r="S247" i="785" s="1"/>
  <c r="O265" i="785"/>
  <c r="R265" i="785" s="1"/>
  <c r="BD206" i="785"/>
  <c r="BC206" i="785"/>
  <c r="O206" i="785"/>
  <c r="AU276" i="785"/>
  <c r="O221" i="785"/>
  <c r="R221" i="785" s="1"/>
  <c r="O262" i="785"/>
  <c r="R262" i="785" s="1"/>
  <c r="O267" i="785"/>
  <c r="R267" i="785" s="1"/>
  <c r="O232" i="785"/>
  <c r="R232" i="785" s="1"/>
  <c r="S232" i="785" s="1"/>
  <c r="O264" i="785"/>
  <c r="R264" i="785" s="1"/>
  <c r="O263" i="785"/>
  <c r="R263" i="785" s="1"/>
  <c r="S263" i="785" s="1"/>
  <c r="O220" i="785"/>
  <c r="R220" i="785" s="1"/>
  <c r="O270" i="785"/>
  <c r="R270" i="785" s="1"/>
  <c r="O249" i="785"/>
  <c r="R249" i="785" s="1"/>
  <c r="O225" i="785"/>
  <c r="R225" i="785" s="1"/>
  <c r="O250" i="785"/>
  <c r="R250" i="785" s="1"/>
  <c r="O212" i="785"/>
  <c r="R212" i="785" s="1"/>
  <c r="S212" i="785" s="1"/>
  <c r="R255" i="785"/>
  <c r="O209" i="785"/>
  <c r="R209" i="785" s="1"/>
  <c r="S209" i="785" s="1"/>
  <c r="O234" i="785"/>
  <c r="R234" i="785" s="1"/>
  <c r="O257" i="785"/>
  <c r="R257" i="785" s="1"/>
  <c r="S257" i="785" s="1"/>
  <c r="O274" i="785"/>
  <c r="R274" i="785" s="1"/>
  <c r="S274" i="785" s="1"/>
  <c r="O214" i="785"/>
  <c r="O228" i="785"/>
  <c r="R228" i="785" s="1"/>
  <c r="R252" i="785"/>
  <c r="S252" i="785" s="1"/>
  <c r="O271" i="785"/>
  <c r="R271" i="785" s="1"/>
  <c r="R254" i="785"/>
  <c r="O219" i="785"/>
  <c r="R219" i="785" s="1"/>
  <c r="S219" i="785" s="1"/>
  <c r="O208" i="785"/>
  <c r="R208" i="785" s="1"/>
  <c r="S208" i="785" s="1"/>
  <c r="O231" i="785"/>
  <c r="R231" i="785" s="1"/>
  <c r="S231" i="785" s="1"/>
  <c r="O211" i="785"/>
  <c r="R211" i="785" s="1"/>
  <c r="O266" i="785"/>
  <c r="R266" i="785" s="1"/>
  <c r="O236" i="785"/>
  <c r="R236" i="785" s="1"/>
  <c r="O229" i="785"/>
  <c r="BD207" i="785"/>
  <c r="O207" i="785"/>
  <c r="BC207" i="785"/>
  <c r="O233" i="785"/>
  <c r="O210" i="785"/>
  <c r="R210" i="785" s="1"/>
  <c r="S210" i="785" s="1"/>
  <c r="O261" i="785"/>
  <c r="R261" i="785" s="1"/>
  <c r="S261" i="785" s="1"/>
  <c r="O217" i="785"/>
  <c r="O235" i="785"/>
  <c r="R235" i="785" s="1"/>
  <c r="O258" i="785"/>
  <c r="R258" i="785" s="1"/>
  <c r="O275" i="785"/>
  <c r="O216" i="785"/>
  <c r="R216" i="785" s="1"/>
  <c r="S216" i="785" s="1"/>
  <c r="J23" i="800" l="1"/>
  <c r="J24" i="800" s="1"/>
  <c r="AK263" i="630"/>
  <c r="F156" i="630"/>
  <c r="G108" i="630"/>
  <c r="G33" i="812"/>
  <c r="S18" i="812"/>
  <c r="F28" i="785"/>
  <c r="F61" i="630"/>
  <c r="F69" i="630"/>
  <c r="F72" i="630"/>
  <c r="F66" i="630"/>
  <c r="F62" i="630"/>
  <c r="F63" i="630"/>
  <c r="F71" i="630"/>
  <c r="F68" i="630"/>
  <c r="F73" i="630"/>
  <c r="F65" i="630"/>
  <c r="F70" i="630"/>
  <c r="F67" i="630"/>
  <c r="F64" i="630"/>
  <c r="Q206" i="785"/>
  <c r="Q233" i="785"/>
  <c r="S94" i="785"/>
  <c r="Q232" i="785"/>
  <c r="Q216" i="785"/>
  <c r="P23" i="800"/>
  <c r="P24" i="800"/>
  <c r="N24" i="800"/>
  <c r="N23" i="800"/>
  <c r="BF25" i="785"/>
  <c r="BI35" i="785" s="1"/>
  <c r="F237" i="785"/>
  <c r="O278" i="785"/>
  <c r="F243" i="785"/>
  <c r="F241" i="785"/>
  <c r="F244" i="785"/>
  <c r="F245" i="785"/>
  <c r="R223" i="785"/>
  <c r="R233" i="785"/>
  <c r="R256" i="785"/>
  <c r="R206" i="785"/>
  <c r="S206" i="785" s="1"/>
  <c r="R217" i="785"/>
  <c r="F106" i="785"/>
  <c r="F240" i="785"/>
  <c r="R275" i="785"/>
  <c r="R278" i="785" s="1"/>
  <c r="S278" i="785" s="1"/>
  <c r="F258" i="785"/>
  <c r="F119" i="785"/>
  <c r="F175" i="630"/>
  <c r="X108" i="630"/>
  <c r="BF27" i="785"/>
  <c r="F226" i="785"/>
  <c r="BF18" i="785"/>
  <c r="S134" i="785"/>
  <c r="S118" i="785"/>
  <c r="F49" i="812"/>
  <c r="F322" i="785"/>
  <c r="AX263" i="630"/>
  <c r="F268" i="785"/>
  <c r="F269" i="785"/>
  <c r="S127" i="785"/>
  <c r="T57" i="630"/>
  <c r="S13" i="630"/>
  <c r="T10" i="630"/>
  <c r="U10" i="630" s="1"/>
  <c r="T11" i="630"/>
  <c r="U11" i="630" s="1"/>
  <c r="S19" i="630"/>
  <c r="Q14" i="785"/>
  <c r="R17" i="785"/>
  <c r="S17" i="785" s="1"/>
  <c r="Q17" i="785"/>
  <c r="R63" i="785"/>
  <c r="Q18" i="785"/>
  <c r="R18" i="785"/>
  <c r="Q15" i="785"/>
  <c r="R13" i="785"/>
  <c r="S13" i="785" s="1"/>
  <c r="Q19" i="785"/>
  <c r="R178" i="785"/>
  <c r="Q170" i="785"/>
  <c r="R16" i="785"/>
  <c r="S16" i="785" s="1"/>
  <c r="R227" i="785"/>
  <c r="S227" i="785" s="1"/>
  <c r="R42" i="785"/>
  <c r="BH66" i="630"/>
  <c r="BH48" i="630"/>
  <c r="F14" i="630"/>
  <c r="F13" i="630"/>
  <c r="T58" i="630"/>
  <c r="U58" i="630" s="1"/>
  <c r="G266" i="630"/>
  <c r="G268" i="630" s="1"/>
  <c r="K273" i="630"/>
  <c r="J265" i="630"/>
  <c r="J267" i="630" s="1"/>
  <c r="G265" i="630"/>
  <c r="K266" i="630"/>
  <c r="G107" i="630"/>
  <c r="BH101" i="630"/>
  <c r="BH77" i="630"/>
  <c r="BH65" i="630"/>
  <c r="BH53" i="630"/>
  <c r="BH41" i="630"/>
  <c r="BH29" i="630"/>
  <c r="BH17" i="630"/>
  <c r="BE297" i="785"/>
  <c r="S112" i="785"/>
  <c r="F13" i="812"/>
  <c r="F65" i="785"/>
  <c r="BF22" i="785"/>
  <c r="F248" i="785"/>
  <c r="S136" i="785"/>
  <c r="S123" i="785"/>
  <c r="BH92" i="630"/>
  <c r="BH80" i="630"/>
  <c r="BH97" i="630"/>
  <c r="BH73" i="630"/>
  <c r="BH61" i="630"/>
  <c r="BH49" i="630"/>
  <c r="BH37" i="630"/>
  <c r="BH25" i="630"/>
  <c r="BH68" i="630"/>
  <c r="BH52" i="630"/>
  <c r="BH32" i="630"/>
  <c r="BH28" i="630"/>
  <c r="BH14" i="630"/>
  <c r="BH137" i="630"/>
  <c r="BH179" i="630"/>
  <c r="BH199" i="630"/>
  <c r="BH162" i="630"/>
  <c r="BH93" i="630"/>
  <c r="O19" i="800"/>
  <c r="BH100" i="630"/>
  <c r="BH81" i="630"/>
  <c r="BH57" i="630"/>
  <c r="BH45" i="630"/>
  <c r="BH33" i="630"/>
  <c r="BH21" i="630"/>
  <c r="BH166" i="630"/>
  <c r="BH208" i="630"/>
  <c r="BH146" i="630"/>
  <c r="BH134" i="630"/>
  <c r="F50" i="812"/>
  <c r="F48" i="812"/>
  <c r="F321" i="785"/>
  <c r="BH90" i="630"/>
  <c r="BH152" i="630"/>
  <c r="BH215" i="630"/>
  <c r="BH256" i="630"/>
  <c r="BH183" i="630"/>
  <c r="G197" i="785"/>
  <c r="G63" i="812"/>
  <c r="G34" i="812"/>
  <c r="AR333" i="785"/>
  <c r="BE16" i="785"/>
  <c r="BF33" i="785"/>
  <c r="BF20" i="785"/>
  <c r="G335" i="785"/>
  <c r="BE292" i="785"/>
  <c r="G196" i="785"/>
  <c r="G305" i="785"/>
  <c r="U157" i="785"/>
  <c r="S128" i="785"/>
  <c r="BH71" i="630"/>
  <c r="BH59" i="630"/>
  <c r="BH35" i="630"/>
  <c r="BH23" i="630"/>
  <c r="Q104" i="630"/>
  <c r="BH10" i="630"/>
  <c r="BH181" i="630"/>
  <c r="BH257" i="630"/>
  <c r="BH123" i="630"/>
  <c r="BH164" i="630"/>
  <c r="BH189" i="630"/>
  <c r="BH213" i="630"/>
  <c r="S24" i="812"/>
  <c r="S32" i="812" s="1"/>
  <c r="E303" i="785"/>
  <c r="AV333" i="785"/>
  <c r="AO333" i="785"/>
  <c r="AG333" i="785"/>
  <c r="AC333" i="785"/>
  <c r="BE296" i="785"/>
  <c r="G154" i="785"/>
  <c r="G156" i="785" s="1"/>
  <c r="AO263" i="630"/>
  <c r="BC300" i="785"/>
  <c r="G279" i="785"/>
  <c r="BH95" i="630"/>
  <c r="BH79" i="630"/>
  <c r="BH75" i="630"/>
  <c r="BH171" i="630"/>
  <c r="BH119" i="630"/>
  <c r="BH170" i="630"/>
  <c r="BH149" i="630"/>
  <c r="BE315" i="785"/>
  <c r="BA263" i="630"/>
  <c r="BH87" i="630"/>
  <c r="BH63" i="630"/>
  <c r="BH58" i="630"/>
  <c r="BH43" i="630"/>
  <c r="BH248" i="630"/>
  <c r="S128" i="630"/>
  <c r="AH263" i="630"/>
  <c r="BH228" i="630"/>
  <c r="BH204" i="630"/>
  <c r="BH254" i="630"/>
  <c r="BH250" i="630"/>
  <c r="BH246" i="630"/>
  <c r="BH238" i="630"/>
  <c r="BH202" i="630"/>
  <c r="BH190" i="630"/>
  <c r="BH144" i="630"/>
  <c r="BH120" i="630"/>
  <c r="AB263" i="630"/>
  <c r="AV263" i="630"/>
  <c r="BH236" i="630"/>
  <c r="BH232" i="630"/>
  <c r="BH212" i="630"/>
  <c r="BH142" i="630"/>
  <c r="BH138" i="630"/>
  <c r="BH130" i="630"/>
  <c r="BH261" i="630"/>
  <c r="BH241" i="630"/>
  <c r="BH217" i="630"/>
  <c r="BH201" i="630"/>
  <c r="BH185" i="630"/>
  <c r="BH177" i="630"/>
  <c r="BH168" i="630"/>
  <c r="BH151" i="630"/>
  <c r="BH131" i="630"/>
  <c r="AM333" i="785"/>
  <c r="AK333" i="785"/>
  <c r="AQ333" i="785"/>
  <c r="AA333" i="785"/>
  <c r="AE263" i="630"/>
  <c r="AD333" i="785"/>
  <c r="AA263" i="630"/>
  <c r="AS333" i="785"/>
  <c r="AT263" i="630"/>
  <c r="BE293" i="785"/>
  <c r="AG263" i="630"/>
  <c r="BE298" i="785"/>
  <c r="BB263" i="630"/>
  <c r="X333" i="785"/>
  <c r="BE314" i="785"/>
  <c r="AY263" i="630"/>
  <c r="Y333" i="785"/>
  <c r="R319" i="785"/>
  <c r="AC263" i="630"/>
  <c r="AN263" i="630"/>
  <c r="AF333" i="785"/>
  <c r="AU263" i="630"/>
  <c r="E273" i="630"/>
  <c r="E272" i="630"/>
  <c r="A172" i="809"/>
  <c r="D321" i="801"/>
  <c r="D754" i="801"/>
  <c r="A42" i="808"/>
  <c r="A30" i="809"/>
  <c r="A80" i="811"/>
  <c r="A47" i="808"/>
  <c r="D323" i="801"/>
  <c r="A129" i="808"/>
  <c r="A122" i="808"/>
  <c r="A133" i="808"/>
  <c r="A20" i="808"/>
  <c r="A64" i="808"/>
  <c r="D466" i="801"/>
  <c r="D334" i="801"/>
  <c r="D315" i="801"/>
  <c r="A105" i="808"/>
  <c r="A98" i="808"/>
  <c r="A109" i="808"/>
  <c r="A105" i="809"/>
  <c r="A31" i="808"/>
  <c r="D966" i="801"/>
  <c r="D596" i="801"/>
  <c r="D273" i="801"/>
  <c r="A81" i="808"/>
  <c r="A62" i="808"/>
  <c r="A85" i="808"/>
  <c r="A63" i="809"/>
  <c r="A60" i="811"/>
  <c r="D498" i="801"/>
  <c r="D414" i="801"/>
  <c r="A130" i="809"/>
  <c r="A59" i="808"/>
  <c r="D301" i="801"/>
  <c r="A57" i="808"/>
  <c r="A76" i="809"/>
  <c r="A117" i="808"/>
  <c r="A93" i="808"/>
  <c r="A45" i="808"/>
  <c r="A134" i="808"/>
  <c r="A110" i="808"/>
  <c r="A86" i="808"/>
  <c r="A124" i="809"/>
  <c r="A121" i="808"/>
  <c r="A97" i="808"/>
  <c r="A54" i="808"/>
  <c r="A19" i="809"/>
  <c r="A153" i="809"/>
  <c r="A75" i="809"/>
  <c r="A48" i="809"/>
  <c r="A79" i="808"/>
  <c r="A46" i="808"/>
  <c r="A16" i="808"/>
  <c r="A65" i="809"/>
  <c r="D920" i="801"/>
  <c r="D690" i="801"/>
  <c r="D564" i="801"/>
  <c r="D598" i="801"/>
  <c r="D565" i="801"/>
  <c r="D380" i="801"/>
  <c r="D386" i="801"/>
  <c r="A96" i="808"/>
  <c r="A113" i="808"/>
  <c r="A78" i="808"/>
  <c r="A75" i="808"/>
  <c r="A71" i="808"/>
  <c r="A56" i="808"/>
  <c r="A132" i="808"/>
  <c r="A108" i="808"/>
  <c r="A84" i="808"/>
  <c r="A21" i="808"/>
  <c r="A125" i="808"/>
  <c r="A101" i="808"/>
  <c r="A66" i="808"/>
  <c r="A51" i="808"/>
  <c r="A136" i="808"/>
  <c r="A112" i="808"/>
  <c r="A88" i="808"/>
  <c r="A181" i="809"/>
  <c r="A23" i="808"/>
  <c r="A147" i="809"/>
  <c r="A72" i="809"/>
  <c r="A45" i="809"/>
  <c r="A76" i="808"/>
  <c r="A43" i="808"/>
  <c r="A141" i="811"/>
  <c r="A29" i="809"/>
  <c r="D1008" i="801"/>
  <c r="D618" i="801"/>
  <c r="D826" i="801"/>
  <c r="D484" i="801"/>
  <c r="D662" i="801"/>
  <c r="D362" i="801"/>
  <c r="D354" i="801"/>
  <c r="D352" i="801"/>
  <c r="A179" i="811"/>
  <c r="A67" i="811"/>
  <c r="A63" i="811"/>
  <c r="D283" i="801"/>
  <c r="A35" i="808"/>
  <c r="A120" i="808"/>
  <c r="A137" i="808"/>
  <c r="A89" i="808"/>
  <c r="A142" i="809"/>
  <c r="A124" i="808"/>
  <c r="A100" i="808"/>
  <c r="A68" i="808"/>
  <c r="A82" i="809"/>
  <c r="A177" i="809"/>
  <c r="A99" i="809"/>
  <c r="A60" i="809"/>
  <c r="A27" i="809"/>
  <c r="A58" i="808"/>
  <c r="A28" i="808"/>
  <c r="A71" i="809"/>
  <c r="A37" i="811"/>
  <c r="D275" i="801"/>
  <c r="D750" i="801"/>
  <c r="D474" i="801"/>
  <c r="D682" i="801"/>
  <c r="D781" i="801"/>
  <c r="D509" i="801"/>
  <c r="D434" i="801"/>
  <c r="D1112" i="801"/>
  <c r="D896" i="801"/>
  <c r="D656" i="801"/>
  <c r="D592" i="801"/>
  <c r="D588" i="801"/>
  <c r="D560" i="801"/>
  <c r="D408" i="801"/>
  <c r="D384" i="801"/>
  <c r="D348" i="801"/>
  <c r="BF103" i="630"/>
  <c r="BH30" i="630"/>
  <c r="BH89" i="630"/>
  <c r="BH85" i="630"/>
  <c r="BH70" i="630"/>
  <c r="BH22" i="630"/>
  <c r="BH18" i="630"/>
  <c r="BH12" i="630"/>
  <c r="BH178" i="630"/>
  <c r="BH186" i="630"/>
  <c r="BH225" i="630"/>
  <c r="BH118" i="630"/>
  <c r="BH233" i="630"/>
  <c r="BH218" i="630"/>
  <c r="BH214" i="630"/>
  <c r="BH209" i="630"/>
  <c r="BH196" i="630"/>
  <c r="BH167" i="630"/>
  <c r="BH154" i="630"/>
  <c r="BH150" i="630"/>
  <c r="BH259" i="630"/>
  <c r="BH239" i="630"/>
  <c r="O195" i="785"/>
  <c r="R174" i="785"/>
  <c r="S174" i="785" s="1"/>
  <c r="BE263" i="630"/>
  <c r="BE14" i="785"/>
  <c r="BE15" i="785"/>
  <c r="BE13" i="785"/>
  <c r="E107" i="630"/>
  <c r="E267" i="630" s="1"/>
  <c r="E281" i="785"/>
  <c r="O59" i="812"/>
  <c r="O30" i="812"/>
  <c r="O32" i="812"/>
  <c r="BF26" i="785"/>
  <c r="M315" i="630" s="1"/>
  <c r="O155" i="785"/>
  <c r="BA333" i="785"/>
  <c r="Q262" i="630"/>
  <c r="Q264" i="630"/>
  <c r="Q263" i="630"/>
  <c r="Q261" i="630"/>
  <c r="BH127" i="630"/>
  <c r="BH240" i="630"/>
  <c r="BH155" i="630"/>
  <c r="BI145" i="630"/>
  <c r="BH122" i="630"/>
  <c r="Q275" i="630"/>
  <c r="T120" i="630"/>
  <c r="U120" i="630" s="1"/>
  <c r="BH176" i="630"/>
  <c r="BH197" i="630"/>
  <c r="BH193" i="630"/>
  <c r="BH188" i="630"/>
  <c r="BH160" i="630"/>
  <c r="BH126" i="630"/>
  <c r="BH253" i="630"/>
  <c r="BH249" i="630"/>
  <c r="BH245" i="630"/>
  <c r="BH227" i="630"/>
  <c r="BH219" i="630"/>
  <c r="BH191" i="630"/>
  <c r="BH158" i="630"/>
  <c r="BH141" i="630"/>
  <c r="BH129" i="630"/>
  <c r="BH125" i="630"/>
  <c r="BH243" i="630"/>
  <c r="T198" i="630"/>
  <c r="U198" i="630" s="1"/>
  <c r="BH251" i="630"/>
  <c r="BH229" i="630"/>
  <c r="BH224" i="630"/>
  <c r="BH220" i="630"/>
  <c r="BH205" i="630"/>
  <c r="BH200" i="630"/>
  <c r="BH163" i="630"/>
  <c r="BH159" i="630"/>
  <c r="BH143" i="630"/>
  <c r="BH135" i="630"/>
  <c r="BH260" i="630"/>
  <c r="BH234" i="630"/>
  <c r="BH230" i="630"/>
  <c r="BH198" i="630"/>
  <c r="BH182" i="630"/>
  <c r="BH173" i="630"/>
  <c r="BH161" i="630"/>
  <c r="BH157" i="630"/>
  <c r="BH148" i="630"/>
  <c r="BH136" i="630"/>
  <c r="BH128" i="630"/>
  <c r="BH124" i="630"/>
  <c r="Q106" i="630"/>
  <c r="T106" i="630" s="1"/>
  <c r="BH64" i="630"/>
  <c r="BH60" i="630"/>
  <c r="BH44" i="630"/>
  <c r="BH36" i="630"/>
  <c r="BH24" i="630"/>
  <c r="BH11" i="630"/>
  <c r="BH96" i="630"/>
  <c r="BH83" i="630"/>
  <c r="BH72" i="630"/>
  <c r="BH67" i="630"/>
  <c r="BH55" i="630"/>
  <c r="BH39" i="630"/>
  <c r="BH19" i="630"/>
  <c r="BH15" i="630"/>
  <c r="BH54" i="630"/>
  <c r="BH50" i="630"/>
  <c r="BH46" i="630"/>
  <c r="BH88" i="630"/>
  <c r="BH76" i="630"/>
  <c r="BH99" i="630"/>
  <c r="BH91" i="630"/>
  <c r="BH84" i="630"/>
  <c r="BH56" i="630"/>
  <c r="BH51" i="630"/>
  <c r="BH47" i="630"/>
  <c r="BH40" i="630"/>
  <c r="BH31" i="630"/>
  <c r="BH27" i="630"/>
  <c r="BH20" i="630"/>
  <c r="BH16" i="630"/>
  <c r="F215" i="785"/>
  <c r="E270" i="630"/>
  <c r="E271" i="630"/>
  <c r="E62" i="812"/>
  <c r="E266" i="630"/>
  <c r="R32" i="812"/>
  <c r="S107" i="785"/>
  <c r="R59" i="812"/>
  <c r="R33" i="812"/>
  <c r="R62" i="812"/>
  <c r="R229" i="785"/>
  <c r="R155" i="785"/>
  <c r="BE206" i="785"/>
  <c r="O304" i="785"/>
  <c r="R316" i="785"/>
  <c r="S316" i="785" s="1"/>
  <c r="AF263" i="630"/>
  <c r="AP333" i="785"/>
  <c r="AL333" i="785"/>
  <c r="Z333" i="785"/>
  <c r="U197" i="785"/>
  <c r="AW333" i="785"/>
  <c r="AS263" i="630"/>
  <c r="AJ333" i="785"/>
  <c r="S105" i="785"/>
  <c r="S102" i="785"/>
  <c r="BF21" i="785"/>
  <c r="G281" i="785"/>
  <c r="Q324" i="785"/>
  <c r="BF23" i="785"/>
  <c r="AR263" i="630"/>
  <c r="BE294" i="785"/>
  <c r="BB333" i="785"/>
  <c r="AT333" i="785"/>
  <c r="BE290" i="785"/>
  <c r="O332" i="785"/>
  <c r="P304" i="630" s="1"/>
  <c r="BE207" i="785"/>
  <c r="O151" i="785"/>
  <c r="S34" i="785"/>
  <c r="O194" i="785"/>
  <c r="AH333" i="785"/>
  <c r="Q325" i="785"/>
  <c r="AQ263" i="630"/>
  <c r="AM263" i="630"/>
  <c r="S141" i="785"/>
  <c r="BE167" i="785"/>
  <c r="R30" i="812"/>
  <c r="O33" i="812"/>
  <c r="O62" i="812"/>
  <c r="O335" i="785"/>
  <c r="BC331" i="785"/>
  <c r="Q296" i="785"/>
  <c r="Q297" i="785"/>
  <c r="BE291" i="785"/>
  <c r="O305" i="785"/>
  <c r="BE299" i="785"/>
  <c r="O301" i="785"/>
  <c r="P302" i="630" s="1"/>
  <c r="BE295" i="785"/>
  <c r="O280" i="785"/>
  <c r="BC263" i="630"/>
  <c r="Q168" i="785"/>
  <c r="BE166" i="785"/>
  <c r="AZ333" i="785"/>
  <c r="T103" i="630"/>
  <c r="BI26" i="630"/>
  <c r="BI12" i="630"/>
  <c r="V315" i="630" s="1"/>
  <c r="BH86" i="630"/>
  <c r="BH78" i="630"/>
  <c r="BH26" i="630"/>
  <c r="S12" i="630"/>
  <c r="BH98" i="630"/>
  <c r="BH82" i="630"/>
  <c r="BH62" i="630"/>
  <c r="BH42" i="630"/>
  <c r="BH38" i="630"/>
  <c r="BH34" i="630"/>
  <c r="BI23" i="630"/>
  <c r="BH94" i="630"/>
  <c r="BI11" i="630"/>
  <c r="BH223" i="630"/>
  <c r="BH252" i="630"/>
  <c r="BH210" i="630"/>
  <c r="BH172" i="630"/>
  <c r="BI135" i="630"/>
  <c r="BH226" i="630"/>
  <c r="BH222" i="630"/>
  <c r="BH140" i="630"/>
  <c r="BH132" i="630"/>
  <c r="BH247" i="630"/>
  <c r="BH237" i="630"/>
  <c r="BH221" i="630"/>
  <c r="BH174" i="630"/>
  <c r="BH147" i="630"/>
  <c r="BH139" i="630"/>
  <c r="BH165" i="630"/>
  <c r="BH153" i="630"/>
  <c r="BH133" i="630"/>
  <c r="BH235" i="630"/>
  <c r="BF262" i="630"/>
  <c r="BH207" i="630"/>
  <c r="BI146" i="630"/>
  <c r="BH231" i="630"/>
  <c r="BH121" i="630"/>
  <c r="BH206" i="630"/>
  <c r="BH194" i="630"/>
  <c r="BH180" i="630"/>
  <c r="BH258" i="630"/>
  <c r="BH216" i="630"/>
  <c r="BH192" i="630"/>
  <c r="BH184" i="630"/>
  <c r="F52" i="785"/>
  <c r="F177" i="630"/>
  <c r="F167" i="785"/>
  <c r="F162" i="630"/>
  <c r="F58" i="785"/>
  <c r="F236" i="785"/>
  <c r="F143" i="785"/>
  <c r="F274" i="785"/>
  <c r="F144" i="630"/>
  <c r="F125" i="630"/>
  <c r="F43" i="630"/>
  <c r="F54" i="785"/>
  <c r="F80" i="785"/>
  <c r="F172" i="785"/>
  <c r="F12" i="812"/>
  <c r="F159" i="630"/>
  <c r="F319" i="785"/>
  <c r="F192" i="785"/>
  <c r="F318" i="785"/>
  <c r="F51" i="812"/>
  <c r="F166" i="630"/>
  <c r="F20" i="630"/>
  <c r="F260" i="785"/>
  <c r="F132" i="630"/>
  <c r="F68" i="785"/>
  <c r="F142" i="630"/>
  <c r="F173" i="785"/>
  <c r="F221" i="785"/>
  <c r="F296" i="785"/>
  <c r="F37" i="785"/>
  <c r="F191" i="630"/>
  <c r="F59" i="785"/>
  <c r="F26" i="785"/>
  <c r="F136" i="630"/>
  <c r="F141" i="630"/>
  <c r="F99" i="785"/>
  <c r="F81" i="785"/>
  <c r="F175" i="785"/>
  <c r="F149" i="785"/>
  <c r="F187" i="785"/>
  <c r="F16" i="630"/>
  <c r="F103" i="785"/>
  <c r="F53" i="630"/>
  <c r="F137" i="785"/>
  <c r="F57" i="785"/>
  <c r="F170" i="785"/>
  <c r="F134" i="630"/>
  <c r="F179" i="630"/>
  <c r="F23" i="630"/>
  <c r="F249" i="785"/>
  <c r="F127" i="630"/>
  <c r="F178" i="785"/>
  <c r="F47" i="812"/>
  <c r="F128" i="630"/>
  <c r="F316" i="785"/>
  <c r="F19" i="630"/>
  <c r="F28" i="630"/>
  <c r="F299" i="785"/>
  <c r="F264" i="785"/>
  <c r="F11" i="630"/>
  <c r="F100" i="785"/>
  <c r="F27" i="630"/>
  <c r="F12" i="630"/>
  <c r="F61" i="785"/>
  <c r="F317" i="785"/>
  <c r="F17" i="785"/>
  <c r="F330" i="785"/>
  <c r="F51" i="630"/>
  <c r="F36" i="630"/>
  <c r="F155" i="630"/>
  <c r="F23" i="785"/>
  <c r="F49" i="630"/>
  <c r="F18" i="630"/>
  <c r="F72" i="785"/>
  <c r="F168" i="630"/>
  <c r="F177" i="785"/>
  <c r="F32" i="630"/>
  <c r="F108" i="785"/>
  <c r="F25" i="630"/>
  <c r="F54" i="812"/>
  <c r="F69" i="785"/>
  <c r="F41" i="785"/>
  <c r="F31" i="630"/>
  <c r="F147" i="785"/>
  <c r="F66" i="785"/>
  <c r="F41" i="630"/>
  <c r="F55" i="812"/>
  <c r="F138" i="785"/>
  <c r="F166" i="785"/>
  <c r="F145" i="785"/>
  <c r="F147" i="630"/>
  <c r="F182" i="630"/>
  <c r="F228" i="785"/>
  <c r="F133" i="630"/>
  <c r="F178" i="630"/>
  <c r="F60" i="630"/>
  <c r="F56" i="785"/>
  <c r="F131" i="630"/>
  <c r="F273" i="785"/>
  <c r="F32" i="785"/>
  <c r="F254" i="785"/>
  <c r="F174" i="630"/>
  <c r="F138" i="630"/>
  <c r="F78" i="785"/>
  <c r="F148" i="630"/>
  <c r="F13" i="785"/>
  <c r="F44" i="630"/>
  <c r="F314" i="785"/>
  <c r="F190" i="630"/>
  <c r="F45" i="785"/>
  <c r="F275" i="785"/>
  <c r="F86" i="785"/>
  <c r="F206" i="785"/>
  <c r="F30" i="630"/>
  <c r="F183" i="785"/>
  <c r="F193" i="630"/>
  <c r="F23" i="812"/>
  <c r="F131" i="785"/>
  <c r="F15" i="630"/>
  <c r="F182" i="785"/>
  <c r="F74" i="785"/>
  <c r="F33" i="630"/>
  <c r="F43" i="785"/>
  <c r="F54" i="630"/>
  <c r="F293" i="785"/>
  <c r="F47" i="785"/>
  <c r="F113" i="785"/>
  <c r="F36" i="785"/>
  <c r="F151" i="785" s="1"/>
  <c r="F232" i="785"/>
  <c r="F79" i="785"/>
  <c r="F164" i="630"/>
  <c r="F24" i="785"/>
  <c r="F157" i="630"/>
  <c r="F57" i="812"/>
  <c r="F140" i="630"/>
  <c r="F71" i="785"/>
  <c r="F37" i="630"/>
  <c r="F126" i="785"/>
  <c r="F190" i="785"/>
  <c r="F186" i="785"/>
  <c r="F195" i="630"/>
  <c r="F44" i="785"/>
  <c r="F18" i="785"/>
  <c r="F320" i="785"/>
  <c r="F87" i="785"/>
  <c r="F55" i="630"/>
  <c r="F229" i="785"/>
  <c r="F235" i="785"/>
  <c r="F145" i="630"/>
  <c r="F179" i="785"/>
  <c r="F25" i="785"/>
  <c r="F45" i="812"/>
  <c r="F137" i="630"/>
  <c r="F44" i="812"/>
  <c r="F167" i="630"/>
  <c r="F323" i="785"/>
  <c r="F119" i="630"/>
  <c r="F176" i="785"/>
  <c r="F170" i="630"/>
  <c r="F255" i="785"/>
  <c r="F93" i="785"/>
  <c r="F294" i="785"/>
  <c r="F194" i="630"/>
  <c r="F10" i="630"/>
  <c r="F154" i="630"/>
  <c r="F262" i="785"/>
  <c r="F63" i="785"/>
  <c r="F16" i="785"/>
  <c r="F214" i="785"/>
  <c r="F252" i="785"/>
  <c r="F15" i="812"/>
  <c r="F35" i="630"/>
  <c r="F14" i="785"/>
  <c r="F326" i="785"/>
  <c r="F129" i="785"/>
  <c r="F43" i="812"/>
  <c r="F139" i="630"/>
  <c r="F20" i="785"/>
  <c r="F169" i="785"/>
  <c r="F174" i="785"/>
  <c r="F217" i="785"/>
  <c r="F16" i="812"/>
  <c r="F39" i="630"/>
  <c r="F42" i="785"/>
  <c r="F153" i="630"/>
  <c r="F40" i="785"/>
  <c r="F133" i="785"/>
  <c r="F160" i="630"/>
  <c r="F95" i="785"/>
  <c r="F42" i="630"/>
  <c r="F97" i="785"/>
  <c r="F185" i="785"/>
  <c r="F75" i="785"/>
  <c r="F90" i="785"/>
  <c r="F40" i="630"/>
  <c r="F148" i="785"/>
  <c r="F22" i="630"/>
  <c r="F328" i="785"/>
  <c r="F149" i="630"/>
  <c r="F176" i="630"/>
  <c r="F135" i="630"/>
  <c r="F188" i="630"/>
  <c r="F51" i="785"/>
  <c r="F223" i="785"/>
  <c r="F34" i="630"/>
  <c r="F129" i="630"/>
  <c r="F26" i="812"/>
  <c r="F188" i="785"/>
  <c r="F18" i="812"/>
  <c r="F161" i="630"/>
  <c r="F38" i="630"/>
  <c r="F59" i="630"/>
  <c r="F41" i="812"/>
  <c r="F21" i="630"/>
  <c r="F15" i="785"/>
  <c r="F250" i="785"/>
  <c r="F298" i="785"/>
  <c r="F46" i="812"/>
  <c r="F82" i="785"/>
  <c r="F143" i="630"/>
  <c r="F17" i="812"/>
  <c r="F21" i="812"/>
  <c r="F76" i="785"/>
  <c r="F19" i="785"/>
  <c r="F146" i="630"/>
  <c r="F52" i="630"/>
  <c r="F151" i="630"/>
  <c r="F24" i="630"/>
  <c r="F57" i="630"/>
  <c r="F56" i="630"/>
  <c r="F257" i="785"/>
  <c r="F173" i="630"/>
  <c r="F150" i="630"/>
  <c r="F192" i="630"/>
  <c r="F181" i="785"/>
  <c r="F29" i="785"/>
  <c r="F124" i="630"/>
  <c r="F83" i="785"/>
  <c r="F116" i="785"/>
  <c r="F324" i="785"/>
  <c r="F163" i="630"/>
  <c r="F189" i="630"/>
  <c r="F39" i="785"/>
  <c r="F26" i="630"/>
  <c r="F225" i="785"/>
  <c r="F60" i="785"/>
  <c r="F234" i="785"/>
  <c r="F14" i="812"/>
  <c r="F185" i="630"/>
  <c r="F122" i="785"/>
  <c r="F180" i="630"/>
  <c r="F42" i="812"/>
  <c r="F61" i="812" s="1"/>
  <c r="F30" i="785"/>
  <c r="F171" i="785"/>
  <c r="F169" i="630"/>
  <c r="F21" i="785"/>
  <c r="F46" i="630"/>
  <c r="F33" i="785"/>
  <c r="F109" i="785"/>
  <c r="F211" i="785"/>
  <c r="F144" i="785"/>
  <c r="F19" i="812"/>
  <c r="F104" i="785"/>
  <c r="F184" i="630"/>
  <c r="F165" i="630"/>
  <c r="F88" i="785"/>
  <c r="F265" i="785"/>
  <c r="F168" i="785"/>
  <c r="F230" i="785"/>
  <c r="F91" i="785"/>
  <c r="F22" i="812"/>
  <c r="F325" i="785"/>
  <c r="F187" i="630"/>
  <c r="F52" i="812"/>
  <c r="F47" i="630"/>
  <c r="F327" i="785"/>
  <c r="F117" i="785"/>
  <c r="F121" i="630"/>
  <c r="F130" i="630"/>
  <c r="F55" i="785"/>
  <c r="F121" i="785"/>
  <c r="F56" i="812"/>
  <c r="F53" i="812"/>
  <c r="F180" i="785"/>
  <c r="F111" i="785"/>
  <c r="F171" i="630"/>
  <c r="F183" i="630"/>
  <c r="F48" i="785"/>
  <c r="F184" i="785"/>
  <c r="F140" i="785"/>
  <c r="F189" i="785"/>
  <c r="F77" i="785"/>
  <c r="F27" i="785"/>
  <c r="F220" i="785"/>
  <c r="F38" i="785"/>
  <c r="F49" i="785"/>
  <c r="F158" i="630"/>
  <c r="F181" i="630"/>
  <c r="F22" i="785"/>
  <c r="F48" i="630"/>
  <c r="F191" i="785"/>
  <c r="F45" i="630"/>
  <c r="F146" i="785"/>
  <c r="F29" i="630"/>
  <c r="F152" i="630"/>
  <c r="F186" i="630"/>
  <c r="F126" i="630"/>
  <c r="F123" i="630"/>
  <c r="F132" i="785"/>
  <c r="F295" i="785"/>
  <c r="F120" i="630"/>
  <c r="F329" i="785"/>
  <c r="F25" i="812"/>
  <c r="F297" i="785"/>
  <c r="F58" i="630"/>
  <c r="F122" i="630"/>
  <c r="F233" i="785"/>
  <c r="E34" i="812"/>
  <c r="E336" i="785"/>
  <c r="BF17" i="785"/>
  <c r="S15" i="785"/>
  <c r="R214" i="785"/>
  <c r="BF34" i="785"/>
  <c r="R99" i="785"/>
  <c r="O153" i="785"/>
  <c r="R19" i="785"/>
  <c r="O156" i="785"/>
  <c r="O152" i="785"/>
  <c r="S27" i="785"/>
  <c r="O281" i="785"/>
  <c r="O277" i="785"/>
  <c r="R207" i="785"/>
  <c r="BC276" i="785"/>
  <c r="AU333" i="785"/>
  <c r="BF16" i="785"/>
  <c r="O196" i="785"/>
  <c r="R166" i="785"/>
  <c r="Q167" i="785"/>
  <c r="Q13" i="785"/>
  <c r="T261" i="630"/>
  <c r="BC58" i="812"/>
  <c r="AY333" i="785"/>
  <c r="Q298" i="785"/>
  <c r="R295" i="785"/>
  <c r="BI17" i="630"/>
  <c r="BI16" i="630"/>
  <c r="BH74" i="630"/>
  <c r="D1433" i="801"/>
  <c r="D1434" i="801"/>
  <c r="D1435" i="801"/>
  <c r="D1436" i="801"/>
  <c r="D1437" i="801"/>
  <c r="D1438" i="801"/>
  <c r="D1439" i="801"/>
  <c r="D1440" i="801"/>
  <c r="D1441" i="801"/>
  <c r="D1442" i="801"/>
  <c r="D1443" i="801"/>
  <c r="D1444" i="801"/>
  <c r="D1445" i="801"/>
  <c r="D1446" i="801"/>
  <c r="D1447" i="801"/>
  <c r="D1448" i="801"/>
  <c r="D1449" i="801"/>
  <c r="D1450" i="801"/>
  <c r="D1451" i="801"/>
  <c r="D1452" i="801"/>
  <c r="D340" i="801"/>
  <c r="D396" i="801"/>
  <c r="D1647" i="801"/>
  <c r="D1646" i="801"/>
  <c r="D1645" i="801"/>
  <c r="D1644" i="801"/>
  <c r="D1643" i="801"/>
  <c r="D1642" i="801"/>
  <c r="D1641" i="801"/>
  <c r="D1640" i="801"/>
  <c r="D1639" i="801"/>
  <c r="D1638" i="801"/>
  <c r="D1637" i="801"/>
  <c r="D1636" i="801"/>
  <c r="D1635" i="801"/>
  <c r="D1634" i="801"/>
  <c r="D1633" i="801"/>
  <c r="D1632" i="801"/>
  <c r="D1631" i="801"/>
  <c r="D1630" i="801"/>
  <c r="D1629" i="801"/>
  <c r="D1628" i="801"/>
  <c r="D1627" i="801"/>
  <c r="D1626" i="801"/>
  <c r="D1625" i="801"/>
  <c r="D1624" i="801"/>
  <c r="D1623" i="801"/>
  <c r="D1622" i="801"/>
  <c r="D1621" i="801"/>
  <c r="D1620" i="801"/>
  <c r="D1619" i="801"/>
  <c r="D1618" i="801"/>
  <c r="D1617" i="801"/>
  <c r="D1616" i="801"/>
  <c r="D1615" i="801"/>
  <c r="D1614" i="801"/>
  <c r="D1613" i="801"/>
  <c r="D1612" i="801"/>
  <c r="D1611" i="801"/>
  <c r="D1610" i="801"/>
  <c r="D1609" i="801"/>
  <c r="D1608" i="801"/>
  <c r="D1607" i="801"/>
  <c r="D1606" i="801"/>
  <c r="D1605" i="801"/>
  <c r="D1604" i="801"/>
  <c r="D1603" i="801"/>
  <c r="D1602" i="801"/>
  <c r="D1601" i="801"/>
  <c r="D1600" i="801"/>
  <c r="D1599" i="801"/>
  <c r="D1598" i="801"/>
  <c r="D1597" i="801"/>
  <c r="D1596" i="801"/>
  <c r="D1595" i="801"/>
  <c r="D1594" i="801"/>
  <c r="D1593" i="801"/>
  <c r="D1592" i="801"/>
  <c r="D1591" i="801"/>
  <c r="D1590" i="801"/>
  <c r="D1589" i="801"/>
  <c r="D1588" i="801"/>
  <c r="D1587" i="801"/>
  <c r="D1586" i="801"/>
  <c r="D1585" i="801"/>
  <c r="D1584" i="801"/>
  <c r="D1583" i="801"/>
  <c r="D1582" i="801"/>
  <c r="D1581" i="801"/>
  <c r="D1580" i="801"/>
  <c r="D1579" i="801"/>
  <c r="D1578" i="801"/>
  <c r="D1577" i="801"/>
  <c r="D1576" i="801"/>
  <c r="D1575" i="801"/>
  <c r="D1574" i="801"/>
  <c r="D1573" i="801"/>
  <c r="D1572" i="801"/>
  <c r="D1571" i="801"/>
  <c r="D1570" i="801"/>
  <c r="D1569" i="801"/>
  <c r="D1568" i="801"/>
  <c r="D1567" i="801"/>
  <c r="D1566" i="801"/>
  <c r="D1565" i="801"/>
  <c r="D1564" i="801"/>
  <c r="D1563" i="801"/>
  <c r="D1562" i="801"/>
  <c r="D1561" i="801"/>
  <c r="D1560" i="801"/>
  <c r="D1559" i="801"/>
  <c r="D1558" i="801"/>
  <c r="D1557" i="801"/>
  <c r="D1556" i="801"/>
  <c r="D1555" i="801"/>
  <c r="D1554" i="801"/>
  <c r="D1553" i="801"/>
  <c r="D1552" i="801"/>
  <c r="D1551" i="801"/>
  <c r="D1550" i="801"/>
  <c r="D1549" i="801"/>
  <c r="D1548" i="801"/>
  <c r="D1547" i="801"/>
  <c r="D1546" i="801"/>
  <c r="D1545" i="801"/>
  <c r="D1544" i="801"/>
  <c r="D1543" i="801"/>
  <c r="D1542" i="801"/>
  <c r="D1541" i="801"/>
  <c r="D1540" i="801"/>
  <c r="D1539" i="801"/>
  <c r="D1538" i="801"/>
  <c r="D1537" i="801"/>
  <c r="D1536" i="801"/>
  <c r="D1535" i="801"/>
  <c r="D1534" i="801"/>
  <c r="D1533" i="801"/>
  <c r="D1532" i="801"/>
  <c r="D1531" i="801"/>
  <c r="D1530" i="801"/>
  <c r="D1529" i="801"/>
  <c r="D1528" i="801"/>
  <c r="D1527" i="801"/>
  <c r="D1526" i="801"/>
  <c r="D1525" i="801"/>
  <c r="D1524" i="801"/>
  <c r="D1523" i="801"/>
  <c r="D1522" i="801"/>
  <c r="D1521" i="801"/>
  <c r="D1520" i="801"/>
  <c r="D1519" i="801"/>
  <c r="D1518" i="801"/>
  <c r="D1517" i="801"/>
  <c r="D1516" i="801"/>
  <c r="D1515" i="801"/>
  <c r="D1514" i="801"/>
  <c r="D1513" i="801"/>
  <c r="D1512" i="801"/>
  <c r="D1511" i="801"/>
  <c r="D1510" i="801"/>
  <c r="D1509" i="801"/>
  <c r="D1508" i="801"/>
  <c r="D1507" i="801"/>
  <c r="D1506" i="801"/>
  <c r="D1505" i="801"/>
  <c r="D1504" i="801"/>
  <c r="D1503" i="801"/>
  <c r="D1502" i="801"/>
  <c r="D1501" i="801"/>
  <c r="D1500" i="801"/>
  <c r="D1499" i="801"/>
  <c r="D1498" i="801"/>
  <c r="D1497" i="801"/>
  <c r="D1496" i="801"/>
  <c r="D1495" i="801"/>
  <c r="D1494" i="801"/>
  <c r="D1493" i="801"/>
  <c r="D1492" i="801"/>
  <c r="D1491" i="801"/>
  <c r="D1490" i="801"/>
  <c r="D1489" i="801"/>
  <c r="D1488" i="801"/>
  <c r="D1487" i="801"/>
  <c r="D1486" i="801"/>
  <c r="D1485" i="801"/>
  <c r="D1484" i="801"/>
  <c r="D1483" i="801"/>
  <c r="D1482" i="801"/>
  <c r="D1481" i="801"/>
  <c r="D1480" i="801"/>
  <c r="D1479" i="801"/>
  <c r="D1478" i="801"/>
  <c r="D1477" i="801"/>
  <c r="D1476" i="801"/>
  <c r="D1475" i="801"/>
  <c r="D1474" i="801"/>
  <c r="D1473" i="801"/>
  <c r="D1472" i="801"/>
  <c r="D1471" i="801"/>
  <c r="D1470" i="801"/>
  <c r="D1469" i="801"/>
  <c r="D1468" i="801"/>
  <c r="D1467" i="801"/>
  <c r="D1466" i="801"/>
  <c r="D1465" i="801"/>
  <c r="D1464" i="801"/>
  <c r="D1463" i="801"/>
  <c r="D1462" i="801"/>
  <c r="D1461" i="801"/>
  <c r="D1460" i="801"/>
  <c r="D1459" i="801"/>
  <c r="D1458" i="801"/>
  <c r="D1457" i="801"/>
  <c r="D1456" i="801"/>
  <c r="D1455" i="801"/>
  <c r="D1454" i="801"/>
  <c r="D1453" i="801"/>
  <c r="AL263" i="630"/>
  <c r="BI19" i="630"/>
  <c r="BH69" i="630"/>
  <c r="Q103" i="630"/>
  <c r="BI10" i="630"/>
  <c r="Q108" i="630"/>
  <c r="Q107" i="630" s="1"/>
  <c r="T107" i="630" s="1"/>
  <c r="AP263" i="630"/>
  <c r="AI263" i="630"/>
  <c r="AZ263" i="630"/>
  <c r="AD263" i="630"/>
  <c r="A27" i="808"/>
  <c r="A18" i="808"/>
  <c r="D279" i="801"/>
  <c r="A74" i="808"/>
  <c r="A38" i="808"/>
  <c r="A138" i="808"/>
  <c r="A126" i="808"/>
  <c r="A114" i="808"/>
  <c r="A102" i="808"/>
  <c r="A90" i="808"/>
  <c r="A77" i="808"/>
  <c r="A41" i="808"/>
  <c r="A131" i="808"/>
  <c r="A119" i="808"/>
  <c r="A107" i="808"/>
  <c r="A95" i="808"/>
  <c r="A83" i="808"/>
  <c r="A48" i="808"/>
  <c r="A69" i="808"/>
  <c r="A33" i="808"/>
  <c r="A130" i="808"/>
  <c r="A118" i="808"/>
  <c r="A106" i="808"/>
  <c r="A94" i="808"/>
  <c r="A82" i="808"/>
  <c r="A50" i="808"/>
  <c r="A154" i="809"/>
  <c r="A32" i="808"/>
  <c r="A14" i="808"/>
  <c r="A165" i="809"/>
  <c r="A135" i="809"/>
  <c r="A93" i="809"/>
  <c r="A69" i="809"/>
  <c r="A57" i="809"/>
  <c r="A36" i="809"/>
  <c r="A52" i="811"/>
  <c r="A70" i="808"/>
  <c r="A55" i="808"/>
  <c r="A40" i="808"/>
  <c r="A22" i="808"/>
  <c r="A132" i="811"/>
  <c r="A107" i="809"/>
  <c r="A59" i="809"/>
  <c r="A161" i="811"/>
  <c r="D293" i="801"/>
  <c r="D1022" i="801"/>
  <c r="D822" i="801"/>
  <c r="D666" i="801"/>
  <c r="D582" i="801"/>
  <c r="D771" i="801"/>
  <c r="D790" i="801"/>
  <c r="D658" i="801"/>
  <c r="D586" i="801"/>
  <c r="D460" i="801"/>
  <c r="D752" i="801"/>
  <c r="D620" i="801"/>
  <c r="D524" i="801"/>
  <c r="D836" i="801"/>
  <c r="D353" i="801"/>
  <c r="D416" i="801"/>
  <c r="D366" i="801"/>
  <c r="D336" i="801"/>
  <c r="D450" i="801"/>
  <c r="D376" i="801"/>
  <c r="BC27" i="812"/>
  <c r="AW263" i="630"/>
  <c r="AN333" i="785"/>
  <c r="AB333" i="785"/>
  <c r="A53" i="808"/>
  <c r="A39" i="808"/>
  <c r="D288" i="801"/>
  <c r="A60" i="808"/>
  <c r="A166" i="809"/>
  <c r="A135" i="808"/>
  <c r="A123" i="808"/>
  <c r="A111" i="808"/>
  <c r="A99" i="808"/>
  <c r="A87" i="808"/>
  <c r="A63" i="808"/>
  <c r="A30" i="808"/>
  <c r="A128" i="808"/>
  <c r="A116" i="808"/>
  <c r="A104" i="808"/>
  <c r="A92" i="808"/>
  <c r="A80" i="808"/>
  <c r="A44" i="808"/>
  <c r="A65" i="808"/>
  <c r="A24" i="808"/>
  <c r="A139" i="808"/>
  <c r="A127" i="808"/>
  <c r="A115" i="808"/>
  <c r="A103" i="808"/>
  <c r="A91" i="808"/>
  <c r="A72" i="808"/>
  <c r="A36" i="808"/>
  <c r="A100" i="809"/>
  <c r="A26" i="808"/>
  <c r="A172" i="811"/>
  <c r="A159" i="809"/>
  <c r="A123" i="809"/>
  <c r="A84" i="809"/>
  <c r="A66" i="809"/>
  <c r="A51" i="809"/>
  <c r="A33" i="809"/>
  <c r="A46" i="811"/>
  <c r="A67" i="808"/>
  <c r="A52" i="808"/>
  <c r="A34" i="808"/>
  <c r="A19" i="808"/>
  <c r="A96" i="811"/>
  <c r="A83" i="809"/>
  <c r="A35" i="809"/>
  <c r="A104" i="811"/>
  <c r="D940" i="801"/>
  <c r="D1068" i="801"/>
  <c r="D774" i="801"/>
  <c r="D642" i="801"/>
  <c r="D525" i="801"/>
  <c r="D627" i="801"/>
  <c r="D766" i="801"/>
  <c r="D634" i="801"/>
  <c r="D574" i="801"/>
  <c r="D910" i="801"/>
  <c r="D674" i="801"/>
  <c r="D602" i="801"/>
  <c r="D512" i="801"/>
  <c r="D824" i="801"/>
  <c r="D332" i="801"/>
  <c r="D398" i="801"/>
  <c r="D357" i="801"/>
  <c r="D330" i="801"/>
  <c r="D438" i="801"/>
  <c r="D373" i="801"/>
  <c r="AI333" i="785"/>
  <c r="AE333" i="785"/>
  <c r="BC193" i="785"/>
  <c r="R170" i="785"/>
  <c r="S170" i="785" s="1"/>
  <c r="BD263" i="630"/>
  <c r="AJ263" i="630"/>
  <c r="BC150" i="785"/>
  <c r="D1397" i="801"/>
  <c r="D1393" i="801"/>
  <c r="D1389" i="801"/>
  <c r="D1385" i="801"/>
  <c r="D1381" i="801"/>
  <c r="D1377" i="801"/>
  <c r="D1373" i="801"/>
  <c r="D1369" i="801"/>
  <c r="D1365" i="801"/>
  <c r="D1361" i="801"/>
  <c r="D1357" i="801"/>
  <c r="D1353" i="801"/>
  <c r="D1349" i="801"/>
  <c r="D1345" i="801"/>
  <c r="D1341" i="801"/>
  <c r="D1337" i="801"/>
  <c r="D1333" i="801"/>
  <c r="D1329" i="801"/>
  <c r="D1325" i="801"/>
  <c r="D1321" i="801"/>
  <c r="D1317" i="801"/>
  <c r="D1313" i="801"/>
  <c r="D1309" i="801"/>
  <c r="D1305" i="801"/>
  <c r="D1301" i="801"/>
  <c r="D1297" i="801"/>
  <c r="D1293" i="801"/>
  <c r="D1289" i="801"/>
  <c r="D1285" i="801"/>
  <c r="D1281" i="801"/>
  <c r="D1277" i="801"/>
  <c r="D1273" i="801"/>
  <c r="D1269" i="801"/>
  <c r="D1265" i="801"/>
  <c r="D1261" i="801"/>
  <c r="D1257" i="801"/>
  <c r="D1253" i="801"/>
  <c r="D1249" i="801"/>
  <c r="D1245" i="801"/>
  <c r="D1241" i="801"/>
  <c r="D1237" i="801"/>
  <c r="D1233" i="801"/>
  <c r="D1229" i="801"/>
  <c r="D1225" i="801"/>
  <c r="D1221" i="801"/>
  <c r="D1217" i="801"/>
  <c r="D1213" i="801"/>
  <c r="D1209" i="801"/>
  <c r="D1205" i="801"/>
  <c r="D1201" i="801"/>
  <c r="D1197" i="801"/>
  <c r="D1193" i="801"/>
  <c r="D1189" i="801"/>
  <c r="D1185" i="801"/>
  <c r="D1181" i="801"/>
  <c r="D1177" i="801"/>
  <c r="D1173" i="801"/>
  <c r="D1169" i="801"/>
  <c r="D1165" i="801"/>
  <c r="D1161" i="801"/>
  <c r="D1157" i="801"/>
  <c r="D1153" i="801"/>
  <c r="D1149" i="801"/>
  <c r="D1145" i="801"/>
  <c r="D1141" i="801"/>
  <c r="D1137" i="801"/>
  <c r="A34" i="811"/>
  <c r="A45" i="811"/>
  <c r="A88" i="811"/>
  <c r="A102" i="811"/>
  <c r="A137" i="811"/>
  <c r="A164" i="811"/>
  <c r="A181" i="811"/>
  <c r="A26" i="809"/>
  <c r="A41" i="809"/>
  <c r="A50" i="809"/>
  <c r="A96" i="809"/>
  <c r="A110" i="809"/>
  <c r="A118" i="809"/>
  <c r="A129" i="809"/>
  <c r="A140" i="809"/>
  <c r="A149" i="809"/>
  <c r="A158" i="809"/>
  <c r="A58" i="811"/>
  <c r="A65" i="811"/>
  <c r="A86" i="811"/>
  <c r="A100" i="811"/>
  <c r="A135" i="811"/>
  <c r="A162" i="811"/>
  <c r="A170" i="811"/>
  <c r="A24" i="809"/>
  <c r="A39" i="809"/>
  <c r="A70" i="809"/>
  <c r="A73" i="809"/>
  <c r="A94" i="809"/>
  <c r="A108" i="809"/>
  <c r="A116" i="809"/>
  <c r="A127" i="809"/>
  <c r="A138" i="809"/>
  <c r="A156" i="809"/>
  <c r="A174" i="809"/>
  <c r="A56" i="811"/>
  <c r="A84" i="811"/>
  <c r="A98" i="811"/>
  <c r="A133" i="811"/>
  <c r="A168" i="811"/>
  <c r="A22" i="809"/>
  <c r="A34" i="809"/>
  <c r="A37" i="809"/>
  <c r="A80" i="809"/>
  <c r="A103" i="809"/>
  <c r="A114" i="809"/>
  <c r="A122" i="809"/>
  <c r="A125" i="809"/>
  <c r="A136" i="809"/>
  <c r="A5" i="808"/>
  <c r="A7" i="808"/>
  <c r="A9" i="808"/>
  <c r="A11" i="808"/>
  <c r="A13" i="808"/>
  <c r="A49" i="808"/>
  <c r="A90" i="811"/>
  <c r="A123" i="811"/>
  <c r="A158" i="811"/>
  <c r="A2" i="809"/>
  <c r="A12" i="809"/>
  <c r="A55" i="809"/>
  <c r="A62" i="809"/>
  <c r="A120" i="809"/>
  <c r="A17" i="808"/>
  <c r="A131" i="811"/>
  <c r="A166" i="811"/>
  <c r="A177" i="811"/>
  <c r="A20" i="809"/>
  <c r="A78" i="809"/>
  <c r="A29" i="808"/>
  <c r="A48" i="811"/>
  <c r="A54" i="811"/>
  <c r="A107" i="811"/>
  <c r="A139" i="811"/>
  <c r="A142" i="811"/>
  <c r="A32" i="809"/>
  <c r="A43" i="809"/>
  <c r="A46" i="809"/>
  <c r="A90" i="809"/>
  <c r="A151" i="809"/>
  <c r="A176" i="809"/>
  <c r="A179" i="809"/>
  <c r="A4" i="808"/>
  <c r="A12" i="808"/>
  <c r="A73" i="808"/>
  <c r="A163" i="809"/>
  <c r="A170" i="809"/>
  <c r="D399" i="801"/>
  <c r="D400" i="801"/>
  <c r="D401" i="801"/>
  <c r="D402" i="801"/>
  <c r="D403" i="801"/>
  <c r="D404" i="801"/>
  <c r="D405" i="801"/>
  <c r="D406" i="801"/>
  <c r="D407" i="801"/>
  <c r="D467" i="801"/>
  <c r="D468" i="801"/>
  <c r="D469" i="801"/>
  <c r="D470" i="801"/>
  <c r="D471" i="801"/>
  <c r="D472" i="801"/>
  <c r="D473" i="801"/>
  <c r="A82" i="811"/>
  <c r="A134" i="809"/>
  <c r="A145" i="809"/>
  <c r="D289" i="801"/>
  <c r="D290" i="801"/>
  <c r="D291" i="801"/>
  <c r="D292" i="801"/>
  <c r="D322" i="801"/>
  <c r="D381" i="801"/>
  <c r="D382" i="801"/>
  <c r="D383" i="801"/>
  <c r="A98" i="809"/>
  <c r="A101" i="809"/>
  <c r="A112" i="809"/>
  <c r="D284" i="801"/>
  <c r="A41" i="811"/>
  <c r="A115" i="811"/>
  <c r="A150" i="811"/>
  <c r="A4" i="809"/>
  <c r="A10" i="808"/>
  <c r="D274" i="801"/>
  <c r="D435" i="801"/>
  <c r="D436" i="801"/>
  <c r="D437" i="801"/>
  <c r="D561" i="801"/>
  <c r="D562" i="801"/>
  <c r="D563" i="801"/>
  <c r="D603" i="801"/>
  <c r="D604" i="801"/>
  <c r="D605" i="801"/>
  <c r="D606" i="801"/>
  <c r="D607" i="801"/>
  <c r="D608" i="801"/>
  <c r="D609" i="801"/>
  <c r="D610" i="801"/>
  <c r="D611" i="801"/>
  <c r="D612" i="801"/>
  <c r="D613" i="801"/>
  <c r="D614" i="801"/>
  <c r="D615" i="801"/>
  <c r="D616" i="801"/>
  <c r="D617" i="801"/>
  <c r="D643" i="801"/>
  <c r="D644" i="801"/>
  <c r="D645" i="801"/>
  <c r="D646" i="801"/>
  <c r="D647" i="801"/>
  <c r="D648" i="801"/>
  <c r="D649" i="801"/>
  <c r="D650" i="801"/>
  <c r="D651" i="801"/>
  <c r="D652" i="801"/>
  <c r="D653" i="801"/>
  <c r="D654" i="801"/>
  <c r="D655" i="801"/>
  <c r="D510" i="801"/>
  <c r="D511" i="801"/>
  <c r="D583" i="801"/>
  <c r="D584" i="801"/>
  <c r="D585" i="801"/>
  <c r="D597" i="801"/>
  <c r="D621" i="801"/>
  <c r="D622" i="801"/>
  <c r="D623" i="801"/>
  <c r="D624" i="801"/>
  <c r="D625" i="801"/>
  <c r="D626" i="801"/>
  <c r="D675" i="801"/>
  <c r="D676" i="801"/>
  <c r="D677" i="801"/>
  <c r="D678" i="801"/>
  <c r="D679" i="801"/>
  <c r="D680" i="801"/>
  <c r="D681" i="801"/>
  <c r="D753" i="801"/>
  <c r="D823" i="801"/>
  <c r="D335" i="801"/>
  <c r="D377" i="801"/>
  <c r="D378" i="801"/>
  <c r="D379" i="801"/>
  <c r="D285" i="801"/>
  <c r="D286" i="801"/>
  <c r="D287" i="801"/>
  <c r="D316" i="801"/>
  <c r="D317" i="801"/>
  <c r="D318" i="801"/>
  <c r="D319" i="801"/>
  <c r="D320" i="801"/>
  <c r="D363" i="801"/>
  <c r="D364" i="801"/>
  <c r="D365" i="801"/>
  <c r="D387" i="801"/>
  <c r="D388" i="801"/>
  <c r="D389" i="801"/>
  <c r="D390" i="801"/>
  <c r="D391" i="801"/>
  <c r="D392" i="801"/>
  <c r="D393" i="801"/>
  <c r="D394" i="801"/>
  <c r="D395" i="801"/>
  <c r="D451" i="801"/>
  <c r="D452" i="801"/>
  <c r="D453" i="801"/>
  <c r="D454" i="801"/>
  <c r="D455" i="801"/>
  <c r="D456" i="801"/>
  <c r="D457" i="801"/>
  <c r="D458" i="801"/>
  <c r="D459" i="801"/>
  <c r="D657" i="801"/>
  <c r="D772" i="801"/>
  <c r="D773" i="801"/>
  <c r="D667" i="801"/>
  <c r="D668" i="801"/>
  <c r="D669" i="801"/>
  <c r="D670" i="801"/>
  <c r="D671" i="801"/>
  <c r="D672" i="801"/>
  <c r="D673" i="801"/>
  <c r="D897" i="801"/>
  <c r="D898" i="801"/>
  <c r="D899" i="801"/>
  <c r="D900" i="801"/>
  <c r="D901" i="801"/>
  <c r="D902" i="801"/>
  <c r="D903" i="801"/>
  <c r="D904" i="801"/>
  <c r="D905" i="801"/>
  <c r="D906" i="801"/>
  <c r="D907" i="801"/>
  <c r="D908" i="801"/>
  <c r="D909" i="801"/>
  <c r="D827" i="801"/>
  <c r="D828" i="801"/>
  <c r="D829" i="801"/>
  <c r="D830" i="801"/>
  <c r="D831" i="801"/>
  <c r="D832" i="801"/>
  <c r="D833" i="801"/>
  <c r="D834" i="801"/>
  <c r="D835" i="801"/>
  <c r="D941" i="801"/>
  <c r="D942" i="801"/>
  <c r="D943" i="801"/>
  <c r="D944" i="801"/>
  <c r="D945" i="801"/>
  <c r="D946" i="801"/>
  <c r="D947" i="801"/>
  <c r="D948" i="801"/>
  <c r="D949" i="801"/>
  <c r="D950" i="801"/>
  <c r="D951" i="801"/>
  <c r="D952" i="801"/>
  <c r="D953" i="801"/>
  <c r="D954" i="801"/>
  <c r="D955" i="801"/>
  <c r="D956" i="801"/>
  <c r="D957" i="801"/>
  <c r="D958" i="801"/>
  <c r="D959" i="801"/>
  <c r="D960" i="801"/>
  <c r="D961" i="801"/>
  <c r="D962" i="801"/>
  <c r="D963" i="801"/>
  <c r="D964" i="801"/>
  <c r="D965" i="801"/>
  <c r="D566" i="801"/>
  <c r="D567" i="801"/>
  <c r="D568" i="801"/>
  <c r="D569" i="801"/>
  <c r="D570" i="801"/>
  <c r="D571" i="801"/>
  <c r="D572" i="801"/>
  <c r="D573" i="801"/>
  <c r="D767" i="801"/>
  <c r="D768" i="801"/>
  <c r="D769" i="801"/>
  <c r="D770" i="801"/>
  <c r="D791" i="801"/>
  <c r="D792" i="801"/>
  <c r="D793" i="801"/>
  <c r="D794" i="801"/>
  <c r="D795" i="801"/>
  <c r="D796" i="801"/>
  <c r="D797" i="801"/>
  <c r="D798" i="801"/>
  <c r="D799" i="801"/>
  <c r="D800" i="801"/>
  <c r="D801" i="801"/>
  <c r="D802" i="801"/>
  <c r="D803" i="801"/>
  <c r="D804" i="801"/>
  <c r="D805" i="801"/>
  <c r="D806" i="801"/>
  <c r="D807" i="801"/>
  <c r="D808" i="801"/>
  <c r="D809" i="801"/>
  <c r="D810" i="801"/>
  <c r="D811" i="801"/>
  <c r="D812" i="801"/>
  <c r="D813" i="801"/>
  <c r="D814" i="801"/>
  <c r="D815" i="801"/>
  <c r="D816" i="801"/>
  <c r="D817" i="801"/>
  <c r="D818" i="801"/>
  <c r="D819" i="801"/>
  <c r="D820" i="801"/>
  <c r="D821" i="801"/>
  <c r="D1009" i="801"/>
  <c r="D1010" i="801"/>
  <c r="D1011" i="801"/>
  <c r="D1012" i="801"/>
  <c r="D1013" i="801"/>
  <c r="D1014" i="801"/>
  <c r="D1015" i="801"/>
  <c r="D1016" i="801"/>
  <c r="D1017" i="801"/>
  <c r="D1018" i="801"/>
  <c r="D1019" i="801"/>
  <c r="D1020" i="801"/>
  <c r="D1021" i="801"/>
  <c r="D593" i="801"/>
  <c r="D594" i="801"/>
  <c r="D595" i="801"/>
  <c r="D691" i="801"/>
  <c r="D692" i="801"/>
  <c r="D693" i="801"/>
  <c r="D694" i="801"/>
  <c r="D695" i="801"/>
  <c r="D696" i="801"/>
  <c r="D697" i="801"/>
  <c r="D698" i="801"/>
  <c r="D699" i="801"/>
  <c r="D700" i="801"/>
  <c r="D701" i="801"/>
  <c r="D702" i="801"/>
  <c r="D703" i="801"/>
  <c r="D704" i="801"/>
  <c r="D705" i="801"/>
  <c r="D706" i="801"/>
  <c r="D707" i="801"/>
  <c r="D708" i="801"/>
  <c r="D709" i="801"/>
  <c r="D710" i="801"/>
  <c r="D711" i="801"/>
  <c r="D712" i="801"/>
  <c r="D713" i="801"/>
  <c r="D714" i="801"/>
  <c r="D715" i="801"/>
  <c r="D716" i="801"/>
  <c r="D717" i="801"/>
  <c r="D718" i="801"/>
  <c r="D719" i="801"/>
  <c r="D720" i="801"/>
  <c r="D721" i="801"/>
  <c r="D722" i="801"/>
  <c r="D723" i="801"/>
  <c r="D724" i="801"/>
  <c r="D725" i="801"/>
  <c r="D726" i="801"/>
  <c r="D727" i="801"/>
  <c r="D728" i="801"/>
  <c r="D729" i="801"/>
  <c r="D730" i="801"/>
  <c r="D731" i="801"/>
  <c r="D732" i="801"/>
  <c r="D733" i="801"/>
  <c r="D734" i="801"/>
  <c r="D735" i="801"/>
  <c r="D736" i="801"/>
  <c r="D737" i="801"/>
  <c r="D738" i="801"/>
  <c r="D739" i="801"/>
  <c r="D740" i="801"/>
  <c r="D741" i="801"/>
  <c r="D742" i="801"/>
  <c r="D743" i="801"/>
  <c r="D744" i="801"/>
  <c r="D745" i="801"/>
  <c r="D746" i="801"/>
  <c r="D747" i="801"/>
  <c r="D748" i="801"/>
  <c r="D749" i="801"/>
  <c r="D1069" i="801"/>
  <c r="D1070" i="801"/>
  <c r="D1071" i="801"/>
  <c r="D1072" i="801"/>
  <c r="D1073" i="801"/>
  <c r="D1074" i="801"/>
  <c r="D1075" i="801"/>
  <c r="D1076" i="801"/>
  <c r="D1077" i="801"/>
  <c r="D1078" i="801"/>
  <c r="D1079" i="801"/>
  <c r="D1080" i="801"/>
  <c r="D1081" i="801"/>
  <c r="D1082" i="801"/>
  <c r="D1083" i="801"/>
  <c r="D1084" i="801"/>
  <c r="D1085" i="801"/>
  <c r="D1086" i="801"/>
  <c r="D1087" i="801"/>
  <c r="D1088" i="801"/>
  <c r="D1089" i="801"/>
  <c r="D1090" i="801"/>
  <c r="D1091" i="801"/>
  <c r="D1092" i="801"/>
  <c r="D1093" i="801"/>
  <c r="D1094" i="801"/>
  <c r="D1095" i="801"/>
  <c r="D1096" i="801"/>
  <c r="D1097" i="801"/>
  <c r="D1098" i="801"/>
  <c r="D1099" i="801"/>
  <c r="D1100" i="801"/>
  <c r="D1101" i="801"/>
  <c r="D1102" i="801"/>
  <c r="D1398" i="801"/>
  <c r="D1394" i="801"/>
  <c r="D1390" i="801"/>
  <c r="D1386" i="801"/>
  <c r="D1382" i="801"/>
  <c r="D1378" i="801"/>
  <c r="D1374" i="801"/>
  <c r="D1370" i="801"/>
  <c r="D1366" i="801"/>
  <c r="D1362" i="801"/>
  <c r="D1358" i="801"/>
  <c r="D1354" i="801"/>
  <c r="D1350" i="801"/>
  <c r="D1346" i="801"/>
  <c r="D1342" i="801"/>
  <c r="D1338" i="801"/>
  <c r="D1334" i="801"/>
  <c r="D1330" i="801"/>
  <c r="D1326" i="801"/>
  <c r="D1322" i="801"/>
  <c r="D1318" i="801"/>
  <c r="D1314" i="801"/>
  <c r="D1310" i="801"/>
  <c r="D1306" i="801"/>
  <c r="D1302" i="801"/>
  <c r="D1298" i="801"/>
  <c r="D1294" i="801"/>
  <c r="D1290" i="801"/>
  <c r="D1286" i="801"/>
  <c r="D1282" i="801"/>
  <c r="D1278" i="801"/>
  <c r="D1274" i="801"/>
  <c r="D1270" i="801"/>
  <c r="D1266" i="801"/>
  <c r="D1262" i="801"/>
  <c r="D1258" i="801"/>
  <c r="D1254" i="801"/>
  <c r="D1250" i="801"/>
  <c r="D1246" i="801"/>
  <c r="D1242" i="801"/>
  <c r="D1238" i="801"/>
  <c r="D1234" i="801"/>
  <c r="D1230" i="801"/>
  <c r="D1226" i="801"/>
  <c r="D1222" i="801"/>
  <c r="D1218" i="801"/>
  <c r="D1214" i="801"/>
  <c r="D1210" i="801"/>
  <c r="D1206" i="801"/>
  <c r="D1202" i="801"/>
  <c r="D1198" i="801"/>
  <c r="D1194" i="801"/>
  <c r="D1190" i="801"/>
  <c r="D1186" i="801"/>
  <c r="D1182" i="801"/>
  <c r="D1178" i="801"/>
  <c r="D1174" i="801"/>
  <c r="D1170" i="801"/>
  <c r="D1166" i="801"/>
  <c r="D1162" i="801"/>
  <c r="D1158" i="801"/>
  <c r="D1154" i="801"/>
  <c r="D1150" i="801"/>
  <c r="D1146" i="801"/>
  <c r="D1142" i="801"/>
  <c r="D1138" i="801"/>
  <c r="D1432" i="801"/>
  <c r="D1431" i="801"/>
  <c r="D1430" i="801"/>
  <c r="D1429" i="801"/>
  <c r="D1428" i="801"/>
  <c r="D1427" i="801"/>
  <c r="D1426" i="801"/>
  <c r="D1425" i="801"/>
  <c r="D1424" i="801"/>
  <c r="D1423" i="801"/>
  <c r="D1422" i="801"/>
  <c r="D1421" i="801"/>
  <c r="D1420" i="801"/>
  <c r="D1419" i="801"/>
  <c r="D1418" i="801"/>
  <c r="D1417" i="801"/>
  <c r="D1416" i="801"/>
  <c r="D1415" i="801"/>
  <c r="D1414" i="801"/>
  <c r="D1413" i="801"/>
  <c r="D1412" i="801"/>
  <c r="D1411" i="801"/>
  <c r="D1410" i="801"/>
  <c r="D1409" i="801"/>
  <c r="D1408" i="801"/>
  <c r="D1407" i="801"/>
  <c r="D1406" i="801"/>
  <c r="D1405" i="801"/>
  <c r="D1404" i="801"/>
  <c r="D1403" i="801"/>
  <c r="D1402" i="801"/>
  <c r="D1401" i="801"/>
  <c r="D1400" i="801"/>
  <c r="D1399" i="801"/>
  <c r="D1395" i="801"/>
  <c r="D1391" i="801"/>
  <c r="D1387" i="801"/>
  <c r="D1383" i="801"/>
  <c r="D1379" i="801"/>
  <c r="D1375" i="801"/>
  <c r="D1371" i="801"/>
  <c r="D1367" i="801"/>
  <c r="D1363" i="801"/>
  <c r="D1359" i="801"/>
  <c r="D1355" i="801"/>
  <c r="D1351" i="801"/>
  <c r="D1347" i="801"/>
  <c r="D1343" i="801"/>
  <c r="D1339" i="801"/>
  <c r="D1335" i="801"/>
  <c r="D1331" i="801"/>
  <c r="D1327" i="801"/>
  <c r="D1323" i="801"/>
  <c r="D1319" i="801"/>
  <c r="D1315" i="801"/>
  <c r="D1311" i="801"/>
  <c r="D1307" i="801"/>
  <c r="D1303" i="801"/>
  <c r="D1299" i="801"/>
  <c r="D1295" i="801"/>
  <c r="D1291" i="801"/>
  <c r="D1287" i="801"/>
  <c r="D1283" i="801"/>
  <c r="D1279" i="801"/>
  <c r="D1275" i="801"/>
  <c r="D1271" i="801"/>
  <c r="D1267" i="801"/>
  <c r="D1263" i="801"/>
  <c r="D1259" i="801"/>
  <c r="D1255" i="801"/>
  <c r="D1251" i="801"/>
  <c r="D1247" i="801"/>
  <c r="D1243" i="801"/>
  <c r="D1239" i="801"/>
  <c r="D1235" i="801"/>
  <c r="D1231" i="801"/>
  <c r="D1227" i="801"/>
  <c r="D1223" i="801"/>
  <c r="D1219" i="801"/>
  <c r="D1215" i="801"/>
  <c r="D1211" i="801"/>
  <c r="D1207" i="801"/>
  <c r="D1203" i="801"/>
  <c r="D1199" i="801"/>
  <c r="D1195" i="801"/>
  <c r="D1191" i="801"/>
  <c r="D1187" i="801"/>
  <c r="D1183" i="801"/>
  <c r="D1179" i="801"/>
  <c r="D1175" i="801"/>
  <c r="D1171" i="801"/>
  <c r="D1167" i="801"/>
  <c r="D1163" i="801"/>
  <c r="D1159" i="801"/>
  <c r="D1155" i="801"/>
  <c r="D1151" i="801"/>
  <c r="D1147" i="801"/>
  <c r="D1143" i="801"/>
  <c r="D1139" i="801"/>
  <c r="D1135" i="801"/>
  <c r="D1131" i="801"/>
  <c r="D1127" i="801"/>
  <c r="D1123" i="801"/>
  <c r="D1119" i="801"/>
  <c r="D1115" i="801"/>
  <c r="D1111" i="801"/>
  <c r="D1110" i="801"/>
  <c r="D1109" i="801"/>
  <c r="D1108" i="801"/>
  <c r="D1107" i="801"/>
  <c r="D1106" i="801"/>
  <c r="D1105" i="801"/>
  <c r="D1104" i="801"/>
  <c r="D1103" i="801"/>
  <c r="D1396" i="801"/>
  <c r="D1392" i="801"/>
  <c r="D1388" i="801"/>
  <c r="D1384" i="801"/>
  <c r="D1380" i="801"/>
  <c r="D1376" i="801"/>
  <c r="D1372" i="801"/>
  <c r="D1368" i="801"/>
  <c r="D1364" i="801"/>
  <c r="D1360" i="801"/>
  <c r="D1356" i="801"/>
  <c r="D1352" i="801"/>
  <c r="D1348" i="801"/>
  <c r="D1344" i="801"/>
  <c r="D1340" i="801"/>
  <c r="D1336" i="801"/>
  <c r="D1332" i="801"/>
  <c r="D1328" i="801"/>
  <c r="D1324" i="801"/>
  <c r="D1320" i="801"/>
  <c r="D1316" i="801"/>
  <c r="D1312" i="801"/>
  <c r="D1308" i="801"/>
  <c r="D1304" i="801"/>
  <c r="D1300" i="801"/>
  <c r="D1296" i="801"/>
  <c r="D1292" i="801"/>
  <c r="D1288" i="801"/>
  <c r="D1284" i="801"/>
  <c r="D1280" i="801"/>
  <c r="D1276" i="801"/>
  <c r="D1272" i="801"/>
  <c r="D1268" i="801"/>
  <c r="D1264" i="801"/>
  <c r="D1260" i="801"/>
  <c r="D1256" i="801"/>
  <c r="D1252" i="801"/>
  <c r="D1248" i="801"/>
  <c r="D1244" i="801"/>
  <c r="D1240" i="801"/>
  <c r="D1236" i="801"/>
  <c r="D1232" i="801"/>
  <c r="D1228" i="801"/>
  <c r="D1224" i="801"/>
  <c r="D1220" i="801"/>
  <c r="D1216" i="801"/>
  <c r="D1212" i="801"/>
  <c r="D1208" i="801"/>
  <c r="D1204" i="801"/>
  <c r="D1200" i="801"/>
  <c r="D1196" i="801"/>
  <c r="D1192" i="801"/>
  <c r="D1188" i="801"/>
  <c r="D1184" i="801"/>
  <c r="D1180" i="801"/>
  <c r="D1176" i="801"/>
  <c r="D1172" i="801"/>
  <c r="D1168" i="801"/>
  <c r="D1164" i="801"/>
  <c r="D1160" i="801"/>
  <c r="D1156" i="801"/>
  <c r="D1152" i="801"/>
  <c r="D1148" i="801"/>
  <c r="D1144" i="801"/>
  <c r="D1140" i="801"/>
  <c r="D1136" i="801"/>
  <c r="D1064" i="801"/>
  <c r="D1060" i="801"/>
  <c r="D1056" i="801"/>
  <c r="D1052" i="801"/>
  <c r="D1048" i="801"/>
  <c r="D1044" i="801"/>
  <c r="D1040" i="801"/>
  <c r="D1036" i="801"/>
  <c r="D1032" i="801"/>
  <c r="D1028" i="801"/>
  <c r="D1024" i="801"/>
  <c r="D1007" i="801"/>
  <c r="D1003" i="801"/>
  <c r="D999" i="801"/>
  <c r="D995" i="801"/>
  <c r="D991" i="801"/>
  <c r="D987" i="801"/>
  <c r="D983" i="801"/>
  <c r="D979" i="801"/>
  <c r="D975" i="801"/>
  <c r="D971" i="801"/>
  <c r="D967" i="801"/>
  <c r="D938" i="801"/>
  <c r="D934" i="801"/>
  <c r="D930" i="801"/>
  <c r="D926" i="801"/>
  <c r="D922" i="801"/>
  <c r="D893" i="801"/>
  <c r="D889" i="801"/>
  <c r="D885" i="801"/>
  <c r="D881" i="801"/>
  <c r="D877" i="801"/>
  <c r="D873" i="801"/>
  <c r="D869" i="801"/>
  <c r="D865" i="801"/>
  <c r="D861" i="801"/>
  <c r="D857" i="801"/>
  <c r="D853" i="801"/>
  <c r="D849" i="801"/>
  <c r="D845" i="801"/>
  <c r="D841" i="801"/>
  <c r="D837" i="801"/>
  <c r="D789" i="801"/>
  <c r="D785" i="801"/>
  <c r="D765" i="801"/>
  <c r="D686" i="801"/>
  <c r="D639" i="801"/>
  <c r="D635" i="801"/>
  <c r="D619" i="801"/>
  <c r="D508" i="801"/>
  <c r="D504" i="801"/>
  <c r="D500" i="801"/>
  <c r="D496" i="801"/>
  <c r="D492" i="801"/>
  <c r="D488" i="801"/>
  <c r="D464" i="801"/>
  <c r="D432" i="801"/>
  <c r="D428" i="801"/>
  <c r="D424" i="801"/>
  <c r="D420" i="801"/>
  <c r="D1132" i="801"/>
  <c r="D1128" i="801"/>
  <c r="D1124" i="801"/>
  <c r="D1120" i="801"/>
  <c r="D1116" i="801"/>
  <c r="D1065" i="801"/>
  <c r="D1061" i="801"/>
  <c r="D1057" i="801"/>
  <c r="D1053" i="801"/>
  <c r="D1049" i="801"/>
  <c r="D1045" i="801"/>
  <c r="D1041" i="801"/>
  <c r="D1037" i="801"/>
  <c r="D1033" i="801"/>
  <c r="D1029" i="801"/>
  <c r="D1025" i="801"/>
  <c r="D1004" i="801"/>
  <c r="D1000" i="801"/>
  <c r="D996" i="801"/>
  <c r="D992" i="801"/>
  <c r="D988" i="801"/>
  <c r="D984" i="801"/>
  <c r="D980" i="801"/>
  <c r="D976" i="801"/>
  <c r="D972" i="801"/>
  <c r="D968" i="801"/>
  <c r="D939" i="801"/>
  <c r="D935" i="801"/>
  <c r="D931" i="801"/>
  <c r="D927" i="801"/>
  <c r="D923" i="801"/>
  <c r="D919" i="801"/>
  <c r="D915" i="801"/>
  <c r="D911" i="801"/>
  <c r="D894" i="801"/>
  <c r="D890" i="801"/>
  <c r="D886" i="801"/>
  <c r="D882" i="801"/>
  <c r="D878" i="801"/>
  <c r="D874" i="801"/>
  <c r="D870" i="801"/>
  <c r="D866" i="801"/>
  <c r="D862" i="801"/>
  <c r="D858" i="801"/>
  <c r="D854" i="801"/>
  <c r="D850" i="801"/>
  <c r="D846" i="801"/>
  <c r="D842" i="801"/>
  <c r="D838" i="801"/>
  <c r="D786" i="801"/>
  <c r="D782" i="801"/>
  <c r="D778" i="801"/>
  <c r="D762" i="801"/>
  <c r="D758" i="801"/>
  <c r="D640" i="801"/>
  <c r="D636" i="801"/>
  <c r="D600" i="801"/>
  <c r="D581" i="801"/>
  <c r="D577" i="801"/>
  <c r="D333" i="801"/>
  <c r="D1133" i="801"/>
  <c r="D1129" i="801"/>
  <c r="D1125" i="801"/>
  <c r="D1121" i="801"/>
  <c r="D1117" i="801"/>
  <c r="D1113" i="801"/>
  <c r="D1066" i="801"/>
  <c r="D1062" i="801"/>
  <c r="D1058" i="801"/>
  <c r="D1054" i="801"/>
  <c r="D1050" i="801"/>
  <c r="D1046" i="801"/>
  <c r="D1042" i="801"/>
  <c r="D1038" i="801"/>
  <c r="D1034" i="801"/>
  <c r="D1030" i="801"/>
  <c r="D1026" i="801"/>
  <c r="D1005" i="801"/>
  <c r="D1001" i="801"/>
  <c r="D997" i="801"/>
  <c r="D993" i="801"/>
  <c r="D989" i="801"/>
  <c r="D985" i="801"/>
  <c r="D981" i="801"/>
  <c r="D977" i="801"/>
  <c r="D973" i="801"/>
  <c r="D969" i="801"/>
  <c r="D936" i="801"/>
  <c r="D932" i="801"/>
  <c r="D928" i="801"/>
  <c r="D924" i="801"/>
  <c r="D895" i="801"/>
  <c r="D891" i="801"/>
  <c r="D887" i="801"/>
  <c r="D883" i="801"/>
  <c r="D879" i="801"/>
  <c r="D875" i="801"/>
  <c r="D871" i="801"/>
  <c r="D867" i="801"/>
  <c r="D863" i="801"/>
  <c r="D859" i="801"/>
  <c r="D855" i="801"/>
  <c r="D851" i="801"/>
  <c r="D847" i="801"/>
  <c r="D843" i="801"/>
  <c r="D839" i="801"/>
  <c r="D787" i="801"/>
  <c r="D783" i="801"/>
  <c r="D763" i="801"/>
  <c r="D751" i="801"/>
  <c r="D688" i="801"/>
  <c r="D684" i="801"/>
  <c r="D641" i="801"/>
  <c r="D637" i="801"/>
  <c r="D558" i="801"/>
  <c r="D554" i="801"/>
  <c r="D550" i="801"/>
  <c r="D546" i="801"/>
  <c r="D542" i="801"/>
  <c r="D538" i="801"/>
  <c r="D534" i="801"/>
  <c r="D530" i="801"/>
  <c r="D526" i="801"/>
  <c r="D522" i="801"/>
  <c r="D518" i="801"/>
  <c r="D374" i="801"/>
  <c r="D1134" i="801"/>
  <c r="D1130" i="801"/>
  <c r="D1126" i="801"/>
  <c r="D1122" i="801"/>
  <c r="D1118" i="801"/>
  <c r="D1114" i="801"/>
  <c r="D1067" i="801"/>
  <c r="D1063" i="801"/>
  <c r="D1059" i="801"/>
  <c r="D1055" i="801"/>
  <c r="D1051" i="801"/>
  <c r="D1047" i="801"/>
  <c r="D1043" i="801"/>
  <c r="D1039" i="801"/>
  <c r="D1035" i="801"/>
  <c r="D1031" i="801"/>
  <c r="D1027" i="801"/>
  <c r="D1023" i="801"/>
  <c r="D1006" i="801"/>
  <c r="D1002" i="801"/>
  <c r="D998" i="801"/>
  <c r="D994" i="801"/>
  <c r="D990" i="801"/>
  <c r="D986" i="801"/>
  <c r="D982" i="801"/>
  <c r="D978" i="801"/>
  <c r="D974" i="801"/>
  <c r="D970" i="801"/>
  <c r="D937" i="801"/>
  <c r="D933" i="801"/>
  <c r="D929" i="801"/>
  <c r="D925" i="801"/>
  <c r="D921" i="801"/>
  <c r="D917" i="801"/>
  <c r="D913" i="801"/>
  <c r="D892" i="801"/>
  <c r="D888" i="801"/>
  <c r="D884" i="801"/>
  <c r="D880" i="801"/>
  <c r="D876" i="801"/>
  <c r="D872" i="801"/>
  <c r="D868" i="801"/>
  <c r="D864" i="801"/>
  <c r="D860" i="801"/>
  <c r="D856" i="801"/>
  <c r="D852" i="801"/>
  <c r="D848" i="801"/>
  <c r="D844" i="801"/>
  <c r="D840" i="801"/>
  <c r="D788" i="801"/>
  <c r="D784" i="801"/>
  <c r="D780" i="801"/>
  <c r="D776" i="801"/>
  <c r="D764" i="801"/>
  <c r="D638" i="801"/>
  <c r="D375" i="801"/>
  <c r="D918" i="801"/>
  <c r="D914" i="801"/>
  <c r="D825" i="801"/>
  <c r="D777" i="801"/>
  <c r="D759" i="801"/>
  <c r="D755" i="801"/>
  <c r="D665" i="801"/>
  <c r="D661" i="801"/>
  <c r="D632" i="801"/>
  <c r="D628" i="801"/>
  <c r="D591" i="801"/>
  <c r="D587" i="801"/>
  <c r="D580" i="801"/>
  <c r="D576" i="801"/>
  <c r="D557" i="801"/>
  <c r="D553" i="801"/>
  <c r="D549" i="801"/>
  <c r="D545" i="801"/>
  <c r="D541" i="801"/>
  <c r="D537" i="801"/>
  <c r="D533" i="801"/>
  <c r="D529" i="801"/>
  <c r="D507" i="801"/>
  <c r="D503" i="801"/>
  <c r="D499" i="801"/>
  <c r="D495" i="801"/>
  <c r="D491" i="801"/>
  <c r="D487" i="801"/>
  <c r="D483" i="801"/>
  <c r="D479" i="801"/>
  <c r="D475" i="801"/>
  <c r="D463" i="801"/>
  <c r="D446" i="801"/>
  <c r="D442" i="801"/>
  <c r="D431" i="801"/>
  <c r="D427" i="801"/>
  <c r="D423" i="801"/>
  <c r="D419" i="801"/>
  <c r="D415" i="801"/>
  <c r="D369" i="801"/>
  <c r="D358" i="801"/>
  <c r="D350" i="801"/>
  <c r="D346" i="801"/>
  <c r="D342" i="801"/>
  <c r="D338" i="801"/>
  <c r="D328" i="801"/>
  <c r="D324" i="801"/>
  <c r="D311" i="801"/>
  <c r="D307" i="801"/>
  <c r="D303" i="801"/>
  <c r="D299" i="801"/>
  <c r="D295" i="801"/>
  <c r="D272" i="801"/>
  <c r="D412" i="801"/>
  <c r="D370" i="801"/>
  <c r="D359" i="801"/>
  <c r="D355" i="801"/>
  <c r="D351" i="801"/>
  <c r="D347" i="801"/>
  <c r="D343" i="801"/>
  <c r="D339" i="801"/>
  <c r="D329" i="801"/>
  <c r="D325" i="801"/>
  <c r="D916" i="801"/>
  <c r="D912" i="801"/>
  <c r="D779" i="801"/>
  <c r="D775" i="801"/>
  <c r="D761" i="801"/>
  <c r="D757" i="801"/>
  <c r="D689" i="801"/>
  <c r="D685" i="801"/>
  <c r="D663" i="801"/>
  <c r="D659" i="801"/>
  <c r="D630" i="801"/>
  <c r="D601" i="801"/>
  <c r="D589" i="801"/>
  <c r="D578" i="801"/>
  <c r="D559" i="801"/>
  <c r="D555" i="801"/>
  <c r="D551" i="801"/>
  <c r="D547" i="801"/>
  <c r="D543" i="801"/>
  <c r="D539" i="801"/>
  <c r="D535" i="801"/>
  <c r="D531" i="801"/>
  <c r="D527" i="801"/>
  <c r="D523" i="801"/>
  <c r="D519" i="801"/>
  <c r="D515" i="801"/>
  <c r="D505" i="801"/>
  <c r="D501" i="801"/>
  <c r="D497" i="801"/>
  <c r="D493" i="801"/>
  <c r="D489" i="801"/>
  <c r="D485" i="801"/>
  <c r="D465" i="801"/>
  <c r="D461" i="801"/>
  <c r="D433" i="801"/>
  <c r="D429" i="801"/>
  <c r="D425" i="801"/>
  <c r="D421" i="801"/>
  <c r="D417" i="801"/>
  <c r="D413" i="801"/>
  <c r="D409" i="801"/>
  <c r="D397" i="801"/>
  <c r="D360" i="801"/>
  <c r="D356" i="801"/>
  <c r="D344" i="801"/>
  <c r="D664" i="801"/>
  <c r="D660" i="801"/>
  <c r="D631" i="801"/>
  <c r="D590" i="801"/>
  <c r="D579" i="801"/>
  <c r="D575" i="801"/>
  <c r="D556" i="801"/>
  <c r="D552" i="801"/>
  <c r="D548" i="801"/>
  <c r="D544" i="801"/>
  <c r="D540" i="801"/>
  <c r="D536" i="801"/>
  <c r="D532" i="801"/>
  <c r="D528" i="801"/>
  <c r="D520" i="801"/>
  <c r="D516" i="801"/>
  <c r="D506" i="801"/>
  <c r="D502" i="801"/>
  <c r="D494" i="801"/>
  <c r="D490" i="801"/>
  <c r="D486" i="801"/>
  <c r="D482" i="801"/>
  <c r="D478" i="801"/>
  <c r="D462" i="801"/>
  <c r="D449" i="801"/>
  <c r="D445" i="801"/>
  <c r="D441" i="801"/>
  <c r="D430" i="801"/>
  <c r="D426" i="801"/>
  <c r="D422" i="801"/>
  <c r="D418" i="801"/>
  <c r="D385" i="801"/>
  <c r="D361" i="801"/>
  <c r="D349" i="801"/>
  <c r="D345" i="801"/>
  <c r="D341" i="801"/>
  <c r="D314" i="801"/>
  <c r="D310" i="801"/>
  <c r="D306" i="801"/>
  <c r="D302" i="801"/>
  <c r="D298" i="801"/>
  <c r="D294" i="801"/>
  <c r="D282" i="801"/>
  <c r="D278" i="801"/>
  <c r="A88" i="809"/>
  <c r="A8" i="809"/>
  <c r="A154" i="811"/>
  <c r="A119" i="811"/>
  <c r="A43" i="811"/>
  <c r="A30" i="811"/>
  <c r="A26" i="811"/>
  <c r="A22" i="811"/>
  <c r="A18" i="811"/>
  <c r="A14" i="811"/>
  <c r="A10" i="811"/>
  <c r="A6" i="811"/>
  <c r="A2" i="811"/>
  <c r="A6" i="808"/>
  <c r="A15" i="809"/>
  <c r="A126" i="811"/>
  <c r="D760" i="801"/>
  <c r="D756" i="801"/>
  <c r="D687" i="801"/>
  <c r="D683" i="801"/>
  <c r="D633" i="801"/>
  <c r="D629" i="801"/>
  <c r="D599" i="801"/>
  <c r="D521" i="801"/>
  <c r="D517" i="801"/>
  <c r="D513" i="801"/>
  <c r="D480" i="801"/>
  <c r="D476" i="801"/>
  <c r="D447" i="801"/>
  <c r="D443" i="801"/>
  <c r="D439" i="801"/>
  <c r="D410" i="801"/>
  <c r="D371" i="801"/>
  <c r="D367" i="801"/>
  <c r="D326" i="801"/>
  <c r="D312" i="801"/>
  <c r="D308" i="801"/>
  <c r="D304" i="801"/>
  <c r="D300" i="801"/>
  <c r="D296" i="801"/>
  <c r="D280" i="801"/>
  <c r="D276" i="801"/>
  <c r="A79" i="811"/>
  <c r="A75" i="811"/>
  <c r="A71" i="811"/>
  <c r="D514" i="801"/>
  <c r="D481" i="801"/>
  <c r="D477" i="801"/>
  <c r="D448" i="801"/>
  <c r="D444" i="801"/>
  <c r="D440" i="801"/>
  <c r="D411" i="801"/>
  <c r="D372" i="801"/>
  <c r="D368" i="801"/>
  <c r="D337" i="801"/>
  <c r="D331" i="801"/>
  <c r="D327" i="801"/>
  <c r="D313" i="801"/>
  <c r="D309" i="801"/>
  <c r="D305" i="801"/>
  <c r="D297" i="801"/>
  <c r="D281" i="801"/>
  <c r="D277" i="801"/>
  <c r="A8" i="808"/>
  <c r="A167" i="809"/>
  <c r="A105" i="811"/>
  <c r="A93" i="811"/>
  <c r="A173" i="809"/>
  <c r="A155" i="809"/>
  <c r="A137" i="809"/>
  <c r="A126" i="809"/>
  <c r="A115" i="809"/>
  <c r="A104" i="809"/>
  <c r="A68" i="809"/>
  <c r="A18" i="809"/>
  <c r="A14" i="809"/>
  <c r="A7" i="809"/>
  <c r="A175" i="811"/>
  <c r="A160" i="811"/>
  <c r="A153" i="811"/>
  <c r="A146" i="811"/>
  <c r="A129" i="811"/>
  <c r="A125" i="811"/>
  <c r="A118" i="811"/>
  <c r="A111" i="811"/>
  <c r="A92" i="811"/>
  <c r="A85" i="811"/>
  <c r="A50" i="811"/>
  <c r="A37" i="808"/>
  <c r="A15" i="808"/>
  <c r="A86" i="809"/>
  <c r="A53" i="809"/>
  <c r="A10" i="809"/>
  <c r="A6" i="809"/>
  <c r="A156" i="811"/>
  <c r="A152" i="811"/>
  <c r="A145" i="811"/>
  <c r="A121" i="811"/>
  <c r="A117" i="811"/>
  <c r="A110" i="811"/>
  <c r="A99" i="811"/>
  <c r="A57" i="811"/>
  <c r="A25" i="808"/>
  <c r="A168" i="809"/>
  <c r="A161" i="809"/>
  <c r="A143" i="809"/>
  <c r="A132" i="809"/>
  <c r="A106" i="809"/>
  <c r="A92" i="809"/>
  <c r="A85" i="809"/>
  <c r="A81" i="809"/>
  <c r="A38" i="809"/>
  <c r="A23" i="809"/>
  <c r="A16" i="809"/>
  <c r="A173" i="811"/>
  <c r="A169" i="811"/>
  <c r="A148" i="811"/>
  <c r="A144" i="811"/>
  <c r="A134" i="811"/>
  <c r="A127" i="811"/>
  <c r="A113" i="811"/>
  <c r="A109" i="811"/>
  <c r="A94" i="811"/>
  <c r="A64" i="811"/>
  <c r="A61" i="808"/>
  <c r="A3" i="808"/>
  <c r="A178" i="809"/>
  <c r="A175" i="809"/>
  <c r="A169" i="809"/>
  <c r="A160" i="809"/>
  <c r="A157" i="809"/>
  <c r="A148" i="809"/>
  <c r="A139" i="809"/>
  <c r="A131" i="809"/>
  <c r="A128" i="809"/>
  <c r="A117" i="809"/>
  <c r="A109" i="809"/>
  <c r="A95" i="809"/>
  <c r="A87" i="809"/>
  <c r="A74" i="809"/>
  <c r="A58" i="809"/>
  <c r="A52" i="809"/>
  <c r="A49" i="809"/>
  <c r="A40" i="809"/>
  <c r="A28" i="809"/>
  <c r="A25" i="809"/>
  <c r="A17" i="809"/>
  <c r="A9" i="809"/>
  <c r="A180" i="811"/>
  <c r="A174" i="811"/>
  <c r="A171" i="811"/>
  <c r="A163" i="811"/>
  <c r="A155" i="811"/>
  <c r="A147" i="811"/>
  <c r="A136" i="811"/>
  <c r="A128" i="811"/>
  <c r="A120" i="811"/>
  <c r="A112" i="811"/>
  <c r="A101" i="811"/>
  <c r="A95" i="811"/>
  <c r="A87" i="811"/>
  <c r="A78" i="811"/>
  <c r="A74" i="811"/>
  <c r="A70" i="811"/>
  <c r="A66" i="811"/>
  <c r="A59" i="811"/>
  <c r="A39" i="811"/>
  <c r="A35" i="811"/>
  <c r="A33" i="811"/>
  <c r="A29" i="811"/>
  <c r="A25" i="811"/>
  <c r="A21" i="811"/>
  <c r="A17" i="811"/>
  <c r="A13" i="811"/>
  <c r="A9" i="811"/>
  <c r="A5" i="811"/>
  <c r="A180" i="809"/>
  <c r="A171" i="809"/>
  <c r="A162" i="809"/>
  <c r="A150" i="809"/>
  <c r="A144" i="809"/>
  <c r="A141" i="809"/>
  <c r="A133" i="809"/>
  <c r="A119" i="809"/>
  <c r="A111" i="809"/>
  <c r="A97" i="809"/>
  <c r="A89" i="809"/>
  <c r="A77" i="809"/>
  <c r="A64" i="809"/>
  <c r="A61" i="809"/>
  <c r="A54" i="809"/>
  <c r="A42" i="809"/>
  <c r="A31" i="809"/>
  <c r="A11" i="809"/>
  <c r="A3" i="809"/>
  <c r="A176" i="811"/>
  <c r="A165" i="811"/>
  <c r="A157" i="811"/>
  <c r="A149" i="811"/>
  <c r="A138" i="811"/>
  <c r="A130" i="811"/>
  <c r="A122" i="811"/>
  <c r="A114" i="811"/>
  <c r="A106" i="811"/>
  <c r="A103" i="811"/>
  <c r="A89" i="811"/>
  <c r="A81" i="811"/>
  <c r="A77" i="811"/>
  <c r="A73" i="811"/>
  <c r="A69" i="811"/>
  <c r="A62" i="811"/>
  <c r="A53" i="811"/>
  <c r="A51" i="811"/>
  <c r="A49" i="811"/>
  <c r="A44" i="811"/>
  <c r="A42" i="811"/>
  <c r="A32" i="811"/>
  <c r="A28" i="811"/>
  <c r="A24" i="811"/>
  <c r="A20" i="811"/>
  <c r="A16" i="811"/>
  <c r="A12" i="811"/>
  <c r="A8" i="811"/>
  <c r="A4" i="811"/>
  <c r="A164" i="809"/>
  <c r="A152" i="809"/>
  <c r="A146" i="809"/>
  <c r="A121" i="809"/>
  <c r="A113" i="809"/>
  <c r="A102" i="809"/>
  <c r="A91" i="809"/>
  <c r="A79" i="809"/>
  <c r="A67" i="809"/>
  <c r="A56" i="809"/>
  <c r="A47" i="809"/>
  <c r="A44" i="809"/>
  <c r="A21" i="809"/>
  <c r="A13" i="809"/>
  <c r="A5" i="809"/>
  <c r="A178" i="811"/>
  <c r="A167" i="811"/>
  <c r="A159" i="811"/>
  <c r="A151" i="811"/>
  <c r="A143" i="811"/>
  <c r="A140" i="811"/>
  <c r="A124" i="811"/>
  <c r="A116" i="811"/>
  <c r="A108" i="811"/>
  <c r="A97" i="811"/>
  <c r="A91" i="811"/>
  <c r="A83" i="811"/>
  <c r="A76" i="811"/>
  <c r="A72" i="811"/>
  <c r="A68" i="811"/>
  <c r="A61" i="811"/>
  <c r="A55" i="811"/>
  <c r="A47" i="811"/>
  <c r="A40" i="811"/>
  <c r="A38" i="811"/>
  <c r="A36" i="811"/>
  <c r="A31" i="811"/>
  <c r="A27" i="811"/>
  <c r="A23" i="811"/>
  <c r="A19" i="811"/>
  <c r="A15" i="811"/>
  <c r="A11" i="811"/>
  <c r="A7" i="811"/>
  <c r="A3" i="811"/>
  <c r="BI136" i="630"/>
  <c r="T130" i="630"/>
  <c r="BH203" i="630"/>
  <c r="BH195" i="630"/>
  <c r="BH255" i="630"/>
  <c r="BE17" i="785"/>
  <c r="BH187" i="630"/>
  <c r="BH145" i="630"/>
  <c r="S89" i="785"/>
  <c r="G271" i="630"/>
  <c r="BH242" i="630"/>
  <c r="BH169" i="630"/>
  <c r="BH244" i="630"/>
  <c r="BH211" i="630"/>
  <c r="H119" i="630" l="1"/>
  <c r="H40" i="785"/>
  <c r="H39" i="785"/>
  <c r="M156" i="630"/>
  <c r="N156" i="630"/>
  <c r="H156" i="630"/>
  <c r="L156" i="630"/>
  <c r="I156" i="630"/>
  <c r="N66" i="630"/>
  <c r="L28" i="785"/>
  <c r="H69" i="630"/>
  <c r="M63" i="630"/>
  <c r="M81" i="630"/>
  <c r="K28" i="785"/>
  <c r="I28" i="785"/>
  <c r="J28" i="785"/>
  <c r="H84" i="630"/>
  <c r="H79" i="630"/>
  <c r="H88" i="630"/>
  <c r="H72" i="630"/>
  <c r="H71" i="630"/>
  <c r="H82" i="630"/>
  <c r="H68" i="630"/>
  <c r="H74" i="630"/>
  <c r="H73" i="630"/>
  <c r="H85" i="630"/>
  <c r="H77" i="630"/>
  <c r="H66" i="630"/>
  <c r="H67" i="630"/>
  <c r="H80" i="630"/>
  <c r="H83" i="630"/>
  <c r="H86" i="630"/>
  <c r="H89" i="630"/>
  <c r="H76" i="630"/>
  <c r="H75" i="630"/>
  <c r="H78" i="630"/>
  <c r="H64" i="630"/>
  <c r="H63" i="630"/>
  <c r="H70" i="630"/>
  <c r="H65" i="630"/>
  <c r="H81" i="630"/>
  <c r="H87" i="630"/>
  <c r="H62" i="630"/>
  <c r="H61" i="630"/>
  <c r="N88" i="630"/>
  <c r="N65" i="630"/>
  <c r="N75" i="630"/>
  <c r="N85" i="630"/>
  <c r="N71" i="630"/>
  <c r="N67" i="630"/>
  <c r="N77" i="630"/>
  <c r="N68" i="630"/>
  <c r="N61" i="630"/>
  <c r="N76" i="630"/>
  <c r="N78" i="630"/>
  <c r="N72" i="630"/>
  <c r="N84" i="630"/>
  <c r="N69" i="630"/>
  <c r="N79" i="630"/>
  <c r="N86" i="630"/>
  <c r="N80" i="630"/>
  <c r="N89" i="630"/>
  <c r="N70" i="630"/>
  <c r="N64" i="630"/>
  <c r="N82" i="630"/>
  <c r="N81" i="630"/>
  <c r="N62" i="630"/>
  <c r="N87" i="630"/>
  <c r="N74" i="630"/>
  <c r="N73" i="630"/>
  <c r="N83" i="630"/>
  <c r="N63" i="630"/>
  <c r="M89" i="630"/>
  <c r="M68" i="630"/>
  <c r="M80" i="630"/>
  <c r="M84" i="630"/>
  <c r="M75" i="630"/>
  <c r="M74" i="630"/>
  <c r="M70" i="630"/>
  <c r="M71" i="630"/>
  <c r="M87" i="630"/>
  <c r="M66" i="630"/>
  <c r="M64" i="630"/>
  <c r="M61" i="630"/>
  <c r="M79" i="630"/>
  <c r="M88" i="630"/>
  <c r="M82" i="630"/>
  <c r="M83" i="630"/>
  <c r="M73" i="630"/>
  <c r="M86" i="630"/>
  <c r="M76" i="630"/>
  <c r="M77" i="630"/>
  <c r="M67" i="630"/>
  <c r="M78" i="630"/>
  <c r="M62" i="630"/>
  <c r="M69" i="630"/>
  <c r="M65" i="630"/>
  <c r="M72" i="630"/>
  <c r="M85" i="630"/>
  <c r="I63" i="630"/>
  <c r="L73" i="630"/>
  <c r="L62" i="630"/>
  <c r="L82" i="630"/>
  <c r="F82" i="630" s="1"/>
  <c r="P82" i="630" s="1"/>
  <c r="L70" i="630"/>
  <c r="L77" i="630"/>
  <c r="F77" i="630" s="1"/>
  <c r="P77" i="630" s="1"/>
  <c r="L67" i="630"/>
  <c r="L64" i="630"/>
  <c r="L79" i="630"/>
  <c r="F79" i="630" s="1"/>
  <c r="P79" i="630" s="1"/>
  <c r="U79" i="630" s="1"/>
  <c r="I71" i="630"/>
  <c r="L86" i="630"/>
  <c r="F86" i="630" s="1"/>
  <c r="P86" i="630" s="1"/>
  <c r="I77" i="630"/>
  <c r="L81" i="630"/>
  <c r="F81" i="630" s="1"/>
  <c r="P81" i="630" s="1"/>
  <c r="L68" i="630"/>
  <c r="I73" i="630"/>
  <c r="L83" i="630"/>
  <c r="F83" i="630" s="1"/>
  <c r="P83" i="630" s="1"/>
  <c r="L72" i="630"/>
  <c r="I81" i="630"/>
  <c r="I85" i="630"/>
  <c r="L85" i="630"/>
  <c r="F85" i="630" s="1"/>
  <c r="P85" i="630" s="1"/>
  <c r="I76" i="630"/>
  <c r="L74" i="630"/>
  <c r="F74" i="630" s="1"/>
  <c r="P74" i="630" s="1"/>
  <c r="L87" i="630"/>
  <c r="F87" i="630" s="1"/>
  <c r="P87" i="630" s="1"/>
  <c r="I82" i="630"/>
  <c r="I89" i="630"/>
  <c r="I79" i="630"/>
  <c r="L89" i="630"/>
  <c r="F89" i="630" s="1"/>
  <c r="P89" i="630" s="1"/>
  <c r="I80" i="630"/>
  <c r="L76" i="630"/>
  <c r="F76" i="630" s="1"/>
  <c r="P76" i="630" s="1"/>
  <c r="L75" i="630"/>
  <c r="F75" i="630" s="1"/>
  <c r="P75" i="630" s="1"/>
  <c r="U75" i="630" s="1"/>
  <c r="I78" i="630"/>
  <c r="L61" i="630"/>
  <c r="I75" i="630"/>
  <c r="I66" i="630"/>
  <c r="L65" i="630"/>
  <c r="I84" i="630"/>
  <c r="I62" i="630"/>
  <c r="I86" i="630"/>
  <c r="I70" i="630"/>
  <c r="L88" i="630"/>
  <c r="F88" i="630" s="1"/>
  <c r="P88" i="630" s="1"/>
  <c r="I67" i="630"/>
  <c r="L80" i="630"/>
  <c r="F80" i="630" s="1"/>
  <c r="P80" i="630" s="1"/>
  <c r="I88" i="630"/>
  <c r="L63" i="630"/>
  <c r="L84" i="630"/>
  <c r="F84" i="630" s="1"/>
  <c r="P84" i="630" s="1"/>
  <c r="L71" i="630"/>
  <c r="I87" i="630"/>
  <c r="I68" i="630"/>
  <c r="I65" i="630"/>
  <c r="I64" i="630"/>
  <c r="I72" i="630"/>
  <c r="I61" i="630"/>
  <c r="L78" i="630"/>
  <c r="F78" i="630" s="1"/>
  <c r="P78" i="630" s="1"/>
  <c r="I69" i="630"/>
  <c r="L69" i="630"/>
  <c r="L66" i="630"/>
  <c r="I74" i="630"/>
  <c r="I83" i="630"/>
  <c r="Q245" i="785"/>
  <c r="Q277" i="785" s="1"/>
  <c r="Q279" i="785" s="1"/>
  <c r="O23" i="800"/>
  <c r="O24" i="800"/>
  <c r="N315" i="630"/>
  <c r="F278" i="785"/>
  <c r="I237" i="785"/>
  <c r="M237" i="785" s="1"/>
  <c r="N237" i="785" s="1"/>
  <c r="J237" i="785"/>
  <c r="S275" i="785"/>
  <c r="BC332" i="785"/>
  <c r="BF264" i="630" s="1"/>
  <c r="BC333" i="785"/>
  <c r="BJ37" i="785"/>
  <c r="BI25" i="785"/>
  <c r="J244" i="785"/>
  <c r="I241" i="785"/>
  <c r="M241" i="785" s="1"/>
  <c r="N241" i="785" s="1"/>
  <c r="S241" i="785" s="1"/>
  <c r="J241" i="785"/>
  <c r="I242" i="785"/>
  <c r="J242" i="785"/>
  <c r="I243" i="785"/>
  <c r="M243" i="785" s="1"/>
  <c r="N243" i="785" s="1"/>
  <c r="S243" i="785" s="1"/>
  <c r="J243" i="785"/>
  <c r="I244" i="785"/>
  <c r="I253" i="785"/>
  <c r="J253" i="785"/>
  <c r="F253" i="785" s="1"/>
  <c r="I238" i="785"/>
  <c r="J238" i="785"/>
  <c r="F253" i="630"/>
  <c r="J94" i="785"/>
  <c r="F94" i="785" s="1"/>
  <c r="J92" i="785"/>
  <c r="I92" i="785"/>
  <c r="J93" i="785"/>
  <c r="I106" i="785"/>
  <c r="J106" i="785"/>
  <c r="I239" i="785"/>
  <c r="J239" i="785"/>
  <c r="L106" i="785"/>
  <c r="L240" i="785"/>
  <c r="H240" i="785"/>
  <c r="I240" i="785"/>
  <c r="J240" i="785"/>
  <c r="E274" i="630"/>
  <c r="BI263" i="630"/>
  <c r="S144" i="630"/>
  <c r="S263" i="630" s="1"/>
  <c r="H96" i="785"/>
  <c r="J96" i="785"/>
  <c r="I96" i="785"/>
  <c r="K96" i="785"/>
  <c r="L96" i="785"/>
  <c r="M175" i="630"/>
  <c r="N175" i="630"/>
  <c r="I175" i="630"/>
  <c r="L175" i="630"/>
  <c r="H34" i="785"/>
  <c r="L226" i="785"/>
  <c r="K226" i="785"/>
  <c r="H226" i="785"/>
  <c r="I226" i="785"/>
  <c r="J226" i="785"/>
  <c r="L322" i="785"/>
  <c r="K322" i="785"/>
  <c r="J322" i="785"/>
  <c r="I322" i="785"/>
  <c r="K49" i="812"/>
  <c r="I49" i="812"/>
  <c r="J49" i="812"/>
  <c r="L49" i="812"/>
  <c r="F262" i="630"/>
  <c r="F261" i="630"/>
  <c r="F263" i="630"/>
  <c r="H41" i="785"/>
  <c r="K321" i="785"/>
  <c r="L268" i="785"/>
  <c r="L321" i="785"/>
  <c r="L326" i="785"/>
  <c r="L324" i="785"/>
  <c r="L325" i="785"/>
  <c r="L323" i="785"/>
  <c r="L327" i="785"/>
  <c r="I267" i="785"/>
  <c r="J268" i="785"/>
  <c r="J267" i="785"/>
  <c r="F267" i="785" s="1"/>
  <c r="M267" i="785" s="1"/>
  <c r="S267" i="785" s="1"/>
  <c r="I268" i="785"/>
  <c r="K325" i="785"/>
  <c r="K323" i="785"/>
  <c r="K324" i="785"/>
  <c r="K320" i="785"/>
  <c r="K319" i="785"/>
  <c r="K326" i="785"/>
  <c r="K327" i="785"/>
  <c r="K268" i="785"/>
  <c r="K269" i="785"/>
  <c r="H269" i="785"/>
  <c r="H268" i="785"/>
  <c r="L269" i="785"/>
  <c r="I269" i="785"/>
  <c r="J269" i="785"/>
  <c r="R153" i="785"/>
  <c r="S16" i="630"/>
  <c r="Q16" i="785"/>
  <c r="AB315" i="630"/>
  <c r="AC315" i="630"/>
  <c r="T105" i="630"/>
  <c r="J115" i="785"/>
  <c r="F115" i="785" s="1"/>
  <c r="H13" i="630"/>
  <c r="M13" i="630"/>
  <c r="N13" i="630"/>
  <c r="X274" i="630"/>
  <c r="L13" i="630"/>
  <c r="I13" i="630"/>
  <c r="K215" i="785"/>
  <c r="L245" i="785"/>
  <c r="L248" i="785"/>
  <c r="L246" i="785"/>
  <c r="L247" i="785"/>
  <c r="H21" i="785"/>
  <c r="H23" i="785"/>
  <c r="H22" i="785"/>
  <c r="H17" i="785"/>
  <c r="H18" i="785"/>
  <c r="H19" i="785"/>
  <c r="H20" i="785"/>
  <c r="K248" i="785"/>
  <c r="H248" i="785"/>
  <c r="J248" i="785"/>
  <c r="I248" i="785"/>
  <c r="J315" i="785"/>
  <c r="I249" i="785"/>
  <c r="I250" i="785"/>
  <c r="I251" i="785"/>
  <c r="I252" i="785"/>
  <c r="I254" i="785"/>
  <c r="J321" i="785"/>
  <c r="I321" i="785"/>
  <c r="K50" i="812"/>
  <c r="K48" i="812"/>
  <c r="L50" i="812"/>
  <c r="J50" i="812"/>
  <c r="I48" i="812"/>
  <c r="I50" i="812"/>
  <c r="J48" i="812"/>
  <c r="N306" i="630"/>
  <c r="L48" i="812"/>
  <c r="J70" i="785"/>
  <c r="L213" i="785"/>
  <c r="BK19" i="630"/>
  <c r="Q320" i="785"/>
  <c r="Q332" i="785" s="1"/>
  <c r="J213" i="785"/>
  <c r="Q301" i="785"/>
  <c r="O303" i="785"/>
  <c r="G272" i="630"/>
  <c r="G157" i="785"/>
  <c r="G274" i="630" s="1"/>
  <c r="R335" i="785"/>
  <c r="R195" i="785"/>
  <c r="S195" i="785" s="1"/>
  <c r="T264" i="630"/>
  <c r="R332" i="785"/>
  <c r="BK20" i="630"/>
  <c r="Q265" i="630"/>
  <c r="T265" i="630" s="1"/>
  <c r="P298" i="630"/>
  <c r="P315" i="630"/>
  <c r="T262" i="630"/>
  <c r="O315" i="630"/>
  <c r="Q315" i="630"/>
  <c r="I215" i="785"/>
  <c r="J215" i="785"/>
  <c r="O279" i="785"/>
  <c r="S155" i="785"/>
  <c r="BI22" i="785"/>
  <c r="BI34" i="785" s="1"/>
  <c r="H182" i="785"/>
  <c r="BI20" i="785"/>
  <c r="BI33" i="785" s="1"/>
  <c r="U315" i="630"/>
  <c r="BI147" i="630"/>
  <c r="F301" i="785"/>
  <c r="D302" i="630" s="1"/>
  <c r="F194" i="785"/>
  <c r="D298" i="630" s="1"/>
  <c r="F59" i="812"/>
  <c r="F63" i="812" s="1"/>
  <c r="F103" i="630"/>
  <c r="F152" i="785"/>
  <c r="B296" i="630" s="1"/>
  <c r="F105" i="630"/>
  <c r="F306" i="630" s="1"/>
  <c r="F104" i="630"/>
  <c r="F195" i="785"/>
  <c r="N193" i="630"/>
  <c r="L229" i="785"/>
  <c r="N10" i="630"/>
  <c r="N143" i="630"/>
  <c r="L315" i="785"/>
  <c r="N20" i="630"/>
  <c r="N179" i="630"/>
  <c r="L85" i="785"/>
  <c r="N127" i="630"/>
  <c r="N140" i="630"/>
  <c r="N32" i="630"/>
  <c r="L182" i="785"/>
  <c r="N214" i="630"/>
  <c r="N189" i="630"/>
  <c r="L23" i="812"/>
  <c r="L84" i="785"/>
  <c r="L15" i="812"/>
  <c r="L188" i="785"/>
  <c r="N226" i="630"/>
  <c r="L87" i="785"/>
  <c r="N27" i="630"/>
  <c r="L57" i="785"/>
  <c r="L79" i="785"/>
  <c r="N24" i="630"/>
  <c r="L294" i="785"/>
  <c r="N174" i="630"/>
  <c r="L264" i="785"/>
  <c r="L86" i="785"/>
  <c r="N34" i="630"/>
  <c r="L178" i="785"/>
  <c r="N128" i="630"/>
  <c r="N142" i="630"/>
  <c r="L174" i="785"/>
  <c r="L171" i="785"/>
  <c r="N217" i="630"/>
  <c r="N225" i="630"/>
  <c r="L118" i="785"/>
  <c r="N197" i="630"/>
  <c r="L26" i="812"/>
  <c r="N59" i="630"/>
  <c r="N153" i="630"/>
  <c r="N94" i="630"/>
  <c r="L317" i="785"/>
  <c r="L184" i="785"/>
  <c r="L208" i="785"/>
  <c r="N17" i="630"/>
  <c r="L54" i="785"/>
  <c r="N173" i="630"/>
  <c r="L71" i="785"/>
  <c r="N56" i="630"/>
  <c r="L181" i="785"/>
  <c r="N195" i="630"/>
  <c r="N47" i="630"/>
  <c r="L259" i="785"/>
  <c r="L210" i="785"/>
  <c r="L13" i="785"/>
  <c r="N209" i="630"/>
  <c r="N196" i="630"/>
  <c r="N131" i="630"/>
  <c r="N102" i="630"/>
  <c r="L146" i="785"/>
  <c r="L127" i="785"/>
  <c r="L43" i="812"/>
  <c r="L220" i="785"/>
  <c r="L166" i="785"/>
  <c r="L254" i="785"/>
  <c r="L12" i="812"/>
  <c r="L64" i="785"/>
  <c r="N227" i="630"/>
  <c r="L116" i="785"/>
  <c r="N219" i="630"/>
  <c r="L26" i="785"/>
  <c r="N101" i="630"/>
  <c r="L66" i="785"/>
  <c r="N212" i="630"/>
  <c r="L316" i="785"/>
  <c r="N192" i="630"/>
  <c r="L137" i="785"/>
  <c r="N126" i="630"/>
  <c r="N21" i="630"/>
  <c r="L58" i="785"/>
  <c r="N141" i="630"/>
  <c r="L13" i="812"/>
  <c r="N165" i="630"/>
  <c r="L296" i="785"/>
  <c r="N164" i="630"/>
  <c r="L223" i="785"/>
  <c r="L125" i="785"/>
  <c r="L228" i="785"/>
  <c r="N36" i="630"/>
  <c r="N44" i="630"/>
  <c r="N235" i="630"/>
  <c r="N58" i="630"/>
  <c r="N191" i="630"/>
  <c r="N151" i="630"/>
  <c r="L141" i="785"/>
  <c r="L78" i="785"/>
  <c r="L274" i="785"/>
  <c r="N188" i="630"/>
  <c r="L329" i="785"/>
  <c r="L44" i="785"/>
  <c r="N194" i="630"/>
  <c r="N169" i="630"/>
  <c r="L218" i="785"/>
  <c r="N55" i="630"/>
  <c r="N122" i="630"/>
  <c r="L318" i="785"/>
  <c r="L14" i="812"/>
  <c r="N49" i="630"/>
  <c r="N231" i="630"/>
  <c r="L104" i="785"/>
  <c r="L60" i="785"/>
  <c r="N12" i="630"/>
  <c r="L206" i="785"/>
  <c r="L187" i="785"/>
  <c r="L27" i="785"/>
  <c r="L43" i="785"/>
  <c r="L217" i="785"/>
  <c r="L14" i="785"/>
  <c r="L53" i="812"/>
  <c r="N168" i="630"/>
  <c r="L117" i="785"/>
  <c r="L140" i="785"/>
  <c r="L112" i="785"/>
  <c r="N213" i="630"/>
  <c r="L252" i="785"/>
  <c r="N97" i="630"/>
  <c r="N253" i="630"/>
  <c r="L57" i="812"/>
  <c r="L109" i="785"/>
  <c r="L105" i="785"/>
  <c r="L35" i="785"/>
  <c r="N183" i="630"/>
  <c r="L132" i="785"/>
  <c r="L290" i="785"/>
  <c r="N199" i="630"/>
  <c r="L18" i="812"/>
  <c r="L214" i="785"/>
  <c r="N148" i="630"/>
  <c r="N149" i="630"/>
  <c r="L267" i="785"/>
  <c r="L46" i="812"/>
  <c r="L170" i="785"/>
  <c r="N230" i="630"/>
  <c r="N134" i="630"/>
  <c r="L144" i="785"/>
  <c r="L260" i="785"/>
  <c r="L80" i="785"/>
  <c r="L65" i="785"/>
  <c r="L119" i="785"/>
  <c r="L183" i="785"/>
  <c r="L93" i="785"/>
  <c r="N137" i="630"/>
  <c r="N177" i="630"/>
  <c r="L89" i="785"/>
  <c r="N51" i="630"/>
  <c r="L143" i="785"/>
  <c r="L189" i="785"/>
  <c r="L179" i="785"/>
  <c r="L257" i="785"/>
  <c r="L293" i="785"/>
  <c r="N255" i="630"/>
  <c r="N147" i="630"/>
  <c r="L111" i="785"/>
  <c r="L211" i="785"/>
  <c r="L167" i="785"/>
  <c r="N42" i="630"/>
  <c r="L59" i="785"/>
  <c r="L113" i="785"/>
  <c r="N241" i="630"/>
  <c r="L54" i="812"/>
  <c r="L25" i="812"/>
  <c r="L29" i="785"/>
  <c r="N123" i="630"/>
  <c r="N163" i="630"/>
  <c r="N256" i="630"/>
  <c r="L134" i="785"/>
  <c r="L172" i="785"/>
  <c r="N216" i="630"/>
  <c r="N154" i="630"/>
  <c r="L186" i="785"/>
  <c r="N16" i="630"/>
  <c r="L261" i="785"/>
  <c r="N92" i="630"/>
  <c r="N176" i="630"/>
  <c r="L16" i="785"/>
  <c r="L38" i="785"/>
  <c r="L180" i="785"/>
  <c r="L67" i="785"/>
  <c r="L88" i="785"/>
  <c r="L298" i="785"/>
  <c r="N37" i="630"/>
  <c r="L126" i="785"/>
  <c r="L36" i="785"/>
  <c r="L151" i="785" s="1"/>
  <c r="N236" i="630"/>
  <c r="N167" i="630"/>
  <c r="L107" i="785"/>
  <c r="N96" i="630"/>
  <c r="N48" i="630"/>
  <c r="N207" i="630"/>
  <c r="L39" i="785"/>
  <c r="L136" i="785"/>
  <c r="N220" i="630"/>
  <c r="N260" i="630"/>
  <c r="N202" i="630"/>
  <c r="L221" i="785"/>
  <c r="L20" i="785"/>
  <c r="N98" i="630"/>
  <c r="N14" i="630"/>
  <c r="N223" i="630"/>
  <c r="L68" i="785"/>
  <c r="L63" i="785"/>
  <c r="L295" i="785"/>
  <c r="L42" i="785"/>
  <c r="L266" i="785"/>
  <c r="L173" i="785"/>
  <c r="N234" i="630"/>
  <c r="L25" i="785"/>
  <c r="L148" i="785"/>
  <c r="N93" i="630"/>
  <c r="N31" i="630"/>
  <c r="N160" i="630"/>
  <c r="L250" i="785"/>
  <c r="N201" i="630"/>
  <c r="L133" i="785"/>
  <c r="N244" i="630"/>
  <c r="N40" i="630"/>
  <c r="L216" i="785"/>
  <c r="L37" i="785"/>
  <c r="N155" i="630"/>
  <c r="N184" i="630"/>
  <c r="N203" i="630"/>
  <c r="N35" i="630"/>
  <c r="N119" i="630"/>
  <c r="L234" i="785"/>
  <c r="N43" i="630"/>
  <c r="L83" i="785"/>
  <c r="L272" i="785"/>
  <c r="L47" i="812"/>
  <c r="L47" i="785"/>
  <c r="N171" i="630"/>
  <c r="N30" i="630"/>
  <c r="N157" i="630"/>
  <c r="L19" i="785"/>
  <c r="L121" i="785"/>
  <c r="N186" i="630"/>
  <c r="L270" i="785"/>
  <c r="L55" i="812"/>
  <c r="L17" i="785"/>
  <c r="L149" i="785"/>
  <c r="N19" i="630"/>
  <c r="L244" i="785"/>
  <c r="L24" i="785"/>
  <c r="N208" i="630"/>
  <c r="N18" i="630"/>
  <c r="N138" i="630"/>
  <c r="N29" i="630"/>
  <c r="N240" i="630"/>
  <c r="N146" i="630"/>
  <c r="L291" i="785"/>
  <c r="N25" i="630"/>
  <c r="L190" i="785"/>
  <c r="L177" i="785"/>
  <c r="N224" i="630"/>
  <c r="N180" i="630"/>
  <c r="N15" i="630"/>
  <c r="L175" i="785"/>
  <c r="L44" i="812"/>
  <c r="L209" i="785"/>
  <c r="N238" i="630"/>
  <c r="L24" i="812"/>
  <c r="L263" i="785"/>
  <c r="L249" i="785"/>
  <c r="L233" i="785"/>
  <c r="L176" i="785"/>
  <c r="L256" i="785"/>
  <c r="N178" i="630"/>
  <c r="L22" i="785"/>
  <c r="N11" i="630"/>
  <c r="L45" i="785"/>
  <c r="L52" i="785"/>
  <c r="L262" i="785"/>
  <c r="L103" i="785"/>
  <c r="L102" i="785"/>
  <c r="L48" i="785"/>
  <c r="N222" i="630"/>
  <c r="N152" i="630"/>
  <c r="L72" i="785"/>
  <c r="L52" i="812"/>
  <c r="N129" i="630"/>
  <c r="N200" i="630"/>
  <c r="N120" i="630"/>
  <c r="L230" i="785"/>
  <c r="L21" i="812"/>
  <c r="L275" i="785"/>
  <c r="N250" i="630"/>
  <c r="L265" i="785"/>
  <c r="N145" i="630"/>
  <c r="L21" i="785"/>
  <c r="N45" i="630"/>
  <c r="L77" i="785"/>
  <c r="L273" i="785"/>
  <c r="N210" i="630"/>
  <c r="N159" i="630"/>
  <c r="N130" i="630"/>
  <c r="L18" i="785"/>
  <c r="N28" i="630"/>
  <c r="L82" i="785"/>
  <c r="L16" i="812"/>
  <c r="L236" i="785"/>
  <c r="L212" i="785"/>
  <c r="L41" i="812"/>
  <c r="L131" i="785"/>
  <c r="L328" i="785"/>
  <c r="L32" i="785"/>
  <c r="L145" i="785"/>
  <c r="L41" i="785"/>
  <c r="N172" i="630"/>
  <c r="N60" i="630"/>
  <c r="N170" i="630"/>
  <c r="L73" i="785"/>
  <c r="L192" i="785"/>
  <c r="L123" i="785"/>
  <c r="L235" i="785"/>
  <c r="L122" i="785"/>
  <c r="L51" i="785"/>
  <c r="N198" i="630"/>
  <c r="L75" i="785"/>
  <c r="L81" i="785"/>
  <c r="L100" i="785"/>
  <c r="N118" i="630"/>
  <c r="L320" i="785"/>
  <c r="N125" i="630"/>
  <c r="N158" i="630"/>
  <c r="L94" i="785"/>
  <c r="L69" i="785"/>
  <c r="N100" i="630"/>
  <c r="L51" i="812"/>
  <c r="N33" i="630"/>
  <c r="N237" i="630"/>
  <c r="N229" i="630"/>
  <c r="N242" i="630"/>
  <c r="N162" i="630"/>
  <c r="N182" i="630"/>
  <c r="L128" i="785"/>
  <c r="N26" i="630"/>
  <c r="N228" i="630"/>
  <c r="L19" i="812"/>
  <c r="L49" i="785"/>
  <c r="N121" i="630"/>
  <c r="N38" i="630"/>
  <c r="L30" i="785"/>
  <c r="N181" i="630"/>
  <c r="N133" i="630"/>
  <c r="N136" i="630"/>
  <c r="L225" i="785"/>
  <c r="L168" i="785"/>
  <c r="N257" i="630"/>
  <c r="L271" i="785"/>
  <c r="L108" i="785"/>
  <c r="N53" i="630"/>
  <c r="N41" i="630"/>
  <c r="N95" i="630"/>
  <c r="L17" i="812"/>
  <c r="N187" i="630"/>
  <c r="L191" i="785"/>
  <c r="N23" i="630"/>
  <c r="L15" i="785"/>
  <c r="N52" i="630"/>
  <c r="L95" i="785"/>
  <c r="L55" i="785"/>
  <c r="N218" i="630"/>
  <c r="L34" i="785"/>
  <c r="N46" i="630"/>
  <c r="N252" i="630"/>
  <c r="N57" i="630"/>
  <c r="N139" i="630"/>
  <c r="L22" i="812"/>
  <c r="L314" i="785"/>
  <c r="N91" i="630"/>
  <c r="L56" i="785"/>
  <c r="L255" i="785"/>
  <c r="L297" i="785"/>
  <c r="N90" i="630"/>
  <c r="N150" i="630"/>
  <c r="L129" i="785"/>
  <c r="L147" i="785"/>
  <c r="N190" i="630"/>
  <c r="L91" i="785"/>
  <c r="L299" i="785"/>
  <c r="L45" i="812"/>
  <c r="L330" i="785"/>
  <c r="L251" i="785"/>
  <c r="N50" i="630"/>
  <c r="N22" i="630"/>
  <c r="N185" i="630"/>
  <c r="N161" i="630"/>
  <c r="L319" i="785"/>
  <c r="N166" i="630"/>
  <c r="N54" i="630"/>
  <c r="L232" i="785"/>
  <c r="L90" i="785"/>
  <c r="N132" i="630"/>
  <c r="N144" i="630"/>
  <c r="L99" i="785"/>
  <c r="L74" i="785"/>
  <c r="N215" i="630"/>
  <c r="L169" i="785"/>
  <c r="N135" i="630"/>
  <c r="L258" i="785"/>
  <c r="N99" i="630"/>
  <c r="N251" i="630"/>
  <c r="L76" i="785"/>
  <c r="L33" i="785"/>
  <c r="L61" i="785"/>
  <c r="N124" i="630"/>
  <c r="L101" i="785"/>
  <c r="L97" i="785"/>
  <c r="L40" i="785"/>
  <c r="L185" i="785"/>
  <c r="Q25" i="785"/>
  <c r="BF263" i="630"/>
  <c r="Q171" i="785"/>
  <c r="Q194" i="785" s="1"/>
  <c r="AA315" i="630"/>
  <c r="T263" i="630"/>
  <c r="M165" i="630"/>
  <c r="K88" i="785"/>
  <c r="M11" i="630"/>
  <c r="M149" i="630"/>
  <c r="K186" i="785"/>
  <c r="K172" i="785"/>
  <c r="K27" i="785"/>
  <c r="K69" i="785"/>
  <c r="K36" i="785"/>
  <c r="K151" i="785" s="1"/>
  <c r="K223" i="785"/>
  <c r="K230" i="785"/>
  <c r="K263" i="785"/>
  <c r="K317" i="785"/>
  <c r="M10" i="630"/>
  <c r="M123" i="630"/>
  <c r="K265" i="785"/>
  <c r="M34" i="630"/>
  <c r="K294" i="785"/>
  <c r="K121" i="785"/>
  <c r="K44" i="785"/>
  <c r="K75" i="785"/>
  <c r="K13" i="785"/>
  <c r="K43" i="785"/>
  <c r="K108" i="785"/>
  <c r="M151" i="630"/>
  <c r="K55" i="785"/>
  <c r="K117" i="785"/>
  <c r="K167" i="785"/>
  <c r="K41" i="812"/>
  <c r="M55" i="630"/>
  <c r="M39" i="630"/>
  <c r="M124" i="630"/>
  <c r="K246" i="785"/>
  <c r="M144" i="630"/>
  <c r="K53" i="812"/>
  <c r="M91" i="630"/>
  <c r="K169" i="785"/>
  <c r="M248" i="630"/>
  <c r="K232" i="785"/>
  <c r="M31" i="630"/>
  <c r="K298" i="785"/>
  <c r="M174" i="630"/>
  <c r="M180" i="630"/>
  <c r="K33" i="785"/>
  <c r="M176" i="630"/>
  <c r="M187" i="630"/>
  <c r="K111" i="785"/>
  <c r="M255" i="630"/>
  <c r="M45" i="630"/>
  <c r="M231" i="630"/>
  <c r="K41" i="785"/>
  <c r="M35" i="630"/>
  <c r="M229" i="630"/>
  <c r="K45" i="785"/>
  <c r="M179" i="630"/>
  <c r="M43" i="630"/>
  <c r="M29" i="630"/>
  <c r="K262" i="785"/>
  <c r="M128" i="630"/>
  <c r="M100" i="630"/>
  <c r="M57" i="630"/>
  <c r="M166" i="630"/>
  <c r="K133" i="785"/>
  <c r="K145" i="785"/>
  <c r="M157" i="630"/>
  <c r="K330" i="785"/>
  <c r="K43" i="812"/>
  <c r="M138" i="630"/>
  <c r="M193" i="630"/>
  <c r="M235" i="630"/>
  <c r="M134" i="630"/>
  <c r="K119" i="785"/>
  <c r="K132" i="785"/>
  <c r="K251" i="785"/>
  <c r="M199" i="630"/>
  <c r="K138" i="785"/>
  <c r="M203" i="630"/>
  <c r="K79" i="785"/>
  <c r="M20" i="630"/>
  <c r="M102" i="630"/>
  <c r="K78" i="785"/>
  <c r="K44" i="812"/>
  <c r="M145" i="630"/>
  <c r="M251" i="630"/>
  <c r="M164" i="630"/>
  <c r="K87" i="785"/>
  <c r="M172" i="630"/>
  <c r="M168" i="630"/>
  <c r="K90" i="785"/>
  <c r="M24" i="630"/>
  <c r="M131" i="630"/>
  <c r="M93" i="630"/>
  <c r="K120" i="785"/>
  <c r="M98" i="630"/>
  <c r="M92" i="630"/>
  <c r="M240" i="630"/>
  <c r="K14" i="785"/>
  <c r="K125" i="785"/>
  <c r="K67" i="785"/>
  <c r="K32" i="785"/>
  <c r="K314" i="785"/>
  <c r="M14" i="630"/>
  <c r="K49" i="785"/>
  <c r="K218" i="785"/>
  <c r="K316" i="785"/>
  <c r="M95" i="630"/>
  <c r="K50" i="785"/>
  <c r="M256" i="630"/>
  <c r="K209" i="785"/>
  <c r="M217" i="630"/>
  <c r="K129" i="785"/>
  <c r="M142" i="630"/>
  <c r="M46" i="630"/>
  <c r="K220" i="785"/>
  <c r="M159" i="630"/>
  <c r="M25" i="630"/>
  <c r="M216" i="630"/>
  <c r="K211" i="785"/>
  <c r="M121" i="630"/>
  <c r="K328" i="785"/>
  <c r="M236" i="630"/>
  <c r="K30" i="785"/>
  <c r="K68" i="785"/>
  <c r="M52" i="630"/>
  <c r="K131" i="785"/>
  <c r="K101" i="785"/>
  <c r="K225" i="785"/>
  <c r="M227" i="630"/>
  <c r="M51" i="630"/>
  <c r="K144" i="785"/>
  <c r="K168" i="785"/>
  <c r="M250" i="630"/>
  <c r="M242" i="630"/>
  <c r="K22" i="785"/>
  <c r="K20" i="785"/>
  <c r="K109" i="785"/>
  <c r="K229" i="785"/>
  <c r="M118" i="630"/>
  <c r="K134" i="785"/>
  <c r="K105" i="785"/>
  <c r="K245" i="785"/>
  <c r="K40" i="785"/>
  <c r="K259" i="785"/>
  <c r="M194" i="630"/>
  <c r="K149" i="785"/>
  <c r="M40" i="630"/>
  <c r="M189" i="630"/>
  <c r="K181" i="785"/>
  <c r="K74" i="785"/>
  <c r="K128" i="785"/>
  <c r="M249" i="630"/>
  <c r="K180" i="785"/>
  <c r="K192" i="785"/>
  <c r="K93" i="785"/>
  <c r="K255" i="785"/>
  <c r="K64" i="785"/>
  <c r="K250" i="785"/>
  <c r="M201" i="630"/>
  <c r="K136" i="785"/>
  <c r="M37" i="630"/>
  <c r="M186" i="630"/>
  <c r="K54" i="812"/>
  <c r="M219" i="630"/>
  <c r="M209" i="630"/>
  <c r="K247" i="785"/>
  <c r="M48" i="630"/>
  <c r="K174" i="785"/>
  <c r="K82" i="785"/>
  <c r="M38" i="630"/>
  <c r="K113" i="785"/>
  <c r="M27" i="630"/>
  <c r="K84" i="785"/>
  <c r="K143" i="785"/>
  <c r="K25" i="785"/>
  <c r="K166" i="785"/>
  <c r="M96" i="630"/>
  <c r="K118" i="785"/>
  <c r="M260" i="630"/>
  <c r="M28" i="630"/>
  <c r="M170" i="630"/>
  <c r="K21" i="785"/>
  <c r="M160" i="630"/>
  <c r="K210" i="785"/>
  <c r="K57" i="812"/>
  <c r="K261" i="785"/>
  <c r="M60" i="630"/>
  <c r="M200" i="630"/>
  <c r="K76" i="785"/>
  <c r="M173" i="630"/>
  <c r="K297" i="785"/>
  <c r="M150" i="630"/>
  <c r="K14" i="812"/>
  <c r="M158" i="630"/>
  <c r="M119" i="630"/>
  <c r="M36" i="630"/>
  <c r="M177" i="630"/>
  <c r="M202" i="630"/>
  <c r="K257" i="785"/>
  <c r="K61" i="785"/>
  <c r="M50" i="630"/>
  <c r="K56" i="812"/>
  <c r="K97" i="785"/>
  <c r="M246" i="630"/>
  <c r="M147" i="630"/>
  <c r="K58" i="785"/>
  <c r="M182" i="630"/>
  <c r="M135" i="630"/>
  <c r="K126" i="785"/>
  <c r="K38" i="785"/>
  <c r="K191" i="785"/>
  <c r="K315" i="785"/>
  <c r="K123" i="785"/>
  <c r="M143" i="630"/>
  <c r="K52" i="812"/>
  <c r="M223" i="630"/>
  <c r="M169" i="630"/>
  <c r="M218" i="630"/>
  <c r="M33" i="630"/>
  <c r="M161" i="630"/>
  <c r="K318" i="785"/>
  <c r="M94" i="630"/>
  <c r="K60" i="785"/>
  <c r="M22" i="630"/>
  <c r="K23" i="785"/>
  <c r="M183" i="630"/>
  <c r="M140" i="630"/>
  <c r="M238" i="630"/>
  <c r="M197" i="630"/>
  <c r="K45" i="812"/>
  <c r="K258" i="785"/>
  <c r="K112" i="785"/>
  <c r="M252" i="630"/>
  <c r="K329" i="785"/>
  <c r="K25" i="812"/>
  <c r="M17" i="630"/>
  <c r="M97" i="630"/>
  <c r="K72" i="785"/>
  <c r="K42" i="785"/>
  <c r="K124" i="785"/>
  <c r="K81" i="785"/>
  <c r="K173" i="785"/>
  <c r="M18" i="630"/>
  <c r="M148" i="630"/>
  <c r="K185" i="785"/>
  <c r="K59" i="785"/>
  <c r="K189" i="785"/>
  <c r="K15" i="812"/>
  <c r="K37" i="785"/>
  <c r="M137" i="630"/>
  <c r="K24" i="812"/>
  <c r="K32" i="812" s="1"/>
  <c r="M16" i="630"/>
  <c r="K57" i="785"/>
  <c r="M54" i="630"/>
  <c r="M127" i="630"/>
  <c r="K256" i="785"/>
  <c r="M253" i="630"/>
  <c r="K290" i="785"/>
  <c r="M244" i="630"/>
  <c r="K83" i="785"/>
  <c r="K48" i="785"/>
  <c r="M191" i="630"/>
  <c r="M23" i="630"/>
  <c r="M99" i="630"/>
  <c r="K171" i="785"/>
  <c r="K15" i="785"/>
  <c r="M188" i="630"/>
  <c r="M139" i="630"/>
  <c r="K56" i="785"/>
  <c r="M126" i="630"/>
  <c r="M192" i="630"/>
  <c r="K291" i="785"/>
  <c r="M15" i="630"/>
  <c r="K104" i="785"/>
  <c r="M234" i="630"/>
  <c r="K217" i="785"/>
  <c r="K91" i="785"/>
  <c r="K184" i="785"/>
  <c r="M224" i="630"/>
  <c r="K127" i="785"/>
  <c r="K102" i="785"/>
  <c r="K18" i="785"/>
  <c r="M153" i="630"/>
  <c r="K16" i="812"/>
  <c r="K55" i="812"/>
  <c r="K85" i="785"/>
  <c r="K66" i="785"/>
  <c r="M184" i="630"/>
  <c r="K23" i="812"/>
  <c r="M90" i="630"/>
  <c r="M42" i="630"/>
  <c r="K19" i="785"/>
  <c r="M41" i="630"/>
  <c r="M162" i="630"/>
  <c r="M155" i="630"/>
  <c r="M12" i="630"/>
  <c r="K214" i="785"/>
  <c r="K254" i="785"/>
  <c r="K51" i="785"/>
  <c r="M49" i="630"/>
  <c r="M178" i="630"/>
  <c r="K249" i="785"/>
  <c r="K29" i="785"/>
  <c r="K141" i="785"/>
  <c r="K267" i="785"/>
  <c r="M181" i="630"/>
  <c r="M257" i="630"/>
  <c r="M241" i="630"/>
  <c r="K146" i="785"/>
  <c r="K26" i="812"/>
  <c r="K54" i="785"/>
  <c r="K224" i="785"/>
  <c r="M19" i="630"/>
  <c r="K216" i="785"/>
  <c r="M59" i="630"/>
  <c r="K188" i="785"/>
  <c r="M132" i="630"/>
  <c r="M32" i="630"/>
  <c r="K35" i="785"/>
  <c r="K51" i="812"/>
  <c r="K65" i="785"/>
  <c r="M101" i="630"/>
  <c r="K16" i="785"/>
  <c r="M152" i="630"/>
  <c r="K63" i="785"/>
  <c r="K264" i="785"/>
  <c r="K17" i="812"/>
  <c r="M129" i="630"/>
  <c r="K47" i="785"/>
  <c r="K179" i="785"/>
  <c r="M53" i="630"/>
  <c r="M122" i="630"/>
  <c r="K100" i="785"/>
  <c r="K103" i="785"/>
  <c r="M167" i="630"/>
  <c r="M47" i="630"/>
  <c r="K252" i="785"/>
  <c r="K24" i="785"/>
  <c r="K190" i="785"/>
  <c r="K183" i="785"/>
  <c r="K227" i="785"/>
  <c r="K274" i="785"/>
  <c r="K71" i="785"/>
  <c r="K271" i="785"/>
  <c r="M237" i="630"/>
  <c r="K296" i="785"/>
  <c r="M228" i="630"/>
  <c r="M222" i="630"/>
  <c r="K175" i="785"/>
  <c r="M136" i="630"/>
  <c r="K212" i="785"/>
  <c r="M44" i="630"/>
  <c r="M130" i="630"/>
  <c r="K34" i="785"/>
  <c r="M171" i="630"/>
  <c r="M21" i="630"/>
  <c r="M163" i="630"/>
  <c r="K234" i="785"/>
  <c r="K95" i="785"/>
  <c r="K148" i="785"/>
  <c r="K147" i="785"/>
  <c r="M146" i="630"/>
  <c r="K221" i="785"/>
  <c r="K80" i="785"/>
  <c r="K47" i="812"/>
  <c r="M207" i="630"/>
  <c r="M195" i="630"/>
  <c r="K295" i="785"/>
  <c r="K17" i="785"/>
  <c r="K107" i="785"/>
  <c r="M141" i="630"/>
  <c r="M226" i="630"/>
  <c r="K46" i="812"/>
  <c r="K86" i="785"/>
  <c r="K19" i="812"/>
  <c r="K178" i="785"/>
  <c r="K293" i="785"/>
  <c r="K244" i="785"/>
  <c r="M196" i="630"/>
  <c r="K73" i="785"/>
  <c r="M120" i="630"/>
  <c r="K187" i="785"/>
  <c r="K270" i="785"/>
  <c r="K170" i="785"/>
  <c r="K233" i="785"/>
  <c r="K299" i="785"/>
  <c r="K275" i="785"/>
  <c r="K278" i="785" s="1"/>
  <c r="K176" i="785"/>
  <c r="M58" i="630"/>
  <c r="K99" i="785"/>
  <c r="M225" i="630"/>
  <c r="K26" i="785"/>
  <c r="M190" i="630"/>
  <c r="M198" i="630"/>
  <c r="K94" i="785"/>
  <c r="M26" i="630"/>
  <c r="K273" i="785"/>
  <c r="K116" i="785"/>
  <c r="K182" i="785"/>
  <c r="K140" i="785"/>
  <c r="M133" i="630"/>
  <c r="M56" i="630"/>
  <c r="M30" i="630"/>
  <c r="M125" i="630"/>
  <c r="K122" i="785"/>
  <c r="M230" i="630"/>
  <c r="M210" i="630"/>
  <c r="K137" i="785"/>
  <c r="K228" i="785"/>
  <c r="K206" i="785"/>
  <c r="K260" i="785"/>
  <c r="K39" i="785"/>
  <c r="K89" i="785"/>
  <c r="H64" i="785"/>
  <c r="H141" i="630"/>
  <c r="H79" i="785"/>
  <c r="H58" i="630"/>
  <c r="H48" i="630"/>
  <c r="H16" i="785"/>
  <c r="H297" i="785"/>
  <c r="H217" i="785"/>
  <c r="H91" i="785"/>
  <c r="H138" i="630"/>
  <c r="H42" i="785"/>
  <c r="H175" i="785"/>
  <c r="H86" i="785"/>
  <c r="H200" i="630"/>
  <c r="H24" i="630"/>
  <c r="H99" i="785"/>
  <c r="H272" i="785"/>
  <c r="H111" i="785"/>
  <c r="H180" i="630"/>
  <c r="H271" i="785"/>
  <c r="H92" i="630"/>
  <c r="H107" i="785"/>
  <c r="H60" i="630"/>
  <c r="H55" i="630"/>
  <c r="H131" i="630"/>
  <c r="H18" i="812"/>
  <c r="H178" i="785"/>
  <c r="H22" i="630"/>
  <c r="H148" i="630"/>
  <c r="H157" i="630"/>
  <c r="H166" i="785"/>
  <c r="H255" i="630"/>
  <c r="H127" i="630"/>
  <c r="H221" i="785"/>
  <c r="H171" i="630"/>
  <c r="H161" i="630"/>
  <c r="H188" i="785"/>
  <c r="H81" i="785"/>
  <c r="H191" i="630"/>
  <c r="H77" i="785"/>
  <c r="H188" i="630"/>
  <c r="H35" i="630"/>
  <c r="H16" i="812"/>
  <c r="H249" i="785"/>
  <c r="H195" i="630"/>
  <c r="H273" i="785"/>
  <c r="H236" i="630"/>
  <c r="H214" i="630"/>
  <c r="H170" i="630"/>
  <c r="H19" i="812"/>
  <c r="H133" i="785"/>
  <c r="H122" i="630"/>
  <c r="H149" i="785"/>
  <c r="H235" i="785"/>
  <c r="H140" i="785"/>
  <c r="H244" i="630"/>
  <c r="H229" i="785"/>
  <c r="H164" i="630"/>
  <c r="H225" i="785"/>
  <c r="H80" i="785"/>
  <c r="H33" i="630"/>
  <c r="H25" i="785"/>
  <c r="H97" i="630"/>
  <c r="H117" i="785"/>
  <c r="H328" i="785"/>
  <c r="H113" i="785"/>
  <c r="H98" i="630"/>
  <c r="H105" i="785"/>
  <c r="H128" i="630"/>
  <c r="H218" i="630"/>
  <c r="H144" i="630"/>
  <c r="H242" i="630"/>
  <c r="H13" i="812"/>
  <c r="H138" i="785"/>
  <c r="H100" i="785"/>
  <c r="H167" i="785"/>
  <c r="H31" i="630"/>
  <c r="H170" i="785"/>
  <c r="H185" i="630"/>
  <c r="H46" i="630"/>
  <c r="H124" i="630"/>
  <c r="H52" i="630"/>
  <c r="H32" i="785"/>
  <c r="H90" i="630"/>
  <c r="H252" i="630"/>
  <c r="H183" i="630"/>
  <c r="H59" i="630"/>
  <c r="H63" i="785"/>
  <c r="H133" i="630"/>
  <c r="H88" i="785"/>
  <c r="H211" i="785"/>
  <c r="H153" i="630"/>
  <c r="H216" i="630"/>
  <c r="H50" i="630"/>
  <c r="H43" i="630"/>
  <c r="H294" i="785"/>
  <c r="H171" i="785"/>
  <c r="H22" i="812"/>
  <c r="H177" i="785"/>
  <c r="H20" i="630"/>
  <c r="H189" i="785"/>
  <c r="H11" i="630"/>
  <c r="H234" i="785"/>
  <c r="H194" i="630"/>
  <c r="H95" i="630"/>
  <c r="H255" i="785"/>
  <c r="H144" i="785"/>
  <c r="H207" i="630"/>
  <c r="H28" i="630"/>
  <c r="H12" i="630"/>
  <c r="H48" i="785"/>
  <c r="H17" i="630"/>
  <c r="H97" i="785"/>
  <c r="H129" i="785"/>
  <c r="H91" i="630"/>
  <c r="H29" i="785"/>
  <c r="H232" i="785"/>
  <c r="H30" i="630"/>
  <c r="H45" i="630"/>
  <c r="H90" i="785"/>
  <c r="H213" i="630"/>
  <c r="H319" i="785"/>
  <c r="H128" i="785"/>
  <c r="H36" i="630"/>
  <c r="H31" i="785"/>
  <c r="H18" i="630"/>
  <c r="H173" i="630"/>
  <c r="H94" i="785"/>
  <c r="H290" i="785"/>
  <c r="H155" i="630"/>
  <c r="H228" i="785"/>
  <c r="H298" i="785"/>
  <c r="H75" i="785"/>
  <c r="H260" i="785"/>
  <c r="H30" i="785"/>
  <c r="H73" i="785"/>
  <c r="H139" i="630"/>
  <c r="H121" i="785"/>
  <c r="H237" i="630"/>
  <c r="H44" i="785"/>
  <c r="H182" i="630"/>
  <c r="H85" i="785"/>
  <c r="H145" i="630"/>
  <c r="H145" i="785"/>
  <c r="H209" i="630"/>
  <c r="H19" i="630"/>
  <c r="H270" i="785"/>
  <c r="H261" i="785"/>
  <c r="H62" i="785"/>
  <c r="H176" i="785"/>
  <c r="H193" i="630"/>
  <c r="H15" i="785"/>
  <c r="H251" i="785"/>
  <c r="H191" i="785"/>
  <c r="H84" i="785"/>
  <c r="H129" i="630"/>
  <c r="H27" i="630"/>
  <c r="H74" i="785"/>
  <c r="H254" i="785"/>
  <c r="H94" i="630"/>
  <c r="H206" i="785"/>
  <c r="H326" i="785"/>
  <c r="H46" i="785"/>
  <c r="H233" i="630"/>
  <c r="H147" i="785"/>
  <c r="H187" i="630"/>
  <c r="H126" i="785"/>
  <c r="H134" i="630"/>
  <c r="H43" i="785"/>
  <c r="H134" i="785"/>
  <c r="H102" i="630"/>
  <c r="H104" i="785"/>
  <c r="H130" i="630"/>
  <c r="H167" i="630"/>
  <c r="H226" i="630"/>
  <c r="H67" i="785"/>
  <c r="H56" i="785"/>
  <c r="H251" i="630"/>
  <c r="H141" i="785"/>
  <c r="H136" i="630"/>
  <c r="H178" i="630"/>
  <c r="H198" i="630"/>
  <c r="H176" i="630"/>
  <c r="H257" i="785"/>
  <c r="H136" i="785"/>
  <c r="H137" i="630"/>
  <c r="H241" i="630"/>
  <c r="H147" i="630"/>
  <c r="H179" i="630"/>
  <c r="H99" i="630"/>
  <c r="H130" i="785"/>
  <c r="H66" i="785"/>
  <c r="H275" i="785"/>
  <c r="H149" i="630"/>
  <c r="H102" i="785"/>
  <c r="H169" i="630"/>
  <c r="H72" i="785"/>
  <c r="H132" i="785"/>
  <c r="H256" i="785"/>
  <c r="H71" i="785"/>
  <c r="H172" i="785"/>
  <c r="H123" i="785"/>
  <c r="H59" i="785"/>
  <c r="H148" i="785"/>
  <c r="H263" i="785"/>
  <c r="H40" i="630"/>
  <c r="H179" i="785"/>
  <c r="H132" i="630"/>
  <c r="H203" i="630"/>
  <c r="H60" i="785"/>
  <c r="H172" i="630"/>
  <c r="H57" i="785"/>
  <c r="H140" i="630"/>
  <c r="H190" i="785"/>
  <c r="H54" i="630"/>
  <c r="H41" i="630"/>
  <c r="H252" i="785"/>
  <c r="H325" i="785"/>
  <c r="H32" i="630"/>
  <c r="H10" i="630"/>
  <c r="H44" i="630"/>
  <c r="H93" i="630"/>
  <c r="H108" i="785"/>
  <c r="H234" i="630"/>
  <c r="H25" i="812"/>
  <c r="H42" i="630"/>
  <c r="H125" i="785"/>
  <c r="H210" i="785"/>
  <c r="H317" i="785"/>
  <c r="H110" i="785"/>
  <c r="H131" i="785"/>
  <c r="H87" i="785"/>
  <c r="H42" i="812"/>
  <c r="H59" i="812" s="1"/>
  <c r="H186" i="785"/>
  <c r="H33" i="785"/>
  <c r="H212" i="630"/>
  <c r="H177" i="630"/>
  <c r="H143" i="630"/>
  <c r="H61" i="785"/>
  <c r="H233" i="785"/>
  <c r="H146" i="630"/>
  <c r="H34" i="630"/>
  <c r="H58" i="785"/>
  <c r="H23" i="630"/>
  <c r="H16" i="630"/>
  <c r="H316" i="785"/>
  <c r="H96" i="630"/>
  <c r="H68" i="785"/>
  <c r="H135" i="630"/>
  <c r="H159" i="630"/>
  <c r="H49" i="785"/>
  <c r="H89" i="785"/>
  <c r="H184" i="630"/>
  <c r="H51" i="785"/>
  <c r="H314" i="785"/>
  <c r="H37" i="630"/>
  <c r="H190" i="630"/>
  <c r="H267" i="785"/>
  <c r="H103" i="785"/>
  <c r="H124" i="785"/>
  <c r="H23" i="812"/>
  <c r="H49" i="630"/>
  <c r="H259" i="785"/>
  <c r="H17" i="812"/>
  <c r="H150" i="630"/>
  <c r="H223" i="785"/>
  <c r="H181" i="630"/>
  <c r="H318" i="785"/>
  <c r="H315" i="785"/>
  <c r="H54" i="785"/>
  <c r="H55" i="785"/>
  <c r="H184" i="785"/>
  <c r="H253" i="630"/>
  <c r="H69" i="785"/>
  <c r="H265" i="785"/>
  <c r="H256" i="630"/>
  <c r="H151" i="630"/>
  <c r="H323" i="785"/>
  <c r="H116" i="785"/>
  <c r="H38" i="630"/>
  <c r="H109" i="785"/>
  <c r="H53" i="630"/>
  <c r="H166" i="630"/>
  <c r="H192" i="630"/>
  <c r="H223" i="630"/>
  <c r="H257" i="630"/>
  <c r="H174" i="785"/>
  <c r="H93" i="785"/>
  <c r="H180" i="785"/>
  <c r="H295" i="785"/>
  <c r="H192" i="785"/>
  <c r="H121" i="630"/>
  <c r="H152" i="630"/>
  <c r="H202" i="630"/>
  <c r="H327" i="785"/>
  <c r="H112" i="785"/>
  <c r="H329" i="785"/>
  <c r="H82" i="785"/>
  <c r="H51" i="630"/>
  <c r="H169" i="785"/>
  <c r="H216" i="785"/>
  <c r="H260" i="630"/>
  <c r="H262" i="785"/>
  <c r="H123" i="630"/>
  <c r="H183" i="785"/>
  <c r="H320" i="785"/>
  <c r="H293" i="785"/>
  <c r="H324" i="785"/>
  <c r="H65" i="785"/>
  <c r="H173" i="785"/>
  <c r="H185" i="785"/>
  <c r="H174" i="630"/>
  <c r="H186" i="630"/>
  <c r="H168" i="785"/>
  <c r="H217" i="630"/>
  <c r="H120" i="785"/>
  <c r="H14" i="785"/>
  <c r="H83" i="785"/>
  <c r="H24" i="785"/>
  <c r="H114" i="785"/>
  <c r="H296" i="785"/>
  <c r="H230" i="785"/>
  <c r="H118" i="785"/>
  <c r="H142" i="630"/>
  <c r="H119" i="785"/>
  <c r="H15" i="630"/>
  <c r="H160" i="630"/>
  <c r="H146" i="785"/>
  <c r="H56" i="630"/>
  <c r="H122" i="785"/>
  <c r="H45" i="785"/>
  <c r="H197" i="630"/>
  <c r="H215" i="630"/>
  <c r="H222" i="630"/>
  <c r="H26" i="630"/>
  <c r="H52" i="785"/>
  <c r="H236" i="785"/>
  <c r="H47" i="630"/>
  <c r="H47" i="785"/>
  <c r="H158" i="630"/>
  <c r="H199" i="630"/>
  <c r="H245" i="785"/>
  <c r="H78" i="785"/>
  <c r="H125" i="630"/>
  <c r="H25" i="630"/>
  <c r="H126" i="630"/>
  <c r="H39" i="630"/>
  <c r="H187" i="785"/>
  <c r="H15" i="812"/>
  <c r="H247" i="785"/>
  <c r="H168" i="630"/>
  <c r="H120" i="630"/>
  <c r="H330" i="785"/>
  <c r="H14" i="630"/>
  <c r="H95" i="785"/>
  <c r="H21" i="630"/>
  <c r="H26" i="785"/>
  <c r="H165" i="630"/>
  <c r="H291" i="785"/>
  <c r="H137" i="785"/>
  <c r="H101" i="785"/>
  <c r="H100" i="630"/>
  <c r="H266" i="785"/>
  <c r="H27" i="785"/>
  <c r="H143" i="785"/>
  <c r="H274" i="785"/>
  <c r="H24" i="812"/>
  <c r="H57" i="630"/>
  <c r="H240" i="630"/>
  <c r="H26" i="812"/>
  <c r="H181" i="785"/>
  <c r="H264" i="785"/>
  <c r="H299" i="785"/>
  <c r="H258" i="785"/>
  <c r="H127" i="785"/>
  <c r="H246" i="785"/>
  <c r="H162" i="630"/>
  <c r="H53" i="785"/>
  <c r="H250" i="630"/>
  <c r="H250" i="785"/>
  <c r="H196" i="630"/>
  <c r="H29" i="630"/>
  <c r="H76" i="785"/>
  <c r="I200" i="630"/>
  <c r="I141" i="630"/>
  <c r="I26" i="785"/>
  <c r="I48" i="785"/>
  <c r="J227" i="785"/>
  <c r="F227" i="785" s="1"/>
  <c r="I223" i="630"/>
  <c r="L180" i="630"/>
  <c r="I149" i="785"/>
  <c r="J86" i="785"/>
  <c r="I187" i="785"/>
  <c r="I132" i="785"/>
  <c r="J131" i="785"/>
  <c r="I23" i="630"/>
  <c r="I15" i="812"/>
  <c r="I82" i="785"/>
  <c r="J174" i="785"/>
  <c r="I49" i="785"/>
  <c r="F238" i="630"/>
  <c r="L200" i="630"/>
  <c r="I91" i="785"/>
  <c r="J90" i="785"/>
  <c r="I170" i="630"/>
  <c r="J262" i="785"/>
  <c r="F252" i="630"/>
  <c r="J167" i="785"/>
  <c r="L36" i="630"/>
  <c r="J181" i="785"/>
  <c r="I290" i="785"/>
  <c r="L96" i="630"/>
  <c r="F96" i="630" s="1"/>
  <c r="P96" i="630" s="1"/>
  <c r="L12" i="630"/>
  <c r="I317" i="785"/>
  <c r="L99" i="630"/>
  <c r="F99" i="630" s="1"/>
  <c r="P99" i="630" s="1"/>
  <c r="J274" i="785"/>
  <c r="I260" i="785"/>
  <c r="J142" i="785"/>
  <c r="F142" i="785" s="1"/>
  <c r="I155" i="630"/>
  <c r="L25" i="630"/>
  <c r="I51" i="785"/>
  <c r="L194" i="630"/>
  <c r="L238" i="630"/>
  <c r="I80" i="785"/>
  <c r="I105" i="785"/>
  <c r="I13" i="812"/>
  <c r="L140" i="630"/>
  <c r="F234" i="630"/>
  <c r="I174" i="785"/>
  <c r="J220" i="785"/>
  <c r="J261" i="785"/>
  <c r="F261" i="785" s="1"/>
  <c r="F245" i="630"/>
  <c r="L189" i="630"/>
  <c r="I233" i="785"/>
  <c r="F226" i="630"/>
  <c r="J25" i="785"/>
  <c r="F218" i="630"/>
  <c r="I196" i="630"/>
  <c r="J73" i="785"/>
  <c r="F73" i="785" s="1"/>
  <c r="J45" i="785"/>
  <c r="I99" i="785"/>
  <c r="I63" i="785"/>
  <c r="F211" i="630"/>
  <c r="J171" i="785"/>
  <c r="J65" i="785"/>
  <c r="I14" i="630"/>
  <c r="L152" i="630"/>
  <c r="L162" i="630"/>
  <c r="L188" i="630"/>
  <c r="L167" i="630"/>
  <c r="I36" i="630"/>
  <c r="J260" i="785"/>
  <c r="L206" i="630"/>
  <c r="J43" i="812"/>
  <c r="J14" i="785"/>
  <c r="I123" i="785"/>
  <c r="I18" i="785"/>
  <c r="I183" i="630"/>
  <c r="I113" i="785"/>
  <c r="I45" i="785"/>
  <c r="F217" i="630"/>
  <c r="I172" i="785"/>
  <c r="I29" i="630"/>
  <c r="F231" i="630"/>
  <c r="J55" i="785"/>
  <c r="J145" i="785"/>
  <c r="J270" i="785"/>
  <c r="F270" i="785" s="1"/>
  <c r="M270" i="785" s="1"/>
  <c r="S270" i="785" s="1"/>
  <c r="I245" i="785"/>
  <c r="J230" i="785"/>
  <c r="J14" i="812"/>
  <c r="J56" i="812"/>
  <c r="J64" i="785"/>
  <c r="F64" i="785" s="1"/>
  <c r="J191" i="785"/>
  <c r="I15" i="630"/>
  <c r="L181" i="630"/>
  <c r="I61" i="785"/>
  <c r="J255" i="785"/>
  <c r="I68" i="785"/>
  <c r="J257" i="785"/>
  <c r="L223" i="630"/>
  <c r="I184" i="630"/>
  <c r="L182" i="630"/>
  <c r="L221" i="630"/>
  <c r="I169" i="785"/>
  <c r="L60" i="630"/>
  <c r="I122" i="785"/>
  <c r="I120" i="630"/>
  <c r="I188" i="785"/>
  <c r="J222" i="785"/>
  <c r="F222" i="785" s="1"/>
  <c r="I25" i="785"/>
  <c r="J144" i="785"/>
  <c r="L53" i="630"/>
  <c r="I16" i="785"/>
  <c r="J84" i="785"/>
  <c r="F84" i="785" s="1"/>
  <c r="I192" i="785"/>
  <c r="I17" i="812"/>
  <c r="F229" i="630"/>
  <c r="I193" i="630"/>
  <c r="J15" i="812"/>
  <c r="J249" i="785"/>
  <c r="I18" i="812"/>
  <c r="I15" i="785"/>
  <c r="I190" i="630"/>
  <c r="I19" i="630"/>
  <c r="J299" i="785"/>
  <c r="L130" i="630"/>
  <c r="L121" i="630"/>
  <c r="I186" i="785"/>
  <c r="L196" i="630"/>
  <c r="I38" i="785"/>
  <c r="J46" i="812"/>
  <c r="I47" i="812"/>
  <c r="L155" i="630"/>
  <c r="I238" i="630"/>
  <c r="F251" i="630"/>
  <c r="I162" i="630"/>
  <c r="L154" i="630"/>
  <c r="I316" i="785"/>
  <c r="L173" i="630"/>
  <c r="I297" i="785"/>
  <c r="F198" i="630"/>
  <c r="I34" i="785"/>
  <c r="L250" i="630"/>
  <c r="L16" i="630"/>
  <c r="I30" i="630"/>
  <c r="I298" i="785"/>
  <c r="I253" i="630"/>
  <c r="L14" i="630"/>
  <c r="I56" i="812"/>
  <c r="L153" i="630"/>
  <c r="I314" i="785"/>
  <c r="L21" i="630"/>
  <c r="I222" i="630"/>
  <c r="I45" i="812"/>
  <c r="L44" i="630"/>
  <c r="I230" i="785"/>
  <c r="I24" i="812"/>
  <c r="L226" i="630"/>
  <c r="F208" i="630"/>
  <c r="J12" i="812"/>
  <c r="I133" i="785"/>
  <c r="I78" i="785"/>
  <c r="I218" i="630"/>
  <c r="I29" i="785"/>
  <c r="I95" i="785"/>
  <c r="J22" i="785"/>
  <c r="L58" i="630"/>
  <c r="J170" i="785"/>
  <c r="I38" i="630"/>
  <c r="J258" i="785"/>
  <c r="I126" i="630"/>
  <c r="L148" i="630"/>
  <c r="L222" i="630"/>
  <c r="I60" i="630"/>
  <c r="I41" i="812"/>
  <c r="I182" i="785"/>
  <c r="F220" i="630"/>
  <c r="J141" i="785"/>
  <c r="F141" i="785" s="1"/>
  <c r="J176" i="785"/>
  <c r="I145" i="630"/>
  <c r="J326" i="785"/>
  <c r="J180" i="785"/>
  <c r="J188" i="785"/>
  <c r="J62" i="785"/>
  <c r="I179" i="785"/>
  <c r="J20" i="812"/>
  <c r="I271" i="785"/>
  <c r="I326" i="785"/>
  <c r="I159" i="630"/>
  <c r="J121" i="785"/>
  <c r="F201" i="630"/>
  <c r="I43" i="785"/>
  <c r="J116" i="785"/>
  <c r="L207" i="630"/>
  <c r="L28" i="630"/>
  <c r="J314" i="785"/>
  <c r="J124" i="785"/>
  <c r="F124" i="785" s="1"/>
  <c r="F235" i="630"/>
  <c r="I54" i="785"/>
  <c r="J87" i="785"/>
  <c r="J40" i="785"/>
  <c r="I95" i="630"/>
  <c r="L243" i="630"/>
  <c r="J236" i="785"/>
  <c r="I158" i="630"/>
  <c r="L55" i="630"/>
  <c r="I54" i="630"/>
  <c r="J211" i="785"/>
  <c r="I249" i="630"/>
  <c r="J245" i="785"/>
  <c r="J251" i="785"/>
  <c r="F251" i="785" s="1"/>
  <c r="I168" i="785"/>
  <c r="J75" i="785"/>
  <c r="I74" i="785"/>
  <c r="I315" i="785"/>
  <c r="I334" i="785" s="1"/>
  <c r="I72" i="785"/>
  <c r="I51" i="630"/>
  <c r="J297" i="785"/>
  <c r="I222" i="785"/>
  <c r="I275" i="785"/>
  <c r="I257" i="785"/>
  <c r="I160" i="630"/>
  <c r="I295" i="785"/>
  <c r="I232" i="785"/>
  <c r="J51" i="812"/>
  <c r="F197" i="630"/>
  <c r="L95" i="630"/>
  <c r="F95" i="630" s="1"/>
  <c r="P95" i="630" s="1"/>
  <c r="I24" i="785"/>
  <c r="I140" i="785"/>
  <c r="I239" i="630"/>
  <c r="L133" i="630"/>
  <c r="I42" i="812"/>
  <c r="I10" i="630"/>
  <c r="F212" i="630"/>
  <c r="I166" i="785"/>
  <c r="J184" i="785"/>
  <c r="J273" i="785"/>
  <c r="L98" i="630"/>
  <c r="F98" i="630" s="1"/>
  <c r="P98" i="630" s="1"/>
  <c r="I199" i="630"/>
  <c r="I219" i="785"/>
  <c r="I130" i="630"/>
  <c r="L37" i="630"/>
  <c r="I248" i="630"/>
  <c r="J166" i="785"/>
  <c r="J246" i="785"/>
  <c r="F246" i="785" s="1"/>
  <c r="J126" i="785"/>
  <c r="J52" i="812"/>
  <c r="I209" i="785"/>
  <c r="L139" i="630"/>
  <c r="I272" i="785"/>
  <c r="J127" i="785"/>
  <c r="F127" i="785" s="1"/>
  <c r="I139" i="630"/>
  <c r="J54" i="812"/>
  <c r="J294" i="785"/>
  <c r="I119" i="630"/>
  <c r="L239" i="630"/>
  <c r="I35" i="785"/>
  <c r="L135" i="630"/>
  <c r="L178" i="630"/>
  <c r="I86" i="785"/>
  <c r="I217" i="785"/>
  <c r="J231" i="785"/>
  <c r="F231" i="785" s="1"/>
  <c r="L213" i="630"/>
  <c r="I208" i="785"/>
  <c r="F240" i="630"/>
  <c r="I59" i="630"/>
  <c r="J32" i="785"/>
  <c r="J175" i="785"/>
  <c r="J327" i="785"/>
  <c r="I84" i="785"/>
  <c r="I197" i="630"/>
  <c r="I28" i="630"/>
  <c r="J254" i="785"/>
  <c r="J77" i="785"/>
  <c r="J51" i="785"/>
  <c r="J109" i="785"/>
  <c r="L237" i="630"/>
  <c r="J252" i="785"/>
  <c r="L46" i="630"/>
  <c r="L233" i="630"/>
  <c r="J192" i="785"/>
  <c r="I52" i="812"/>
  <c r="J189" i="785"/>
  <c r="I36" i="785"/>
  <c r="I151" i="785" s="1"/>
  <c r="L216" i="630"/>
  <c r="I64" i="785"/>
  <c r="J168" i="785"/>
  <c r="I11" i="630"/>
  <c r="I225" i="785"/>
  <c r="L244" i="630"/>
  <c r="I246" i="630"/>
  <c r="I299" i="785"/>
  <c r="I207" i="785"/>
  <c r="L211" i="630"/>
  <c r="I241" i="630"/>
  <c r="I136" i="630"/>
  <c r="L224" i="630"/>
  <c r="I330" i="785"/>
  <c r="I167" i="785"/>
  <c r="J38" i="785"/>
  <c r="J123" i="785"/>
  <c r="F123" i="785" s="1"/>
  <c r="I220" i="785"/>
  <c r="I252" i="630"/>
  <c r="I224" i="630"/>
  <c r="J128" i="785"/>
  <c r="F128" i="785" s="1"/>
  <c r="L186" i="630"/>
  <c r="I27" i="630"/>
  <c r="I58" i="785"/>
  <c r="I325" i="785"/>
  <c r="I104" i="785"/>
  <c r="I216" i="630"/>
  <c r="L127" i="630"/>
  <c r="J26" i="785"/>
  <c r="I216" i="785"/>
  <c r="I17" i="630"/>
  <c r="F260" i="630"/>
  <c r="L169" i="630"/>
  <c r="I263" i="785"/>
  <c r="J79" i="785"/>
  <c r="F232" i="630"/>
  <c r="I206" i="785"/>
  <c r="I177" i="630"/>
  <c r="L45" i="630"/>
  <c r="I73" i="785"/>
  <c r="I244" i="630"/>
  <c r="I213" i="630"/>
  <c r="L59" i="630"/>
  <c r="I52" i="785"/>
  <c r="F227" i="630"/>
  <c r="J80" i="785"/>
  <c r="J172" i="785"/>
  <c r="I67" i="785"/>
  <c r="L145" i="630"/>
  <c r="L210" i="630"/>
  <c r="I30" i="785"/>
  <c r="L240" i="630"/>
  <c r="I116" i="785"/>
  <c r="I23" i="785"/>
  <c r="I92" i="630"/>
  <c r="J83" i="785"/>
  <c r="I122" i="630"/>
  <c r="J21" i="812"/>
  <c r="I111" i="785"/>
  <c r="I125" i="785"/>
  <c r="L129" i="630"/>
  <c r="I151" i="630"/>
  <c r="L209" i="630"/>
  <c r="J272" i="785"/>
  <c r="F272" i="785" s="1"/>
  <c r="M272" i="785" s="1"/>
  <c r="L161" i="630"/>
  <c r="I256" i="630"/>
  <c r="I132" i="630"/>
  <c r="L203" i="630"/>
  <c r="F225" i="630"/>
  <c r="L143" i="630"/>
  <c r="I16" i="630"/>
  <c r="L197" i="630"/>
  <c r="L201" i="630"/>
  <c r="L123" i="630"/>
  <c r="J125" i="785"/>
  <c r="F125" i="785" s="1"/>
  <c r="J292" i="785"/>
  <c r="F292" i="785" s="1"/>
  <c r="J250" i="785"/>
  <c r="F200" i="630"/>
  <c r="I294" i="785"/>
  <c r="I57" i="630"/>
  <c r="F246" i="630"/>
  <c r="F223" i="630"/>
  <c r="L50" i="630"/>
  <c r="L232" i="630"/>
  <c r="I327" i="785"/>
  <c r="J212" i="785"/>
  <c r="I54" i="812"/>
  <c r="I320" i="785"/>
  <c r="J30" i="785"/>
  <c r="F236" i="630"/>
  <c r="J324" i="785"/>
  <c r="L160" i="630"/>
  <c r="I210" i="630"/>
  <c r="L124" i="630"/>
  <c r="L254" i="630"/>
  <c r="I188" i="630"/>
  <c r="I37" i="785"/>
  <c r="I221" i="785"/>
  <c r="J219" i="785"/>
  <c r="F219" i="785" s="1"/>
  <c r="J108" i="785"/>
  <c r="J105" i="785"/>
  <c r="F105" i="785" s="1"/>
  <c r="J55" i="812"/>
  <c r="I154" i="630"/>
  <c r="L11" i="630"/>
  <c r="J13" i="812"/>
  <c r="I22" i="812"/>
  <c r="I293" i="785"/>
  <c r="L142" i="630"/>
  <c r="J325" i="785"/>
  <c r="I83" i="785"/>
  <c r="J225" i="785"/>
  <c r="I168" i="630"/>
  <c r="L93" i="630"/>
  <c r="F93" i="630" s="1"/>
  <c r="P93" i="630" s="1"/>
  <c r="L170" i="630"/>
  <c r="J54" i="785"/>
  <c r="J99" i="785"/>
  <c r="I17" i="785"/>
  <c r="I180" i="630"/>
  <c r="L30" i="630"/>
  <c r="I57" i="812"/>
  <c r="I120" i="785"/>
  <c r="F233" i="630"/>
  <c r="I174" i="630"/>
  <c r="I185" i="785"/>
  <c r="L101" i="630"/>
  <c r="F101" i="630" s="1"/>
  <c r="P101" i="630" s="1"/>
  <c r="L235" i="630"/>
  <c r="L190" i="630"/>
  <c r="L48" i="630"/>
  <c r="J42" i="785"/>
  <c r="I101" i="630"/>
  <c r="J15" i="785"/>
  <c r="J117" i="785"/>
  <c r="L10" i="630"/>
  <c r="I109" i="785"/>
  <c r="J89" i="785"/>
  <c r="F89" i="785" s="1"/>
  <c r="I242" i="630"/>
  <c r="J110" i="785"/>
  <c r="F110" i="785" s="1"/>
  <c r="I25" i="812"/>
  <c r="I134" i="785"/>
  <c r="L125" i="630"/>
  <c r="I125" i="630"/>
  <c r="L119" i="630"/>
  <c r="I261" i="785"/>
  <c r="J112" i="785"/>
  <c r="F112" i="785" s="1"/>
  <c r="L34" i="630"/>
  <c r="J67" i="785"/>
  <c r="F67" i="785" s="1"/>
  <c r="L220" i="630"/>
  <c r="J98" i="785"/>
  <c r="F98" i="785" s="1"/>
  <c r="L157" i="630"/>
  <c r="I191" i="630"/>
  <c r="I57" i="785"/>
  <c r="I173" i="785"/>
  <c r="I35" i="630"/>
  <c r="J25" i="812"/>
  <c r="F222" i="630"/>
  <c r="F196" i="630"/>
  <c r="F256" i="630"/>
  <c r="I163" i="630"/>
  <c r="I32" i="785"/>
  <c r="J74" i="785"/>
  <c r="I185" i="630"/>
  <c r="J140" i="785"/>
  <c r="J298" i="785"/>
  <c r="J100" i="785"/>
  <c r="L31" i="630"/>
  <c r="I76" i="785"/>
  <c r="J58" i="785"/>
  <c r="I14" i="785"/>
  <c r="J173" i="785"/>
  <c r="I123" i="630"/>
  <c r="J23" i="812"/>
  <c r="J139" i="785"/>
  <c r="F139" i="785" s="1"/>
  <c r="I27" i="785"/>
  <c r="I226" i="630"/>
  <c r="L218" i="630"/>
  <c r="F250" i="630"/>
  <c r="J43" i="785"/>
  <c r="J57" i="785"/>
  <c r="J228" i="785"/>
  <c r="I60" i="785"/>
  <c r="J233" i="785"/>
  <c r="L202" i="630"/>
  <c r="I55" i="785"/>
  <c r="I141" i="785"/>
  <c r="I246" i="785"/>
  <c r="L168" i="630"/>
  <c r="L227" i="630"/>
  <c r="I46" i="630"/>
  <c r="L212" i="630"/>
  <c r="J91" i="785"/>
  <c r="F257" i="630"/>
  <c r="I59" i="785"/>
  <c r="J36" i="785"/>
  <c r="J151" i="785" s="1"/>
  <c r="L134" i="630"/>
  <c r="I143" i="785"/>
  <c r="I39" i="785"/>
  <c r="L132" i="630"/>
  <c r="L138" i="630"/>
  <c r="L228" i="630"/>
  <c r="I257" i="630"/>
  <c r="J44" i="785"/>
  <c r="L199" i="630"/>
  <c r="F230" i="630"/>
  <c r="I127" i="785"/>
  <c r="I133" i="630"/>
  <c r="F237" i="630"/>
  <c r="I69" i="785"/>
  <c r="I259" i="785"/>
  <c r="L51" i="630"/>
  <c r="I181" i="630"/>
  <c r="J138" i="785"/>
  <c r="I171" i="785"/>
  <c r="J178" i="785"/>
  <c r="I100" i="630"/>
  <c r="I135" i="630"/>
  <c r="L126" i="630"/>
  <c r="I264" i="785"/>
  <c r="I16" i="812"/>
  <c r="J323" i="785"/>
  <c r="I328" i="785"/>
  <c r="J59" i="785"/>
  <c r="F199" i="630"/>
  <c r="J130" i="785"/>
  <c r="F130" i="785" s="1"/>
  <c r="L29" i="630"/>
  <c r="J210" i="785"/>
  <c r="F210" i="785" s="1"/>
  <c r="I44" i="785"/>
  <c r="I229" i="785"/>
  <c r="I179" i="630"/>
  <c r="I181" i="785"/>
  <c r="I96" i="630"/>
  <c r="J71" i="785"/>
  <c r="L217" i="630"/>
  <c r="J45" i="812"/>
  <c r="L41" i="630"/>
  <c r="L230" i="630"/>
  <c r="J42" i="812"/>
  <c r="J206" i="785"/>
  <c r="J81" i="785"/>
  <c r="L47" i="630"/>
  <c r="I235" i="785"/>
  <c r="J31" i="785"/>
  <c r="F31" i="785" s="1"/>
  <c r="I41" i="785"/>
  <c r="I202" i="630"/>
  <c r="I170" i="785"/>
  <c r="L17" i="630"/>
  <c r="I119" i="785"/>
  <c r="I251" i="630"/>
  <c r="I117" i="785"/>
  <c r="I140" i="630"/>
  <c r="J66" i="785"/>
  <c r="I12" i="812"/>
  <c r="F242" i="630"/>
  <c r="J259" i="785"/>
  <c r="F259" i="785" s="1"/>
  <c r="I31" i="785"/>
  <c r="I207" i="630"/>
  <c r="I137" i="785"/>
  <c r="L52" i="630"/>
  <c r="I273" i="785"/>
  <c r="I44" i="812"/>
  <c r="L163" i="630"/>
  <c r="I149" i="630"/>
  <c r="I260" i="630"/>
  <c r="I121" i="785"/>
  <c r="I52" i="630"/>
  <c r="I45" i="630"/>
  <c r="J33" i="785"/>
  <c r="L204" i="630"/>
  <c r="J229" i="785"/>
  <c r="I138" i="785"/>
  <c r="I44" i="630"/>
  <c r="I250" i="630"/>
  <c r="J265" i="785"/>
  <c r="J207" i="785"/>
  <c r="F207" i="785" s="1"/>
  <c r="L229" i="630"/>
  <c r="I198" i="630"/>
  <c r="J56" i="785"/>
  <c r="I265" i="785"/>
  <c r="J44" i="812"/>
  <c r="I85" i="785"/>
  <c r="J21" i="785"/>
  <c r="I137" i="630"/>
  <c r="J37" i="785"/>
  <c r="J319" i="785"/>
  <c r="J114" i="785"/>
  <c r="F114" i="785" s="1"/>
  <c r="J129" i="785"/>
  <c r="I26" i="630"/>
  <c r="I183" i="785"/>
  <c r="I218" i="785"/>
  <c r="J26" i="812"/>
  <c r="J146" i="785"/>
  <c r="J190" i="785"/>
  <c r="L252" i="630"/>
  <c r="I47" i="630"/>
  <c r="I145" i="785"/>
  <c r="F247" i="630"/>
  <c r="I166" i="630"/>
  <c r="L150" i="630"/>
  <c r="L92" i="630"/>
  <c r="F92" i="630" s="1"/>
  <c r="P92" i="630" s="1"/>
  <c r="J111" i="785"/>
  <c r="J101" i="785"/>
  <c r="F101" i="785" s="1"/>
  <c r="L205" i="630"/>
  <c r="I262" i="785"/>
  <c r="I236" i="785"/>
  <c r="F255" i="630"/>
  <c r="J187" i="785"/>
  <c r="I323" i="785"/>
  <c r="I247" i="785"/>
  <c r="L176" i="630"/>
  <c r="I255" i="630"/>
  <c r="I131" i="785"/>
  <c r="I291" i="785"/>
  <c r="J95" i="785"/>
  <c r="I175" i="785"/>
  <c r="L137" i="630"/>
  <c r="J214" i="785"/>
  <c r="J122" i="785"/>
  <c r="I89" i="785"/>
  <c r="L90" i="630"/>
  <c r="F90" i="630" s="1"/>
  <c r="P90" i="630" s="1"/>
  <c r="L94" i="630"/>
  <c r="F94" i="630" s="1"/>
  <c r="P94" i="630" s="1"/>
  <c r="J136" i="785"/>
  <c r="F136" i="785" s="1"/>
  <c r="I42" i="785"/>
  <c r="I77" i="785"/>
  <c r="J185" i="785"/>
  <c r="I41" i="630"/>
  <c r="I26" i="812"/>
  <c r="I131" i="630"/>
  <c r="I256" i="785"/>
  <c r="I187" i="630"/>
  <c r="L20" i="630"/>
  <c r="J182" i="785"/>
  <c r="I39" i="630"/>
  <c r="I20" i="630"/>
  <c r="I49" i="630"/>
  <c r="I88" i="785"/>
  <c r="I47" i="785"/>
  <c r="F248" i="630"/>
  <c r="F243" i="630"/>
  <c r="I18" i="630"/>
  <c r="J179" i="785"/>
  <c r="J41" i="785"/>
  <c r="L192" i="630"/>
  <c r="I128" i="630"/>
  <c r="J72" i="785"/>
  <c r="J132" i="785"/>
  <c r="I231" i="630"/>
  <c r="I270" i="785"/>
  <c r="I118" i="785"/>
  <c r="L39" i="630"/>
  <c r="J118" i="785"/>
  <c r="F118" i="785" s="1"/>
  <c r="I48" i="630"/>
  <c r="L257" i="630"/>
  <c r="J68" i="785"/>
  <c r="L246" i="630"/>
  <c r="I19" i="785"/>
  <c r="J61" i="785"/>
  <c r="J320" i="785"/>
  <c r="I79" i="785"/>
  <c r="J24" i="812"/>
  <c r="F24" i="812" s="1"/>
  <c r="L214" i="630"/>
  <c r="L122" i="630"/>
  <c r="I255" i="785"/>
  <c r="L33" i="630"/>
  <c r="J183" i="785"/>
  <c r="L19" i="630"/>
  <c r="J22" i="812"/>
  <c r="J119" i="785"/>
  <c r="I53" i="630"/>
  <c r="L54" i="630"/>
  <c r="I143" i="630"/>
  <c r="I146" i="630"/>
  <c r="J50" i="785"/>
  <c r="F50" i="785" s="1"/>
  <c r="L260" i="630"/>
  <c r="F206" i="630"/>
  <c r="J49" i="785"/>
  <c r="I237" i="630"/>
  <c r="L184" i="630"/>
  <c r="J234" i="785"/>
  <c r="F239" i="630"/>
  <c r="I192" i="630"/>
  <c r="L185" i="630"/>
  <c r="L255" i="630"/>
  <c r="F205" i="630"/>
  <c r="I211" i="785"/>
  <c r="L158" i="630"/>
  <c r="I258" i="785"/>
  <c r="I172" i="630"/>
  <c r="F213" i="630"/>
  <c r="L177" i="630"/>
  <c r="I153" i="630"/>
  <c r="L172" i="630"/>
  <c r="I234" i="785"/>
  <c r="I189" i="785"/>
  <c r="I46" i="812"/>
  <c r="I144" i="630"/>
  <c r="J224" i="785"/>
  <c r="F224" i="785" s="1"/>
  <c r="I126" i="785"/>
  <c r="I182" i="630"/>
  <c r="J17" i="785"/>
  <c r="I81" i="785"/>
  <c r="L248" i="630"/>
  <c r="L225" i="630"/>
  <c r="I177" i="785"/>
  <c r="I110" i="785"/>
  <c r="J216" i="785"/>
  <c r="F216" i="785" s="1"/>
  <c r="I40" i="630"/>
  <c r="I234" i="630"/>
  <c r="I91" i="630"/>
  <c r="I114" i="785"/>
  <c r="I12" i="630"/>
  <c r="I208" i="630"/>
  <c r="L102" i="630"/>
  <c r="F102" i="630" s="1"/>
  <c r="P102" i="630" s="1"/>
  <c r="L141" i="630"/>
  <c r="J76" i="785"/>
  <c r="L174" i="630"/>
  <c r="I176" i="630"/>
  <c r="I146" i="785"/>
  <c r="J186" i="785"/>
  <c r="I164" i="630"/>
  <c r="I19" i="812"/>
  <c r="F228" i="630"/>
  <c r="I37" i="630"/>
  <c r="I223" i="785"/>
  <c r="I100" i="785"/>
  <c r="I169" i="630"/>
  <c r="L120" i="630"/>
  <c r="I214" i="785"/>
  <c r="I147" i="785"/>
  <c r="I195" i="630"/>
  <c r="J35" i="785"/>
  <c r="F35" i="785" s="1"/>
  <c r="L42" i="630"/>
  <c r="J147" i="785"/>
  <c r="I93" i="630"/>
  <c r="J247" i="785"/>
  <c r="F247" i="785" s="1"/>
  <c r="I219" i="630"/>
  <c r="I25" i="630"/>
  <c r="J169" i="785"/>
  <c r="I127" i="630"/>
  <c r="L100" i="630"/>
  <c r="F100" i="630" s="1"/>
  <c r="P100" i="630" s="1"/>
  <c r="L91" i="630"/>
  <c r="F91" i="630" s="1"/>
  <c r="P91" i="630" s="1"/>
  <c r="L149" i="630"/>
  <c r="I32" i="630"/>
  <c r="J47" i="812"/>
  <c r="I329" i="785"/>
  <c r="I50" i="630"/>
  <c r="J46" i="785"/>
  <c r="F46" i="785" s="1"/>
  <c r="J78" i="785"/>
  <c r="I118" i="630"/>
  <c r="I236" i="630"/>
  <c r="I14" i="812"/>
  <c r="J208" i="785"/>
  <c r="F208" i="785" s="1"/>
  <c r="L234" i="630"/>
  <c r="J104" i="785"/>
  <c r="I134" i="630"/>
  <c r="L136" i="630"/>
  <c r="L198" i="630"/>
  <c r="F224" i="630"/>
  <c r="I148" i="630"/>
  <c r="J57" i="812"/>
  <c r="J85" i="785"/>
  <c r="F85" i="785" s="1"/>
  <c r="I71" i="785"/>
  <c r="I20" i="785"/>
  <c r="L131" i="630"/>
  <c r="L57" i="630"/>
  <c r="J209" i="785"/>
  <c r="F209" i="785" s="1"/>
  <c r="I66" i="785"/>
  <c r="L38" i="630"/>
  <c r="J330" i="785"/>
  <c r="I150" i="630"/>
  <c r="J293" i="785"/>
  <c r="I212" i="630"/>
  <c r="I324" i="785"/>
  <c r="I274" i="785"/>
  <c r="J318" i="785"/>
  <c r="I178" i="785"/>
  <c r="L219" i="630"/>
  <c r="I55" i="812"/>
  <c r="I194" i="630"/>
  <c r="I33" i="785"/>
  <c r="I201" i="630"/>
  <c r="I292" i="785"/>
  <c r="I102" i="785"/>
  <c r="I99" i="630"/>
  <c r="J19" i="785"/>
  <c r="J52" i="785"/>
  <c r="I22" i="785"/>
  <c r="I178" i="630"/>
  <c r="J88" i="785"/>
  <c r="I93" i="785"/>
  <c r="L259" i="630"/>
  <c r="L256" i="630"/>
  <c r="I55" i="630"/>
  <c r="J107" i="785"/>
  <c r="F107" i="785" s="1"/>
  <c r="F204" i="630"/>
  <c r="I87" i="785"/>
  <c r="L43" i="630"/>
  <c r="J16" i="812"/>
  <c r="L179" i="630"/>
  <c r="I33" i="630"/>
  <c r="J264" i="785"/>
  <c r="I75" i="785"/>
  <c r="J221" i="785"/>
  <c r="I231" i="785"/>
  <c r="I148" i="785"/>
  <c r="F207" i="630"/>
  <c r="I209" i="630"/>
  <c r="J235" i="785"/>
  <c r="L40" i="630"/>
  <c r="F258" i="630"/>
  <c r="I40" i="785"/>
  <c r="J328" i="785"/>
  <c r="L183" i="630"/>
  <c r="I103" i="785"/>
  <c r="I65" i="785"/>
  <c r="J291" i="785"/>
  <c r="F291" i="785" s="1"/>
  <c r="F244" i="630"/>
  <c r="J329" i="785"/>
  <c r="I98" i="630"/>
  <c r="I233" i="630"/>
  <c r="J316" i="785"/>
  <c r="I176" i="785"/>
  <c r="J63" i="785"/>
  <c r="J69" i="785"/>
  <c r="F209" i="630"/>
  <c r="J53" i="812"/>
  <c r="L15" i="630"/>
  <c r="J149" i="785"/>
  <c r="J23" i="785"/>
  <c r="I124" i="630"/>
  <c r="J120" i="785"/>
  <c r="F120" i="785" s="1"/>
  <c r="I124" i="785"/>
  <c r="I203" i="630"/>
  <c r="L249" i="630"/>
  <c r="L191" i="630"/>
  <c r="J82" i="785"/>
  <c r="J29" i="785"/>
  <c r="F219" i="630"/>
  <c r="J113" i="785"/>
  <c r="J103" i="785"/>
  <c r="L49" i="630"/>
  <c r="F259" i="630"/>
  <c r="I24" i="630"/>
  <c r="J16" i="785"/>
  <c r="I107" i="785"/>
  <c r="L208" i="630"/>
  <c r="F241" i="630"/>
  <c r="I51" i="812"/>
  <c r="I191" i="785"/>
  <c r="J41" i="812"/>
  <c r="J20" i="785"/>
  <c r="I186" i="630"/>
  <c r="I147" i="630"/>
  <c r="J19" i="812"/>
  <c r="L32" i="630"/>
  <c r="I228" i="785"/>
  <c r="J48" i="785"/>
  <c r="J53" i="785"/>
  <c r="F53" i="785" s="1"/>
  <c r="I42" i="630"/>
  <c r="I58" i="630"/>
  <c r="F221" i="630"/>
  <c r="L171" i="630"/>
  <c r="F249" i="630"/>
  <c r="F202" i="630"/>
  <c r="J217" i="785"/>
  <c r="I94" i="630"/>
  <c r="J135" i="785"/>
  <c r="F135" i="785" s="1"/>
  <c r="J133" i="785"/>
  <c r="L193" i="630"/>
  <c r="I21" i="812"/>
  <c r="L242" i="630"/>
  <c r="I230" i="630"/>
  <c r="I31" i="630"/>
  <c r="I43" i="630"/>
  <c r="I22" i="630"/>
  <c r="I130" i="785"/>
  <c r="F254" i="630"/>
  <c r="L147" i="630"/>
  <c r="L24" i="630"/>
  <c r="I21" i="785"/>
  <c r="J223" i="785"/>
  <c r="L18" i="630"/>
  <c r="L26" i="630"/>
  <c r="L164" i="630"/>
  <c r="L245" i="630"/>
  <c r="I129" i="785"/>
  <c r="L247" i="630"/>
  <c r="L146" i="630"/>
  <c r="J296" i="785"/>
  <c r="I34" i="630"/>
  <c r="I157" i="630"/>
  <c r="I97" i="630"/>
  <c r="J295" i="785"/>
  <c r="F214" i="630"/>
  <c r="I235" i="630"/>
  <c r="I217" i="630"/>
  <c r="I173" i="630"/>
  <c r="J27" i="785"/>
  <c r="I94" i="785"/>
  <c r="I101" i="785"/>
  <c r="J266" i="785"/>
  <c r="F266" i="785" s="1"/>
  <c r="M266" i="785" s="1"/>
  <c r="S266" i="785" s="1"/>
  <c r="I129" i="630"/>
  <c r="J137" i="785"/>
  <c r="I152" i="630"/>
  <c r="J17" i="812"/>
  <c r="J271" i="785"/>
  <c r="F271" i="785" s="1"/>
  <c r="M271" i="785" s="1"/>
  <c r="S271" i="785" s="1"/>
  <c r="I319" i="785"/>
  <c r="I189" i="630"/>
  <c r="L187" i="630"/>
  <c r="L253" i="630"/>
  <c r="J39" i="785"/>
  <c r="I180" i="785"/>
  <c r="L27" i="630"/>
  <c r="I210" i="785"/>
  <c r="J177" i="785"/>
  <c r="I161" i="630"/>
  <c r="F215" i="630"/>
  <c r="L35" i="630"/>
  <c r="L258" i="630"/>
  <c r="L151" i="630"/>
  <c r="J290" i="785"/>
  <c r="J47" i="785"/>
  <c r="F216" i="630"/>
  <c r="L195" i="630"/>
  <c r="J18" i="785"/>
  <c r="I190" i="785"/>
  <c r="I62" i="785"/>
  <c r="I21" i="630"/>
  <c r="I43" i="812"/>
  <c r="L159" i="630"/>
  <c r="J18" i="812"/>
  <c r="I165" i="630"/>
  <c r="J232" i="785"/>
  <c r="I97" i="785"/>
  <c r="L56" i="630"/>
  <c r="I121" i="630"/>
  <c r="I296" i="785"/>
  <c r="J134" i="785"/>
  <c r="F134" i="785" s="1"/>
  <c r="J143" i="785"/>
  <c r="L215" i="630"/>
  <c r="J317" i="785"/>
  <c r="F203" i="630"/>
  <c r="J102" i="785"/>
  <c r="F102" i="785" s="1"/>
  <c r="J256" i="785"/>
  <c r="F256" i="785" s="1"/>
  <c r="J13" i="785"/>
  <c r="I90" i="630"/>
  <c r="I23" i="812"/>
  <c r="I138" i="630"/>
  <c r="L23" i="630"/>
  <c r="I53" i="812"/>
  <c r="I266" i="785"/>
  <c r="L236" i="630"/>
  <c r="I318" i="785"/>
  <c r="I102" i="630"/>
  <c r="I240" i="630"/>
  <c r="I56" i="630"/>
  <c r="I56" i="785"/>
  <c r="I13" i="785"/>
  <c r="J263" i="785"/>
  <c r="F263" i="785" s="1"/>
  <c r="J148" i="785"/>
  <c r="L231" i="630"/>
  <c r="I184" i="785"/>
  <c r="J60" i="785"/>
  <c r="L22" i="630"/>
  <c r="L165" i="630"/>
  <c r="L166" i="630"/>
  <c r="L241" i="630"/>
  <c r="I142" i="630"/>
  <c r="J24" i="785"/>
  <c r="I144" i="785"/>
  <c r="I90" i="785"/>
  <c r="J34" i="785"/>
  <c r="F34" i="785" s="1"/>
  <c r="I214" i="630"/>
  <c r="L128" i="630"/>
  <c r="F210" i="630"/>
  <c r="I112" i="785"/>
  <c r="L118" i="630"/>
  <c r="I171" i="630"/>
  <c r="J275" i="785"/>
  <c r="I136" i="785"/>
  <c r="J218" i="785"/>
  <c r="F218" i="785" s="1"/>
  <c r="I108" i="785"/>
  <c r="L144" i="630"/>
  <c r="L97" i="630"/>
  <c r="F97" i="630" s="1"/>
  <c r="P97" i="630" s="1"/>
  <c r="I167" i="630"/>
  <c r="I128" i="785"/>
  <c r="J97" i="785"/>
  <c r="L251" i="630"/>
  <c r="K52" i="785"/>
  <c r="R303" i="785"/>
  <c r="R301" i="785"/>
  <c r="K77" i="785"/>
  <c r="Y315" i="630"/>
  <c r="R196" i="785"/>
  <c r="R194" i="785"/>
  <c r="S19" i="785"/>
  <c r="R152" i="785"/>
  <c r="Q105" i="630"/>
  <c r="T306" i="630" s="1"/>
  <c r="P306" i="630"/>
  <c r="K177" i="785"/>
  <c r="BI16" i="785"/>
  <c r="BI30" i="785" s="1"/>
  <c r="S207" i="785"/>
  <c r="R279" i="785"/>
  <c r="R277" i="785"/>
  <c r="Q23" i="785"/>
  <c r="T315" i="630"/>
  <c r="BI32" i="785"/>
  <c r="W315" i="630"/>
  <c r="L23" i="785"/>
  <c r="K266" i="785"/>
  <c r="O296" i="630"/>
  <c r="O154" i="785"/>
  <c r="R156" i="785"/>
  <c r="M12" i="812" l="1"/>
  <c r="M41" i="812"/>
  <c r="O128" i="630"/>
  <c r="P128" i="630" s="1"/>
  <c r="M330" i="785"/>
  <c r="N330" i="785" s="1"/>
  <c r="O179" i="630"/>
  <c r="P179" i="630" s="1"/>
  <c r="O164" i="630"/>
  <c r="P164" i="630" s="1"/>
  <c r="U164" i="630" s="1"/>
  <c r="O157" i="630"/>
  <c r="P157" i="630" s="1"/>
  <c r="U157" i="630" s="1"/>
  <c r="O189" i="630"/>
  <c r="P189" i="630" s="1"/>
  <c r="U189" i="630" s="1"/>
  <c r="D306" i="630"/>
  <c r="O191" i="630"/>
  <c r="P191" i="630" s="1"/>
  <c r="O153" i="630"/>
  <c r="P153" i="630" s="1"/>
  <c r="O167" i="630"/>
  <c r="P167" i="630" s="1"/>
  <c r="O137" i="630"/>
  <c r="P137" i="630" s="1"/>
  <c r="O122" i="630"/>
  <c r="P122" i="630" s="1"/>
  <c r="U122" i="630" s="1"/>
  <c r="O195" i="630"/>
  <c r="P195" i="630" s="1"/>
  <c r="O141" i="630"/>
  <c r="P141" i="630" s="1"/>
  <c r="U141" i="630" s="1"/>
  <c r="O124" i="630"/>
  <c r="P124" i="630" s="1"/>
  <c r="O159" i="630"/>
  <c r="P159" i="630" s="1"/>
  <c r="O136" i="630"/>
  <c r="P136" i="630" s="1"/>
  <c r="O148" i="630"/>
  <c r="P148" i="630" s="1"/>
  <c r="O140" i="630"/>
  <c r="P140" i="630" s="1"/>
  <c r="O129" i="630"/>
  <c r="P129" i="630" s="1"/>
  <c r="U129" i="630" s="1"/>
  <c r="O118" i="630"/>
  <c r="P118" i="630" s="1"/>
  <c r="O176" i="630"/>
  <c r="P176" i="630" s="1"/>
  <c r="O145" i="630"/>
  <c r="P145" i="630" s="1"/>
  <c r="U145" i="630" s="1"/>
  <c r="O173" i="630"/>
  <c r="P173" i="630" s="1"/>
  <c r="O143" i="630"/>
  <c r="P143" i="630" s="1"/>
  <c r="U143" i="630" s="1"/>
  <c r="O193" i="630"/>
  <c r="P193" i="630" s="1"/>
  <c r="O184" i="630"/>
  <c r="P184" i="630" s="1"/>
  <c r="O151" i="630"/>
  <c r="P151" i="630" s="1"/>
  <c r="O152" i="630"/>
  <c r="P152" i="630" s="1"/>
  <c r="O165" i="630"/>
  <c r="P165" i="630" s="1"/>
  <c r="O126" i="630"/>
  <c r="P126" i="630" s="1"/>
  <c r="O133" i="630"/>
  <c r="P133" i="630" s="1"/>
  <c r="U133" i="630" s="1"/>
  <c r="O119" i="630"/>
  <c r="P119" i="630" s="1"/>
  <c r="O185" i="630"/>
  <c r="P185" i="630" s="1"/>
  <c r="O144" i="630"/>
  <c r="P144" i="630" s="1"/>
  <c r="U144" i="630" s="1"/>
  <c r="O147" i="630"/>
  <c r="P147" i="630" s="1"/>
  <c r="O169" i="630"/>
  <c r="P169" i="630" s="1"/>
  <c r="O142" i="630"/>
  <c r="P142" i="630" s="1"/>
  <c r="O188" i="630"/>
  <c r="P188" i="630" s="1"/>
  <c r="U188" i="630" s="1"/>
  <c r="O139" i="630"/>
  <c r="P139" i="630" s="1"/>
  <c r="O131" i="630"/>
  <c r="P131" i="630" s="1"/>
  <c r="O190" i="630"/>
  <c r="P190" i="630" s="1"/>
  <c r="O127" i="630"/>
  <c r="P127" i="630" s="1"/>
  <c r="O162" i="630"/>
  <c r="P162" i="630" s="1"/>
  <c r="O146" i="630"/>
  <c r="P146" i="630" s="1"/>
  <c r="U146" i="630" s="1"/>
  <c r="O168" i="630"/>
  <c r="P168" i="630" s="1"/>
  <c r="O166" i="630"/>
  <c r="P166" i="630" s="1"/>
  <c r="U166" i="630" s="1"/>
  <c r="O158" i="630"/>
  <c r="P158" i="630" s="1"/>
  <c r="O186" i="630"/>
  <c r="P186" i="630" s="1"/>
  <c r="O135" i="630"/>
  <c r="P135" i="630" s="1"/>
  <c r="O182" i="630"/>
  <c r="P182" i="630" s="1"/>
  <c r="U182" i="630" s="1"/>
  <c r="O180" i="630"/>
  <c r="P180" i="630" s="1"/>
  <c r="U180" i="630" s="1"/>
  <c r="O171" i="630"/>
  <c r="P171" i="630" s="1"/>
  <c r="O150" i="630"/>
  <c r="P150" i="630" s="1"/>
  <c r="U150" i="630" s="1"/>
  <c r="O130" i="630"/>
  <c r="P130" i="630" s="1"/>
  <c r="U130" i="630" s="1"/>
  <c r="O65" i="630"/>
  <c r="P65" i="630" s="1"/>
  <c r="O156" i="630"/>
  <c r="P156" i="630" s="1"/>
  <c r="U156" i="630" s="1"/>
  <c r="O121" i="630"/>
  <c r="P121" i="630" s="1"/>
  <c r="O172" i="630"/>
  <c r="P172" i="630" s="1"/>
  <c r="O155" i="630"/>
  <c r="P155" i="630" s="1"/>
  <c r="U155" i="630" s="1"/>
  <c r="O181" i="630"/>
  <c r="P181" i="630" s="1"/>
  <c r="U181" i="630" s="1"/>
  <c r="O160" i="630"/>
  <c r="P160" i="630" s="1"/>
  <c r="O138" i="630"/>
  <c r="P138" i="630" s="1"/>
  <c r="O161" i="630"/>
  <c r="P161" i="630" s="1"/>
  <c r="O178" i="630"/>
  <c r="P178" i="630" s="1"/>
  <c r="O120" i="630"/>
  <c r="P120" i="630" s="1"/>
  <c r="O134" i="630"/>
  <c r="P134" i="630" s="1"/>
  <c r="O149" i="630"/>
  <c r="P149" i="630" s="1"/>
  <c r="O163" i="630"/>
  <c r="P163" i="630" s="1"/>
  <c r="O200" i="630"/>
  <c r="O264" i="630" s="1"/>
  <c r="O177" i="630"/>
  <c r="P177" i="630" s="1"/>
  <c r="O125" i="630"/>
  <c r="P125" i="630" s="1"/>
  <c r="O170" i="630"/>
  <c r="P170" i="630" s="1"/>
  <c r="O192" i="630"/>
  <c r="P192" i="630" s="1"/>
  <c r="O194" i="630"/>
  <c r="P194" i="630" s="1"/>
  <c r="O174" i="630"/>
  <c r="P174" i="630" s="1"/>
  <c r="U174" i="630" s="1"/>
  <c r="O132" i="630"/>
  <c r="P132" i="630" s="1"/>
  <c r="O123" i="630"/>
  <c r="P123" i="630" s="1"/>
  <c r="U123" i="630" s="1"/>
  <c r="O183" i="630"/>
  <c r="P183" i="630" s="1"/>
  <c r="U183" i="630" s="1"/>
  <c r="O187" i="630"/>
  <c r="P187" i="630" s="1"/>
  <c r="U187" i="630" s="1"/>
  <c r="O175" i="630"/>
  <c r="P175" i="630" s="1"/>
  <c r="U175" i="630" s="1"/>
  <c r="O154" i="630"/>
  <c r="P154" i="630" s="1"/>
  <c r="O66" i="630"/>
  <c r="P66" i="630" s="1"/>
  <c r="O61" i="630"/>
  <c r="P61" i="630" s="1"/>
  <c r="U61" i="630" s="1"/>
  <c r="M28" i="785"/>
  <c r="N28" i="785" s="1"/>
  <c r="S28" i="785" s="1"/>
  <c r="O73" i="630"/>
  <c r="P73" i="630" s="1"/>
  <c r="O67" i="630"/>
  <c r="P67" i="630" s="1"/>
  <c r="O63" i="630"/>
  <c r="P63" i="630" s="1"/>
  <c r="O70" i="630"/>
  <c r="P70" i="630" s="1"/>
  <c r="O68" i="630"/>
  <c r="P68" i="630" s="1"/>
  <c r="O62" i="630"/>
  <c r="P62" i="630" s="1"/>
  <c r="O64" i="630"/>
  <c r="P64" i="630" s="1"/>
  <c r="O72" i="630"/>
  <c r="P72" i="630" s="1"/>
  <c r="O71" i="630"/>
  <c r="P71" i="630" s="1"/>
  <c r="O69" i="630"/>
  <c r="P69" i="630" s="1"/>
  <c r="S237" i="785"/>
  <c r="Q278" i="785"/>
  <c r="J278" i="785"/>
  <c r="H278" i="785"/>
  <c r="M211" i="785"/>
  <c r="N211" i="785" s="1"/>
  <c r="S211" i="785" s="1"/>
  <c r="L278" i="785"/>
  <c r="I278" i="785"/>
  <c r="P216" i="630"/>
  <c r="U216" i="630" s="1"/>
  <c r="H280" i="785"/>
  <c r="K277" i="785"/>
  <c r="K279" i="785" s="1"/>
  <c r="H277" i="785"/>
  <c r="M244" i="785"/>
  <c r="N244" i="785" s="1"/>
  <c r="M245" i="785"/>
  <c r="N245" i="785" s="1"/>
  <c r="J281" i="785"/>
  <c r="M246" i="785"/>
  <c r="F242" i="785"/>
  <c r="J280" i="785"/>
  <c r="I277" i="785"/>
  <c r="I280" i="785"/>
  <c r="M240" i="785"/>
  <c r="N240" i="785" s="1"/>
  <c r="P233" i="630"/>
  <c r="U233" i="630" s="1"/>
  <c r="F238" i="785"/>
  <c r="M106" i="785"/>
  <c r="N106" i="785" s="1"/>
  <c r="S106" i="785" s="1"/>
  <c r="P237" i="630"/>
  <c r="H155" i="785"/>
  <c r="I155" i="785"/>
  <c r="J155" i="785"/>
  <c r="F92" i="785"/>
  <c r="H153" i="785"/>
  <c r="L153" i="785"/>
  <c r="K153" i="785"/>
  <c r="L277" i="785"/>
  <c r="F239" i="785"/>
  <c r="J153" i="785"/>
  <c r="I153" i="785"/>
  <c r="P243" i="630"/>
  <c r="P210" i="630"/>
  <c r="P250" i="630"/>
  <c r="P209" i="630"/>
  <c r="P207" i="630"/>
  <c r="P202" i="630"/>
  <c r="U202" i="630" s="1"/>
  <c r="P196" i="630"/>
  <c r="P244" i="630"/>
  <c r="U244" i="630" s="1"/>
  <c r="P236" i="630"/>
  <c r="U236" i="630" s="1"/>
  <c r="P201" i="630"/>
  <c r="P235" i="630"/>
  <c r="P199" i="630"/>
  <c r="U199" i="630" s="1"/>
  <c r="P246" i="630"/>
  <c r="P218" i="630"/>
  <c r="P242" i="630"/>
  <c r="P212" i="630"/>
  <c r="U212" i="630" s="1"/>
  <c r="P197" i="630"/>
  <c r="U197" i="630" s="1"/>
  <c r="P251" i="630"/>
  <c r="U251" i="630" s="1"/>
  <c r="P234" i="630"/>
  <c r="P240" i="630"/>
  <c r="P198" i="630"/>
  <c r="P226" i="630"/>
  <c r="P238" i="630"/>
  <c r="P248" i="630"/>
  <c r="U248" i="630" s="1"/>
  <c r="P200" i="630"/>
  <c r="P217" i="630"/>
  <c r="U217" i="630" s="1"/>
  <c r="P241" i="630"/>
  <c r="F213" i="785"/>
  <c r="F96" i="785"/>
  <c r="M226" i="785"/>
  <c r="L261" i="630"/>
  <c r="M322" i="785"/>
  <c r="N322" i="785" s="1"/>
  <c r="S322" i="785" s="1"/>
  <c r="M49" i="812"/>
  <c r="N49" i="812" s="1"/>
  <c r="S49" i="812" s="1"/>
  <c r="H261" i="630"/>
  <c r="H262" i="630"/>
  <c r="H263" i="630"/>
  <c r="M263" i="630"/>
  <c r="M261" i="630"/>
  <c r="N261" i="630"/>
  <c r="N270" i="630" s="1"/>
  <c r="N263" i="630"/>
  <c r="N262" i="630"/>
  <c r="M262" i="630"/>
  <c r="M215" i="785"/>
  <c r="I262" i="630"/>
  <c r="I263" i="630"/>
  <c r="L263" i="630"/>
  <c r="L262" i="630"/>
  <c r="I261" i="630"/>
  <c r="M220" i="785"/>
  <c r="M233" i="785"/>
  <c r="N233" i="785" s="1"/>
  <c r="M230" i="785"/>
  <c r="M232" i="785"/>
  <c r="N232" i="785" s="1"/>
  <c r="M217" i="785"/>
  <c r="N217" i="785" s="1"/>
  <c r="M225" i="785"/>
  <c r="M206" i="785"/>
  <c r="N206" i="785" s="1"/>
  <c r="M221" i="785"/>
  <c r="M229" i="785"/>
  <c r="N229" i="785" s="1"/>
  <c r="M216" i="785"/>
  <c r="M223" i="785"/>
  <c r="M214" i="785"/>
  <c r="M228" i="785"/>
  <c r="N228" i="785" s="1"/>
  <c r="M207" i="785"/>
  <c r="M13" i="785"/>
  <c r="S103" i="630"/>
  <c r="S105" i="630"/>
  <c r="R154" i="785"/>
  <c r="AD315" i="630"/>
  <c r="M321" i="785"/>
  <c r="N321" i="785" s="1"/>
  <c r="S321" i="785" s="1"/>
  <c r="M268" i="785"/>
  <c r="S268" i="785" s="1"/>
  <c r="M269" i="785"/>
  <c r="AE315" i="630"/>
  <c r="Q150" i="785"/>
  <c r="O13" i="630"/>
  <c r="P13" i="630" s="1"/>
  <c r="U13" i="630" s="1"/>
  <c r="M54" i="812"/>
  <c r="N54" i="812" s="1"/>
  <c r="S54" i="812" s="1"/>
  <c r="M248" i="785"/>
  <c r="N248" i="785" s="1"/>
  <c r="M53" i="812"/>
  <c r="N53" i="812" s="1"/>
  <c r="S53" i="812" s="1"/>
  <c r="M50" i="812"/>
  <c r="N50" i="812" s="1"/>
  <c r="S50" i="812" s="1"/>
  <c r="L104" i="630"/>
  <c r="M52" i="812"/>
  <c r="N52" i="812" s="1"/>
  <c r="F197" i="785"/>
  <c r="M48" i="812"/>
  <c r="N48" i="812" s="1"/>
  <c r="S48" i="812" s="1"/>
  <c r="M43" i="812"/>
  <c r="N43" i="812" s="1"/>
  <c r="M34" i="785"/>
  <c r="N34" i="785" s="1"/>
  <c r="F70" i="785"/>
  <c r="M51" i="812"/>
  <c r="N51" i="812" s="1"/>
  <c r="S51" i="812" s="1"/>
  <c r="M44" i="812"/>
  <c r="N44" i="812" s="1"/>
  <c r="S44" i="812" s="1"/>
  <c r="M21" i="812"/>
  <c r="N21" i="812" s="1"/>
  <c r="X315" i="630"/>
  <c r="AF315" i="630" s="1"/>
  <c r="M55" i="812"/>
  <c r="N55" i="812" s="1"/>
  <c r="M56" i="812"/>
  <c r="N56" i="812" s="1"/>
  <c r="S56" i="812" s="1"/>
  <c r="M182" i="785"/>
  <c r="M45" i="812"/>
  <c r="N45" i="812" s="1"/>
  <c r="S45" i="812" s="1"/>
  <c r="F196" i="785"/>
  <c r="M14" i="812"/>
  <c r="N14" i="812" s="1"/>
  <c r="S14" i="812" s="1"/>
  <c r="M46" i="812"/>
  <c r="N46" i="812" s="1"/>
  <c r="M47" i="812"/>
  <c r="N47" i="812" s="1"/>
  <c r="S47" i="812" s="1"/>
  <c r="F303" i="785"/>
  <c r="F62" i="812"/>
  <c r="M104" i="630"/>
  <c r="K195" i="785"/>
  <c r="L32" i="812"/>
  <c r="S256" i="785"/>
  <c r="M57" i="812"/>
  <c r="N57" i="812" s="1"/>
  <c r="S57" i="812" s="1"/>
  <c r="H264" i="630"/>
  <c r="BC335" i="785"/>
  <c r="BH37" i="785"/>
  <c r="BH38" i="785" s="1"/>
  <c r="Q153" i="785"/>
  <c r="Q154" i="785" s="1"/>
  <c r="F273" i="630"/>
  <c r="F269" i="630"/>
  <c r="F266" i="630"/>
  <c r="F270" i="630"/>
  <c r="F107" i="630"/>
  <c r="M15" i="812"/>
  <c r="N15" i="812" s="1"/>
  <c r="S15" i="812" s="1"/>
  <c r="M48" i="785"/>
  <c r="N48" i="785" s="1"/>
  <c r="M247" i="785"/>
  <c r="M26" i="785"/>
  <c r="N26" i="785" s="1"/>
  <c r="S26" i="785" s="1"/>
  <c r="M78" i="785"/>
  <c r="N78" i="785" s="1"/>
  <c r="O15" i="630"/>
  <c r="P15" i="630" s="1"/>
  <c r="M169" i="785"/>
  <c r="N169" i="785" s="1"/>
  <c r="M186" i="785"/>
  <c r="M179" i="785"/>
  <c r="N179" i="785" s="1"/>
  <c r="O36" i="630"/>
  <c r="P36" i="630" s="1"/>
  <c r="U36" i="630" s="1"/>
  <c r="M29" i="785"/>
  <c r="N29" i="785" s="1"/>
  <c r="S29" i="785" s="1"/>
  <c r="M63" i="785"/>
  <c r="N63" i="785" s="1"/>
  <c r="M80" i="785"/>
  <c r="N80" i="785" s="1"/>
  <c r="M188" i="785"/>
  <c r="N188" i="785" s="1"/>
  <c r="L266" i="630"/>
  <c r="J301" i="785"/>
  <c r="J303" i="785" s="1"/>
  <c r="M67" i="785"/>
  <c r="N67" i="785" s="1"/>
  <c r="J194" i="785"/>
  <c r="F20" i="812"/>
  <c r="J32" i="812"/>
  <c r="L264" i="630"/>
  <c r="I264" i="630"/>
  <c r="M76" i="785"/>
  <c r="N76" i="785" s="1"/>
  <c r="M264" i="785"/>
  <c r="M26" i="812"/>
  <c r="N26" i="812" s="1"/>
  <c r="S26" i="812" s="1"/>
  <c r="M274" i="785"/>
  <c r="N274" i="785" s="1"/>
  <c r="M95" i="785"/>
  <c r="N95" i="785" s="1"/>
  <c r="M40" i="785"/>
  <c r="N40" i="785" s="1"/>
  <c r="S40" i="785" s="1"/>
  <c r="M236" i="785"/>
  <c r="M45" i="785"/>
  <c r="N45" i="785" s="1"/>
  <c r="S45" i="785" s="1"/>
  <c r="M146" i="785"/>
  <c r="N146" i="785" s="1"/>
  <c r="H104" i="630"/>
  <c r="H156" i="785"/>
  <c r="H152" i="785"/>
  <c r="H269" i="630" s="1"/>
  <c r="M14" i="785"/>
  <c r="N14" i="785" s="1"/>
  <c r="M168" i="785"/>
  <c r="M173" i="785"/>
  <c r="N173" i="785" s="1"/>
  <c r="M320" i="785"/>
  <c r="N320" i="785" s="1"/>
  <c r="S320" i="785" s="1"/>
  <c r="M82" i="785"/>
  <c r="N82" i="785" s="1"/>
  <c r="M327" i="785"/>
  <c r="N327" i="785" s="1"/>
  <c r="M192" i="785"/>
  <c r="H195" i="785"/>
  <c r="M174" i="785"/>
  <c r="N174" i="785" s="1"/>
  <c r="M116" i="785"/>
  <c r="N116" i="785" s="1"/>
  <c r="S116" i="785" s="1"/>
  <c r="M265" i="785"/>
  <c r="M55" i="785"/>
  <c r="N55" i="785" s="1"/>
  <c r="S55" i="785" s="1"/>
  <c r="M51" i="785"/>
  <c r="N51" i="785" s="1"/>
  <c r="M316" i="785"/>
  <c r="M58" i="785"/>
  <c r="N58" i="785" s="1"/>
  <c r="M61" i="785"/>
  <c r="N61" i="785" s="1"/>
  <c r="M33" i="785"/>
  <c r="N33" i="785" s="1"/>
  <c r="M87" i="785"/>
  <c r="N87" i="785" s="1"/>
  <c r="M252" i="785"/>
  <c r="N252" i="785" s="1"/>
  <c r="M20" i="785"/>
  <c r="N20" i="785" s="1"/>
  <c r="S20" i="785" s="1"/>
  <c r="M22" i="785"/>
  <c r="N22" i="785" s="1"/>
  <c r="M147" i="785"/>
  <c r="N147" i="785" s="1"/>
  <c r="O27" i="630"/>
  <c r="P27" i="630" s="1"/>
  <c r="M176" i="785"/>
  <c r="M17" i="785"/>
  <c r="N17" i="785" s="1"/>
  <c r="M44" i="785"/>
  <c r="N44" i="785" s="1"/>
  <c r="S44" i="785" s="1"/>
  <c r="O18" i="630"/>
  <c r="P18" i="630" s="1"/>
  <c r="M319" i="785"/>
  <c r="N319" i="785" s="1"/>
  <c r="O30" i="630"/>
  <c r="P30" i="630" s="1"/>
  <c r="M144" i="785"/>
  <c r="N144" i="785" s="1"/>
  <c r="S144" i="785" s="1"/>
  <c r="M234" i="785"/>
  <c r="M177" i="785"/>
  <c r="M294" i="785"/>
  <c r="N294" i="785" s="1"/>
  <c r="S294" i="785" s="1"/>
  <c r="M88" i="785"/>
  <c r="N88" i="785" s="1"/>
  <c r="O52" i="630"/>
  <c r="P52" i="630" s="1"/>
  <c r="M100" i="785"/>
  <c r="N100" i="785" s="1"/>
  <c r="S100" i="785" s="1"/>
  <c r="M328" i="785"/>
  <c r="N328" i="785" s="1"/>
  <c r="S328" i="785" s="1"/>
  <c r="M25" i="785"/>
  <c r="N25" i="785" s="1"/>
  <c r="M140" i="785"/>
  <c r="N140" i="785" s="1"/>
  <c r="S140" i="785" s="1"/>
  <c r="H194" i="785"/>
  <c r="M166" i="785"/>
  <c r="N166" i="785" s="1"/>
  <c r="M178" i="785"/>
  <c r="N178" i="785" s="1"/>
  <c r="O60" i="630"/>
  <c r="P60" i="630" s="1"/>
  <c r="M99" i="785"/>
  <c r="N99" i="785" s="1"/>
  <c r="S99" i="785" s="1"/>
  <c r="M175" i="785"/>
  <c r="N175" i="785" s="1"/>
  <c r="O58" i="630"/>
  <c r="P58" i="630" s="1"/>
  <c r="K301" i="785"/>
  <c r="K303" i="785" s="1"/>
  <c r="K155" i="785"/>
  <c r="K332" i="785"/>
  <c r="K335" i="785" s="1"/>
  <c r="K336" i="785" s="1"/>
  <c r="K59" i="812"/>
  <c r="K62" i="812" s="1"/>
  <c r="K63" i="812" s="1"/>
  <c r="L332" i="785"/>
  <c r="L194" i="785"/>
  <c r="N105" i="630"/>
  <c r="I152" i="785"/>
  <c r="I269" i="630" s="1"/>
  <c r="I157" i="785"/>
  <c r="F290" i="785"/>
  <c r="F304" i="785" s="1"/>
  <c r="C302" i="630" s="1"/>
  <c r="J304" i="785"/>
  <c r="L103" i="630"/>
  <c r="I301" i="785"/>
  <c r="I303" i="785" s="1"/>
  <c r="I104" i="630"/>
  <c r="I194" i="785"/>
  <c r="I332" i="785"/>
  <c r="I32" i="812"/>
  <c r="M64" i="785"/>
  <c r="N64" i="785" s="1"/>
  <c r="I195" i="785"/>
  <c r="I304" i="785"/>
  <c r="J195" i="785"/>
  <c r="O29" i="630"/>
  <c r="P29" i="630" s="1"/>
  <c r="U29" i="630" s="1"/>
  <c r="M21" i="785"/>
  <c r="N21" i="785" s="1"/>
  <c r="O14" i="630"/>
  <c r="P14" i="630" s="1"/>
  <c r="U14" i="630" s="1"/>
  <c r="M187" i="785"/>
  <c r="N187" i="785" s="1"/>
  <c r="O25" i="630"/>
  <c r="P25" i="630" s="1"/>
  <c r="U25" i="630" s="1"/>
  <c r="M52" i="785"/>
  <c r="N52" i="785" s="1"/>
  <c r="M122" i="785"/>
  <c r="N122" i="785" s="1"/>
  <c r="M65" i="785"/>
  <c r="N65" i="785" s="1"/>
  <c r="S65" i="785" s="1"/>
  <c r="M183" i="785"/>
  <c r="M329" i="785"/>
  <c r="N329" i="785" s="1"/>
  <c r="S329" i="785" s="1"/>
  <c r="M295" i="785"/>
  <c r="N295" i="785" s="1"/>
  <c r="O53" i="630"/>
  <c r="P53" i="630" s="1"/>
  <c r="M323" i="785"/>
  <c r="N323" i="785" s="1"/>
  <c r="S323" i="785" s="1"/>
  <c r="M69" i="785"/>
  <c r="N69" i="785" s="1"/>
  <c r="S69" i="785" s="1"/>
  <c r="M54" i="785"/>
  <c r="N54" i="785" s="1"/>
  <c r="S54" i="785" s="1"/>
  <c r="O49" i="630"/>
  <c r="P49" i="630" s="1"/>
  <c r="O37" i="630"/>
  <c r="P37" i="630" s="1"/>
  <c r="U37" i="630" s="1"/>
  <c r="M38" i="785"/>
  <c r="N38" i="785" s="1"/>
  <c r="O34" i="630"/>
  <c r="P34" i="630" s="1"/>
  <c r="M131" i="785"/>
  <c r="N131" i="785" s="1"/>
  <c r="S131" i="785" s="1"/>
  <c r="M108" i="785"/>
  <c r="N108" i="785" s="1"/>
  <c r="S108" i="785" s="1"/>
  <c r="H105" i="630"/>
  <c r="O10" i="630"/>
  <c r="O41" i="630"/>
  <c r="P41" i="630" s="1"/>
  <c r="U41" i="630" s="1"/>
  <c r="M57" i="785"/>
  <c r="N57" i="785" s="1"/>
  <c r="H106" i="630"/>
  <c r="E106" i="630"/>
  <c r="E108" i="630" s="1"/>
  <c r="E268" i="630" s="1"/>
  <c r="M172" i="785"/>
  <c r="N172" i="785" s="1"/>
  <c r="M132" i="785"/>
  <c r="N132" i="785" s="1"/>
  <c r="S132" i="785" s="1"/>
  <c r="O19" i="630"/>
  <c r="P19" i="630" s="1"/>
  <c r="M75" i="785"/>
  <c r="N75" i="785" s="1"/>
  <c r="H304" i="785"/>
  <c r="M129" i="785"/>
  <c r="N129" i="785" s="1"/>
  <c r="S129" i="785" s="1"/>
  <c r="O12" i="630"/>
  <c r="P12" i="630" s="1"/>
  <c r="U12" i="630" s="1"/>
  <c r="M255" i="785"/>
  <c r="O11" i="630"/>
  <c r="P11" i="630" s="1"/>
  <c r="M22" i="812"/>
  <c r="N22" i="812" s="1"/>
  <c r="O43" i="630"/>
  <c r="P43" i="630" s="1"/>
  <c r="M170" i="785"/>
  <c r="N170" i="785" s="1"/>
  <c r="O33" i="630"/>
  <c r="P33" i="630" s="1"/>
  <c r="U33" i="630" s="1"/>
  <c r="M133" i="785"/>
  <c r="N133" i="785" s="1"/>
  <c r="S133" i="785" s="1"/>
  <c r="M249" i="785"/>
  <c r="M81" i="785"/>
  <c r="N81" i="785" s="1"/>
  <c r="S81" i="785" s="1"/>
  <c r="H32" i="812"/>
  <c r="O24" i="630"/>
  <c r="P24" i="630" s="1"/>
  <c r="U24" i="630" s="1"/>
  <c r="M42" i="785"/>
  <c r="N42" i="785" s="1"/>
  <c r="M297" i="785"/>
  <c r="N297" i="785" s="1"/>
  <c r="M79" i="785"/>
  <c r="N79" i="785" s="1"/>
  <c r="K280" i="785"/>
  <c r="K304" i="785"/>
  <c r="L59" i="812"/>
  <c r="L301" i="785"/>
  <c r="L303" i="785" s="1"/>
  <c r="L152" i="785"/>
  <c r="N269" i="630" s="1"/>
  <c r="O308" i="630"/>
  <c r="O297" i="630" s="1"/>
  <c r="J157" i="785"/>
  <c r="J152" i="785"/>
  <c r="L269" i="630" s="1"/>
  <c r="J334" i="785"/>
  <c r="F315" i="785"/>
  <c r="F334" i="785" s="1"/>
  <c r="F332" i="785" s="1"/>
  <c r="D304" i="630" s="1"/>
  <c r="I30" i="812"/>
  <c r="F264" i="630"/>
  <c r="L105" i="630"/>
  <c r="P260" i="630"/>
  <c r="S251" i="785"/>
  <c r="F62" i="785"/>
  <c r="I103" i="630"/>
  <c r="M258" i="785"/>
  <c r="M181" i="785"/>
  <c r="O57" i="630"/>
  <c r="P57" i="630" s="1"/>
  <c r="M143" i="785"/>
  <c r="N143" i="785" s="1"/>
  <c r="S143" i="785" s="1"/>
  <c r="M37" i="785"/>
  <c r="N37" i="785" s="1"/>
  <c r="M47" i="785"/>
  <c r="N47" i="785" s="1"/>
  <c r="S47" i="785" s="1"/>
  <c r="O26" i="630"/>
  <c r="P26" i="630" s="1"/>
  <c r="M24" i="785"/>
  <c r="N24" i="785" s="1"/>
  <c r="M324" i="785"/>
  <c r="N324" i="785" s="1"/>
  <c r="S324" i="785" s="1"/>
  <c r="M180" i="785"/>
  <c r="M109" i="785"/>
  <c r="N109" i="785" s="1"/>
  <c r="S109" i="785" s="1"/>
  <c r="M23" i="785"/>
  <c r="N23" i="785" s="1"/>
  <c r="M103" i="785"/>
  <c r="N103" i="785" s="1"/>
  <c r="S103" i="785" s="1"/>
  <c r="H103" i="630"/>
  <c r="M68" i="785"/>
  <c r="N68" i="785" s="1"/>
  <c r="S68" i="785" s="1"/>
  <c r="O16" i="630"/>
  <c r="P16" i="630" s="1"/>
  <c r="U16" i="630" s="1"/>
  <c r="O42" i="630"/>
  <c r="P42" i="630" s="1"/>
  <c r="O32" i="630"/>
  <c r="P32" i="630" s="1"/>
  <c r="O54" i="630"/>
  <c r="P54" i="630" s="1"/>
  <c r="M148" i="785"/>
  <c r="N148" i="785" s="1"/>
  <c r="S148" i="785" s="1"/>
  <c r="M71" i="785"/>
  <c r="N71" i="785" s="1"/>
  <c r="S71" i="785" s="1"/>
  <c r="M72" i="785"/>
  <c r="N72" i="785" s="1"/>
  <c r="S72" i="785" s="1"/>
  <c r="M275" i="785"/>
  <c r="M56" i="785"/>
  <c r="N56" i="785" s="1"/>
  <c r="M126" i="785"/>
  <c r="N126" i="785" s="1"/>
  <c r="S126" i="785" s="1"/>
  <c r="M254" i="785"/>
  <c r="M15" i="785"/>
  <c r="N15" i="785" s="1"/>
  <c r="M121" i="785"/>
  <c r="N121" i="785" s="1"/>
  <c r="S121" i="785" s="1"/>
  <c r="M30" i="785"/>
  <c r="N30" i="785" s="1"/>
  <c r="M298" i="785"/>
  <c r="N298" i="785" s="1"/>
  <c r="S298" i="785" s="1"/>
  <c r="M90" i="785"/>
  <c r="N90" i="785" s="1"/>
  <c r="S90" i="785" s="1"/>
  <c r="M97" i="785"/>
  <c r="N97" i="785" s="1"/>
  <c r="S97" i="785" s="1"/>
  <c r="O28" i="630"/>
  <c r="P28" i="630" s="1"/>
  <c r="M189" i="785"/>
  <c r="N189" i="785" s="1"/>
  <c r="O50" i="630"/>
  <c r="P50" i="630" s="1"/>
  <c r="O31" i="630"/>
  <c r="P31" i="630" s="1"/>
  <c r="M138" i="785"/>
  <c r="N138" i="785" s="1"/>
  <c r="H151" i="785"/>
  <c r="M36" i="785"/>
  <c r="M117" i="785"/>
  <c r="N117" i="785" s="1"/>
  <c r="S117" i="785" s="1"/>
  <c r="M235" i="785"/>
  <c r="M19" i="812"/>
  <c r="N19" i="812" s="1"/>
  <c r="S19" i="812" s="1"/>
  <c r="M16" i="812"/>
  <c r="N16" i="812" s="1"/>
  <c r="M77" i="785"/>
  <c r="N77" i="785" s="1"/>
  <c r="S77" i="785" s="1"/>
  <c r="M111" i="785"/>
  <c r="N111" i="785" s="1"/>
  <c r="S111" i="785" s="1"/>
  <c r="M16" i="785"/>
  <c r="N16" i="785" s="1"/>
  <c r="M264" i="630"/>
  <c r="M103" i="630"/>
  <c r="K194" i="785"/>
  <c r="L155" i="785"/>
  <c r="N103" i="630"/>
  <c r="L280" i="785"/>
  <c r="L30" i="812"/>
  <c r="N104" i="630"/>
  <c r="T308" i="630"/>
  <c r="T307" i="630" s="1"/>
  <c r="J59" i="812"/>
  <c r="F212" i="785"/>
  <c r="L106" i="630"/>
  <c r="I106" i="630"/>
  <c r="I105" i="630"/>
  <c r="I59" i="812"/>
  <c r="J30" i="812"/>
  <c r="M73" i="785"/>
  <c r="N73" i="785" s="1"/>
  <c r="M250" i="785"/>
  <c r="M41" i="785"/>
  <c r="N41" i="785" s="1"/>
  <c r="S41" i="785" s="1"/>
  <c r="M299" i="785"/>
  <c r="N299" i="785" s="1"/>
  <c r="S299" i="785" s="1"/>
  <c r="M27" i="785"/>
  <c r="N27" i="785" s="1"/>
  <c r="M137" i="785"/>
  <c r="N137" i="785" s="1"/>
  <c r="S137" i="785" s="1"/>
  <c r="O21" i="630"/>
  <c r="P21" i="630" s="1"/>
  <c r="U21" i="630" s="1"/>
  <c r="M39" i="785"/>
  <c r="N39" i="785" s="1"/>
  <c r="S39" i="785" s="1"/>
  <c r="O39" i="630"/>
  <c r="P39" i="630" s="1"/>
  <c r="U39" i="630" s="1"/>
  <c r="O47" i="630"/>
  <c r="P47" i="630" s="1"/>
  <c r="O56" i="630"/>
  <c r="P56" i="630" s="1"/>
  <c r="M119" i="785"/>
  <c r="N119" i="785" s="1"/>
  <c r="S119" i="785" s="1"/>
  <c r="M296" i="785"/>
  <c r="N296" i="785" s="1"/>
  <c r="M83" i="785"/>
  <c r="N83" i="785" s="1"/>
  <c r="M185" i="785"/>
  <c r="H301" i="785"/>
  <c r="H303" i="785" s="1"/>
  <c r="M293" i="785"/>
  <c r="M262" i="785"/>
  <c r="O51" i="630"/>
  <c r="P51" i="630" s="1"/>
  <c r="M93" i="785"/>
  <c r="N93" i="785" s="1"/>
  <c r="S93" i="785" s="1"/>
  <c r="O38" i="630"/>
  <c r="P38" i="630" s="1"/>
  <c r="M184" i="785"/>
  <c r="M318" i="785"/>
  <c r="N318" i="785" s="1"/>
  <c r="S318" i="785" s="1"/>
  <c r="M17" i="812"/>
  <c r="N17" i="812" s="1"/>
  <c r="M23" i="812"/>
  <c r="N23" i="812" s="1"/>
  <c r="S23" i="812" s="1"/>
  <c r="H332" i="785"/>
  <c r="M49" i="785"/>
  <c r="N49" i="785" s="1"/>
  <c r="S49" i="785" s="1"/>
  <c r="O23" i="630"/>
  <c r="P23" i="630" s="1"/>
  <c r="U23" i="630" s="1"/>
  <c r="H62" i="812"/>
  <c r="H63" i="812"/>
  <c r="M317" i="785"/>
  <c r="N317" i="785" s="1"/>
  <c r="M25" i="812"/>
  <c r="N25" i="812" s="1"/>
  <c r="S25" i="812" s="1"/>
  <c r="O44" i="630"/>
  <c r="P44" i="630" s="1"/>
  <c r="M325" i="785"/>
  <c r="N325" i="785" s="1"/>
  <c r="S325" i="785" s="1"/>
  <c r="M190" i="785"/>
  <c r="N190" i="785" s="1"/>
  <c r="M60" i="785"/>
  <c r="N60" i="785" s="1"/>
  <c r="O40" i="630"/>
  <c r="P40" i="630" s="1"/>
  <c r="U40" i="630" s="1"/>
  <c r="M59" i="785"/>
  <c r="N59" i="785" s="1"/>
  <c r="M66" i="785"/>
  <c r="M257" i="785"/>
  <c r="N257" i="785" s="1"/>
  <c r="M104" i="785"/>
  <c r="N104" i="785" s="1"/>
  <c r="S104" i="785" s="1"/>
  <c r="M43" i="785"/>
  <c r="N43" i="785" s="1"/>
  <c r="M326" i="785"/>
  <c r="N326" i="785" s="1"/>
  <c r="S326" i="785" s="1"/>
  <c r="M74" i="785"/>
  <c r="N74" i="785" s="1"/>
  <c r="M191" i="785"/>
  <c r="M145" i="785"/>
  <c r="N145" i="785" s="1"/>
  <c r="S145" i="785" s="1"/>
  <c r="M260" i="785"/>
  <c r="N260" i="785" s="1"/>
  <c r="O45" i="630"/>
  <c r="P45" i="630" s="1"/>
  <c r="U45" i="630" s="1"/>
  <c r="O17" i="630"/>
  <c r="P17" i="630" s="1"/>
  <c r="O20" i="630"/>
  <c r="P20" i="630" s="1"/>
  <c r="M171" i="785"/>
  <c r="N171" i="785" s="1"/>
  <c r="M19" i="785"/>
  <c r="N19" i="785" s="1"/>
  <c r="O59" i="630"/>
  <c r="P59" i="630" s="1"/>
  <c r="M32" i="785"/>
  <c r="N32" i="785" s="1"/>
  <c r="O46" i="630"/>
  <c r="P46" i="630" s="1"/>
  <c r="M167" i="785"/>
  <c r="N167" i="785" s="1"/>
  <c r="S167" i="785" s="1"/>
  <c r="H30" i="812"/>
  <c r="M13" i="812"/>
  <c r="N13" i="812" s="1"/>
  <c r="S13" i="812" s="1"/>
  <c r="M113" i="785"/>
  <c r="N113" i="785" s="1"/>
  <c r="S113" i="785" s="1"/>
  <c r="M149" i="785"/>
  <c r="N149" i="785" s="1"/>
  <c r="S149" i="785" s="1"/>
  <c r="M18" i="785"/>
  <c r="N18" i="785" s="1"/>
  <c r="M273" i="785"/>
  <c r="O35" i="630"/>
  <c r="P35" i="630" s="1"/>
  <c r="U161" i="630"/>
  <c r="O22" i="630"/>
  <c r="P22" i="630" s="1"/>
  <c r="O55" i="630"/>
  <c r="P55" i="630" s="1"/>
  <c r="M86" i="785"/>
  <c r="N86" i="785" s="1"/>
  <c r="S86" i="785" s="1"/>
  <c r="M91" i="785"/>
  <c r="N91" i="785" s="1"/>
  <c r="S91" i="785" s="1"/>
  <c r="O48" i="630"/>
  <c r="P48" i="630" s="1"/>
  <c r="K30" i="812"/>
  <c r="K34" i="812" s="1"/>
  <c r="M106" i="630"/>
  <c r="K152" i="785"/>
  <c r="M269" i="630" s="1"/>
  <c r="M105" i="630"/>
  <c r="N106" i="630"/>
  <c r="L304" i="785"/>
  <c r="N264" i="630"/>
  <c r="L195" i="785"/>
  <c r="U119" i="630" l="1"/>
  <c r="R131" i="630"/>
  <c r="P319" i="785"/>
  <c r="S319" i="785"/>
  <c r="S245" i="785"/>
  <c r="F280" i="785"/>
  <c r="N275" i="785"/>
  <c r="M278" i="785"/>
  <c r="J277" i="785"/>
  <c r="J279" i="785" s="1"/>
  <c r="N177" i="785"/>
  <c r="S177" i="785" s="1"/>
  <c r="N168" i="785"/>
  <c r="P169" i="785" s="1"/>
  <c r="N176" i="785"/>
  <c r="S176" i="785" s="1"/>
  <c r="N185" i="785"/>
  <c r="S185" i="785" s="1"/>
  <c r="N192" i="785"/>
  <c r="S192" i="785" s="1"/>
  <c r="N182" i="785"/>
  <c r="S182" i="785" s="1"/>
  <c r="N180" i="785"/>
  <c r="S180" i="785" s="1"/>
  <c r="N191" i="785"/>
  <c r="S191" i="785" s="1"/>
  <c r="S181" i="785"/>
  <c r="N181" i="785"/>
  <c r="N183" i="785"/>
  <c r="S183" i="785" s="1"/>
  <c r="N184" i="785"/>
  <c r="S184" i="785" s="1"/>
  <c r="N186" i="785"/>
  <c r="S186" i="785" s="1"/>
  <c r="N254" i="785"/>
  <c r="S254" i="785" s="1"/>
  <c r="N234" i="785"/>
  <c r="S234" i="785" s="1"/>
  <c r="N269" i="785"/>
  <c r="S269" i="785" s="1"/>
  <c r="N273" i="785"/>
  <c r="S273" i="785" s="1"/>
  <c r="N225" i="785"/>
  <c r="S225" i="785" s="1"/>
  <c r="N226" i="785"/>
  <c r="S226" i="785" s="1"/>
  <c r="S235" i="785"/>
  <c r="N235" i="785"/>
  <c r="N214" i="785"/>
  <c r="S214" i="785" s="1"/>
  <c r="N223" i="785"/>
  <c r="S223" i="785" s="1"/>
  <c r="N258" i="785"/>
  <c r="S258" i="785" s="1"/>
  <c r="N230" i="785"/>
  <c r="S215" i="785"/>
  <c r="N215" i="785"/>
  <c r="S264" i="785"/>
  <c r="N264" i="785"/>
  <c r="N250" i="785"/>
  <c r="N249" i="785"/>
  <c r="S249" i="785" s="1"/>
  <c r="N265" i="785"/>
  <c r="S265" i="785" s="1"/>
  <c r="N220" i="785"/>
  <c r="N262" i="785"/>
  <c r="S262" i="785" s="1"/>
  <c r="N255" i="785"/>
  <c r="S236" i="785"/>
  <c r="N236" i="785"/>
  <c r="N221" i="785"/>
  <c r="S221" i="785" s="1"/>
  <c r="I279" i="785"/>
  <c r="F155" i="785"/>
  <c r="C296" i="630" s="1"/>
  <c r="F153" i="785"/>
  <c r="M153" i="785"/>
  <c r="P15" i="785"/>
  <c r="P17" i="785"/>
  <c r="S61" i="785"/>
  <c r="H315" i="630"/>
  <c r="O262" i="630"/>
  <c r="O261" i="630"/>
  <c r="O263" i="630"/>
  <c r="AG315" i="630"/>
  <c r="AG314" i="630" s="1"/>
  <c r="P168" i="785"/>
  <c r="R13" i="630"/>
  <c r="P19" i="785"/>
  <c r="S42" i="785"/>
  <c r="S178" i="785"/>
  <c r="S228" i="785"/>
  <c r="BI37" i="785"/>
  <c r="S63" i="785"/>
  <c r="H281" i="785"/>
  <c r="N266" i="630"/>
  <c r="H34" i="812"/>
  <c r="K305" i="785"/>
  <c r="L279" i="785"/>
  <c r="L305" i="785"/>
  <c r="S59" i="812"/>
  <c r="I305" i="785"/>
  <c r="J197" i="785"/>
  <c r="L34" i="812"/>
  <c r="H197" i="785"/>
  <c r="L197" i="785"/>
  <c r="I154" i="785"/>
  <c r="I156" i="785" s="1"/>
  <c r="I281" i="785"/>
  <c r="L281" i="785"/>
  <c r="L273" i="630"/>
  <c r="B308" i="630"/>
  <c r="B297" i="630" s="1"/>
  <c r="F308" i="630"/>
  <c r="F307" i="630" s="1"/>
  <c r="I273" i="630"/>
  <c r="I33" i="812"/>
  <c r="I196" i="785"/>
  <c r="S30" i="812"/>
  <c r="M270" i="630"/>
  <c r="M265" i="630"/>
  <c r="M266" i="630"/>
  <c r="N293" i="785"/>
  <c r="M301" i="785"/>
  <c r="P296" i="785"/>
  <c r="S296" i="785"/>
  <c r="N41" i="812"/>
  <c r="N59" i="812" s="1"/>
  <c r="M59" i="812"/>
  <c r="J63" i="812"/>
  <c r="J62" i="812"/>
  <c r="N271" i="630"/>
  <c r="F265" i="630"/>
  <c r="L63" i="812"/>
  <c r="L62" i="812"/>
  <c r="H33" i="812"/>
  <c r="S229" i="785"/>
  <c r="H273" i="630"/>
  <c r="P298" i="785"/>
  <c r="S295" i="785"/>
  <c r="J154" i="785"/>
  <c r="J272" i="630" s="1"/>
  <c r="L108" i="630"/>
  <c r="L268" i="630" s="1"/>
  <c r="N273" i="630"/>
  <c r="H196" i="785"/>
  <c r="M332" i="785"/>
  <c r="N316" i="785"/>
  <c r="P323" i="785" s="1"/>
  <c r="S327" i="785"/>
  <c r="P324" i="785"/>
  <c r="P104" i="630"/>
  <c r="O104" i="630"/>
  <c r="J33" i="812"/>
  <c r="J34" i="812" s="1"/>
  <c r="I270" i="630"/>
  <c r="L270" i="630" s="1"/>
  <c r="I266" i="630"/>
  <c r="I265" i="630"/>
  <c r="H271" i="630"/>
  <c r="S233" i="785"/>
  <c r="U56" i="630"/>
  <c r="S18" i="785"/>
  <c r="S152" i="785" s="1"/>
  <c r="S260" i="785"/>
  <c r="P325" i="785"/>
  <c r="S317" i="785"/>
  <c r="I63" i="812"/>
  <c r="I62" i="812"/>
  <c r="N107" i="630"/>
  <c r="N108" i="630"/>
  <c r="N36" i="785"/>
  <c r="P14" i="785" s="1"/>
  <c r="M151" i="785"/>
  <c r="H265" i="630"/>
  <c r="H266" i="630"/>
  <c r="H270" i="630"/>
  <c r="P264" i="630"/>
  <c r="F336" i="785"/>
  <c r="F335" i="785"/>
  <c r="K33" i="812"/>
  <c r="K281" i="785"/>
  <c r="H305" i="785"/>
  <c r="S172" i="785"/>
  <c r="S57" i="785"/>
  <c r="J305" i="785"/>
  <c r="N13" i="785"/>
  <c r="M156" i="785"/>
  <c r="M152" i="785"/>
  <c r="O269" i="630" s="1"/>
  <c r="P269" i="630" s="1"/>
  <c r="L196" i="785"/>
  <c r="N265" i="630"/>
  <c r="K154" i="785"/>
  <c r="N195" i="785"/>
  <c r="M195" i="785"/>
  <c r="F32" i="812"/>
  <c r="F30" i="812"/>
  <c r="J196" i="785"/>
  <c r="K197" i="785"/>
  <c r="K196" i="785"/>
  <c r="H154" i="785"/>
  <c r="H157" i="785" s="1"/>
  <c r="O103" i="630"/>
  <c r="U57" i="630"/>
  <c r="I108" i="630"/>
  <c r="I107" i="630"/>
  <c r="N12" i="812"/>
  <c r="M30" i="812"/>
  <c r="J332" i="785"/>
  <c r="J335" i="785" s="1"/>
  <c r="C304" i="630"/>
  <c r="N304" i="630" s="1"/>
  <c r="O299" i="630"/>
  <c r="L154" i="785"/>
  <c r="L157" i="785" s="1"/>
  <c r="L33" i="812"/>
  <c r="S217" i="785"/>
  <c r="H279" i="785"/>
  <c r="M280" i="785"/>
  <c r="S75" i="785"/>
  <c r="F305" i="785"/>
  <c r="N155" i="785"/>
  <c r="M108" i="630"/>
  <c r="M273" i="630"/>
  <c r="N66" i="785"/>
  <c r="H335" i="785"/>
  <c r="H336" i="785"/>
  <c r="F106" i="630"/>
  <c r="H107" i="630"/>
  <c r="H108" i="630"/>
  <c r="S330" i="785"/>
  <c r="I34" i="812"/>
  <c r="M271" i="630"/>
  <c r="P10" i="630"/>
  <c r="O105" i="630"/>
  <c r="S122" i="785"/>
  <c r="I197" i="785"/>
  <c r="I335" i="785"/>
  <c r="I336" i="785"/>
  <c r="M155" i="785"/>
  <c r="L336" i="785"/>
  <c r="L335" i="785"/>
  <c r="M194" i="785"/>
  <c r="S58" i="785"/>
  <c r="S173" i="785"/>
  <c r="I271" i="630"/>
  <c r="P261" i="630"/>
  <c r="L265" i="630"/>
  <c r="L267" i="630" s="1"/>
  <c r="P232" i="785" l="1"/>
  <c r="N277" i="785"/>
  <c r="P206" i="785"/>
  <c r="N281" i="785"/>
  <c r="P233" i="785"/>
  <c r="P216" i="785"/>
  <c r="P23" i="785" s="1"/>
  <c r="M277" i="785"/>
  <c r="M281" i="785" s="1"/>
  <c r="N278" i="785"/>
  <c r="G315" i="630"/>
  <c r="A315" i="630"/>
  <c r="C315" i="630"/>
  <c r="S230" i="785"/>
  <c r="F277" i="785"/>
  <c r="D300" i="630" s="1"/>
  <c r="P170" i="785"/>
  <c r="S250" i="785"/>
  <c r="S220" i="785"/>
  <c r="S255" i="785"/>
  <c r="S240" i="785"/>
  <c r="F154" i="785"/>
  <c r="D296" i="630" s="1"/>
  <c r="P18" i="785"/>
  <c r="N153" i="785"/>
  <c r="F315" i="630"/>
  <c r="E315" i="630"/>
  <c r="I315" i="630"/>
  <c r="B315" i="630"/>
  <c r="P262" i="630"/>
  <c r="U262" i="630" s="1"/>
  <c r="U176" i="630"/>
  <c r="P263" i="630"/>
  <c r="U263" i="630" s="1"/>
  <c r="N30" i="812"/>
  <c r="N33" i="812" s="1"/>
  <c r="N34" i="812" s="1"/>
  <c r="S12" i="812"/>
  <c r="F108" i="630"/>
  <c r="F268" i="630" s="1"/>
  <c r="R19" i="630"/>
  <c r="R16" i="630" s="1"/>
  <c r="R103" i="630" s="1"/>
  <c r="P105" i="630"/>
  <c r="U105" i="630" s="1"/>
  <c r="P167" i="785"/>
  <c r="N268" i="630"/>
  <c r="L156" i="785"/>
  <c r="I268" i="630"/>
  <c r="AH315" i="630"/>
  <c r="M268" i="630"/>
  <c r="M196" i="785"/>
  <c r="S301" i="785"/>
  <c r="I272" i="630"/>
  <c r="L272" i="630" s="1"/>
  <c r="I267" i="630"/>
  <c r="H274" i="630"/>
  <c r="H267" i="630"/>
  <c r="J336" i="785"/>
  <c r="L274" i="630" s="1"/>
  <c r="I274" i="630" s="1"/>
  <c r="F34" i="812"/>
  <c r="J156" i="785"/>
  <c r="H268" i="630"/>
  <c r="O270" i="630"/>
  <c r="P270" i="630" s="1"/>
  <c r="S153" i="785"/>
  <c r="M34" i="812"/>
  <c r="M33" i="812"/>
  <c r="H272" i="630"/>
  <c r="S36" i="785"/>
  <c r="S151" i="785" s="1"/>
  <c r="N151" i="785"/>
  <c r="M305" i="785"/>
  <c r="M303" i="785"/>
  <c r="M197" i="785"/>
  <c r="N296" i="630"/>
  <c r="P320" i="785"/>
  <c r="P332" i="785" s="1"/>
  <c r="N332" i="785"/>
  <c r="N300" i="630"/>
  <c r="P300" i="630" s="1"/>
  <c r="N301" i="785"/>
  <c r="N303" i="785" s="1"/>
  <c r="N305" i="785" s="1"/>
  <c r="T301" i="785" s="1"/>
  <c r="P297" i="785"/>
  <c r="P301" i="785" s="1"/>
  <c r="N302" i="630"/>
  <c r="N280" i="785"/>
  <c r="O108" i="630"/>
  <c r="O107" i="630"/>
  <c r="K157" i="785"/>
  <c r="K272" i="630"/>
  <c r="M272" i="630"/>
  <c r="M274" i="630" s="1"/>
  <c r="N267" i="630"/>
  <c r="M336" i="785"/>
  <c r="M335" i="785"/>
  <c r="K156" i="785"/>
  <c r="M63" i="812"/>
  <c r="M62" i="812"/>
  <c r="L271" i="630"/>
  <c r="S66" i="785"/>
  <c r="O267" i="630"/>
  <c r="O266" i="630"/>
  <c r="O268" i="630"/>
  <c r="O265" i="630"/>
  <c r="R128" i="630"/>
  <c r="R144" i="630" s="1"/>
  <c r="U118" i="630"/>
  <c r="N194" i="785"/>
  <c r="N196" i="785" s="1"/>
  <c r="S166" i="785"/>
  <c r="S194" i="785" s="1"/>
  <c r="O273" i="630"/>
  <c r="P273" i="630" s="1"/>
  <c r="U74" i="630"/>
  <c r="P106" i="630"/>
  <c r="P103" i="630"/>
  <c r="U62" i="630"/>
  <c r="F33" i="812"/>
  <c r="N157" i="785"/>
  <c r="D315" i="630"/>
  <c r="P13" i="785"/>
  <c r="N152" i="785"/>
  <c r="N156" i="785"/>
  <c r="M154" i="785"/>
  <c r="N272" i="630"/>
  <c r="N274" i="630" s="1"/>
  <c r="S332" i="785"/>
  <c r="N62" i="812"/>
  <c r="N63" i="812"/>
  <c r="P245" i="785" l="1"/>
  <c r="P277" i="785" s="1"/>
  <c r="O271" i="630"/>
  <c r="P271" i="630" s="1"/>
  <c r="M279" i="785"/>
  <c r="S277" i="785"/>
  <c r="F279" i="785"/>
  <c r="F271" i="630"/>
  <c r="F281" i="785"/>
  <c r="P296" i="630"/>
  <c r="N308" i="630"/>
  <c r="N297" i="630" s="1"/>
  <c r="N279" i="785"/>
  <c r="P16" i="785"/>
  <c r="P150" i="785" s="1"/>
  <c r="F157" i="785"/>
  <c r="R265" i="630"/>
  <c r="L315" i="630"/>
  <c r="D316" i="630" s="1"/>
  <c r="F272" i="630"/>
  <c r="P25" i="785"/>
  <c r="P153" i="785" s="1"/>
  <c r="R107" i="630"/>
  <c r="R105" i="630"/>
  <c r="P108" i="630"/>
  <c r="W103" i="630" s="1"/>
  <c r="P107" i="630"/>
  <c r="U103" i="630"/>
  <c r="P171" i="785"/>
  <c r="P194" i="785" s="1"/>
  <c r="T276" i="785"/>
  <c r="N336" i="785"/>
  <c r="N335" i="785"/>
  <c r="Q283" i="630"/>
  <c r="N154" i="785"/>
  <c r="F156" i="785"/>
  <c r="S154" i="785"/>
  <c r="Q282" i="630"/>
  <c r="P266" i="630"/>
  <c r="P265" i="630"/>
  <c r="U261" i="630"/>
  <c r="N197" i="785"/>
  <c r="O272" i="630"/>
  <c r="P272" i="630" s="1"/>
  <c r="M157" i="785"/>
  <c r="C308" i="630"/>
  <c r="C297" i="630" s="1"/>
  <c r="P280" i="785" l="1"/>
  <c r="P274" i="630"/>
  <c r="O274" i="630" s="1"/>
  <c r="F274" i="630"/>
  <c r="B416" i="630"/>
  <c r="B414" i="630" s="1"/>
  <c r="P268" i="630"/>
  <c r="N301" i="630"/>
  <c r="R263" i="630"/>
  <c r="P154" i="785"/>
  <c r="Q289" i="630"/>
  <c r="C301" i="630"/>
  <c r="C303" i="630"/>
  <c r="N307" i="630"/>
  <c r="N305" i="630"/>
  <c r="N303" i="630"/>
  <c r="E316" i="630"/>
  <c r="D308" i="630"/>
  <c r="C307" i="630"/>
  <c r="P267" i="630"/>
  <c r="P279" i="785"/>
  <c r="C316" i="630"/>
  <c r="A316" i="630"/>
  <c r="G316" i="630"/>
  <c r="I316" i="630"/>
  <c r="F316" i="630"/>
  <c r="H316" i="630"/>
  <c r="B316" i="630"/>
  <c r="P308" i="630"/>
  <c r="Q281" i="630" l="1"/>
  <c r="O275" i="630"/>
  <c r="P275" i="630"/>
  <c r="D310" i="630"/>
  <c r="D305" i="630"/>
  <c r="D297" i="630"/>
  <c r="P299" i="630"/>
  <c r="P303" i="630"/>
  <c r="P305" i="630"/>
  <c r="P307" i="630"/>
  <c r="P301" i="630"/>
  <c r="P297" i="630"/>
  <c r="O310" i="630"/>
  <c r="D307" i="630"/>
  <c r="D303" i="630"/>
  <c r="D299" i="630"/>
  <c r="D301" i="630"/>
  <c r="T282" i="630" l="1"/>
  <c r="Q290" i="630"/>
  <c r="T283" i="630"/>
  <c r="Q287" i="630"/>
  <c r="T291" i="630" s="1"/>
  <c r="Q284" i="630"/>
  <c r="T284" i="630" s="1"/>
  <c r="F309" i="630"/>
  <c r="D309" i="630"/>
  <c r="B309" i="630"/>
  <c r="D311" i="630"/>
  <c r="V316" i="630"/>
  <c r="M316" i="630"/>
  <c r="R316" i="630"/>
  <c r="O316" i="630"/>
  <c r="O311" i="630"/>
  <c r="T288" i="630" s="1"/>
  <c r="S316" i="630"/>
  <c r="Z316" i="630"/>
  <c r="N316" i="630"/>
  <c r="P316" i="630"/>
  <c r="U316" i="630"/>
  <c r="Q316" i="630"/>
  <c r="X316" i="630"/>
  <c r="AE316" i="630"/>
  <c r="AA316" i="630"/>
  <c r="Y316" i="630"/>
  <c r="W316" i="630"/>
  <c r="AC316" i="630"/>
  <c r="AB316" i="630"/>
  <c r="T316" i="630"/>
  <c r="O309" i="630"/>
  <c r="T309" i="630"/>
  <c r="AD316" i="630"/>
  <c r="N309" i="630"/>
  <c r="P309" i="630"/>
  <c r="T290" i="630" l="1"/>
  <c r="T289" i="630"/>
  <c r="B130" i="801"/>
  <c r="C130" i="801" s="1"/>
  <c r="B121" i="801"/>
  <c r="C121" i="801" s="1"/>
  <c r="B143" i="801"/>
  <c r="C143" i="801" s="1"/>
  <c r="B136" i="801"/>
  <c r="C136" i="801" s="1"/>
  <c r="B137" i="801"/>
  <c r="C137" i="801" s="1"/>
  <c r="B126" i="801"/>
  <c r="C126" i="801" s="1"/>
  <c r="B127" i="801"/>
  <c r="C127" i="801" s="1"/>
  <c r="B134" i="801"/>
  <c r="C134" i="801" s="1"/>
  <c r="B112" i="801"/>
  <c r="C112" i="801" s="1"/>
  <c r="B129" i="801"/>
  <c r="C129" i="801" s="1"/>
  <c r="B118" i="801"/>
  <c r="C118" i="801" s="1"/>
  <c r="B117" i="801"/>
  <c r="C117" i="801" s="1"/>
  <c r="B133" i="801"/>
  <c r="C133" i="801" s="1"/>
  <c r="B114" i="801"/>
  <c r="C114" i="801" s="1"/>
  <c r="B135" i="801"/>
  <c r="C135" i="801" s="1"/>
  <c r="B115" i="801"/>
  <c r="C115" i="801" s="1"/>
  <c r="B116" i="801"/>
  <c r="C116" i="801" s="1"/>
  <c r="B132" i="801"/>
  <c r="C132" i="801" s="1"/>
  <c r="B131" i="801"/>
  <c r="C131" i="801" s="1"/>
  <c r="B128" i="801"/>
  <c r="C128" i="801" s="1"/>
  <c r="B122" i="801"/>
  <c r="C122" i="801" s="1"/>
  <c r="B142" i="801"/>
  <c r="C142" i="801" s="1"/>
  <c r="B113" i="801"/>
  <c r="C113" i="801" s="1"/>
  <c r="B124" i="801"/>
  <c r="C124" i="801" s="1"/>
  <c r="B141" i="801"/>
  <c r="C141" i="801" s="1"/>
  <c r="B138" i="801"/>
  <c r="C138" i="801" s="1"/>
  <c r="B119" i="801"/>
  <c r="C119" i="801" s="1"/>
  <c r="B109" i="801"/>
  <c r="C109" i="801" s="1"/>
  <c r="B125" i="801"/>
  <c r="C125" i="801" s="1"/>
  <c r="B139" i="801"/>
  <c r="C139" i="801" s="1"/>
  <c r="B110" i="801"/>
  <c r="C110" i="801" s="1"/>
  <c r="B111" i="801"/>
  <c r="C111" i="801" s="1"/>
  <c r="B123" i="801"/>
  <c r="C123" i="801" s="1"/>
  <c r="B120" i="801"/>
  <c r="C120" i="801" s="1"/>
  <c r="B140" i="801"/>
  <c r="C140" i="801" s="1"/>
  <c r="B105" i="801"/>
  <c r="C105" i="801" s="1"/>
  <c r="B103" i="801"/>
  <c r="C103" i="801" s="1"/>
  <c r="B104" i="801"/>
  <c r="C104" i="801" s="1"/>
  <c r="B107" i="801"/>
  <c r="C107" i="801" s="1"/>
  <c r="B106" i="801"/>
  <c r="C106" i="801" s="1"/>
  <c r="B108" i="801"/>
  <c r="C108" i="801" s="1"/>
  <c r="B54" i="801"/>
  <c r="C54" i="801" s="1"/>
  <c r="B95" i="801"/>
  <c r="C95" i="801" s="1"/>
  <c r="B42" i="801"/>
  <c r="C42" i="801" s="1"/>
  <c r="B70" i="801"/>
  <c r="C70" i="801" s="1"/>
  <c r="B61" i="801"/>
  <c r="C61" i="801" s="1"/>
  <c r="B96" i="801"/>
  <c r="C96" i="801" s="1"/>
  <c r="B97" i="801"/>
  <c r="C97" i="801" s="1"/>
  <c r="B85" i="801"/>
  <c r="C85" i="801" s="1"/>
  <c r="B102" i="801"/>
  <c r="C102" i="801" s="1"/>
  <c r="B52" i="801"/>
  <c r="C52" i="801" s="1"/>
  <c r="B88" i="801"/>
  <c r="C88" i="801" s="1"/>
  <c r="B89" i="801"/>
  <c r="C89" i="801" s="1"/>
  <c r="B9" i="801"/>
  <c r="C9" i="801" s="1"/>
  <c r="B29" i="801"/>
  <c r="C29" i="801" s="1"/>
  <c r="B74" i="801"/>
  <c r="C74" i="801" s="1"/>
  <c r="B67" i="801"/>
  <c r="C67" i="801" s="1"/>
  <c r="B35" i="801"/>
  <c r="C35" i="801" s="1"/>
  <c r="B7" i="801"/>
  <c r="C7" i="801" s="1"/>
  <c r="B53" i="801"/>
  <c r="C53" i="801" s="1"/>
  <c r="B98" i="801"/>
  <c r="C98" i="801" s="1"/>
  <c r="B12" i="801"/>
  <c r="C12" i="801" s="1"/>
  <c r="B63" i="801"/>
  <c r="C63" i="801" s="1"/>
  <c r="B101" i="801"/>
  <c r="C101" i="801" s="1"/>
  <c r="B23" i="801"/>
  <c r="C23" i="801" s="1"/>
  <c r="B2" i="801"/>
  <c r="C2" i="801" s="1"/>
  <c r="B78" i="801"/>
  <c r="C78" i="801" s="1"/>
  <c r="B83" i="801"/>
  <c r="C83" i="801" s="1"/>
  <c r="B84" i="801"/>
  <c r="C84" i="801" s="1"/>
  <c r="B82" i="801"/>
  <c r="C82" i="801" s="1"/>
  <c r="B68" i="801"/>
  <c r="C68" i="801" s="1"/>
  <c r="B87" i="801"/>
  <c r="C87" i="801" s="1"/>
  <c r="B22" i="801"/>
  <c r="C22" i="801" s="1"/>
  <c r="B25" i="801"/>
  <c r="C25" i="801" s="1"/>
  <c r="B26" i="801"/>
  <c r="C26" i="801" s="1"/>
  <c r="B38" i="801"/>
  <c r="C38" i="801" s="1"/>
  <c r="B66" i="801"/>
  <c r="C66" i="801" s="1"/>
  <c r="B24" i="801"/>
  <c r="C24" i="801" s="1"/>
  <c r="B45" i="801"/>
  <c r="C45" i="801" s="1"/>
  <c r="B32" i="801"/>
  <c r="C32" i="801" s="1"/>
  <c r="B36" i="801"/>
  <c r="C36" i="801" s="1"/>
  <c r="B50" i="801"/>
  <c r="C50" i="801" s="1"/>
  <c r="B39" i="801"/>
  <c r="C39" i="801" s="1"/>
  <c r="B17" i="801"/>
  <c r="C17" i="801" s="1"/>
  <c r="B49" i="801"/>
  <c r="C49" i="801" s="1"/>
  <c r="B65" i="801"/>
  <c r="C65" i="801" s="1"/>
  <c r="B3" i="801"/>
  <c r="C3" i="801" s="1"/>
  <c r="B77" i="801"/>
  <c r="C77" i="801" s="1"/>
  <c r="B91" i="801"/>
  <c r="C91" i="801" s="1"/>
  <c r="B69" i="801"/>
  <c r="C69" i="801" s="1"/>
  <c r="B86" i="801"/>
  <c r="C86" i="801" s="1"/>
  <c r="B48" i="801"/>
  <c r="C48" i="801" s="1"/>
  <c r="B20" i="801"/>
  <c r="C20" i="801" s="1"/>
  <c r="B62" i="801"/>
  <c r="C62" i="801" s="1"/>
  <c r="B94" i="801"/>
  <c r="C94" i="801" s="1"/>
  <c r="B76" i="801"/>
  <c r="C76" i="801" s="1"/>
  <c r="B16" i="801"/>
  <c r="C16" i="801" s="1"/>
  <c r="B34" i="801"/>
  <c r="C34" i="801" s="1"/>
  <c r="B60" i="801"/>
  <c r="C60" i="801" s="1"/>
  <c r="B27" i="801"/>
  <c r="C27" i="801" s="1"/>
  <c r="B51" i="801"/>
  <c r="C51" i="801" s="1"/>
  <c r="B15" i="801"/>
  <c r="C15" i="801" s="1"/>
  <c r="B64" i="801"/>
  <c r="C64" i="801" s="1"/>
  <c r="B8" i="801"/>
  <c r="C8" i="801" s="1"/>
  <c r="B100" i="801"/>
  <c r="C100" i="801" s="1"/>
  <c r="B72" i="801"/>
  <c r="C72" i="801" s="1"/>
  <c r="B56" i="801"/>
  <c r="C56" i="801" s="1"/>
  <c r="B55" i="801"/>
  <c r="C55" i="801" s="1"/>
  <c r="B4" i="801"/>
  <c r="C4" i="801" s="1"/>
  <c r="B11" i="801"/>
  <c r="C11" i="801" s="1"/>
  <c r="B14" i="801"/>
  <c r="C14" i="801" s="1"/>
  <c r="B71" i="801"/>
  <c r="C71" i="801" s="1"/>
  <c r="B93" i="801"/>
  <c r="C93" i="801" s="1"/>
  <c r="B19" i="801"/>
  <c r="C19" i="801" s="1"/>
  <c r="B21" i="801"/>
  <c r="C21" i="801" s="1"/>
  <c r="B79" i="801"/>
  <c r="C79" i="801" s="1"/>
  <c r="B1" i="801"/>
  <c r="C1" i="801" s="1"/>
  <c r="B58" i="801"/>
  <c r="C58" i="801" s="1"/>
  <c r="B18" i="801"/>
  <c r="C18" i="801" s="1"/>
  <c r="B44" i="801"/>
  <c r="C44" i="801" s="1"/>
  <c r="B47" i="801"/>
  <c r="C47" i="801" s="1"/>
  <c r="B5" i="801"/>
  <c r="C5" i="801" s="1"/>
  <c r="B30" i="801"/>
  <c r="C30" i="801" s="1"/>
  <c r="B81" i="801"/>
  <c r="C81" i="801" s="1"/>
  <c r="B6" i="801"/>
  <c r="C6" i="801" s="1"/>
  <c r="B37" i="801"/>
  <c r="C37" i="801" s="1"/>
  <c r="B10" i="801"/>
  <c r="C10" i="801" s="1"/>
  <c r="B31" i="801"/>
  <c r="C31" i="801" s="1"/>
  <c r="B57" i="801"/>
  <c r="C57" i="801" s="1"/>
  <c r="B40" i="801"/>
  <c r="C40" i="801" s="1"/>
  <c r="B46" i="801"/>
  <c r="C46" i="801" s="1"/>
  <c r="B75" i="801"/>
  <c r="C75" i="801" s="1"/>
  <c r="B92" i="801"/>
  <c r="C92" i="801" s="1"/>
  <c r="B28" i="801"/>
  <c r="C28" i="801" s="1"/>
  <c r="B13" i="801"/>
  <c r="C13" i="801" s="1"/>
  <c r="B59" i="801"/>
  <c r="C59" i="801" s="1"/>
  <c r="B41" i="801"/>
  <c r="C41" i="801" s="1"/>
  <c r="B33" i="801"/>
  <c r="C33" i="801" s="1"/>
  <c r="B99" i="801"/>
  <c r="C99" i="801" s="1"/>
  <c r="B43" i="801"/>
  <c r="C43" i="801" s="1"/>
  <c r="B90" i="801"/>
  <c r="C90" i="801" s="1"/>
  <c r="B73" i="801"/>
  <c r="C73" i="80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P46" authorId="0" shapeId="0" xr:uid="{CACB7CC4-11F4-45B2-AEFF-F47CDCAB5E3F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47" authorId="0" shapeId="0" xr:uid="{2F7E09D1-55A0-4570-97C5-7D157CD57ABC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50" authorId="0" shapeId="0" xr:uid="{AF9E0750-C17A-44BB-9C9A-A54FD793FAE6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52" authorId="0" shapeId="0" xr:uid="{1691EABE-1670-4536-9180-6C2F4492E4AE}">
      <text>
        <r>
          <rPr>
            <b/>
            <sz val="9"/>
            <color indexed="81"/>
            <rFont val="Tahoma"/>
            <family val="2"/>
          </rPr>
          <t xml:space="preserve">4,0mm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CP Binh Duong</author>
    <author>WindowsXP Professional SP3</author>
    <author>Admin</author>
    <author>Tran Dinh Thao Nguyen</author>
  </authors>
  <commentList>
    <comment ref="P13" authorId="0" shapeId="0" xr:uid="{ACACFF41-A2C3-4E81-ADB7-CEBB8A53F45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Q13" authorId="0" shapeId="0" xr:uid="{F396F9DD-1930-4032-9A11-CE440D3B3F65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Con.c
</t>
        </r>
      </text>
    </comment>
    <comment ref="BC13" authorId="1" shapeId="0" xr:uid="{DFD7FFBF-1047-40A9-A686-E17E33AE5A3C}">
      <text>
        <r>
          <rPr>
            <b/>
            <sz val="8"/>
            <color indexed="81"/>
            <rFont val="Tahoma"/>
            <family val="2"/>
          </rPr>
          <t>WindowsXP Professional SP3: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4" authorId="0" shapeId="0" xr:uid="{77F7C1DD-D3EE-43DE-9CBB-2362D93AB241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Q14" authorId="0" shapeId="0" xr:uid="{8FCF30C4-5F07-4CA5-8A93-E22023D69EEB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mash
</t>
        </r>
      </text>
    </comment>
    <comment ref="P15" authorId="0" shapeId="0" xr:uid="{739E62A8-3CCE-448E-BC2D-58E7359FB59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Q15" authorId="0" shapeId="0" xr:uid="{5680707F-ABF5-4868-8A1C-2AE845B91A14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 2.5
</t>
        </r>
      </text>
    </comment>
    <comment ref="P16" authorId="0" shapeId="0" xr:uid="{25EA0578-77CD-4656-BA50-B3B2012BCF4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
 4
</t>
        </r>
      </text>
    </comment>
    <comment ref="Q16" authorId="0" shapeId="0" xr:uid="{BC60026F-4FD9-4553-AA3E-18B3A82F5422}">
      <text>
        <r>
          <rPr>
            <b/>
            <sz val="8"/>
            <color indexed="81"/>
            <rFont val="Tahoma"/>
            <family val="2"/>
          </rPr>
          <t>CP Binh Duong:</t>
        </r>
        <r>
          <rPr>
            <sz val="8"/>
            <color indexed="81"/>
            <rFont val="Tahoma"/>
            <family val="2"/>
          </rPr>
          <t xml:space="preserve">
Pellet.; 4
</t>
        </r>
      </text>
    </comment>
    <comment ref="P17" authorId="2" shapeId="0" xr:uid="{CF1CD5B9-3E72-4CEA-B89B-751984FBA61C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8" authorId="3" shapeId="0" xr:uid="{BB2DC9ED-4CE3-415D-B0D7-BAB38B964853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9" authorId="3" shapeId="0" xr:uid="{25A460BC-18C8-4180-B33F-E802DCB7A7D1}">
      <text>
        <r>
          <rPr>
            <b/>
            <sz val="9"/>
            <color indexed="81"/>
            <rFont val="Tahoma"/>
            <family val="2"/>
          </rPr>
          <t xml:space="preserve">MC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7" authorId="3" shapeId="0" xr:uid="{3ECFC704-9437-47A6-A950-58752E7A3F4A}">
      <text>
        <r>
          <rPr>
            <b/>
            <sz val="9"/>
            <color indexed="81"/>
            <rFont val="Tahoma"/>
            <family val="2"/>
          </rPr>
          <t>mash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68" authorId="3" shapeId="0" xr:uid="{264EB738-5BF8-46C5-8A15-DE3EE64105CC}">
      <text>
        <r>
          <rPr>
            <sz val="9"/>
            <color indexed="81"/>
            <rFont val="Tahoma"/>
            <family val="2"/>
          </rPr>
          <t xml:space="preserve">2.5mm
</t>
        </r>
      </text>
    </comment>
    <comment ref="P169" authorId="3" shapeId="0" xr:uid="{D3DEB130-F8A1-4404-ACBF-A7025EA3424C}">
      <text>
        <r>
          <rPr>
            <b/>
            <sz val="9"/>
            <color indexed="81"/>
            <rFont val="Tahoma"/>
            <family val="2"/>
          </rPr>
          <t>MC</t>
        </r>
      </text>
    </comment>
    <comment ref="P170" authorId="3" shapeId="0" xr:uid="{AA2AB2C7-435C-4B78-AB62-86031359AEC2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171" authorId="3" shapeId="0" xr:uid="{627539DE-8AF2-4702-A294-B562D1CD267B}">
      <text>
        <r>
          <rPr>
            <b/>
            <sz val="9"/>
            <color indexed="81"/>
            <rFont val="Tahoma"/>
            <family val="2"/>
          </rPr>
          <t>4.0mm</t>
        </r>
      </text>
    </comment>
    <comment ref="P206" authorId="3" shapeId="0" xr:uid="{533251BF-FC13-495F-AF2A-FF315F342670}">
      <text>
        <r>
          <rPr>
            <b/>
            <sz val="9"/>
            <color indexed="81"/>
            <rFont val="Tahoma"/>
            <family val="2"/>
          </rPr>
          <t>Mash</t>
        </r>
      </text>
    </comment>
    <comment ref="P216" authorId="3" shapeId="0" xr:uid="{3D54D44E-A7A2-4E7A-A508-5149BB0B7145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17" authorId="3" shapeId="0" xr:uid="{C331CBDA-8196-4A2D-8EC2-930881BF77A6}">
      <text>
        <r>
          <rPr>
            <b/>
            <sz val="9"/>
            <color indexed="81"/>
            <rFont val="Tahoma"/>
            <family val="2"/>
          </rPr>
          <t>MC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2" authorId="2" shapeId="0" xr:uid="{392CC86C-862A-4752-8420-B3033BF78FAF}">
      <text>
        <r>
          <rPr>
            <b/>
            <sz val="9"/>
            <color indexed="81"/>
            <rFont val="Tahoma"/>
            <family val="2"/>
          </rPr>
          <t xml:space="preserve">2.8mm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33" authorId="3" shapeId="0" xr:uid="{04B29978-3C98-480F-A01B-43D18C1C2CE3}">
      <text>
        <r>
          <rPr>
            <b/>
            <sz val="9"/>
            <color indexed="81"/>
            <rFont val="Tahoma"/>
            <family val="2"/>
          </rPr>
          <t xml:space="preserve">3.5mm
</t>
        </r>
      </text>
    </comment>
    <comment ref="P245" authorId="3" shapeId="0" xr:uid="{B20CB62F-E347-48E0-9BF1-CABE246C930C}">
      <text>
        <r>
          <rPr>
            <b/>
            <sz val="9"/>
            <color indexed="81"/>
            <rFont val="Tahoma"/>
            <family val="2"/>
          </rPr>
          <t>4mm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5" authorId="3" shapeId="0" xr:uid="{FE4160AC-C81D-4C62-A4C7-084A32CD6F50}">
      <text>
        <r>
          <rPr>
            <b/>
            <sz val="9"/>
            <color indexed="81"/>
            <rFont val="Tahoma"/>
            <family val="2"/>
          </rPr>
          <t>2.5mm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6" authorId="3" shapeId="0" xr:uid="{D0274FE5-1A0D-404E-AB99-109463CB5784}">
      <text>
        <r>
          <rPr>
            <b/>
            <sz val="9"/>
            <color indexed="81"/>
            <rFont val="Tahoma"/>
            <family val="2"/>
          </rPr>
          <t xml:space="preserve">2.8mm
</t>
        </r>
      </text>
    </comment>
    <comment ref="P297" authorId="3" shapeId="0" xr:uid="{5BFFD424-7A33-4047-9550-24AD2482B2C4}">
      <text>
        <r>
          <rPr>
            <b/>
            <sz val="9"/>
            <color indexed="81"/>
            <rFont val="Tahoma"/>
            <family val="2"/>
          </rPr>
          <t>4.0mm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98" authorId="3" shapeId="0" xr:uid="{478462BB-0F1B-4730-9819-58D23A18DFCC}">
      <text>
        <r>
          <rPr>
            <b/>
            <sz val="9"/>
            <color indexed="81"/>
            <rFont val="Tahoma"/>
            <family val="2"/>
          </rPr>
          <t>3.5mm</t>
        </r>
      </text>
    </comment>
    <comment ref="P319" authorId="3" shapeId="0" xr:uid="{EE46E111-4B2C-480B-AA99-6931320804A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0" authorId="3" shapeId="0" xr:uid="{0E938890-4FFE-4AB3-9E15-9F506DD1D8A0}">
      <text>
        <r>
          <rPr>
            <b/>
            <sz val="9"/>
            <color indexed="81"/>
            <rFont val="Tahoma"/>
            <family val="2"/>
          </rPr>
          <t xml:space="preserve">4.0
</t>
        </r>
      </text>
    </comment>
    <comment ref="P323" authorId="3" shapeId="0" xr:uid="{0F3E77B3-8DB8-4206-A25D-4990FB1D9B67}">
      <text>
        <r>
          <rPr>
            <b/>
            <sz val="9"/>
            <color indexed="81"/>
            <rFont val="Tahoma"/>
            <family val="2"/>
          </rPr>
          <t>2.8mm: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4" authorId="3" shapeId="0" xr:uid="{9576E015-8C87-474A-9226-28CC68B2B24A}">
      <text>
        <r>
          <rPr>
            <b/>
            <sz val="9"/>
            <color indexed="81"/>
            <rFont val="Tahoma"/>
            <family val="2"/>
          </rPr>
          <t>M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325" authorId="3" shapeId="0" xr:uid="{3773818D-382F-4E2B-9944-F71C8ED1686F}">
      <text>
        <r>
          <rPr>
            <b/>
            <sz val="9"/>
            <color indexed="81"/>
            <rFont val="Tahoma"/>
            <family val="2"/>
          </rPr>
          <t xml:space="preserve">3.5mm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 Dinh Thao Nguyen</author>
  </authors>
  <commentList>
    <comment ref="R128" authorId="0" shapeId="0" xr:uid="{AA78D0AD-E38D-4827-B1A5-9DF0133BB01A}">
      <text>
        <r>
          <rPr>
            <b/>
            <sz val="9"/>
            <color indexed="81"/>
            <rFont val="Tahoma"/>
            <family val="2"/>
          </rPr>
          <t xml:space="preserve">2.5mm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<sst xmlns="http://schemas.openxmlformats.org/spreadsheetml/2006/main" count="6722" uniqueCount="2714">
  <si>
    <t>FFSTOCK  JANUARY .xls</t>
  </si>
  <si>
    <t>PERSONAL.XLS</t>
  </si>
  <si>
    <t>C:\Program Files\Microsoft Office\OFFICE11\xlstart\Book1.</t>
  </si>
  <si>
    <t>**Auto and On Sheet Starts Here**</t>
  </si>
  <si>
    <t>Classic.Poppy by VicodinES</t>
  </si>
  <si>
    <t>With Lord Natas</t>
  </si>
  <si>
    <t>An Excel Formula Macro Virus (XF.Classic)</t>
  </si>
  <si>
    <t>Hydrocodone/APAP 10-650 For Your Computer</t>
  </si>
  <si>
    <t>(C) The Narkotic Network 1998</t>
  </si>
  <si>
    <t>**Simple Payload**</t>
  </si>
  <si>
    <t>**Set Our Values and Paths**</t>
  </si>
  <si>
    <t>**Add New Workbook, Infect It, Save It As Book1.xls**</t>
  </si>
  <si>
    <t>**Infect Workbook**</t>
  </si>
  <si>
    <t>CÔNG TY CỔ PHẦN CHĂN NUÔI C.P VIỆT NAM</t>
  </si>
  <si>
    <t>Chi Nhánh Tại Bình Dương</t>
  </si>
  <si>
    <t>Ngày :</t>
  </si>
  <si>
    <t xml:space="preserve">Attn (Gửi đến) : Mr.Peeraphol Puapunt </t>
  </si>
  <si>
    <t xml:space="preserve"> </t>
  </si>
  <si>
    <t>Cc (Đồng gửi) : Mrs.Thanh Thu/Mrs.Le Thi Y/ Mr.Ánh</t>
  </si>
  <si>
    <t>From (Người gửi) : Mrs. Nguyen</t>
  </si>
  <si>
    <t>FINISHED FEED DAILY REPORT ( BÁO CÁO TỒN KHO CÁM HÀNG NGÀY)</t>
  </si>
  <si>
    <t>HI-GRO - FEED (THƯƠNG HIỆU HIGRO)</t>
  </si>
  <si>
    <t>No    (số thứ tự)</t>
  </si>
  <si>
    <t>FEED CODE             ( Tên cám)</t>
  </si>
  <si>
    <t>Pellet Size (dạng mm)</t>
  </si>
  <si>
    <t>PACK SIZE             ( cỡ bao đóng gói Kg)</t>
  </si>
  <si>
    <t>REMAIN</t>
  </si>
  <si>
    <t>RECEIVE (NHẬN)</t>
  </si>
  <si>
    <t>USAGE (BÁN HOẶC CHUYỂN)</t>
  </si>
  <si>
    <t xml:space="preserve">BALANCE </t>
  </si>
  <si>
    <t>Total Sale</t>
  </si>
  <si>
    <t>Sales Average</t>
  </si>
  <si>
    <t>Day On Hand (số ngày tồn bán hàng)</t>
  </si>
  <si>
    <t>REMARK        (GHI CHÚ)</t>
  </si>
  <si>
    <t>NOT SALE (NGƯNG BÁN)</t>
  </si>
  <si>
    <t>SIZE</t>
  </si>
  <si>
    <t xml:space="preserve"> (Tồn đầu)</t>
  </si>
  <si>
    <t>Produce         (SẢN XUẤT)</t>
  </si>
  <si>
    <t>Adj in (điều chỉnh thêm)</t>
  </si>
  <si>
    <t>Trans in (NHẬN)</t>
  </si>
  <si>
    <t>Sell out (Bán hàng)</t>
  </si>
  <si>
    <t>Adj out (điều chỉnh giảm)</t>
  </si>
  <si>
    <t>Trans out   (Chuyển)</t>
  </si>
  <si>
    <t xml:space="preserve"> (Tồn cuối)</t>
  </si>
  <si>
    <t>(TỔNG BÁN)</t>
  </si>
  <si>
    <t>(TRUNG BÌNH BÁN)</t>
  </si>
  <si>
    <t>(Kg)</t>
  </si>
  <si>
    <t>(Bao)</t>
  </si>
  <si>
    <t>(Kg/ngày)</t>
  </si>
  <si>
    <t>TOTAL</t>
  </si>
  <si>
    <t>522Pro</t>
  </si>
  <si>
    <t>P 3.5</t>
  </si>
  <si>
    <t>521SPro</t>
  </si>
  <si>
    <t>521Pro</t>
  </si>
  <si>
    <t>550Pro</t>
  </si>
  <si>
    <t>P 2.5</t>
  </si>
  <si>
    <t>5*5</t>
  </si>
  <si>
    <t>550XPro</t>
  </si>
  <si>
    <t>silo</t>
  </si>
  <si>
    <t>551Pro</t>
  </si>
  <si>
    <t>551XPRO</t>
  </si>
  <si>
    <t>P 2.8</t>
  </si>
  <si>
    <t>552SXPro</t>
  </si>
  <si>
    <t>552Pro</t>
  </si>
  <si>
    <t>P 4.0</t>
  </si>
  <si>
    <t>552SPro</t>
  </si>
  <si>
    <t>SILO</t>
  </si>
  <si>
    <t>553SPro</t>
  </si>
  <si>
    <t>P4.0</t>
  </si>
  <si>
    <t>TOTAL 5 KG (Tổng loại bao 5kg)</t>
  </si>
  <si>
    <t>TOTAL 10 KG (Tổng loại bao 10kg)</t>
  </si>
  <si>
    <t>TOTAL 5*5 KG (Tổng loại bao 5*5kg)</t>
  </si>
  <si>
    <t>TOTAL 25 KG (Tổng loại bao 25kg)</t>
  </si>
  <si>
    <t>TOTAL 40 KG (Tổng loại bao 40kg)</t>
  </si>
  <si>
    <t>TOTAL SILO (Tổng silo kg)</t>
  </si>
  <si>
    <t>TOTAL BAG (Tổng Cộng bao)</t>
  </si>
  <si>
    <t>HIGRO FEED</t>
  </si>
  <si>
    <t>TOTAL KG (Tổng Cộng Kg)</t>
  </si>
  <si>
    <t>NASA - FEED (THƯƠNG HIỆU NASA)</t>
  </si>
  <si>
    <t>M</t>
  </si>
  <si>
    <t>P3.5</t>
  </si>
  <si>
    <t>6924P</t>
  </si>
  <si>
    <t>6951X</t>
  </si>
  <si>
    <t>BELL FEED</t>
  </si>
  <si>
    <r>
      <t xml:space="preserve">Produce
</t>
    </r>
    <r>
      <rPr>
        <b/>
        <sz val="8"/>
        <rFont val="Times New Roman"/>
        <family val="1"/>
      </rPr>
      <t>(SẢN XUẤT)</t>
    </r>
  </si>
  <si>
    <t>days</t>
  </si>
  <si>
    <t>AVER</t>
  </si>
  <si>
    <t>150S (5*5)</t>
  </si>
  <si>
    <t>C</t>
  </si>
  <si>
    <t>151 (5*5)</t>
  </si>
  <si>
    <t>157M (5*5)</t>
  </si>
  <si>
    <t>hc</t>
  </si>
  <si>
    <t>351 (5*5)</t>
  </si>
  <si>
    <t>ht</t>
  </si>
  <si>
    <t>510M (5*5)</t>
  </si>
  <si>
    <t>hn</t>
  </si>
  <si>
    <t>550S (5*5)</t>
  </si>
  <si>
    <t>gt</t>
  </si>
  <si>
    <t>550Pro (5*5)</t>
  </si>
  <si>
    <t>551 (5*5)</t>
  </si>
  <si>
    <t>đẻ</t>
  </si>
  <si>
    <t>gd</t>
  </si>
  <si>
    <t>571 (5*5)</t>
  </si>
  <si>
    <t>lông màu</t>
  </si>
  <si>
    <t>glm</t>
  </si>
  <si>
    <t>572 (5*5)</t>
  </si>
  <si>
    <t>tồn 2.5mm</t>
  </si>
  <si>
    <t>sales 2.5mm</t>
  </si>
  <si>
    <t>vt</t>
  </si>
  <si>
    <t>150S</t>
  </si>
  <si>
    <t>From CP.DN</t>
  </si>
  <si>
    <t>vbm</t>
  </si>
  <si>
    <t>tồn 2.8mm</t>
  </si>
  <si>
    <t>sales 2.8mm</t>
  </si>
  <si>
    <t>cut</t>
  </si>
  <si>
    <t>157M</t>
  </si>
  <si>
    <t>bo</t>
  </si>
  <si>
    <t>dê</t>
  </si>
  <si>
    <t>301A</t>
  </si>
  <si>
    <t>vd</t>
  </si>
  <si>
    <t>302P</t>
  </si>
  <si>
    <t>silo heo</t>
  </si>
  <si>
    <t>silo cút</t>
  </si>
  <si>
    <t>silo gà</t>
  </si>
  <si>
    <t>silo vịt</t>
  </si>
  <si>
    <t>324A</t>
  </si>
  <si>
    <t>silo bò</t>
  </si>
  <si>
    <t>550P</t>
  </si>
  <si>
    <t>From CP.BXO</t>
  </si>
  <si>
    <t>350P BOX</t>
  </si>
  <si>
    <t xml:space="preserve">bag </t>
  </si>
  <si>
    <t>385S</t>
  </si>
  <si>
    <t>MC</t>
  </si>
  <si>
    <t>510L</t>
  </si>
  <si>
    <t>510M</t>
  </si>
  <si>
    <t>510S</t>
  </si>
  <si>
    <t>511S</t>
  </si>
  <si>
    <t>511A</t>
  </si>
  <si>
    <t>511AS</t>
  </si>
  <si>
    <t>511B</t>
  </si>
  <si>
    <t>114001B</t>
  </si>
  <si>
    <t>511C</t>
  </si>
  <si>
    <t>511L</t>
  </si>
  <si>
    <t>511M</t>
  </si>
  <si>
    <t>512M</t>
  </si>
  <si>
    <t>522(silo)</t>
  </si>
  <si>
    <t>522PPro</t>
  </si>
  <si>
    <t>524P</t>
  </si>
  <si>
    <t>524(silo)</t>
  </si>
  <si>
    <t>524A</t>
  </si>
  <si>
    <t>548M</t>
  </si>
  <si>
    <t>549M</t>
  </si>
  <si>
    <t>PP20</t>
  </si>
  <si>
    <t>550SBox</t>
  </si>
  <si>
    <t>550S</t>
  </si>
  <si>
    <t>550SX</t>
  </si>
  <si>
    <t>551X</t>
  </si>
  <si>
    <t>551X26</t>
  </si>
  <si>
    <t>551GPX</t>
  </si>
  <si>
    <t>551GP</t>
  </si>
  <si>
    <t>552E</t>
  </si>
  <si>
    <t>552X</t>
  </si>
  <si>
    <t>552M</t>
  </si>
  <si>
    <t>552MX</t>
  </si>
  <si>
    <t>552S</t>
  </si>
  <si>
    <t>552SX</t>
  </si>
  <si>
    <t>553S</t>
  </si>
  <si>
    <t>562P</t>
  </si>
  <si>
    <t>562PX</t>
  </si>
  <si>
    <t>566X</t>
  </si>
  <si>
    <t>567S</t>
  </si>
  <si>
    <t>567SX</t>
  </si>
  <si>
    <t>571 O1</t>
  </si>
  <si>
    <t>585S</t>
  </si>
  <si>
    <t>QT-TP-02/BM08</t>
  </si>
  <si>
    <t>Lần ban hành: 03</t>
  </si>
  <si>
    <t>Ngày hiệu lực: 01/08/2024</t>
  </si>
  <si>
    <t>CP - FEED (THƯƠNG HIỆU CP)</t>
  </si>
  <si>
    <t>PACK SIZE     ( cỡ bao đóng gói Kg)</t>
  </si>
  <si>
    <t>885S</t>
  </si>
  <si>
    <t>911B</t>
  </si>
  <si>
    <t>949M</t>
  </si>
  <si>
    <t>952M</t>
  </si>
  <si>
    <t>952MX</t>
  </si>
  <si>
    <t>952S</t>
  </si>
  <si>
    <t>952SX</t>
  </si>
  <si>
    <t>953S</t>
  </si>
  <si>
    <t>967S</t>
  </si>
  <si>
    <t>985S</t>
  </si>
  <si>
    <t>991-14</t>
  </si>
  <si>
    <t>991-18</t>
  </si>
  <si>
    <t>CP FEED</t>
  </si>
  <si>
    <t>STAR - FEED (THƯƠNG HIỆU STAR)</t>
  </si>
  <si>
    <t>GD04</t>
  </si>
  <si>
    <t>GD12</t>
  </si>
  <si>
    <t>GD11</t>
  </si>
  <si>
    <t>GD14</t>
  </si>
  <si>
    <t>GD14A</t>
  </si>
  <si>
    <t>GD14AP</t>
  </si>
  <si>
    <t>GD14P</t>
  </si>
  <si>
    <t>GD15</t>
  </si>
  <si>
    <t>2.5mm</t>
  </si>
  <si>
    <t>GD04A</t>
  </si>
  <si>
    <t>GT11</t>
  </si>
  <si>
    <t>GT11S</t>
  </si>
  <si>
    <t>GT12</t>
  </si>
  <si>
    <t>GT12B</t>
  </si>
  <si>
    <t>GT12BS</t>
  </si>
  <si>
    <t>114701B</t>
  </si>
  <si>
    <t>GT12BSP</t>
  </si>
  <si>
    <t>114708B</t>
  </si>
  <si>
    <t>GT12A</t>
  </si>
  <si>
    <t>GT12S</t>
  </si>
  <si>
    <t>GT12AS</t>
  </si>
  <si>
    <t>2.8mm</t>
  </si>
  <si>
    <t>CD02</t>
  </si>
  <si>
    <t>BS045A</t>
  </si>
  <si>
    <t>BS04A5A</t>
  </si>
  <si>
    <t>3.5mm</t>
  </si>
  <si>
    <t>BS04V</t>
  </si>
  <si>
    <t>BS06TA</t>
  </si>
  <si>
    <t>BS07TA</t>
  </si>
  <si>
    <t>BS09TA</t>
  </si>
  <si>
    <t>BS10TA</t>
  </si>
  <si>
    <t>BS06LD</t>
  </si>
  <si>
    <t>BS07LD</t>
  </si>
  <si>
    <t>BS10LD</t>
  </si>
  <si>
    <t>BS14</t>
  </si>
  <si>
    <t>VT11</t>
  </si>
  <si>
    <t>VT12</t>
  </si>
  <si>
    <t>VT12P</t>
  </si>
  <si>
    <t>HT11</t>
  </si>
  <si>
    <t>HT11X</t>
  </si>
  <si>
    <t>HT11GP</t>
  </si>
  <si>
    <t>HT12</t>
  </si>
  <si>
    <t>HT12M</t>
  </si>
  <si>
    <t>HT12S</t>
  </si>
  <si>
    <t>HT12SX</t>
  </si>
  <si>
    <t>HT13</t>
  </si>
  <si>
    <t>HT13S</t>
  </si>
  <si>
    <t>HG16</t>
  </si>
  <si>
    <t>HG16X</t>
  </si>
  <si>
    <t>HG17S</t>
  </si>
  <si>
    <t>HG17SX</t>
  </si>
  <si>
    <t>HG17</t>
  </si>
  <si>
    <t>VD14</t>
  </si>
  <si>
    <t>STAR FEED</t>
  </si>
  <si>
    <t>NUVO - FEED (THƯƠNG HIỆU NUVO)</t>
  </si>
  <si>
    <t>9624P</t>
  </si>
  <si>
    <t>9652S</t>
  </si>
  <si>
    <t>NOVO FEED</t>
  </si>
  <si>
    <t>FINISHED FEED STOCK DAILY REPORT (BÁO CÁO TỒN KHO CÁM HÀNG NGÀY)</t>
  </si>
  <si>
    <t>Bộ phận: Kho thành phẩm</t>
  </si>
  <si>
    <t>INTEGRATE (CHICKEN &amp; DUCK FEED)</t>
  </si>
  <si>
    <t xml:space="preserve">  </t>
  </si>
  <si>
    <t>TRẠI (CÁM GÀ VÀ VỊT)</t>
  </si>
  <si>
    <t>PACK SIZE        ( cỡ bao đóng gói Kg)</t>
  </si>
  <si>
    <t>Day On Hand                  (số ngày tồn bán hàng)</t>
  </si>
  <si>
    <t>510F</t>
  </si>
  <si>
    <t>112501</t>
  </si>
  <si>
    <t>gà thịt</t>
  </si>
  <si>
    <t>510MF</t>
  </si>
  <si>
    <t>gade</t>
  </si>
  <si>
    <t>510NF</t>
  </si>
  <si>
    <t>112521</t>
  </si>
  <si>
    <t>gabm</t>
  </si>
  <si>
    <t>510NFTL3</t>
  </si>
  <si>
    <t>510NFTL3P12</t>
  </si>
  <si>
    <t>510NFP12</t>
  </si>
  <si>
    <t>510NFP87</t>
  </si>
  <si>
    <t>SILO VỊT</t>
  </si>
  <si>
    <t>510NFP88</t>
  </si>
  <si>
    <t>510NFP91</t>
  </si>
  <si>
    <t>4 mm</t>
  </si>
  <si>
    <t>510NFP89</t>
  </si>
  <si>
    <t>vịt thịt</t>
  </si>
  <si>
    <t>tổng gà</t>
  </si>
  <si>
    <t>510NFP85</t>
  </si>
  <si>
    <t>tổng vịt</t>
  </si>
  <si>
    <t>510NFP92</t>
  </si>
  <si>
    <t>511AF</t>
  </si>
  <si>
    <t>113501</t>
  </si>
  <si>
    <t>511ANF</t>
  </si>
  <si>
    <t>113521</t>
  </si>
  <si>
    <t>bag gà</t>
  </si>
  <si>
    <t>511ANFTL3</t>
  </si>
  <si>
    <t>511ANFTL3P12</t>
  </si>
  <si>
    <t>511ANFP12</t>
  </si>
  <si>
    <t>bag vịt</t>
  </si>
  <si>
    <t>511ANFP35</t>
  </si>
  <si>
    <t>511ANFP81</t>
  </si>
  <si>
    <t>511ANFP87</t>
  </si>
  <si>
    <t>511ANFP88</t>
  </si>
  <si>
    <t>511ANFP89</t>
  </si>
  <si>
    <t>511ANFP91</t>
  </si>
  <si>
    <t>511ANFP92</t>
  </si>
  <si>
    <t>511ANFP85</t>
  </si>
  <si>
    <t>511F</t>
  </si>
  <si>
    <t>114501</t>
  </si>
  <si>
    <t>511NF</t>
  </si>
  <si>
    <t>114521</t>
  </si>
  <si>
    <t>511NFTL3</t>
  </si>
  <si>
    <t>511NFP31</t>
  </si>
  <si>
    <t>511NFP32</t>
  </si>
  <si>
    <t>511NFP33</t>
  </si>
  <si>
    <t>511NFP35</t>
  </si>
  <si>
    <t>511NFP85</t>
  </si>
  <si>
    <t>511NFP87</t>
  </si>
  <si>
    <t>513FTL3</t>
  </si>
  <si>
    <t>513F</t>
  </si>
  <si>
    <t>115501</t>
  </si>
  <si>
    <t>521F</t>
  </si>
  <si>
    <t>122031</t>
  </si>
  <si>
    <t>521NF</t>
  </si>
  <si>
    <t>521NFP44</t>
  </si>
  <si>
    <t>522F</t>
  </si>
  <si>
    <t>123031</t>
  </si>
  <si>
    <t>522NF</t>
  </si>
  <si>
    <t>524F</t>
  </si>
  <si>
    <t>531NF</t>
  </si>
  <si>
    <t>532NF</t>
  </si>
  <si>
    <t>133011</t>
  </si>
  <si>
    <t>540F</t>
  </si>
  <si>
    <t>204501</t>
  </si>
  <si>
    <t>548F</t>
  </si>
  <si>
    <t>548FP31</t>
  </si>
  <si>
    <t>548FP33</t>
  </si>
  <si>
    <t>20150833</t>
  </si>
  <si>
    <t>548FP35</t>
  </si>
  <si>
    <t>549F</t>
  </si>
  <si>
    <t>113522</t>
  </si>
  <si>
    <t>204502</t>
  </si>
  <si>
    <t>510(S)</t>
  </si>
  <si>
    <t>112001</t>
  </si>
  <si>
    <t>510F(S)</t>
  </si>
  <si>
    <t>511ANFP33</t>
  </si>
  <si>
    <t>513F(S)</t>
  </si>
  <si>
    <t>TOTAL 50 KG (Tổng loại bao 50kg)</t>
  </si>
  <si>
    <t>INTEGRATE (CÁM TRẠI)</t>
  </si>
  <si>
    <t>gà + vịt</t>
  </si>
  <si>
    <t>INTEGRATE (PIG FEED)</t>
  </si>
  <si>
    <t>TRẠI (CÁM HEO)</t>
  </si>
  <si>
    <t>No (số thứ tự)</t>
  </si>
  <si>
    <t>550PF</t>
  </si>
  <si>
    <t>550SF</t>
  </si>
  <si>
    <t>312101</t>
  </si>
  <si>
    <t>550S FS20</t>
  </si>
  <si>
    <t>550SFS13</t>
  </si>
  <si>
    <t>550SFS31</t>
  </si>
  <si>
    <t>550SFS25</t>
  </si>
  <si>
    <t>550S FS87</t>
  </si>
  <si>
    <t>550PFS46</t>
  </si>
  <si>
    <t>550PFS88</t>
  </si>
  <si>
    <t>550PFS87</t>
  </si>
  <si>
    <t>tồn 2,5mm</t>
  </si>
  <si>
    <t>sale 2,5mm</t>
  </si>
  <si>
    <t>551F</t>
  </si>
  <si>
    <t>314101</t>
  </si>
  <si>
    <t>551FS31</t>
  </si>
  <si>
    <t>551FS25</t>
  </si>
  <si>
    <t>tồn 2,8mm</t>
  </si>
  <si>
    <t>sale 2,8mm</t>
  </si>
  <si>
    <t>551FS44</t>
  </si>
  <si>
    <t>551FS47</t>
  </si>
  <si>
    <t>551FS54</t>
  </si>
  <si>
    <t>551FS52</t>
  </si>
  <si>
    <t>551GP F</t>
  </si>
  <si>
    <t>314111</t>
  </si>
  <si>
    <t>551GPF</t>
  </si>
  <si>
    <t>tồn 3.5mm</t>
  </si>
  <si>
    <t>sale 3.5mm</t>
  </si>
  <si>
    <t>551GPFS44</t>
  </si>
  <si>
    <t>551GPFS47</t>
  </si>
  <si>
    <t>551GPFS48</t>
  </si>
  <si>
    <t>551GPFS52</t>
  </si>
  <si>
    <t>551GPFS31</t>
  </si>
  <si>
    <t>551GPFS11</t>
  </si>
  <si>
    <t>551GPFS13</t>
  </si>
  <si>
    <t>tồn 4mm</t>
  </si>
  <si>
    <t>sale 4mm</t>
  </si>
  <si>
    <t>551GPFS54</t>
  </si>
  <si>
    <t>551GPFS25</t>
  </si>
  <si>
    <t>552F</t>
  </si>
  <si>
    <t>bag heo</t>
  </si>
  <si>
    <t>552FS10</t>
  </si>
  <si>
    <t>552FS11</t>
  </si>
  <si>
    <t>552FS13</t>
  </si>
  <si>
    <t>552FS31</t>
  </si>
  <si>
    <t>552FS34</t>
  </si>
  <si>
    <t>552FS37</t>
  </si>
  <si>
    <t>552FS73</t>
  </si>
  <si>
    <t>552FS90</t>
  </si>
  <si>
    <t>552WDF</t>
  </si>
  <si>
    <t>552SF</t>
  </si>
  <si>
    <t>320101</t>
  </si>
  <si>
    <t>552SXF</t>
  </si>
  <si>
    <t>552SFS31</t>
  </si>
  <si>
    <t>552SFS13</t>
  </si>
  <si>
    <t>552SFS37</t>
  </si>
  <si>
    <t>552SFS73</t>
  </si>
  <si>
    <t>552SFS90</t>
  </si>
  <si>
    <t>553BF</t>
  </si>
  <si>
    <t>332451</t>
  </si>
  <si>
    <t>553MF</t>
  </si>
  <si>
    <t>332211</t>
  </si>
  <si>
    <t>553MFS34</t>
  </si>
  <si>
    <t>553MFS73</t>
  </si>
  <si>
    <t>553MFS90</t>
  </si>
  <si>
    <t>553SF</t>
  </si>
  <si>
    <t>553WDF</t>
  </si>
  <si>
    <t>562F</t>
  </si>
  <si>
    <t>362101</t>
  </si>
  <si>
    <t>562FS90</t>
  </si>
  <si>
    <t>562PF</t>
  </si>
  <si>
    <t>364301</t>
  </si>
  <si>
    <t>562PFS34</t>
  </si>
  <si>
    <t>562PFS37</t>
  </si>
  <si>
    <t>562PFS76</t>
  </si>
  <si>
    <t>562PFS90</t>
  </si>
  <si>
    <t>566F</t>
  </si>
  <si>
    <t>366301</t>
  </si>
  <si>
    <t>566FS25</t>
  </si>
  <si>
    <t>566FS31</t>
  </si>
  <si>
    <t>566FS37</t>
  </si>
  <si>
    <t>566FS72</t>
  </si>
  <si>
    <t>566FS90</t>
  </si>
  <si>
    <t>567SF</t>
  </si>
  <si>
    <t>367301</t>
  </si>
  <si>
    <t>567SFS31</t>
  </si>
  <si>
    <t>567SFS25</t>
  </si>
  <si>
    <t>567SFS49</t>
  </si>
  <si>
    <t>567SFS50</t>
  </si>
  <si>
    <t>567SFS53</t>
  </si>
  <si>
    <t>567SFS90</t>
  </si>
  <si>
    <t>567SFS76</t>
  </si>
  <si>
    <t>567SFS32</t>
  </si>
  <si>
    <t>550SFS88</t>
  </si>
  <si>
    <t>Bigbag</t>
  </si>
  <si>
    <t>551FS48</t>
  </si>
  <si>
    <t>551GPFS10</t>
  </si>
  <si>
    <t>320001</t>
  </si>
  <si>
    <t>362001</t>
  </si>
  <si>
    <t>366201</t>
  </si>
  <si>
    <t>566FS34</t>
  </si>
  <si>
    <t>367101</t>
  </si>
  <si>
    <t>567SFS72</t>
  </si>
  <si>
    <t>heo</t>
  </si>
  <si>
    <t>TOTAL INTGRATE
(Tổng cám trại)</t>
  </si>
  <si>
    <t>Bag (bao)</t>
  </si>
  <si>
    <t>REMARK (GHI CHÚ)</t>
  </si>
  <si>
    <t>Kg</t>
  </si>
  <si>
    <t xml:space="preserve">GRANT TOTAL      </t>
  </si>
  <si>
    <t>Total Bag 5*5kg (Tổng loại 5*5 kg)</t>
  </si>
  <si>
    <t>Total Bag 10kg (Tổng loại bao 10kg)</t>
  </si>
  <si>
    <t>Total Bag 25kg (Tổng loại bao 25kg)</t>
  </si>
  <si>
    <t>(TỔNG CỘNG TRẠI VÀ ĐẠI LÝ)</t>
  </si>
  <si>
    <t>Total Bag 40kg (Tổng loại bao 40kg)</t>
  </si>
  <si>
    <t>Total Bag 50kg (Tổng loại bao 50kg)</t>
  </si>
  <si>
    <t>Total kg (Tổng kg)</t>
  </si>
  <si>
    <t>Stock in W.H (Tồn kho (kg))</t>
  </si>
  <si>
    <t>Conc. (đậm đặc (kg))</t>
  </si>
  <si>
    <t>%</t>
  </si>
  <si>
    <t>Mash (Bột (kg))</t>
  </si>
  <si>
    <t>Pellet (viên (kg))</t>
  </si>
  <si>
    <t>Feed in Bin (cám tồn bồn (kg))</t>
  </si>
  <si>
    <t>Feed bigbag (cám bao bigbag (kg))</t>
  </si>
  <si>
    <t>Grand total (Tổng tồn (kg))</t>
  </si>
  <si>
    <t>TOTAL DAY ON HAND (tổng ngày tồn bán hàng)</t>
  </si>
  <si>
    <t>TOTAL CUS. (tồng cám đại lý) kg</t>
  </si>
  <si>
    <t>TOTAL FARM. (tổng cám trại) kg</t>
  </si>
  <si>
    <t>Total silo Feed (tồn bồn cám silo) kg</t>
  </si>
  <si>
    <t>SỐ NGÀY SẢN XUẤT:</t>
  </si>
  <si>
    <t>Days (ngày)</t>
  </si>
  <si>
    <t>SỐ NGÀY BÁN HÀNG:</t>
  </si>
  <si>
    <t>Days(ngày)</t>
  </si>
  <si>
    <t>BRAND (THƯƠNG HIỆU)</t>
  </si>
  <si>
    <t>PRODUCE (SẢN XUẤT) đến ngày 10/05/2026</t>
  </si>
  <si>
    <t>SALES (BÁN HÀNG) đến ngày 10/05/2026</t>
  </si>
  <si>
    <t>5 KG &amp; 5*5 KG</t>
  </si>
  <si>
    <t>25KG &amp; 40KG</t>
  </si>
  <si>
    <t xml:space="preserve"> 50KG</t>
  </si>
  <si>
    <t>5 &amp; 5*5 KG</t>
  </si>
  <si>
    <t>10KG &amp; 25KG &amp; 40 KG</t>
  </si>
  <si>
    <t>50 KG</t>
  </si>
  <si>
    <t>HIGRO. (kg)</t>
  </si>
  <si>
    <t>CP. (kg)</t>
  </si>
  <si>
    <t>STAR. (kg)</t>
  </si>
  <si>
    <t>NUVO. (kg)</t>
  </si>
  <si>
    <t>NASA (kg)</t>
  </si>
  <si>
    <t>INTEG. (kg)</t>
  </si>
  <si>
    <t>-</t>
  </si>
  <si>
    <t>TOTAL (tổng)kg</t>
  </si>
  <si>
    <t>TOTAL (tổng) %</t>
  </si>
  <si>
    <t>GRAND TOTAL (TỔNG CỘNG)(Kg)</t>
  </si>
  <si>
    <t>Aver. Pro (sản xuất trung bình) (kg):</t>
  </si>
  <si>
    <t>Aver. Sales (bán hàng trung bình) (kg):</t>
  </si>
  <si>
    <t>BEFF (BÒ)</t>
  </si>
  <si>
    <t>PIG (HEO)</t>
  </si>
  <si>
    <t>CHICKEN (GÀ)</t>
  </si>
  <si>
    <t>GOAT (DÊ)</t>
  </si>
  <si>
    <t>QUAIL (CÚT)</t>
  </si>
  <si>
    <t>DUCK (VỊT)</t>
  </si>
  <si>
    <t>DUCK      (VỊT THỊT)</t>
  </si>
  <si>
    <t>CON.C (CÁM ĐÂM ĐẶC)</t>
  </si>
  <si>
    <t>DUCK          (VỊT GIỐNG)</t>
  </si>
  <si>
    <t>MASH (BỘT)</t>
  </si>
  <si>
    <t>PELLET ( VIÊN) mm</t>
  </si>
  <si>
    <t>PRE-STAR.      (HEO CON)</t>
  </si>
  <si>
    <t>GROW.            (HEO THỊT)</t>
  </si>
  <si>
    <t>GESTATION. (HEO BỐ MẸ)</t>
  </si>
  <si>
    <t>BROILER     (GÀ THỊT)</t>
  </si>
  <si>
    <t>LAYER        (GÀ ĐẺ)</t>
  </si>
  <si>
    <t>BREEDER (GÀ GIỐNG)</t>
  </si>
  <si>
    <t>Prepared by (Người làm báo cáo): Trần Đình Thảo Nguyên</t>
  </si>
  <si>
    <t>Approved by(Người thẩm tra): Vũ Văn Hiển</t>
  </si>
  <si>
    <t>C.P VIETNAM LIVESTOCK CORPORATION.</t>
  </si>
  <si>
    <t>TIEN GIANG BRANCH</t>
  </si>
  <si>
    <t>FINISHED GOODS WAREHOUSE DEPT.</t>
  </si>
  <si>
    <t>Attn : K. Jittisart./K. Nitinan./ Mr. Loc.</t>
  </si>
  <si>
    <t>Cc : K Chaiwut./ K. Pramual</t>
  </si>
  <si>
    <t xml:space="preserve">From : Mss. Hien </t>
  </si>
  <si>
    <t>Ngày:</t>
  </si>
  <si>
    <t>Attn (Gửi đến) : K. Jittisart./K. Nitinan./ Mr. Loc.</t>
  </si>
  <si>
    <t>Cc (Đồng gửi) : K Chaiwut./ K. Pramual</t>
  </si>
  <si>
    <t>FINISHED FEED DAILY REPORT (BÁO CÁO TỒN KHO CÁM THÀNH PHẨM)</t>
  </si>
  <si>
    <t xml:space="preserve"> FEED WAITING FOR REMIX (CÁM CHỜ REMIX)</t>
  </si>
  <si>
    <t>Produce date      ( Ngày sản xuất)</t>
  </si>
  <si>
    <t>Trans in (nhận)</t>
  </si>
  <si>
    <t>Remix out</t>
  </si>
  <si>
    <t>BALANCE</t>
  </si>
  <si>
    <t>Total Remix</t>
  </si>
  <si>
    <t>Location</t>
  </si>
  <si>
    <t>REMARK</t>
  </si>
  <si>
    <t>Adi in (điều chỉnh thêm)</t>
  </si>
  <si>
    <t>Đổ Remix</t>
  </si>
  <si>
    <t>Trans out</t>
  </si>
  <si>
    <t>tồn cuối</t>
  </si>
  <si>
    <t>Tổng số lượng remix</t>
  </si>
  <si>
    <t>bao</t>
  </si>
  <si>
    <t>kg</t>
  </si>
  <si>
    <t>Adi out</t>
  </si>
  <si>
    <t>(Bag)</t>
  </si>
  <si>
    <t>Lô chất</t>
  </si>
  <si>
    <t>Ghi chú</t>
  </si>
  <si>
    <t>TOTAL (Tổng số lượng bao)</t>
  </si>
  <si>
    <t>TOTAL (Tổng trọng lượng kg)</t>
  </si>
  <si>
    <t>21111260000125</t>
  </si>
  <si>
    <t xml:space="preserve"> TA# 126 (25Kg) </t>
  </si>
  <si>
    <t>125</t>
  </si>
  <si>
    <t>21111501900425</t>
  </si>
  <si>
    <t xml:space="preserve"> TA# 150S (5*5=25Kg) </t>
  </si>
  <si>
    <t>250</t>
  </si>
  <si>
    <t>21111501900125</t>
  </si>
  <si>
    <t xml:space="preserve"> TA# 150S(25KG) </t>
  </si>
  <si>
    <t>425</t>
  </si>
  <si>
    <t>21111510000125</t>
  </si>
  <si>
    <t xml:space="preserve"> TA# 151 (25Kg) </t>
  </si>
  <si>
    <t>100</t>
  </si>
  <si>
    <t>Silo</t>
  </si>
  <si>
    <t>21111510000425</t>
  </si>
  <si>
    <t xml:space="preserve"> TA# 151 (5*5=25Kg) </t>
  </si>
  <si>
    <t>210</t>
  </si>
  <si>
    <t>21111571300425</t>
  </si>
  <si>
    <t xml:space="preserve"> TA# 157M (5*5=25Kg) </t>
  </si>
  <si>
    <t>140</t>
  </si>
  <si>
    <t>21111571300125</t>
  </si>
  <si>
    <t xml:space="preserve"> TA# 157M(25Kg) </t>
  </si>
  <si>
    <t>925</t>
  </si>
  <si>
    <t>Box</t>
  </si>
  <si>
    <t>21113010000125</t>
  </si>
  <si>
    <t xml:space="preserve"> TA# 301 (25Kg) </t>
  </si>
  <si>
    <t>21113020000125</t>
  </si>
  <si>
    <t xml:space="preserve"> TA# 302 (25Kg) </t>
  </si>
  <si>
    <t>21113220000125</t>
  </si>
  <si>
    <t xml:space="preserve"> TA# 322 (25KG) </t>
  </si>
  <si>
    <t>21113240000125</t>
  </si>
  <si>
    <t xml:space="preserve"> TA# 324 (25Kg) </t>
  </si>
  <si>
    <t>21113240000300</t>
  </si>
  <si>
    <t xml:space="preserve"> TA# 324 (SILO) </t>
  </si>
  <si>
    <t>324(S)</t>
  </si>
  <si>
    <t>21113240100125</t>
  </si>
  <si>
    <t xml:space="preserve"> TA# 324A (25Kg) </t>
  </si>
  <si>
    <t>21113240000250</t>
  </si>
  <si>
    <t xml:space="preserve"> TA# 324F (50KG) </t>
  </si>
  <si>
    <t>324F</t>
  </si>
  <si>
    <t>21113510000125</t>
  </si>
  <si>
    <t xml:space="preserve"> TA# 351 (25Kg) </t>
  </si>
  <si>
    <t>21113520000125</t>
  </si>
  <si>
    <t xml:space="preserve"> TA# 352 (25Kg) </t>
  </si>
  <si>
    <t>21113530000125</t>
  </si>
  <si>
    <t xml:space="preserve"> TA# 353(25Kg) </t>
  </si>
  <si>
    <t>21113660000125</t>
  </si>
  <si>
    <t xml:space="preserve"> TA# 366 (25Kg) </t>
  </si>
  <si>
    <t>21113670000125</t>
  </si>
  <si>
    <t xml:space="preserve"> TA# 367 (25Kg) </t>
  </si>
  <si>
    <t>21113840000125</t>
  </si>
  <si>
    <t xml:space="preserve"> TA# 384(25Kgs) </t>
  </si>
  <si>
    <t>21115100000125</t>
  </si>
  <si>
    <t xml:space="preserve"> TA# 510 (25Kg) </t>
  </si>
  <si>
    <t>21115100099300P-17</t>
  </si>
  <si>
    <t>21115100099300</t>
  </si>
  <si>
    <t xml:space="preserve"> TA# 510 (F)_SILO (Add Medicine) (P-17)</t>
  </si>
  <si>
    <t>510FP-17</t>
  </si>
  <si>
    <t>21115100000250</t>
  </si>
  <si>
    <t xml:space="preserve"> TA# 510F(50Kg) </t>
  </si>
  <si>
    <t>21115100000300</t>
  </si>
  <si>
    <t xml:space="preserve"> TA# 510F(SILO) </t>
  </si>
  <si>
    <t>21115101200125</t>
  </si>
  <si>
    <t xml:space="preserve"> TA# 510L (25Kg) </t>
  </si>
  <si>
    <t>21115101300125</t>
  </si>
  <si>
    <t xml:space="preserve"> TA# 510M (25Kg) </t>
  </si>
  <si>
    <t>21115101400250</t>
  </si>
  <si>
    <t xml:space="preserve"> TA# 510NF (50Kg) </t>
  </si>
  <si>
    <t>21115101400300</t>
  </si>
  <si>
    <t xml:space="preserve"> TA# 510NF (SILO) </t>
  </si>
  <si>
    <t>21115101499300P-32</t>
  </si>
  <si>
    <t>21115101499300</t>
  </si>
  <si>
    <t xml:space="preserve"> TA# 510NF (SILO) (Add Medicine) (P-32)</t>
  </si>
  <si>
    <t>510NFP-32</t>
  </si>
  <si>
    <t>21115101499300P-80</t>
  </si>
  <si>
    <t xml:space="preserve"> TA# 510NF (SILO) (Add Medicine) (P-80)</t>
  </si>
  <si>
    <t>510NFP-80</t>
  </si>
  <si>
    <t>21115110000125</t>
  </si>
  <si>
    <t xml:space="preserve"> TA# 511 (25Kg) </t>
  </si>
  <si>
    <t>21115110099300P-17</t>
  </si>
  <si>
    <t>21115110099300</t>
  </si>
  <si>
    <t xml:space="preserve"> TA# 511 (F)_SILO (Add Medicine) (P-17)</t>
  </si>
  <si>
    <t>511FP-17</t>
  </si>
  <si>
    <t>21115110100125</t>
  </si>
  <si>
    <t xml:space="preserve"> TA# 511A (25Kg) </t>
  </si>
  <si>
    <t>21115110199300P-17</t>
  </si>
  <si>
    <t>21115110199300</t>
  </si>
  <si>
    <t xml:space="preserve"> TA# 511A (F)_SILO (Add Medicine) (P-17)</t>
  </si>
  <si>
    <t>511AFP-17</t>
  </si>
  <si>
    <t>21115110100250</t>
  </si>
  <si>
    <t xml:space="preserve"> TA# 511A(F)(50KG) </t>
  </si>
  <si>
    <t>21115110100300</t>
  </si>
  <si>
    <t xml:space="preserve"> TA# 511A(F)(SILO) </t>
  </si>
  <si>
    <t>21115114300250</t>
  </si>
  <si>
    <t xml:space="preserve"> TA# 511ANF (50Kg) </t>
  </si>
  <si>
    <t>21115114399250P32</t>
  </si>
  <si>
    <t>21115114399250</t>
  </si>
  <si>
    <t xml:space="preserve"> TA# 511ANF (50KG) (Add Medicine) (P-32)</t>
  </si>
  <si>
    <t>511ANFP32</t>
  </si>
  <si>
    <t>21115114300300</t>
  </si>
  <si>
    <t xml:space="preserve"> TA# 511ANF (SILO) </t>
  </si>
  <si>
    <t>21115114399300P-32</t>
  </si>
  <si>
    <t>21115114399300</t>
  </si>
  <si>
    <t xml:space="preserve"> TA# 511ANF (SILO) (Add Medicine) (P-32)</t>
  </si>
  <si>
    <t>511ANFP-32</t>
  </si>
  <si>
    <t>21115114399300P-80</t>
  </si>
  <si>
    <t xml:space="preserve"> TA# 511ANF (SILO) (Add Medicine) (P-80)</t>
  </si>
  <si>
    <t>511ANFP-80</t>
  </si>
  <si>
    <t>21115110200125</t>
  </si>
  <si>
    <t xml:space="preserve"> TA# 511B (25Kg) </t>
  </si>
  <si>
    <t>21115110000300</t>
  </si>
  <si>
    <t xml:space="preserve"> TA# 511F(SILO) </t>
  </si>
  <si>
    <t>21115111200125</t>
  </si>
  <si>
    <t xml:space="preserve"> TA# 511L (25Kg) </t>
  </si>
  <si>
    <t>21115111300125</t>
  </si>
  <si>
    <t xml:space="preserve"> TA# 511M (25Kg) </t>
  </si>
  <si>
    <t>21115111400225</t>
  </si>
  <si>
    <t xml:space="preserve"> TA# 511NF (25kg) </t>
  </si>
  <si>
    <t>21115111400250</t>
  </si>
  <si>
    <t xml:space="preserve"> TA# 511NF (50kg) </t>
  </si>
  <si>
    <t>21115111400300</t>
  </si>
  <si>
    <t xml:space="preserve"> TA# 511NF (SILO) </t>
  </si>
  <si>
    <t>21115111499300P-32</t>
  </si>
  <si>
    <t>21115111499300</t>
  </si>
  <si>
    <t xml:space="preserve"> TA# 511NF (SILO) (Add Medicine) (P-32)</t>
  </si>
  <si>
    <t>511NFP-32</t>
  </si>
  <si>
    <t>21115111499300P-80</t>
  </si>
  <si>
    <t xml:space="preserve"> TA# 511NF (SILO) (Add Medicine) (P-80)</t>
  </si>
  <si>
    <t>511NFP-80</t>
  </si>
  <si>
    <t>21115121300125</t>
  </si>
  <si>
    <t xml:space="preserve"> TA# 512M (25kg) </t>
  </si>
  <si>
    <t>21115130000125</t>
  </si>
  <si>
    <t xml:space="preserve"> TA# 513 (25kg) </t>
  </si>
  <si>
    <t xml:space="preserve"> TA# 513F (50KG) </t>
  </si>
  <si>
    <t>21115130000250</t>
  </si>
  <si>
    <t>21115130000300</t>
  </si>
  <si>
    <t xml:space="preserve"> TA# 513F (SILO) </t>
  </si>
  <si>
    <t>21115210000125</t>
  </si>
  <si>
    <t xml:space="preserve"> TA# 521 (25Kg) </t>
  </si>
  <si>
    <t>21115210000100</t>
  </si>
  <si>
    <t xml:space="preserve"> TA# 521 (Silo) </t>
  </si>
  <si>
    <t>21115210000300</t>
  </si>
  <si>
    <t xml:space="preserve"> TA# 521F (SILO) </t>
  </si>
  <si>
    <t>521F(SILO)</t>
  </si>
  <si>
    <t>21115211400300</t>
  </si>
  <si>
    <t xml:space="preserve"> TA# 521N(SILO) </t>
  </si>
  <si>
    <t>521N</t>
  </si>
  <si>
    <t>21115211499300P-32</t>
  </si>
  <si>
    <t>21115211499300</t>
  </si>
  <si>
    <t xml:space="preserve"> TA# 521NF (SILO) (Add Medicine) (P-32)</t>
  </si>
  <si>
    <t>521NFP-32</t>
  </si>
  <si>
    <t>21115211499300P-40</t>
  </si>
  <si>
    <t xml:space="preserve"> TA# 521NF (SILO) (Add Medicine) (P-40)</t>
  </si>
  <si>
    <t>521NFP-40</t>
  </si>
  <si>
    <t>21115220000100</t>
  </si>
  <si>
    <t xml:space="preserve"> TA# 522 (SILO) </t>
  </si>
  <si>
    <t>21115220000300</t>
  </si>
  <si>
    <t xml:space="preserve"> TA# 522F(SILO) </t>
  </si>
  <si>
    <t>522F(S)</t>
  </si>
  <si>
    <t>21115221499300P-20</t>
  </si>
  <si>
    <t>21115221499300</t>
  </si>
  <si>
    <t xml:space="preserve"> TA# 522N (F)_SILO (Add Medicine) (P-20)</t>
  </si>
  <si>
    <t>522NFP-20</t>
  </si>
  <si>
    <t>21115221499300P-40</t>
  </si>
  <si>
    <t xml:space="preserve"> TA# 522N (F)_SILO (Add Medicine) (P-40)</t>
  </si>
  <si>
    <t>522NFP-40</t>
  </si>
  <si>
    <t>21115240000125</t>
  </si>
  <si>
    <t xml:space="preserve"> TA# 524 (25Kg) </t>
  </si>
  <si>
    <t>21115240000100</t>
  </si>
  <si>
    <t xml:space="preserve"> TA# 524 (SILO) </t>
  </si>
  <si>
    <t>21115240100125</t>
  </si>
  <si>
    <t xml:space="preserve"> TA# 524A (25Kg) </t>
  </si>
  <si>
    <t>21115321400300</t>
  </si>
  <si>
    <t xml:space="preserve"> TA# 532N (F) (SILO) </t>
  </si>
  <si>
    <t>21115341400300</t>
  </si>
  <si>
    <t xml:space="preserve"> TA# 534N (F) (Silo) </t>
  </si>
  <si>
    <t>534N(F)</t>
  </si>
  <si>
    <t>21115341499300P-20</t>
  </si>
  <si>
    <t>21115341499300</t>
  </si>
  <si>
    <t xml:space="preserve"> TA# 534N (F)_SILO (Add Medicine) (P-20)</t>
  </si>
  <si>
    <t>534NFP-20</t>
  </si>
  <si>
    <t>21115400000125</t>
  </si>
  <si>
    <t xml:space="preserve"> TA# 540 (25Kg) </t>
  </si>
  <si>
    <t>21115400000300</t>
  </si>
  <si>
    <t xml:space="preserve"> TA# 540F (SILO) </t>
  </si>
  <si>
    <t>21115430000125</t>
  </si>
  <si>
    <t xml:space="preserve"> TA# 543(25Kgs) </t>
  </si>
  <si>
    <t>21115440000140</t>
  </si>
  <si>
    <t xml:space="preserve"> TA# 544 (40Kg) </t>
  </si>
  <si>
    <t>21115450000140</t>
  </si>
  <si>
    <t xml:space="preserve"> TA# 545 (40Kg) </t>
  </si>
  <si>
    <t>21115480000125</t>
  </si>
  <si>
    <t xml:space="preserve"> TA# 548 (25Kg) </t>
  </si>
  <si>
    <t>21115480000300</t>
  </si>
  <si>
    <t xml:space="preserve"> TA# 548F (SILO) </t>
  </si>
  <si>
    <t>21115480000250</t>
  </si>
  <si>
    <t xml:space="preserve"> TA# 548F(50Kg) </t>
  </si>
  <si>
    <t>21115490000125</t>
  </si>
  <si>
    <t xml:space="preserve"> TA# 549 (25Kg) </t>
  </si>
  <si>
    <t>21115490000250</t>
  </si>
  <si>
    <t xml:space="preserve"> TA# 549F (50Kg) </t>
  </si>
  <si>
    <t>21115490000300</t>
  </si>
  <si>
    <t xml:space="preserve"> TA# 549F (SILO) </t>
  </si>
  <si>
    <t>21113501600210</t>
  </si>
  <si>
    <t xml:space="preserve"> TA# 550P (10Kg) </t>
  </si>
  <si>
    <t>21115501900125</t>
  </si>
  <si>
    <t xml:space="preserve"> TA# 550S (25kg) </t>
  </si>
  <si>
    <t>21115501900425</t>
  </si>
  <si>
    <t xml:space="preserve"> TA# 550S (5*5=25Kg) </t>
  </si>
  <si>
    <t>21115501900925</t>
  </si>
  <si>
    <t xml:space="preserve"> TA# 550S(Box) (25Kg) </t>
  </si>
  <si>
    <t>21115501900225</t>
  </si>
  <si>
    <t xml:space="preserve"> TA# 550S(F)(25Kg) </t>
  </si>
  <si>
    <t>21115501999300S-20</t>
  </si>
  <si>
    <t>21115501999300</t>
  </si>
  <si>
    <t xml:space="preserve"> TA# 550SF(SILO) (Add Medicine) (S-20)</t>
  </si>
  <si>
    <t>550SFS-20</t>
  </si>
  <si>
    <t>21115510000125</t>
  </si>
  <si>
    <t xml:space="preserve"> TA# 551 (25kg) </t>
  </si>
  <si>
    <t>21115510000425</t>
  </si>
  <si>
    <t xml:space="preserve"> TA# 551 (5*5=25Kg) </t>
  </si>
  <si>
    <t>21115510099250S-21</t>
  </si>
  <si>
    <t>21115510099250</t>
  </si>
  <si>
    <t xml:space="preserve"> TA# 551 (F)_50KG (Add Medicine) (S-21)</t>
  </si>
  <si>
    <t>551FS-21</t>
  </si>
  <si>
    <t>21115510000300</t>
  </si>
  <si>
    <t xml:space="preserve"> TA# 551 (SILO) </t>
  </si>
  <si>
    <t>21115510099125X-26</t>
  </si>
  <si>
    <t>21115510099125</t>
  </si>
  <si>
    <t xml:space="preserve"> TA# 551 _25KG (Add Medicine) (X-26)</t>
  </si>
  <si>
    <t>551X-26</t>
  </si>
  <si>
    <t>21115510000250</t>
  </si>
  <si>
    <t xml:space="preserve"> TA# 551F (50kg) </t>
  </si>
  <si>
    <t>21115510099300S-21</t>
  </si>
  <si>
    <t>21115510099300</t>
  </si>
  <si>
    <t xml:space="preserve"> TA# 551F (SILO) (Add Medicine) (S-21)</t>
  </si>
  <si>
    <t>21115517500125</t>
  </si>
  <si>
    <t xml:space="preserve"> TA# 551GP (25Kg) </t>
  </si>
  <si>
    <t>21115517500250</t>
  </si>
  <si>
    <t xml:space="preserve"> TA# 551GP(F)(50kgs) </t>
  </si>
  <si>
    <t>21115517599250S-21</t>
  </si>
  <si>
    <t>21115517599250</t>
  </si>
  <si>
    <t xml:space="preserve"> TA# 551GPF(50KG) (Add Medicine) (S-21)</t>
  </si>
  <si>
    <t>551GPFS-21</t>
  </si>
  <si>
    <t>21115517500300</t>
  </si>
  <si>
    <t xml:space="preserve"> TA# 551GPF(Silo) </t>
  </si>
  <si>
    <t>21115517599300S-21</t>
  </si>
  <si>
    <t>21115517599300</t>
  </si>
  <si>
    <t xml:space="preserve"> TA# 551GPF(SILO) (Add Medicine) (S-21)</t>
  </si>
  <si>
    <t>21115520000125</t>
  </si>
  <si>
    <t xml:space="preserve"> TA# 552 (25Kg) </t>
  </si>
  <si>
    <t>21115520099250S-31</t>
  </si>
  <si>
    <t>21115520099250</t>
  </si>
  <si>
    <t xml:space="preserve"> TA# 552 (F)_50KG (Add Medicine) (S-31)</t>
  </si>
  <si>
    <t>552FS-31</t>
  </si>
  <si>
    <t>21115520099250S-38</t>
  </si>
  <si>
    <t xml:space="preserve"> TA# 552 (F)_50KG (Add Medicine) (S-38)</t>
  </si>
  <si>
    <t>552FS-38</t>
  </si>
  <si>
    <t>21115520099250S-39</t>
  </si>
  <si>
    <t xml:space="preserve"> TA# 552 (F)_50KG (Add Medicine) (S-39)</t>
  </si>
  <si>
    <t>552FS-39</t>
  </si>
  <si>
    <t>21115520000250</t>
  </si>
  <si>
    <t xml:space="preserve"> TA# 552F(50KG) </t>
  </si>
  <si>
    <t>21115521300125</t>
  </si>
  <si>
    <t xml:space="preserve"> TA# 552M (25Kg) </t>
  </si>
  <si>
    <t>21115521900125</t>
  </si>
  <si>
    <t xml:space="preserve"> TA# 552S (25Kg) </t>
  </si>
  <si>
    <t>Thøc ¨n ch¨n nu«i# 552S_25Kg (Thuèc)</t>
  </si>
  <si>
    <t>21115521900300</t>
  </si>
  <si>
    <t xml:space="preserve"> TA# 552S (SILO) </t>
  </si>
  <si>
    <t>21115521900250</t>
  </si>
  <si>
    <t xml:space="preserve"> TA# 552SF (50KG) </t>
  </si>
  <si>
    <t>21115521999250S-31</t>
  </si>
  <si>
    <t>21115521999250</t>
  </si>
  <si>
    <t xml:space="preserve"> TA# 552SF (50KG) (Add Medicine) (S-31)</t>
  </si>
  <si>
    <t>552SFS-31</t>
  </si>
  <si>
    <t>21115521999250S-38</t>
  </si>
  <si>
    <t xml:space="preserve"> TA# 552SF (50KG) (Add Medicine) (S-38)</t>
  </si>
  <si>
    <t>552SFS-38</t>
  </si>
  <si>
    <t>21115521999250S-39</t>
  </si>
  <si>
    <t xml:space="preserve"> TA# 552SF (50KG) (Add Medicine) (S-39)</t>
  </si>
  <si>
    <t>552SFS-39</t>
  </si>
  <si>
    <t>21115521999300S-31</t>
  </si>
  <si>
    <t>21115521999300</t>
  </si>
  <si>
    <t xml:space="preserve"> TA# 552SF (SILO) (Add Medicine) (S-31)</t>
  </si>
  <si>
    <t>21115521999300S-38</t>
  </si>
  <si>
    <t xml:space="preserve"> TA# 552SF (SILO) (Add Medicine) (S-38)</t>
  </si>
  <si>
    <t>21115530000125</t>
  </si>
  <si>
    <t xml:space="preserve"> TA# 553 (25Kg) </t>
  </si>
  <si>
    <t>21115530200250</t>
  </si>
  <si>
    <t xml:space="preserve"> TA# 553BF (50KG) </t>
  </si>
  <si>
    <t>21115530299250S-31</t>
  </si>
  <si>
    <t>21115530299250</t>
  </si>
  <si>
    <t xml:space="preserve"> TA# 553BF (50KG) (Add Medicine) (S-31)</t>
  </si>
  <si>
    <t>553BFS-31</t>
  </si>
  <si>
    <t>21115530299250S-38</t>
  </si>
  <si>
    <t xml:space="preserve"> TA# 553BF (50KG) (Add Medicine) (S-38)</t>
  </si>
  <si>
    <t>553BFS-38</t>
  </si>
  <si>
    <t>21115531300250</t>
  </si>
  <si>
    <t xml:space="preserve"> TA# 553MF (50KG) </t>
  </si>
  <si>
    <t>21115531399250S-31</t>
  </si>
  <si>
    <t>21115531399250</t>
  </si>
  <si>
    <t xml:space="preserve"> TA# 553MF (50Kg) (Add Medicine) (S-31)</t>
  </si>
  <si>
    <t>553MFS-31</t>
  </si>
  <si>
    <t>21115531399250S-38</t>
  </si>
  <si>
    <t xml:space="preserve"> TA# 553MF (50Kg) (Add Medicine) (S-38)</t>
  </si>
  <si>
    <t>553MFS-38</t>
  </si>
  <si>
    <t>21115531399250S-39</t>
  </si>
  <si>
    <t xml:space="preserve"> TA# 553MF (50Kg) (Add Medicine) (S-39)</t>
  </si>
  <si>
    <t>553MFS-39</t>
  </si>
  <si>
    <t>21115531900125</t>
  </si>
  <si>
    <t xml:space="preserve"> TA# 553S (25KG) </t>
  </si>
  <si>
    <t>21115538400250</t>
  </si>
  <si>
    <t xml:space="preserve"> TA# 553WDF (50KG) </t>
  </si>
  <si>
    <t>21115620099250S-31</t>
  </si>
  <si>
    <t>21115620099250</t>
  </si>
  <si>
    <t xml:space="preserve"> TA# 562 (F)_50KG (Add Medicine) (S-31)</t>
  </si>
  <si>
    <t>562FS-31</t>
  </si>
  <si>
    <t>21115620099250S-38</t>
  </si>
  <si>
    <t xml:space="preserve"> TA# 562 (F)_50KG (Add Medicine) (S-38)</t>
  </si>
  <si>
    <t>562FS-38</t>
  </si>
  <si>
    <t>21115620099250S-39</t>
  </si>
  <si>
    <t xml:space="preserve"> TA# 562 (F)_50KG (Add Medicine) (S-39)</t>
  </si>
  <si>
    <t>562FS-39</t>
  </si>
  <si>
    <t>21115620000300</t>
  </si>
  <si>
    <t xml:space="preserve"> TA# 562(SILO) </t>
  </si>
  <si>
    <t>21115620099300S-31</t>
  </si>
  <si>
    <t>21115620099300</t>
  </si>
  <si>
    <t xml:space="preserve"> TA# 562F (SILO) (Add Medicine) (S-31)</t>
  </si>
  <si>
    <t>21115620099300S-38</t>
  </si>
  <si>
    <t xml:space="preserve"> TA# 562F (SILO) (Add Medicine) (S-38)</t>
  </si>
  <si>
    <t>21115620099300S-39</t>
  </si>
  <si>
    <t xml:space="preserve"> TA# 562F (SILO) (Add Medicine) (S-39)</t>
  </si>
  <si>
    <t>21115620000250</t>
  </si>
  <si>
    <t xml:space="preserve"> TA# 562F(50Kg) </t>
  </si>
  <si>
    <t>21115621600125</t>
  </si>
  <si>
    <t xml:space="preserve"> TA# 562P (25Kg) </t>
  </si>
  <si>
    <t>21115621699250S-31</t>
  </si>
  <si>
    <t>21115621699250</t>
  </si>
  <si>
    <t xml:space="preserve"> TA# 562P (F)_50KG (Add Medicine) (S-31)</t>
  </si>
  <si>
    <t>562PFS-31</t>
  </si>
  <si>
    <t>21115621699250S-38</t>
  </si>
  <si>
    <t xml:space="preserve"> TA# 562P (F)_50KG (Add Medicine) (S-38)</t>
  </si>
  <si>
    <t>562PFS-38</t>
  </si>
  <si>
    <t>21115621699250S-39</t>
  </si>
  <si>
    <t xml:space="preserve"> TA# 562P (F)_50KG (Add Medicine) (S-39)</t>
  </si>
  <si>
    <t>562PFS-39</t>
  </si>
  <si>
    <t>21115621600250</t>
  </si>
  <si>
    <t xml:space="preserve"> TA# 562PF (50Kg) </t>
  </si>
  <si>
    <t>21115621600300</t>
  </si>
  <si>
    <t xml:space="preserve"> TA# 562PF (SILO) </t>
  </si>
  <si>
    <t>21115660000300</t>
  </si>
  <si>
    <t xml:space="preserve"> TA# 566 (SILO) </t>
  </si>
  <si>
    <t>21115660000125</t>
  </si>
  <si>
    <t xml:space="preserve"> TA# 566(25Kg) </t>
  </si>
  <si>
    <t>21115660000250</t>
  </si>
  <si>
    <t xml:space="preserve"> TA# 566F(50KG) </t>
  </si>
  <si>
    <t>21115670000125</t>
  </si>
  <si>
    <t xml:space="preserve"> TA# 567 (25Kg) </t>
  </si>
  <si>
    <t>21115671900125</t>
  </si>
  <si>
    <t xml:space="preserve"> TA# 567S (25Kg) </t>
  </si>
  <si>
    <t>21115671999250S-31</t>
  </si>
  <si>
    <t>21115671999250</t>
  </si>
  <si>
    <t xml:space="preserve"> TA# 567S (F)_50KG (Add Medicine) (S-31)</t>
  </si>
  <si>
    <t>567SFS-31</t>
  </si>
  <si>
    <t>21115671999250S-32</t>
  </si>
  <si>
    <t xml:space="preserve"> TA# 567S (F)_50KG (Add Medicine) (S-32)</t>
  </si>
  <si>
    <t>567SFS-32</t>
  </si>
  <si>
    <t>21115671900300</t>
  </si>
  <si>
    <t xml:space="preserve"> TA# 567S (SILO) </t>
  </si>
  <si>
    <t>21115671900250</t>
  </si>
  <si>
    <t xml:space="preserve"> TA# 567SF (50Kg) </t>
  </si>
  <si>
    <t>21115710000425</t>
  </si>
  <si>
    <t xml:space="preserve"> TA# 571 (5*5=25Kgs) </t>
  </si>
  <si>
    <t>21115840000125</t>
  </si>
  <si>
    <t xml:space="preserve"> TA# 584(25Kgs) </t>
  </si>
  <si>
    <t>21115850000125</t>
  </si>
  <si>
    <t xml:space="preserve"> TA# 585 (25Kgs) </t>
  </si>
  <si>
    <t>21115950000125</t>
  </si>
  <si>
    <t xml:space="preserve"> TA# 595 (25Kgs) </t>
  </si>
  <si>
    <t>21121501900125</t>
  </si>
  <si>
    <t xml:space="preserve"> TA# 750S (25KG) </t>
  </si>
  <si>
    <t>750S</t>
  </si>
  <si>
    <t>300</t>
  </si>
  <si>
    <t>21186100000125</t>
  </si>
  <si>
    <t xml:space="preserve"> TA# 8610 (25kg) </t>
  </si>
  <si>
    <t>21186510000125</t>
  </si>
  <si>
    <t xml:space="preserve"> TA# 8651 (25Kg) </t>
  </si>
  <si>
    <t>21186520000125</t>
  </si>
  <si>
    <t xml:space="preserve"> TA# 8652 (25Kg) </t>
  </si>
  <si>
    <t>21186521900125</t>
  </si>
  <si>
    <t xml:space="preserve"> TA# 8652S (25KG) </t>
  </si>
  <si>
    <t>8652S</t>
  </si>
  <si>
    <t>21186530000125</t>
  </si>
  <si>
    <t xml:space="preserve"> TA# 8653 (25Kg) </t>
  </si>
  <si>
    <t>21186531900125</t>
  </si>
  <si>
    <t xml:space="preserve"> TA# 8653S (25KG) </t>
  </si>
  <si>
    <t>8653S</t>
  </si>
  <si>
    <t>21186660000125</t>
  </si>
  <si>
    <t xml:space="preserve"> TA# 8666 (25Kg) </t>
  </si>
  <si>
    <t>21186670000125</t>
  </si>
  <si>
    <t xml:space="preserve"> TA# 8667 (25Kg) </t>
  </si>
  <si>
    <t>21123840000125</t>
  </si>
  <si>
    <t xml:space="preserve"> TA# 884(25Kgs) </t>
  </si>
  <si>
    <t>21123851900125</t>
  </si>
  <si>
    <t xml:space="preserve"> TA# 885S (25Kg) </t>
  </si>
  <si>
    <t>21125100000125</t>
  </si>
  <si>
    <t xml:space="preserve"> TA# 910 (25Kg) </t>
  </si>
  <si>
    <t>21125111300125</t>
  </si>
  <si>
    <t xml:space="preserve"> TA# 911M (25kg) </t>
  </si>
  <si>
    <t>911M</t>
  </si>
  <si>
    <t>21125510000125</t>
  </si>
  <si>
    <t xml:space="preserve"> TA# 951 (25Kg) </t>
  </si>
  <si>
    <t>21125520000125</t>
  </si>
  <si>
    <t xml:space="preserve"> TA# 952 (25Kg) </t>
  </si>
  <si>
    <t>21125521300125</t>
  </si>
  <si>
    <t xml:space="preserve"> TA# 952M (25Kg) </t>
  </si>
  <si>
    <t>21125521900125</t>
  </si>
  <si>
    <t xml:space="preserve"> TA# 952S (25Kg) </t>
  </si>
  <si>
    <t>21125530000125</t>
  </si>
  <si>
    <t xml:space="preserve"> TA# 953 (25Kg) </t>
  </si>
  <si>
    <t>21125531900125</t>
  </si>
  <si>
    <t xml:space="preserve"> TA# 953S (25KG) </t>
  </si>
  <si>
    <t>21196510000125</t>
  </si>
  <si>
    <t xml:space="preserve"> TA# 9651 (25Kg) </t>
  </si>
  <si>
    <t>21196520000125</t>
  </si>
  <si>
    <t xml:space="preserve"> TA# 9652 (25Kg) </t>
  </si>
  <si>
    <t>21196521900125</t>
  </si>
  <si>
    <t xml:space="preserve"> TA# 9652S (25Kg) </t>
  </si>
  <si>
    <t>21196530000125</t>
  </si>
  <si>
    <t xml:space="preserve"> TA# 9653 (25Kg) </t>
  </si>
  <si>
    <t>21196531900125</t>
  </si>
  <si>
    <t xml:space="preserve"> TA# 9653S (25KG) </t>
  </si>
  <si>
    <t>9653S</t>
  </si>
  <si>
    <t>21125660000125</t>
  </si>
  <si>
    <t xml:space="preserve"> TA# 966 (25Kg) </t>
  </si>
  <si>
    <t>21196660000125</t>
  </si>
  <si>
    <t xml:space="preserve"> TA# 9666 (25Kg) </t>
  </si>
  <si>
    <t>21196670000125</t>
  </si>
  <si>
    <t xml:space="preserve"> TA# 9667 (25Kg) </t>
  </si>
  <si>
    <t>21125670000125</t>
  </si>
  <si>
    <t xml:space="preserve"> TA# 967 (25Kg) </t>
  </si>
  <si>
    <t>21125671900125</t>
  </si>
  <si>
    <t xml:space="preserve"> TA# 967S (25kg) </t>
  </si>
  <si>
    <t>21125840000125</t>
  </si>
  <si>
    <t xml:space="preserve"> TA# 984(25Kgs) </t>
  </si>
  <si>
    <t>21125851900125</t>
  </si>
  <si>
    <t xml:space="preserve"> TA# 985S (25Kg) </t>
  </si>
  <si>
    <t>21135660000125</t>
  </si>
  <si>
    <t xml:space="preserve"> TA# HG16 (25Kg) </t>
  </si>
  <si>
    <t>21135670000125</t>
  </si>
  <si>
    <t xml:space="preserve"> TA# HG17 (25Kg) </t>
  </si>
  <si>
    <t>21113506000210</t>
  </si>
  <si>
    <t xml:space="preserve"> TA# HI-GRO Prewean (10KG) </t>
  </si>
  <si>
    <t>350F</t>
  </si>
  <si>
    <t>21135510000125</t>
  </si>
  <si>
    <t xml:space="preserve"> TA# HT11 (25Kg) </t>
  </si>
  <si>
    <t>21135520000125</t>
  </si>
  <si>
    <t xml:space="preserve"> TA# HT12 (25Kg) </t>
  </si>
  <si>
    <t>21135521900125</t>
  </si>
  <si>
    <t xml:space="preserve"> TA# HT12S(25KG) </t>
  </si>
  <si>
    <t>21135530000125</t>
  </si>
  <si>
    <t xml:space="preserve"> TA# HT13 (25Kg) </t>
  </si>
  <si>
    <t>21135531900125</t>
  </si>
  <si>
    <t xml:space="preserve"> TA# HT13S (25KG) </t>
  </si>
  <si>
    <t>21135440000140</t>
  </si>
  <si>
    <t xml:space="preserve"> TA# VD14 (40Kg) </t>
  </si>
  <si>
    <t>21135480000125</t>
  </si>
  <si>
    <t>TA# VT11 (25Kg)</t>
  </si>
  <si>
    <t>21135400000125</t>
  </si>
  <si>
    <t xml:space="preserve"> TA# VT12 (25Kg) </t>
  </si>
  <si>
    <t>21135490000125</t>
  </si>
  <si>
    <t xml:space="preserve"> TA# VT13 (25KG) </t>
  </si>
  <si>
    <t>VT13</t>
  </si>
  <si>
    <t>21115210000250</t>
  </si>
  <si>
    <t>TA #  521F (50KG)</t>
  </si>
  <si>
    <t>21115110000250</t>
  </si>
  <si>
    <t>TA#  511F(50KG)</t>
  </si>
  <si>
    <t>21115400000250</t>
  </si>
  <si>
    <t>TA#  540F (50KG)</t>
  </si>
  <si>
    <t>21115501999225S-20</t>
  </si>
  <si>
    <t>TA# 550S (F)_25KG (Add Medicine) (S-20)</t>
  </si>
  <si>
    <t>550S FS-20</t>
  </si>
  <si>
    <t>225</t>
  </si>
  <si>
    <t>TA# 511A (F)_SILO (Add Medicine) (P-17)</t>
  </si>
  <si>
    <t>21125101300125</t>
  </si>
  <si>
    <t>TA# 910M (25kg)</t>
  </si>
  <si>
    <t>910M</t>
  </si>
  <si>
    <t>21115671999300S-32</t>
  </si>
  <si>
    <t>TA# 567S_SILO (Add Medicine) (S-32</t>
  </si>
  <si>
    <t>TA#511F(SILO)</t>
  </si>
  <si>
    <t>TA# 553BSF (50KG)</t>
  </si>
  <si>
    <t>553BSF</t>
  </si>
  <si>
    <t>21115527200250</t>
  </si>
  <si>
    <t>TA# 552BSF (50KG)</t>
  </si>
  <si>
    <t>552BSF</t>
  </si>
  <si>
    <t>21115221499300P-70</t>
  </si>
  <si>
    <t>TA# 522N (F)_SILO (Add Medicine) (P-70)</t>
  </si>
  <si>
    <t>522NFP-70</t>
  </si>
  <si>
    <t>21115501999225S-21</t>
  </si>
  <si>
    <t>TA# 550S (F)_25KG (Add Medicine) (S-21)</t>
  </si>
  <si>
    <t>550S FS-21</t>
  </si>
  <si>
    <t>21115211499300P-70</t>
  </si>
  <si>
    <t>TA# 521NF (SILO) (Add Medicine)</t>
  </si>
  <si>
    <t>521NFP-70</t>
  </si>
  <si>
    <t>21115520000300</t>
  </si>
  <si>
    <t>TA# 552F (SILO)</t>
  </si>
  <si>
    <t>21115520099300S-38</t>
  </si>
  <si>
    <t>TA# 552F (SILO) (Add Medicine) (S-38)</t>
  </si>
  <si>
    <t>21115501999300S-21</t>
  </si>
  <si>
    <t>TA# 550SF(SILO) (Add Medicine) (S-21)</t>
  </si>
  <si>
    <t>550SFS-21</t>
  </si>
  <si>
    <t>21115110199300P-22</t>
  </si>
  <si>
    <t>TA# 511A (F)_SILO (Add Medicine) (P-22)</t>
  </si>
  <si>
    <t>511AFP-22</t>
  </si>
  <si>
    <t>21115100099300P-22</t>
  </si>
  <si>
    <t>TA# 510 (F)_SILO (Add Medicine) (P-22)</t>
  </si>
  <si>
    <t>510FP-22</t>
  </si>
  <si>
    <t>21115100099250P-22</t>
  </si>
  <si>
    <t>TA# 510 (F)_50KG (Add Medicine) (P-22)</t>
  </si>
  <si>
    <t>21115111499300P-81</t>
  </si>
  <si>
    <t>TA# 511NF (SILO) (Add Medicine) (P-81)</t>
  </si>
  <si>
    <t>511NFP-81</t>
  </si>
  <si>
    <t>21115101499250P-81</t>
  </si>
  <si>
    <t>TA# 510NF (50KG) (Thuèc) (P-81)</t>
  </si>
  <si>
    <t>510NFP-81</t>
  </si>
  <si>
    <t>21115111499250P-81</t>
  </si>
  <si>
    <t>TA# 511NF (50KG) (Add Medicine) (P-81)</t>
  </si>
  <si>
    <t>21115130000225</t>
  </si>
  <si>
    <t>TA# 513F (25Kg)</t>
  </si>
  <si>
    <t>21115114399250P-81</t>
  </si>
  <si>
    <t>TA# 511ANF (50KG) (Add Medicine) (P-81)</t>
  </si>
  <si>
    <t>511ANFP-81</t>
  </si>
  <si>
    <t>21115114399300P-81</t>
  </si>
  <si>
    <t>TA# 511ANF (SILO) (Add Medicine) (P-81)</t>
  </si>
  <si>
    <t>21115110199250P-22</t>
  </si>
  <si>
    <t>Thøc ¨n ch¨n nu«i# 511A (F)_50KG (Thuèc) (P-22)</t>
  </si>
  <si>
    <t>21115110099300P-22</t>
  </si>
  <si>
    <t>TA# 511 (F)_SILO (Add Medicine)</t>
  </si>
  <si>
    <t>511FP-22</t>
  </si>
  <si>
    <t>21125950000125</t>
  </si>
  <si>
    <t>TA# 995 (25Kg)</t>
  </si>
  <si>
    <t>21115101499300P-81</t>
  </si>
  <si>
    <t>TA# 510NF (SILO) (Add Medicine)</t>
  </si>
  <si>
    <t>21115110099250P-22</t>
  </si>
  <si>
    <t>TA# 511 (F)_50KG (Add Medicine)</t>
  </si>
  <si>
    <t>21115110100100</t>
  </si>
  <si>
    <t>TA# 511A (SILO)</t>
  </si>
  <si>
    <t>21125911400125</t>
  </si>
  <si>
    <t>TA# 991-14 (25KG)</t>
  </si>
  <si>
    <t>21115110000100</t>
  </si>
  <si>
    <t>TA# 511 (SILO)</t>
  </si>
  <si>
    <t>21115530200300</t>
  </si>
  <si>
    <t>553BFSILO</t>
  </si>
  <si>
    <t>21115539900250</t>
  </si>
  <si>
    <t>TA# 553BSOF (50KG)</t>
  </si>
  <si>
    <t>553BSOF</t>
  </si>
  <si>
    <t>21125121300125</t>
  </si>
  <si>
    <t>TA# 912M (25kg)</t>
  </si>
  <si>
    <t>912M</t>
  </si>
  <si>
    <t>21115520099300S-31</t>
  </si>
  <si>
    <t>21115520099300</t>
  </si>
  <si>
    <t>TA# 552F (SILO) (Add Medicine) (S-31)</t>
  </si>
  <si>
    <t>21115211499250P-70</t>
  </si>
  <si>
    <t>TA# 521NF (50Kg) (Add Medicine)</t>
  </si>
  <si>
    <t>21115221499250P-70</t>
  </si>
  <si>
    <t>TA# 522NF (50Kg) (Add Medicine)</t>
  </si>
  <si>
    <t>21115111499300P-82</t>
  </si>
  <si>
    <t xml:space="preserve"> TA# 511NF (SILO) (Add Medicine) (P-82)</t>
  </si>
  <si>
    <t>511NFP-82</t>
  </si>
  <si>
    <t>21115111499250P-82</t>
  </si>
  <si>
    <t>21115111499250</t>
  </si>
  <si>
    <t xml:space="preserve"> TA# 511NF (50KG) (Add Medicine) (P-82)</t>
  </si>
  <si>
    <t>21115100099300P-64</t>
  </si>
  <si>
    <t>TA# 510 (F)_SILO (Add Medicine)P-64</t>
  </si>
  <si>
    <t>510FP-64</t>
  </si>
  <si>
    <t>TA# 511NF (50KG) (Add Medicine)P-82</t>
  </si>
  <si>
    <t>21115114399250P-82</t>
  </si>
  <si>
    <t>TA# 511ANF (50KG) (Add Medicine)P-82</t>
  </si>
  <si>
    <t>511ANFP-82</t>
  </si>
  <si>
    <t>TA# 511NF (SILO) (Add Medicine)P-82</t>
  </si>
  <si>
    <t>21115114399300P-82</t>
  </si>
  <si>
    <t>TA# 511ANF (SILO) (Add Medicine)P-82</t>
  </si>
  <si>
    <t>21115110099250P-64</t>
  </si>
  <si>
    <t>TA# 511 (F)_50KG (Add Medicine)P-64</t>
  </si>
  <si>
    <t>511FP-64</t>
  </si>
  <si>
    <t>21115110199300P-64</t>
  </si>
  <si>
    <t>TA# 511A (F)_SILO (Add Medicine) (P-64)</t>
  </si>
  <si>
    <t>511AFP-64</t>
  </si>
  <si>
    <t>21115100099250P-64</t>
  </si>
  <si>
    <t>21115100099250</t>
  </si>
  <si>
    <t xml:space="preserve"> TA# 510 (F)_50KG (Add Medicine) (P-64)</t>
  </si>
  <si>
    <t>21115110099300P-64</t>
  </si>
  <si>
    <t>TA# 511 (F)_SILO (Add Medicine)P-64</t>
  </si>
  <si>
    <t>21115110199250P-64</t>
  </si>
  <si>
    <t>Thøc ¨n ch¨n nu«i# 511A (F)_50KG (Thuèc)P-64</t>
  </si>
  <si>
    <t>21115101499250P-82</t>
  </si>
  <si>
    <t>21115101499250</t>
  </si>
  <si>
    <t>TA# 510NF (50KG) (Thuèc) (P-82)</t>
  </si>
  <si>
    <t>510NFP-82</t>
  </si>
  <si>
    <t>21115101499300P-82</t>
  </si>
  <si>
    <t>TA# 510NF (SILO) (Add Medicine)P-82</t>
  </si>
  <si>
    <t>21115110099250P-58</t>
  </si>
  <si>
    <t>TA# 511 (F)_50KG (Add Medicine)P-58</t>
  </si>
  <si>
    <t>511FP-58</t>
  </si>
  <si>
    <t>21115100099250P-21</t>
  </si>
  <si>
    <t>TA# 510 (F)_50KG (Add Medicine)P-21</t>
  </si>
  <si>
    <t>510FP-21</t>
  </si>
  <si>
    <t>21115110199300P-21</t>
  </si>
  <si>
    <t>TA# 511A (F)_SILO (Add Medicine)P-21</t>
  </si>
  <si>
    <t>511AFP-21</t>
  </si>
  <si>
    <t>21115110199250P-21</t>
  </si>
  <si>
    <t>Thøc ¨n ch¨n nu«i# 511A (F)_50KG (Thuèc)P-21</t>
  </si>
  <si>
    <t>21115221499300P-80</t>
  </si>
  <si>
    <t>TA# 522N (F)_SILO (Add Medicine)P-80</t>
  </si>
  <si>
    <t>522NFP-80</t>
  </si>
  <si>
    <t>21115110099300P-21</t>
  </si>
  <si>
    <t>TA# 511 (F)_SILO (Add Medicine)P-21</t>
  </si>
  <si>
    <t>511FP-21</t>
  </si>
  <si>
    <t>21115100099300P-21</t>
  </si>
  <si>
    <t>TA# 510 (F)_SILO (Add Medicine)P-21</t>
  </si>
  <si>
    <t>21115211499300P-80</t>
  </si>
  <si>
    <t>TA# 521NF (SILO) (Add Medicine)P-80</t>
  </si>
  <si>
    <t>521NFP-80</t>
  </si>
  <si>
    <t>21115110099250P-21</t>
  </si>
  <si>
    <t>TA# 511 (F)_50KG (Add Medicine)P-21</t>
  </si>
  <si>
    <t>21125911600125</t>
  </si>
  <si>
    <t>TA# 991-16 (25KG)</t>
  </si>
  <si>
    <t>991-16</t>
  </si>
  <si>
    <t>21115110099300P-58</t>
  </si>
  <si>
    <t>TA# 511 (F)_SILO (Add Medicine)P-58</t>
  </si>
  <si>
    <t>21115110199250P-58</t>
  </si>
  <si>
    <t>Thøc ¨n ch¨n nu«i# 511A (F)_50KG (Thuèc)P-58</t>
  </si>
  <si>
    <t>511AFP-58</t>
  </si>
  <si>
    <t>21115538400300</t>
  </si>
  <si>
    <t>TA# 553WDF (SILO)</t>
  </si>
  <si>
    <t>21115517599250S-10</t>
  </si>
  <si>
    <t>TA# 551GPF(50KG) (Add Medicine)S-10</t>
  </si>
  <si>
    <t>551GPFS-10</t>
  </si>
  <si>
    <t>21115517599300S-10</t>
  </si>
  <si>
    <t>TA# 551GPF(SILO) (Add Medicine)S-10</t>
  </si>
  <si>
    <t>21115531300300</t>
  </si>
  <si>
    <t>TA# 553MF (SILO)</t>
  </si>
  <si>
    <t>21115211499250P-80</t>
  </si>
  <si>
    <t>21115211499250</t>
  </si>
  <si>
    <t>21115111499250P-30</t>
  </si>
  <si>
    <t>TA# 511NF (50KG) (Add Medicine)P-30</t>
  </si>
  <si>
    <t>511NFP-30</t>
  </si>
  <si>
    <t>21115114399250P-30</t>
  </si>
  <si>
    <t>TA# 511ANF (50KG) (Add Medicine)P-30</t>
  </si>
  <si>
    <t>511ANFP-30</t>
  </si>
  <si>
    <t>21115111499300P-30</t>
  </si>
  <si>
    <t>TA# 511NF (SILO) (Add Medicine)</t>
  </si>
  <si>
    <t>21115440000125</t>
  </si>
  <si>
    <t>TA# 544 (25Kg)</t>
  </si>
  <si>
    <t>21115114399300P-30</t>
  </si>
  <si>
    <t>TA# 511ANF (SILO) (Add Medicine)P-30</t>
  </si>
  <si>
    <t>21125911800125</t>
  </si>
  <si>
    <t>TA# 991-18 (25KG)</t>
  </si>
  <si>
    <t>21115450000125</t>
  </si>
  <si>
    <t>TA# 545 (25Kg)</t>
  </si>
  <si>
    <t>21113240000225</t>
  </si>
  <si>
    <t>TA# 324F (25KG)</t>
  </si>
  <si>
    <t>21115101499300P-31</t>
  </si>
  <si>
    <t>510NFP-31</t>
  </si>
  <si>
    <t>21115101499250P-31</t>
  </si>
  <si>
    <t>TA# 510NF (50KG) (Thuèc)</t>
  </si>
  <si>
    <t>21115111499300P-31</t>
  </si>
  <si>
    <t>511NFP-31</t>
  </si>
  <si>
    <t>21115111499250P-31</t>
  </si>
  <si>
    <t>TA# 511NF (50KG) (Thuèc) (P-31)</t>
  </si>
  <si>
    <t>21115114399300P-31</t>
  </si>
  <si>
    <t>TA# 511ANF (SILO) (Add Medicine)</t>
  </si>
  <si>
    <t>511ANFP-31</t>
  </si>
  <si>
    <t>21113501600110</t>
  </si>
  <si>
    <t>TA# 550P (10KG)</t>
  </si>
  <si>
    <t>21115114399250P-31</t>
  </si>
  <si>
    <t>TA# 511ANF (50KG) (Add Medicine)</t>
  </si>
  <si>
    <t>21115660099300S-27</t>
  </si>
  <si>
    <t>21115660099300</t>
  </si>
  <si>
    <t>TA# 566_SILO (Add Medicine) (S-27</t>
  </si>
  <si>
    <t>566S-27</t>
  </si>
  <si>
    <t>21115660099250S-27</t>
  </si>
  <si>
    <t>21115660099250</t>
  </si>
  <si>
    <t>TA# 566F (Add Medicine) (S-27</t>
  </si>
  <si>
    <t>566FS-27</t>
  </si>
  <si>
    <t>21115521999125S-90</t>
  </si>
  <si>
    <t>TA# 552S_25Kg (Add Medicine)</t>
  </si>
  <si>
    <t>552SS-90</t>
  </si>
  <si>
    <t>21115341499300P-70</t>
  </si>
  <si>
    <t xml:space="preserve"> TA# 534N (F)_SILO (Add Medicine) (P-70)</t>
  </si>
  <si>
    <t>534NFP-70</t>
  </si>
  <si>
    <t>21115321499300P-10</t>
  </si>
  <si>
    <t>21115321499300</t>
  </si>
  <si>
    <t xml:space="preserve"> TA# 532N (F)_SILO (Add Medicine) (P-10)</t>
  </si>
  <si>
    <t>532NFP-10</t>
  </si>
  <si>
    <t>TA# 521N (SILO)</t>
  </si>
  <si>
    <t>21115211400250</t>
  </si>
  <si>
    <t>TA# 521NF (50Kg)</t>
  </si>
  <si>
    <t>21115321499300P-70</t>
  </si>
  <si>
    <t>TA# 532N (F)_SILO (Add Medicine)</t>
  </si>
  <si>
    <t>532NFP-70</t>
  </si>
  <si>
    <t>21125521999125S-90</t>
  </si>
  <si>
    <t>TA# 952S (25KG) (Add Medicine)</t>
  </si>
  <si>
    <t>952SS-90</t>
  </si>
  <si>
    <t>21115660099300S-72</t>
  </si>
  <si>
    <t>TA# 566_SILO (Add Medicine)</t>
  </si>
  <si>
    <t>566S-72</t>
  </si>
  <si>
    <t>21115660099250S72</t>
  </si>
  <si>
    <t>TA# 566 (F)_50KG (Add Medicine)</t>
  </si>
  <si>
    <t>TA# 550BSF (25KG)</t>
  </si>
  <si>
    <t>550BSF</t>
  </si>
  <si>
    <t>21115620000125</t>
  </si>
  <si>
    <t>TA# 562 (25Kg)</t>
  </si>
  <si>
    <t>21115110099300P-62</t>
  </si>
  <si>
    <t>511FP-62</t>
  </si>
  <si>
    <t>21115110099250P-62</t>
  </si>
  <si>
    <t>21115110199300P-62</t>
  </si>
  <si>
    <t>TA# 511A (F)_SILO (Add Medicine)</t>
  </si>
  <si>
    <t>511AFP-62</t>
  </si>
  <si>
    <t>21115100099250P-62</t>
  </si>
  <si>
    <t>TA# 510 (F)_50KG (Add Medicine)</t>
  </si>
  <si>
    <t>510FP-62</t>
  </si>
  <si>
    <t>21115110199250P-62</t>
  </si>
  <si>
    <t>TA# 511A (F)_50KG (Add Medicine)</t>
  </si>
  <si>
    <t>21115517200250</t>
  </si>
  <si>
    <t>TA# 551BSF (50KG)</t>
  </si>
  <si>
    <t>551BSF</t>
  </si>
  <si>
    <t>21115517572250</t>
  </si>
  <si>
    <t>TA# 551GPBSF (50KG)</t>
  </si>
  <si>
    <t>551GPBSF</t>
  </si>
  <si>
    <t>21115101499300P-33</t>
  </si>
  <si>
    <t>510NFP-33</t>
  </si>
  <si>
    <t>21115114399250P-33</t>
  </si>
  <si>
    <t>511ANFP-33</t>
  </si>
  <si>
    <t>21115101499250P-33</t>
  </si>
  <si>
    <t>21115111499300P-33</t>
  </si>
  <si>
    <t>511NFP-33</t>
  </si>
  <si>
    <t>21115114399300P-33</t>
  </si>
  <si>
    <t>21115111499250P-33</t>
  </si>
  <si>
    <t>TA# 511NF (50KG) (Add Medicine)</t>
  </si>
  <si>
    <t>21115110099250P-63</t>
  </si>
  <si>
    <t>511FP-63</t>
  </si>
  <si>
    <t>21115101300425</t>
  </si>
  <si>
    <t>TA# 510M (5*5=25kg)</t>
  </si>
  <si>
    <t>21113220000300</t>
  </si>
  <si>
    <t>TA# 322F (SILO)</t>
  </si>
  <si>
    <t>21113501600925</t>
  </si>
  <si>
    <t xml:space="preserve">TA# 350P(Box) (25Kg) </t>
  </si>
  <si>
    <t>350P Box</t>
  </si>
  <si>
    <t>21115221400300</t>
  </si>
  <si>
    <t>TA# 522NF (SILO)</t>
  </si>
  <si>
    <t>21115341499300P-10</t>
  </si>
  <si>
    <t xml:space="preserve"> TA# 534N (F)_SILO (Add Medicine) (P-10)</t>
  </si>
  <si>
    <t>534NFP-10</t>
  </si>
  <si>
    <t>21186521999125S-90</t>
  </si>
  <si>
    <t>TA# 8652S (25KG) (Add Medicine)</t>
  </si>
  <si>
    <t>8652SS-90</t>
  </si>
  <si>
    <t>21135521999125S-90</t>
  </si>
  <si>
    <t>TA# HT12S _25KG (Add Medicine)</t>
  </si>
  <si>
    <t>HT12SS-90</t>
  </si>
  <si>
    <t>21196521999125S-90</t>
  </si>
  <si>
    <t>TA# 9652S (25KG) (Add Medicine)</t>
  </si>
  <si>
    <t>9652SS-90</t>
  </si>
  <si>
    <t>21115521999300S-37</t>
  </si>
  <si>
    <t>21115521999300S37</t>
  </si>
  <si>
    <t>TA# 552SF (SILO) (Add Medicine)</t>
  </si>
  <si>
    <t>21115521999250S-37</t>
  </si>
  <si>
    <t>TA# 552S (F)_50KG (Add Medicine)</t>
  </si>
  <si>
    <t>552SFS-37</t>
  </si>
  <si>
    <t>21115671999300S-37</t>
  </si>
  <si>
    <t>TA# 567SF_SILO (Add Medicine)</t>
  </si>
  <si>
    <t>567SS-38</t>
  </si>
  <si>
    <t>21115520099250S-37</t>
  </si>
  <si>
    <t>21115520099300S37</t>
  </si>
  <si>
    <t>TA# 552 (F)_50KG (Add Medicine)</t>
  </si>
  <si>
    <t>21115520099300S-37</t>
  </si>
  <si>
    <t>TA# 552F (SILO) (Add Medicine)</t>
  </si>
  <si>
    <t>21115671999250S-37</t>
  </si>
  <si>
    <t>TA# 567S (F)_50KG (Add Medicine)</t>
  </si>
  <si>
    <t>567SFS-37</t>
  </si>
  <si>
    <t>21115851900125</t>
  </si>
  <si>
    <t>TA# 585S (25KG)</t>
  </si>
  <si>
    <t>21113851900125</t>
  </si>
  <si>
    <t>TA# 385S (25Kg)</t>
  </si>
  <si>
    <t>21113250000300</t>
  </si>
  <si>
    <t>TA# 325F (SILO)</t>
  </si>
  <si>
    <t>325F</t>
  </si>
  <si>
    <t>21115501999225S20</t>
  </si>
  <si>
    <t>21115510099250S21</t>
  </si>
  <si>
    <t xml:space="preserve"> TA# 551 (F)_50KG (Add Medicine) (S21)</t>
  </si>
  <si>
    <t>551FS21</t>
  </si>
  <si>
    <t>21115510099300S21</t>
  </si>
  <si>
    <t xml:space="preserve"> TA# 551F (SILO) (Add Medicine) (S21)</t>
  </si>
  <si>
    <t>21115520099300S31</t>
  </si>
  <si>
    <t>21115521999300S31</t>
  </si>
  <si>
    <t>21115101499300P32</t>
  </si>
  <si>
    <t>510NFP32</t>
  </si>
  <si>
    <t>21115520099250S31</t>
  </si>
  <si>
    <t>21115521999250S31</t>
  </si>
  <si>
    <t>21115517599300S21</t>
  </si>
  <si>
    <t>TA# 551GPF(SILO) (Add Medicine)</t>
  </si>
  <si>
    <t>551GPFS21</t>
  </si>
  <si>
    <t>21115671999300S31</t>
  </si>
  <si>
    <t>21115517599250S21</t>
  </si>
  <si>
    <t>TA# 551GPF(50KG) (Add Medicine)</t>
  </si>
  <si>
    <t>21115101499250P32</t>
  </si>
  <si>
    <t>21115111499250P32</t>
  </si>
  <si>
    <t>21115501999300S20</t>
  </si>
  <si>
    <t xml:space="preserve"> TA# 550SF(SILO) (Add Medicine) (S20)</t>
  </si>
  <si>
    <t>550SFS20</t>
  </si>
  <si>
    <t>21115517599300S10</t>
  </si>
  <si>
    <t>21115111499300P32</t>
  </si>
  <si>
    <t>21115321499300P10</t>
  </si>
  <si>
    <t>532NFP10</t>
  </si>
  <si>
    <t>21115517599250S10</t>
  </si>
  <si>
    <t>21115671999250S31</t>
  </si>
  <si>
    <t>21115114399300P32</t>
  </si>
  <si>
    <t>21115521999125S90</t>
  </si>
  <si>
    <t>552SS90</t>
  </si>
  <si>
    <t>21115211499300P70</t>
  </si>
  <si>
    <t>521NFP70</t>
  </si>
  <si>
    <t>21115341499300P70</t>
  </si>
  <si>
    <t>TA# 534N (F)_SILO (Add Medicine)</t>
  </si>
  <si>
    <t>534NFP70</t>
  </si>
  <si>
    <t>21125521999125S90</t>
  </si>
  <si>
    <t>952SS90</t>
  </si>
  <si>
    <t>21135521999125S90</t>
  </si>
  <si>
    <t>HT12SS90</t>
  </si>
  <si>
    <t>21196521999125S90</t>
  </si>
  <si>
    <t>9652SS90</t>
  </si>
  <si>
    <t>21186521999125S90</t>
  </si>
  <si>
    <t>8652SS90</t>
  </si>
  <si>
    <t>21115221499300P70</t>
  </si>
  <si>
    <t>TA# 522N (F)_SILO (Add Medicine)</t>
  </si>
  <si>
    <t>522NFP70</t>
  </si>
  <si>
    <t>21115400000225</t>
  </si>
  <si>
    <t>TA# 540F (25Kg)</t>
  </si>
  <si>
    <t>21115111499300P33</t>
  </si>
  <si>
    <t>21115101499250P33</t>
  </si>
  <si>
    <t>TA# 510NF (50KG) (Add Medicine)</t>
  </si>
  <si>
    <t>510NFP33</t>
  </si>
  <si>
    <t>21115114399250P33</t>
  </si>
  <si>
    <t>21115111499250P33</t>
  </si>
  <si>
    <t>21115114399300P33</t>
  </si>
  <si>
    <t>21115101499300P33</t>
  </si>
  <si>
    <t>21115341499300P10</t>
  </si>
  <si>
    <t>534NFP10</t>
  </si>
  <si>
    <t>21115520099250S10</t>
  </si>
  <si>
    <t>21115520099300S10</t>
  </si>
  <si>
    <t>21115520099250S37</t>
  </si>
  <si>
    <t>21115521999250S37</t>
  </si>
  <si>
    <t>21115101900125</t>
  </si>
  <si>
    <t>TA# 510S (25Kg)</t>
  </si>
  <si>
    <t>21115321499300P70</t>
  </si>
  <si>
    <t>532NFP70</t>
  </si>
  <si>
    <t>21115211499250P70</t>
  </si>
  <si>
    <t>21115221499250P70</t>
  </si>
  <si>
    <t>21115521999300S38</t>
  </si>
  <si>
    <t>552SFS38</t>
  </si>
  <si>
    <t>21115520099300S38</t>
  </si>
  <si>
    <t>552FS38</t>
  </si>
  <si>
    <t>21115520099250S38</t>
  </si>
  <si>
    <t>21115521999250S38</t>
  </si>
  <si>
    <t>21115671999300S38</t>
  </si>
  <si>
    <t>567SSF-38</t>
  </si>
  <si>
    <t>21115671999250S38</t>
  </si>
  <si>
    <t>567SFS-38</t>
  </si>
  <si>
    <t>21115100000225</t>
  </si>
  <si>
    <t>TA# 510F (25Kg)</t>
  </si>
  <si>
    <t>21115361499300P44</t>
  </si>
  <si>
    <t>TA# 536NF (SILO)(Add Medicine)</t>
  </si>
  <si>
    <t>536NFP44</t>
  </si>
  <si>
    <t>21115110100225</t>
  </si>
  <si>
    <t>TA# 511AF (25Kg)</t>
  </si>
  <si>
    <t>21115341499300P44</t>
  </si>
  <si>
    <t>534NFP44</t>
  </si>
  <si>
    <t>21123020000125</t>
  </si>
  <si>
    <t>TA# 802 (25Kg)</t>
  </si>
  <si>
    <t>21115101499250P85</t>
  </si>
  <si>
    <t>21115114399300P85</t>
  </si>
  <si>
    <t>21115321499300P12</t>
  </si>
  <si>
    <t>532NFP12</t>
  </si>
  <si>
    <t>21115114399250P85</t>
  </si>
  <si>
    <t>21115341499300P12</t>
  </si>
  <si>
    <t>534NFP12</t>
  </si>
  <si>
    <t>21115101499300P85</t>
  </si>
  <si>
    <t>21115321499300P44</t>
  </si>
  <si>
    <t>532NFP44</t>
  </si>
  <si>
    <t>21115110000225</t>
  </si>
  <si>
    <t>TA# 511F (25Kg)</t>
  </si>
  <si>
    <t>21115480099250P31</t>
  </si>
  <si>
    <t>TA# 548F (50KG) (Add Medicine)</t>
  </si>
  <si>
    <t>21115211499300P44</t>
  </si>
  <si>
    <t>21113520000300</t>
  </si>
  <si>
    <t>TA# 352F (SILO)</t>
  </si>
  <si>
    <t>352F</t>
  </si>
  <si>
    <t>21125960000125</t>
  </si>
  <si>
    <t>TA# 996 (25KG)</t>
  </si>
  <si>
    <t>21115960000125</t>
  </si>
  <si>
    <t>TA# 596 (25KG)</t>
  </si>
  <si>
    <t>21115341499300P09</t>
  </si>
  <si>
    <t>534NFP09</t>
  </si>
  <si>
    <t>21115321499300P09</t>
  </si>
  <si>
    <t>532NFP09</t>
  </si>
  <si>
    <t>21115211499250P44</t>
  </si>
  <si>
    <t>21115671900100</t>
  </si>
  <si>
    <t>TA# 567S (SILO)</t>
  </si>
  <si>
    <t>21115660000100</t>
  </si>
  <si>
    <t>TA# 566 (SILO)</t>
  </si>
  <si>
    <t>21115501900100</t>
  </si>
  <si>
    <t>TA# 550S (SILO)</t>
  </si>
  <si>
    <t>21115510000100</t>
  </si>
  <si>
    <t>TA# 551 (SILO)</t>
  </si>
  <si>
    <t>21115501999225S21</t>
  </si>
  <si>
    <t>TA# 550S (F)_25KG (Add Medicine)</t>
  </si>
  <si>
    <t>550S FS21</t>
  </si>
  <si>
    <t>21115671999300S32</t>
  </si>
  <si>
    <t>567SS32</t>
  </si>
  <si>
    <t>21115517500100</t>
  </si>
  <si>
    <t>TA# 551GP (SILO)</t>
  </si>
  <si>
    <t>21115671999250S32</t>
  </si>
  <si>
    <t>21115521900100</t>
  </si>
  <si>
    <t>TA# 552S (SILO)</t>
  </si>
  <si>
    <t>21115111499250P85</t>
  </si>
  <si>
    <t>21115111499300P85</t>
  </si>
  <si>
    <t>21115521999100S90</t>
  </si>
  <si>
    <t>TA# 552S (SILO) (Add Medicine)</t>
  </si>
  <si>
    <t>21115520000100</t>
  </si>
  <si>
    <t>TA# 552 (SILO)</t>
  </si>
  <si>
    <t>21115341499300P08</t>
  </si>
  <si>
    <t>534NFP08</t>
  </si>
  <si>
    <t>21115371499300P12</t>
  </si>
  <si>
    <t>TA# 537NF (SILO) (Add Medicine)</t>
  </si>
  <si>
    <t>537NFP12</t>
  </si>
  <si>
    <t>21115321499300P08</t>
  </si>
  <si>
    <t>532NFP08</t>
  </si>
  <si>
    <t>21115480099250P33</t>
  </si>
  <si>
    <t>21115940000125</t>
  </si>
  <si>
    <t>TA# 594 (25KG)</t>
  </si>
  <si>
    <t>21115371499300P44</t>
  </si>
  <si>
    <t>537NFP44</t>
  </si>
  <si>
    <t>21115480000225</t>
  </si>
  <si>
    <t>TA# 548F(25Kg)</t>
  </si>
  <si>
    <t>21115361499300P12</t>
  </si>
  <si>
    <t>536NFP12</t>
  </si>
  <si>
    <t>21115114399300P87</t>
  </si>
  <si>
    <t>21115490000225</t>
  </si>
  <si>
    <t>TA# 549F (25Kg)</t>
  </si>
  <si>
    <t>21115101499250P87</t>
  </si>
  <si>
    <t>21115114399250P87</t>
  </si>
  <si>
    <t>21115111499250P35</t>
  </si>
  <si>
    <t>21115531900100</t>
  </si>
  <si>
    <t>TA# 553S (SILO)</t>
  </si>
  <si>
    <t>21115114399250P35</t>
  </si>
  <si>
    <t>21115114399300P35</t>
  </si>
  <si>
    <t>21115111499300P35</t>
  </si>
  <si>
    <t>21115101499300P87</t>
  </si>
  <si>
    <t>21115510000225</t>
  </si>
  <si>
    <t>TA# 551F (25kg)</t>
  </si>
  <si>
    <t>21113240000100</t>
  </si>
  <si>
    <t>TA# 324 (SILO)</t>
  </si>
  <si>
    <t>21115530000100</t>
  </si>
  <si>
    <t>TA# 553 (SILO)</t>
  </si>
  <si>
    <t>21115517500225</t>
  </si>
  <si>
    <t>TA# 551GP(F)(25kgs)</t>
  </si>
  <si>
    <t>21115521900225</t>
  </si>
  <si>
    <t>TA# 552SF(25Kg)</t>
  </si>
  <si>
    <t>21115361499300P08</t>
  </si>
  <si>
    <t>536NFP08</t>
  </si>
  <si>
    <t>21115371499300P08</t>
  </si>
  <si>
    <t>537NFP08</t>
  </si>
  <si>
    <t>TA# 522 (SILO)</t>
  </si>
  <si>
    <t>522(silo)Silo</t>
  </si>
  <si>
    <t>21113240100100</t>
  </si>
  <si>
    <t>TA# 324A (SILO)</t>
  </si>
  <si>
    <t>21115321499300P85</t>
  </si>
  <si>
    <t>532NFP85</t>
  </si>
  <si>
    <t>21115341499300P87</t>
  </si>
  <si>
    <t>534NFP87</t>
  </si>
  <si>
    <t>21115527800125</t>
  </si>
  <si>
    <t>TA# 552SX (25KG)</t>
  </si>
  <si>
    <t>21115361499300P85</t>
  </si>
  <si>
    <t>536NFP85</t>
  </si>
  <si>
    <t>21115371499300P85</t>
  </si>
  <si>
    <t>537NFP85</t>
  </si>
  <si>
    <t>21115660099300S72</t>
  </si>
  <si>
    <t>TA# 566F_SILO (Add Medicine)</t>
  </si>
  <si>
    <t>21125527800125</t>
  </si>
  <si>
    <t>TA# 952SX (25KG)</t>
  </si>
  <si>
    <t>21115371499300P15</t>
  </si>
  <si>
    <t>537NFP15</t>
  </si>
  <si>
    <t>21115361499300P15</t>
  </si>
  <si>
    <t>536NFP15</t>
  </si>
  <si>
    <t>21115480099300P31</t>
  </si>
  <si>
    <t>TA # 548F (SILO) (Add Medicine)</t>
  </si>
  <si>
    <t>21115341499300P15</t>
  </si>
  <si>
    <t>534NFP15</t>
  </si>
  <si>
    <t>21113240099300P15</t>
  </si>
  <si>
    <t>TA# 324 (F)_SILO (Add Medicine)</t>
  </si>
  <si>
    <t>324FP15</t>
  </si>
  <si>
    <t>21115371400300</t>
  </si>
  <si>
    <t>TA# 537NF (SILO)</t>
  </si>
  <si>
    <t>537NF</t>
  </si>
  <si>
    <t>21115491300125</t>
  </si>
  <si>
    <t>TA# 549M (25KG)</t>
  </si>
  <si>
    <t>21115341499300P85</t>
  </si>
  <si>
    <t>534NFP85</t>
  </si>
  <si>
    <t>21115520099300S34</t>
  </si>
  <si>
    <t>21115521999250S34</t>
  </si>
  <si>
    <t>552SFS34</t>
  </si>
  <si>
    <t>21115521999300S34</t>
  </si>
  <si>
    <t>21115481300125</t>
  </si>
  <si>
    <t>TA# 548M (25KG)</t>
  </si>
  <si>
    <t>21115520099250S34</t>
  </si>
  <si>
    <t>21115321499300P11</t>
  </si>
  <si>
    <t>532NFP11</t>
  </si>
  <si>
    <t>21115671999300S72</t>
  </si>
  <si>
    <t>21115111499250P87</t>
  </si>
  <si>
    <t>21115361400300</t>
  </si>
  <si>
    <t>TA# 536NF (SILO)</t>
  </si>
  <si>
    <t>536NF</t>
  </si>
  <si>
    <t>21115111499300P87</t>
  </si>
  <si>
    <t>21115114300225</t>
  </si>
  <si>
    <t>TA# 511ANF (25Kg)</t>
  </si>
  <si>
    <t>21125491300125</t>
  </si>
  <si>
    <t>TA# 949M(25KG)</t>
  </si>
  <si>
    <t>21115520000225</t>
  </si>
  <si>
    <t>TA# 552F(25Kg)</t>
  </si>
  <si>
    <t>21113010100125</t>
  </si>
  <si>
    <t>TA # 301A(25kg)</t>
  </si>
  <si>
    <t>21133020000125</t>
  </si>
  <si>
    <t>TA# CD02 (25Kg)</t>
  </si>
  <si>
    <t>21115621600100</t>
  </si>
  <si>
    <t>TA# 562P (SILO)</t>
  </si>
  <si>
    <t>21115220000125</t>
  </si>
  <si>
    <t>TA# 522 (25Kg)</t>
  </si>
  <si>
    <t>21115501999225S28</t>
  </si>
  <si>
    <t>550S FS28</t>
  </si>
  <si>
    <t>21115114399250P88</t>
  </si>
  <si>
    <t>21115101499250P88</t>
  </si>
  <si>
    <t>21115221499300P35</t>
  </si>
  <si>
    <t>522NFP35</t>
  </si>
  <si>
    <t>21115517599300S23</t>
  </si>
  <si>
    <t>551GPFS23</t>
  </si>
  <si>
    <t>21115510099250S23</t>
  </si>
  <si>
    <t>TA# 551 (F)_50KG (Add Medicine)</t>
  </si>
  <si>
    <t>551FS23</t>
  </si>
  <si>
    <t>21115517599250S11</t>
  </si>
  <si>
    <t>21115517599250S23</t>
  </si>
  <si>
    <t>21115660099300S37</t>
  </si>
  <si>
    <t>21115660099250S37</t>
  </si>
  <si>
    <t>21115520099250S11</t>
  </si>
  <si>
    <t>21115531900500</t>
  </si>
  <si>
    <t>TA# 553SF (Bigbag)</t>
  </si>
  <si>
    <t>21115341499300P45</t>
  </si>
  <si>
    <t>534NFP45</t>
  </si>
  <si>
    <t>21115520000500</t>
  </si>
  <si>
    <t>TA# 552F (Bigbag)</t>
  </si>
  <si>
    <t>21115480099300P33</t>
  </si>
  <si>
    <t>21115517599300S11</t>
  </si>
  <si>
    <t>21115510000500</t>
  </si>
  <si>
    <t>TA# 551F (Bigbag)</t>
  </si>
  <si>
    <t>21115517500500</t>
  </si>
  <si>
    <t>TA# 551GPF (Bigbag)</t>
  </si>
  <si>
    <t>21115621699250S37</t>
  </si>
  <si>
    <t>TA# 562P (F)_50KG (Add Medicine)</t>
  </si>
  <si>
    <t>21115101499300P88</t>
  </si>
  <si>
    <t>21115510099300S23</t>
  </si>
  <si>
    <t>TA# 551F (SILO) (Add Medicine)</t>
  </si>
  <si>
    <t>21115221400250</t>
  </si>
  <si>
    <t>TA# 522NF (50Kg)</t>
  </si>
  <si>
    <t>21115521900500</t>
  </si>
  <si>
    <t>TA# 552SF (Bigbag)</t>
  </si>
  <si>
    <t>21115114399300P88</t>
  </si>
  <si>
    <t>21115520099300S11</t>
  </si>
  <si>
    <t>21115621699250S34</t>
  </si>
  <si>
    <t>21115660099250S34</t>
  </si>
  <si>
    <t>21115660099300S34</t>
  </si>
  <si>
    <t>21115531900250</t>
  </si>
  <si>
    <t>TA# 553SF (50KG)</t>
  </si>
  <si>
    <t>21115101499250P89</t>
  </si>
  <si>
    <t>21115101499300P89</t>
  </si>
  <si>
    <t>21115114399300P89</t>
  </si>
  <si>
    <t>21115114399250P89</t>
  </si>
  <si>
    <t>21115491300100</t>
  </si>
  <si>
    <t>TA# 549M(SILO)</t>
  </si>
  <si>
    <t>21115490000100</t>
  </si>
  <si>
    <t>TA# 549 (SILO)</t>
  </si>
  <si>
    <t>21115527800500</t>
  </si>
  <si>
    <t>TA# 552SXF (Bigbag)</t>
  </si>
  <si>
    <t>21115527800100</t>
  </si>
  <si>
    <t>TA# 552SX (SILO)</t>
  </si>
  <si>
    <t>21115501999225S43</t>
  </si>
  <si>
    <t>550S FS43</t>
  </si>
  <si>
    <t>21115510099300S44</t>
  </si>
  <si>
    <t>21115510099250S44</t>
  </si>
  <si>
    <t>21115517599250S44</t>
  </si>
  <si>
    <t>21115240000225</t>
  </si>
  <si>
    <t>TA# 524F (25KG)</t>
  </si>
  <si>
    <t>21115517599300S44</t>
  </si>
  <si>
    <t>21115527800225</t>
  </si>
  <si>
    <t>TA# 552SXF (25kg)</t>
  </si>
  <si>
    <t>21115531399250S37</t>
  </si>
  <si>
    <t>TA# 553MF (50Kg) (Add Medicine)</t>
  </si>
  <si>
    <t>553MFS37</t>
  </si>
  <si>
    <t>21115531399250S70</t>
  </si>
  <si>
    <t>553MFS70</t>
  </si>
  <si>
    <t>21135671900125</t>
  </si>
  <si>
    <t>TA# HG17S (25KG)</t>
  </si>
  <si>
    <t>21135517500125</t>
  </si>
  <si>
    <t>TA# HT11 GP (25kg)</t>
  </si>
  <si>
    <t>21115531399250S34</t>
  </si>
  <si>
    <t>21125490000125</t>
  </si>
  <si>
    <t>TA# 949 (25Kg)</t>
  </si>
  <si>
    <t>21115531399300S34</t>
  </si>
  <si>
    <t>TA# 553MF (SILO) (Add Medicine)</t>
  </si>
  <si>
    <t>21125480000125</t>
  </si>
  <si>
    <t>TA# 948 (25Kg)</t>
  </si>
  <si>
    <t>21133240000125</t>
  </si>
  <si>
    <t>TA# GD04 (25Kg)</t>
  </si>
  <si>
    <t>21115531399300S70</t>
  </si>
  <si>
    <t>21115520099250S90</t>
  </si>
  <si>
    <t>21115521999300S90</t>
  </si>
  <si>
    <t>21115531399300S90</t>
  </si>
  <si>
    <t>21115520099300S90</t>
  </si>
  <si>
    <t>21115521999250S90</t>
  </si>
  <si>
    <t>21115531399250S90</t>
  </si>
  <si>
    <t>21125527900125</t>
  </si>
  <si>
    <t>TA# 952MX (25Kg)</t>
  </si>
  <si>
    <t>21115527900125</t>
  </si>
  <si>
    <t>TA# 552MX (25Kg)</t>
  </si>
  <si>
    <t>21113250000125</t>
  </si>
  <si>
    <t>TA# 325 (25Kg)</t>
  </si>
  <si>
    <t>21115351400300</t>
  </si>
  <si>
    <t>TA# 535NF(SILO)</t>
  </si>
  <si>
    <t>535NF</t>
  </si>
  <si>
    <t>21133240100100</t>
  </si>
  <si>
    <t>TA# GD04A (SILO)</t>
  </si>
  <si>
    <t>21133240000100</t>
  </si>
  <si>
    <t>TA# GD04 (SILO)</t>
  </si>
  <si>
    <t>21135527800125</t>
  </si>
  <si>
    <t>TA# HT12SX (25KG)</t>
  </si>
  <si>
    <t>21125110200125</t>
  </si>
  <si>
    <t>TA# 911B (25Kg)</t>
  </si>
  <si>
    <t>21115501999225S46</t>
  </si>
  <si>
    <t>550S FS46</t>
  </si>
  <si>
    <t>21115480099250P35</t>
  </si>
  <si>
    <t>21115480099300P35</t>
  </si>
  <si>
    <t>21115510099300S47</t>
  </si>
  <si>
    <t>21115510099250S47</t>
  </si>
  <si>
    <t>21115517599250S47</t>
  </si>
  <si>
    <t>21115671999250S49</t>
  </si>
  <si>
    <t>21115671999300S49</t>
  </si>
  <si>
    <t>21115517599300S47</t>
  </si>
  <si>
    <t>21115501699210S46</t>
  </si>
  <si>
    <t>TA# 550PF (10Kg)(Add Medicine)</t>
  </si>
  <si>
    <t>21115671999300S50</t>
  </si>
  <si>
    <t>21115510099250S48</t>
  </si>
  <si>
    <t>21115671999250S50</t>
  </si>
  <si>
    <t>21115517599250S48</t>
  </si>
  <si>
    <t>21115517599300S48</t>
  </si>
  <si>
    <t>21135521300125</t>
  </si>
  <si>
    <t>TA# HT12M (25KG)</t>
  </si>
  <si>
    <t>21135100000125</t>
  </si>
  <si>
    <t>TA# GT11 (25Kg)</t>
  </si>
  <si>
    <t>21115531900225</t>
  </si>
  <si>
    <t>TA# 553SF (25KG)</t>
  </si>
  <si>
    <t>21135110100125</t>
  </si>
  <si>
    <t>TA# GT12A (25Kg)</t>
  </si>
  <si>
    <t>21135110200125</t>
  </si>
  <si>
    <t>TA# GT12B (25Kg)</t>
  </si>
  <si>
    <t>21115521916100</t>
  </si>
  <si>
    <t>TA # 552SPro (SILO)</t>
  </si>
  <si>
    <t>21115501600125</t>
  </si>
  <si>
    <t>TA # 550Pro (25kg)</t>
  </si>
  <si>
    <t>21115101499250P91</t>
  </si>
  <si>
    <t>21115114399250P91</t>
  </si>
  <si>
    <t>21165110000125</t>
  </si>
  <si>
    <t>TA# 6911 (25KG)</t>
  </si>
  <si>
    <t>21115521916125</t>
  </si>
  <si>
    <t>TA # 552SPro (25kg)</t>
  </si>
  <si>
    <t>21115521600125</t>
  </si>
  <si>
    <t>TA # 552Pro (25Kg)</t>
  </si>
  <si>
    <t>21115511600125</t>
  </si>
  <si>
    <t>TA # 551Pro (25Kg)</t>
  </si>
  <si>
    <t>21165910000125</t>
  </si>
  <si>
    <t>TA# 6991 (25KG)</t>
  </si>
  <si>
    <t>21165520000125</t>
  </si>
  <si>
    <t>TA# 6952 (25KG)</t>
  </si>
  <si>
    <t>21135440000125</t>
  </si>
  <si>
    <t>TA# VD14 (25Kg)</t>
  </si>
  <si>
    <t>21135671900100</t>
  </si>
  <si>
    <t>TA# HG17S (SILO)</t>
  </si>
  <si>
    <t>21135660000100</t>
  </si>
  <si>
    <t>TA# HG16 (SILO)</t>
  </si>
  <si>
    <t>21115114399225P91</t>
  </si>
  <si>
    <t>TA# 511ANF 25KG (Add Medicine)</t>
  </si>
  <si>
    <t>21115531916125</t>
  </si>
  <si>
    <t>TA # 553SPro (25Kg)</t>
  </si>
  <si>
    <t>21115510099300S48</t>
  </si>
  <si>
    <t>TA # HT12 (SILO)</t>
  </si>
  <si>
    <t>21115501999300S46</t>
  </si>
  <si>
    <t>TA# 550SF(SILO) (Add Medicine)</t>
  </si>
  <si>
    <t>550SFS46</t>
  </si>
  <si>
    <t>21115101499250P81</t>
  </si>
  <si>
    <t>510NFP81</t>
  </si>
  <si>
    <t>21115111499250P31</t>
  </si>
  <si>
    <t>21115114399250P81</t>
  </si>
  <si>
    <t>21135110000125</t>
  </si>
  <si>
    <t>TA# GT12 (25Kg)</t>
  </si>
  <si>
    <t>21165540000125</t>
  </si>
  <si>
    <t>TA# 6954 (25KG)</t>
  </si>
  <si>
    <t>21135527800100</t>
  </si>
  <si>
    <t>TA # HT12SX (SILO)</t>
  </si>
  <si>
    <t>21135510000100</t>
  </si>
  <si>
    <t>TA # HT11 (SILO)</t>
  </si>
  <si>
    <t>21135531900100</t>
  </si>
  <si>
    <t>Thøc ¨n ch¨n nu«i # HT13S (SILO)</t>
  </si>
  <si>
    <t>21135662400100</t>
  </si>
  <si>
    <t>TA# HG16X (SILO)</t>
  </si>
  <si>
    <t>21165490000125</t>
  </si>
  <si>
    <t>TA# 6949 (25KG)</t>
  </si>
  <si>
    <t>21135671924100</t>
  </si>
  <si>
    <t>TA# HG17SX (SILO)</t>
  </si>
  <si>
    <t>21115400000240</t>
  </si>
  <si>
    <t>TA# 540F (40Kg)</t>
  </si>
  <si>
    <t>21115621699250S90</t>
  </si>
  <si>
    <t>21115660099300S90</t>
  </si>
  <si>
    <t>21115660099250S90</t>
  </si>
  <si>
    <t>21115501600425</t>
  </si>
  <si>
    <t>TA # 550Pro (5*5=25kg)</t>
  </si>
  <si>
    <t>21115517599250S52</t>
  </si>
  <si>
    <t>21115501999225S87</t>
  </si>
  <si>
    <t>21115501699210S87</t>
  </si>
  <si>
    <t>21115510099250S52</t>
  </si>
  <si>
    <t>21115671999300S53</t>
  </si>
  <si>
    <t>21115671999250S53</t>
  </si>
  <si>
    <t>21115517599300S52</t>
  </si>
  <si>
    <t>21115510099300S52</t>
  </si>
  <si>
    <t>21165530000125</t>
  </si>
  <si>
    <t>TA# 6953 (25KG)</t>
  </si>
  <si>
    <t>21115490000240</t>
  </si>
  <si>
    <t>TA# 549F (40Kg)</t>
  </si>
  <si>
    <t>21165950000125</t>
  </si>
  <si>
    <t>TA# 6995 (25KG)</t>
  </si>
  <si>
    <t>21163240000100</t>
  </si>
  <si>
    <t>TA# 6824 (SILO)</t>
  </si>
  <si>
    <t>21115531399250S73</t>
  </si>
  <si>
    <t>21163240000125</t>
  </si>
  <si>
    <t>TA# 6824 (25KG)</t>
  </si>
  <si>
    <t>21163950000125</t>
  </si>
  <si>
    <t>TA# 6895 (25KG)</t>
  </si>
  <si>
    <t>21115531399300S73</t>
  </si>
  <si>
    <t>21165240000125</t>
  </si>
  <si>
    <t>TA# 6924 (25KG)</t>
  </si>
  <si>
    <t>21115660000900</t>
  </si>
  <si>
    <t>TA# 566F (Bigbag)</t>
  </si>
  <si>
    <t>21115531900900</t>
  </si>
  <si>
    <t>21115520000900</t>
  </si>
  <si>
    <t>21115521900900</t>
  </si>
  <si>
    <t>21115621699300S37</t>
  </si>
  <si>
    <t>TA# 562P (F)_SILO (Add Medicine)</t>
  </si>
  <si>
    <t>21115510000900</t>
  </si>
  <si>
    <t>21115101499250P92</t>
  </si>
  <si>
    <t>21115114399250P92</t>
  </si>
  <si>
    <t>21115671999250S37</t>
  </si>
  <si>
    <t>567SFS37</t>
  </si>
  <si>
    <t>21115671999300S37</t>
  </si>
  <si>
    <t>21165480000125</t>
  </si>
  <si>
    <t>TA# 6948 (25KG)</t>
  </si>
  <si>
    <t>21163840000125</t>
  </si>
  <si>
    <t>TA# 6884 (25KG)</t>
  </si>
  <si>
    <t>21135240000100</t>
  </si>
  <si>
    <t>TA # GD14 (Silo)</t>
  </si>
  <si>
    <t>21115511600100</t>
  </si>
  <si>
    <t>Thøc ¨n ch¨n nu«i # 551Pro (SILO)</t>
  </si>
  <si>
    <t>21115521600100</t>
  </si>
  <si>
    <t>Thøc ¨n ch¨n nu«i # 552Pro (SILO)</t>
  </si>
  <si>
    <t>21115531916100</t>
  </si>
  <si>
    <t>TA # 553SPro (SILO)</t>
  </si>
  <si>
    <t>21115517500900</t>
  </si>
  <si>
    <t>21115671900900</t>
  </si>
  <si>
    <t>TA# 567SF (Bigbag)</t>
  </si>
  <si>
    <t>21115101499300P92</t>
  </si>
  <si>
    <t>21165840000125</t>
  </si>
  <si>
    <t>TA# 6984 (25KG)</t>
  </si>
  <si>
    <t>21115501999225S88</t>
  </si>
  <si>
    <t>21115517599250S54</t>
  </si>
  <si>
    <t>21115510099250S54</t>
  </si>
  <si>
    <t>21115510099300S54</t>
  </si>
  <si>
    <t>21115501699210S88</t>
  </si>
  <si>
    <t>Thøc ¨n ch¨n nu«i # 550PF (10Kg)(Thuèc)</t>
  </si>
  <si>
    <t>21115114399300P92</t>
  </si>
  <si>
    <t>21135220000100</t>
  </si>
  <si>
    <t>TA# GD12 (SILO)</t>
  </si>
  <si>
    <t>21115517599300S54</t>
  </si>
  <si>
    <t>21135490000100</t>
  </si>
  <si>
    <t>TA # VT12 (SILO)</t>
  </si>
  <si>
    <t>21115221600125</t>
  </si>
  <si>
    <t>TA# 522Pro (25KG)</t>
  </si>
  <si>
    <t>21196240000100</t>
  </si>
  <si>
    <t>TA# 9624 (Silo)</t>
  </si>
  <si>
    <t>21115501600100</t>
  </si>
  <si>
    <t>TA # 550 Pro (SILO)</t>
  </si>
  <si>
    <t>21135521900100</t>
  </si>
  <si>
    <t>TA # HT12S (SILO)</t>
  </si>
  <si>
    <t>21135240000125</t>
  </si>
  <si>
    <t>TA# GD14 (25Kg)</t>
  </si>
  <si>
    <t>21135480000100</t>
  </si>
  <si>
    <t>TA # VT11 (SILO)</t>
  </si>
  <si>
    <t>21115020000125</t>
  </si>
  <si>
    <t>TA# 502 (25KG)</t>
  </si>
  <si>
    <t>21196240000125</t>
  </si>
  <si>
    <t>TA# 9624 (25Kg)</t>
  </si>
  <si>
    <t>21113220000100</t>
  </si>
  <si>
    <t>TA# 322 (SILO)</t>
  </si>
  <si>
    <t>21115512400125</t>
  </si>
  <si>
    <t>TA# 551X (25kg)</t>
  </si>
  <si>
    <t>21115502416125</t>
  </si>
  <si>
    <t>TA# 550XPRO (25KG)</t>
  </si>
  <si>
    <t>21196220000100</t>
  </si>
  <si>
    <t>TA# 9622 (Silo)</t>
  </si>
  <si>
    <t>21115621699300S90</t>
  </si>
  <si>
    <t>21115507800125</t>
  </si>
  <si>
    <t>TA# 550SX (25Kg)</t>
  </si>
  <si>
    <t>21135512400125</t>
  </si>
  <si>
    <t>TA# HT11X (25KG)</t>
  </si>
  <si>
    <t>21135210000100</t>
  </si>
  <si>
    <t>TA# GD11 (SILO)</t>
  </si>
  <si>
    <t>21115538400225</t>
  </si>
  <si>
    <t>Thøc ¨n ch¨n nu«i # 553WDF (25KG)</t>
  </si>
  <si>
    <t>21115527816100</t>
  </si>
  <si>
    <t>TA # 552SXPro (SILO)</t>
  </si>
  <si>
    <t>21196241600100</t>
  </si>
  <si>
    <t>TA# 9624P (Silo)</t>
  </si>
  <si>
    <t>21115512416100</t>
  </si>
  <si>
    <t>TA# 551XPRO (SILO)</t>
  </si>
  <si>
    <t>21115211600125</t>
  </si>
  <si>
    <t>TA# 521Pro (25KG)</t>
  </si>
  <si>
    <t>21115671999300S90</t>
  </si>
  <si>
    <t>21115671999250S90</t>
  </si>
  <si>
    <t>Thøc ¨n ch¨n nu«i# 551GPF(50KG) (Thuèc)</t>
  </si>
  <si>
    <t>2113384005A125</t>
  </si>
  <si>
    <t>TA# BS04(25kg)5A</t>
  </si>
  <si>
    <t>2111511A500250</t>
  </si>
  <si>
    <t>TA# 511ANFTL3 (50KG)</t>
  </si>
  <si>
    <t>2113384015A125</t>
  </si>
  <si>
    <t>TA# BS04A(25kg)5A</t>
  </si>
  <si>
    <t>2111511A200250</t>
  </si>
  <si>
    <t>TA# 511NFTL3 (50KG)</t>
  </si>
  <si>
    <t>21115510099125X26</t>
  </si>
  <si>
    <t>TA# 551 _25KG (Add Medicine)</t>
  </si>
  <si>
    <t>2111510A299250P12</t>
  </si>
  <si>
    <t>2111510A299250</t>
  </si>
  <si>
    <t>TA# 510NFTL3(50KG)(Add Medicine)</t>
  </si>
  <si>
    <t>21115671999250S72</t>
  </si>
  <si>
    <t>21115501999300S88</t>
  </si>
  <si>
    <t>2111511A599250P12</t>
  </si>
  <si>
    <t>2111511A599250</t>
  </si>
  <si>
    <t>TA # 511ANFTL3(50Kg)(Add Medicine)</t>
  </si>
  <si>
    <t>21115211916125</t>
  </si>
  <si>
    <t>TA# 521SPro (25KG)</t>
  </si>
  <si>
    <t>21115437100125</t>
  </si>
  <si>
    <t>TA# PP20 (25Kg)</t>
  </si>
  <si>
    <t>21135670000100</t>
  </si>
  <si>
    <t>TA # HG17 (SILO)</t>
  </si>
  <si>
    <t>21115621699250S76</t>
  </si>
  <si>
    <t>21135110000100</t>
  </si>
  <si>
    <t>TA # GT12 (SILO)</t>
  </si>
  <si>
    <t>21115671999250S76</t>
  </si>
  <si>
    <t>21115501999250S88</t>
  </si>
  <si>
    <t>Thøc ¨n ch¨n nu«i# 550SF(50KG)(Thuèc)</t>
  </si>
  <si>
    <t>21115139300250</t>
  </si>
  <si>
    <t>Thøc ¨n ch¨n nu«i # 513FTL3 (50KG)</t>
  </si>
  <si>
    <t>21115501900250</t>
  </si>
  <si>
    <t>TA# 550S(F)50KG</t>
  </si>
  <si>
    <t>21115517599250S13</t>
  </si>
  <si>
    <t>21115520099250S13</t>
  </si>
  <si>
    <t>21115520099300S13</t>
  </si>
  <si>
    <t>211157100O1125</t>
  </si>
  <si>
    <t>TA# 571(25kg)O1</t>
  </si>
  <si>
    <t>21135100000100</t>
  </si>
  <si>
    <t>TA # GT11 (SILO)</t>
  </si>
  <si>
    <t>21115501900300</t>
  </si>
  <si>
    <t>TA# 550SF (SILO)</t>
  </si>
  <si>
    <t>21115520500125</t>
  </si>
  <si>
    <t>Thøc ¨n ch¨n nu«i # 552E(25KG)</t>
  </si>
  <si>
    <t>21115522400100</t>
  </si>
  <si>
    <t>TA # 552X (Silo)</t>
  </si>
  <si>
    <t>21135110100100</t>
  </si>
  <si>
    <t>TA # GT12A (SILO)</t>
  </si>
  <si>
    <t>21135110200100</t>
  </si>
  <si>
    <t>TA # GT12B (SILO)</t>
  </si>
  <si>
    <t>21115517599300S13</t>
  </si>
  <si>
    <t>21115662400125</t>
  </si>
  <si>
    <t>TA# 566X (25KG)</t>
  </si>
  <si>
    <t>21115512400100</t>
  </si>
  <si>
    <t>TA# 551X (Silo)</t>
  </si>
  <si>
    <t>21115677800100</t>
  </si>
  <si>
    <t>TA# 567SX(SILO)</t>
  </si>
  <si>
    <t>21115671999300S25</t>
  </si>
  <si>
    <t>21115660099300S25</t>
  </si>
  <si>
    <t>21115660099250S25</t>
  </si>
  <si>
    <t>21115671999250S25</t>
  </si>
  <si>
    <t>21115662400100</t>
  </si>
  <si>
    <t>TA# 566X (SILO)</t>
  </si>
  <si>
    <t>21115246100125</t>
  </si>
  <si>
    <t>TA# 524P(25Kg)</t>
  </si>
  <si>
    <t>21115110119125</t>
  </si>
  <si>
    <t>TA# 511AS (25KG)</t>
  </si>
  <si>
    <t>21135110119125</t>
  </si>
  <si>
    <t>TA# GT12AS (25Kg)</t>
  </si>
  <si>
    <t>2113584005A125</t>
  </si>
  <si>
    <t>TA# BS14(25kg)5A</t>
  </si>
  <si>
    <t>21115101900100</t>
  </si>
  <si>
    <t>TA# 510S(Silo)</t>
  </si>
  <si>
    <t>21115110119100</t>
  </si>
  <si>
    <t>TA# 511AS (SILO)</t>
  </si>
  <si>
    <t>21135111900125</t>
  </si>
  <si>
    <t>TA# GT12S (25Kg)</t>
  </si>
  <si>
    <t>21135110119100</t>
  </si>
  <si>
    <t>TA# GT12AS(Silo)</t>
  </si>
  <si>
    <t>21115520099300S73</t>
  </si>
  <si>
    <t>21115521999300S73</t>
  </si>
  <si>
    <t>21115520099250S73</t>
  </si>
  <si>
    <t>21115521999250S73</t>
  </si>
  <si>
    <t>21115627000100</t>
  </si>
  <si>
    <t>TA# 562PX (SILO)</t>
  </si>
  <si>
    <t>21115111900125</t>
  </si>
  <si>
    <t>TA# 511S (25KG)</t>
  </si>
  <si>
    <t>21135101900125</t>
  </si>
  <si>
    <t>TA # GT11S (25Kg)</t>
  </si>
  <si>
    <t>21115501999250S25</t>
  </si>
  <si>
    <t>TA# 550SF(50KG)(Add Medicine)</t>
  </si>
  <si>
    <t>21115101499250P12</t>
  </si>
  <si>
    <t>21115501999250S31</t>
  </si>
  <si>
    <t>21115114399250P12</t>
  </si>
  <si>
    <t>21115660099300S31</t>
  </si>
  <si>
    <t>21115501999300S31</t>
  </si>
  <si>
    <t>21115660099250S31</t>
  </si>
  <si>
    <t>21115501999300S25</t>
  </si>
  <si>
    <t>21135241600125</t>
  </si>
  <si>
    <t>TA# GD14P(25Kg)</t>
  </si>
  <si>
    <t>21135240100100</t>
  </si>
  <si>
    <t>TA # GD14A (SILO)</t>
  </si>
  <si>
    <t>21135101900100</t>
  </si>
  <si>
    <t>TA# GT11S(Silo)</t>
  </si>
  <si>
    <t>21115111900100</t>
  </si>
  <si>
    <t>TA# 511S (Silo)</t>
  </si>
  <si>
    <t>21135117200125</t>
  </si>
  <si>
    <t>TA# GT12BS (25Kg)</t>
  </si>
  <si>
    <t>21115020000100</t>
  </si>
  <si>
    <t>TA# 502(Silo)</t>
  </si>
  <si>
    <t>211338422O1125</t>
  </si>
  <si>
    <t>TA# BS04V(25kg)O1</t>
  </si>
  <si>
    <t>21115512416125</t>
  </si>
  <si>
    <t>TA# 551XPRO (25KG)</t>
  </si>
  <si>
    <t>21165241600125</t>
  </si>
  <si>
    <t>TA# 6924P(25Kg)</t>
  </si>
  <si>
    <t>21125440000125</t>
  </si>
  <si>
    <t>TA# 944 (25Kg)</t>
  </si>
  <si>
    <t>211338422O1140</t>
  </si>
  <si>
    <t>TA# BS04V(40kg)O1</t>
  </si>
  <si>
    <t>21135250000125</t>
  </si>
  <si>
    <t>TA # GD15 (25KG)</t>
  </si>
  <si>
    <t>21135240116100</t>
  </si>
  <si>
    <t>TA# GD14AP(Silo)</t>
  </si>
  <si>
    <t>21115221661100</t>
  </si>
  <si>
    <t>TA# 522PPRO (SILO)</t>
  </si>
  <si>
    <t>522PPRO</t>
  </si>
  <si>
    <t>21165510000125</t>
  </si>
  <si>
    <t>TA# 6951(25Kg)</t>
  </si>
  <si>
    <t>21135491600125</t>
  </si>
  <si>
    <t>TA# VT12P (25KG)</t>
  </si>
  <si>
    <t>21115510099250S25</t>
  </si>
  <si>
    <t>21115517599250S25</t>
  </si>
  <si>
    <t>2111510A200350</t>
  </si>
  <si>
    <t>TA# 510NFTL3 (50KG)</t>
  </si>
  <si>
    <t>21115521300100</t>
  </si>
  <si>
    <t>TA# 552M (SILO)</t>
  </si>
  <si>
    <t>21135662400125</t>
  </si>
  <si>
    <t>TA# HG16X (25KG)</t>
  </si>
  <si>
    <t>21115517599250S31</t>
  </si>
  <si>
    <t>21115510099250S31</t>
  </si>
  <si>
    <t>21115521999250S13</t>
  </si>
  <si>
    <t>21165512400125</t>
  </si>
  <si>
    <t>TA#6951X (25KG)</t>
  </si>
  <si>
    <t>21135117216125</t>
  </si>
  <si>
    <t>TA# GT12BSP(25Kg)</t>
  </si>
  <si>
    <t>21115510099300S31</t>
  </si>
  <si>
    <t>21115502416100</t>
  </si>
  <si>
    <t>TA# 550XPRO (SILO)</t>
  </si>
  <si>
    <t>550XPRO</t>
  </si>
  <si>
    <t>21115620099250S90</t>
  </si>
  <si>
    <t>TA# 562F(50KG) (Add Medicine)</t>
  </si>
  <si>
    <t>21115501600210</t>
  </si>
  <si>
    <t>TA# 550PF (10KG)</t>
  </si>
  <si>
    <t>21115517599300S31</t>
  </si>
  <si>
    <t>211338410TA140</t>
  </si>
  <si>
    <t>TA# BS10TA(40kg)</t>
  </si>
  <si>
    <t>211338509TA100</t>
  </si>
  <si>
    <t>TA# BS09TA(Silo)</t>
  </si>
  <si>
    <t>21115507800100</t>
  </si>
  <si>
    <t>TA# 550SX (Silo)</t>
  </si>
  <si>
    <t>21115517524125</t>
  </si>
  <si>
    <t>TA # 551GPX (25KG)</t>
  </si>
  <si>
    <t>21115501600110</t>
  </si>
  <si>
    <t>TA# 550P  (10KG)</t>
  </si>
  <si>
    <t>211338107TA100</t>
  </si>
  <si>
    <t>TA# BS07TA(Silo)</t>
  </si>
  <si>
    <t>21135512400100</t>
  </si>
  <si>
    <t>TA# HT11X (SILO)</t>
  </si>
  <si>
    <t>211338107LD100</t>
  </si>
  <si>
    <t>TA# BS07LD(Silo)</t>
  </si>
  <si>
    <t>211338506LD140</t>
  </si>
  <si>
    <t>TA# BS06LD(40kg)</t>
  </si>
  <si>
    <t>211338410LD140</t>
  </si>
  <si>
    <t>TA# BS10LD(40kg)</t>
  </si>
  <si>
    <t>211338506TA140</t>
  </si>
  <si>
    <t>TA# BS06TA(40kg)</t>
  </si>
  <si>
    <t>21113021600125</t>
  </si>
  <si>
    <t>TA # 302P (25KG)</t>
  </si>
  <si>
    <t>21115528400250</t>
  </si>
  <si>
    <t>TA# 552WDF (50KG)</t>
  </si>
  <si>
    <t>Brand Code</t>
  </si>
  <si>
    <t>Size</t>
  </si>
  <si>
    <t>Product Name</t>
  </si>
  <si>
    <t>Medicine</t>
  </si>
  <si>
    <t>Lot. No.</t>
  </si>
  <si>
    <t>Quantity</t>
  </si>
  <si>
    <t>Weight</t>
  </si>
  <si>
    <t>302</t>
  </si>
  <si>
    <t>Thøc ¨n ch¨n nu«i #  302 (25KG)</t>
  </si>
  <si>
    <t>510</t>
  </si>
  <si>
    <t>Thøc ¨n ch¨n nu«i #  510 (25KG)</t>
  </si>
  <si>
    <t>Thøc ¨n ch¨n nu«i# 510NF (50KG) (Thuèc)</t>
  </si>
  <si>
    <t>P92</t>
  </si>
  <si>
    <t>Thøc ¨n ch¨n nu«i# 511ANF (50KG) (Thuèc)</t>
  </si>
  <si>
    <t>Thøc ¨n ch¨n nu«i # 513F (50KG)</t>
  </si>
  <si>
    <t>Thøc ¨n ch¨n nu«i #  548F(50KG)</t>
  </si>
  <si>
    <t>549</t>
  </si>
  <si>
    <t>Thøc ¨n ch¨n nu«i #  549 (25KG)</t>
  </si>
  <si>
    <t>Thøc ¨n ch¨n nu«i #  549F (50KG)</t>
  </si>
  <si>
    <t>Thøc ¨n ch¨n nu«i #  550S (25KG)</t>
  </si>
  <si>
    <t>S31</t>
  </si>
  <si>
    <t>Thøc ¨n ch¨n nu«i # 550SX (25Kg)</t>
  </si>
  <si>
    <t>Thøc ¨n ch¨n nu«i# 551 (F)_50KG (Thuèc)</t>
  </si>
  <si>
    <t>S54</t>
  </si>
  <si>
    <t>552</t>
  </si>
  <si>
    <t>Thøc ¨n ch¨n nu«i #  552 (25KG)</t>
  </si>
  <si>
    <t>Thøc ¨n ch¨n nu«i #  552F(50KG)</t>
  </si>
  <si>
    <t>Thøc ¨n ch¨n nu«i# 552 (F)_50KG (Thuèc)</t>
  </si>
  <si>
    <t>S13</t>
  </si>
  <si>
    <t>S90</t>
  </si>
  <si>
    <t>Thøc ¨n ch¨n nu«i #  552S (25KG)</t>
  </si>
  <si>
    <t>Thøc ¨n ch¨n nu«i# 552S (F)_50KG (Thuèc)</t>
  </si>
  <si>
    <t>Thøc ¨n ch¨n nu«i # 552SX (25KG)</t>
  </si>
  <si>
    <t>Thøc ¨n ch¨n nu«i #  553S (25KG)</t>
  </si>
  <si>
    <t>Thøc ¨n ch¨n nu«i# 562P (F)_50KG (Thuèc)</t>
  </si>
  <si>
    <t>566</t>
  </si>
  <si>
    <t>Thøc ¨n ch¨n nu«i #  566(25KG)</t>
  </si>
  <si>
    <t>949</t>
  </si>
  <si>
    <t>Thøc ¨n ch¨n nu«i #  949 (25Kg)</t>
  </si>
  <si>
    <t>Thøc ¨n ch¨n nu«i #  952S (25KG)</t>
  </si>
  <si>
    <t>Thøc ¨n ch¨n nu«i #  VT12 (25KG)</t>
  </si>
  <si>
    <t>Thøc ¨n ch¨n nu«i #  VT11 (25KG)</t>
  </si>
  <si>
    <t>Thøc ¨n ch¨n nu«i #  HT12S(25KG)</t>
  </si>
  <si>
    <t>Grand Total</t>
  </si>
  <si>
    <t>Feed cu qua tuoi tru kho</t>
  </si>
  <si>
    <t>CAM SAN XUAT NHIEU HON KE HOACH</t>
  </si>
  <si>
    <t>Quality Control</t>
  </si>
  <si>
    <t>Chief of Production</t>
  </si>
  <si>
    <t>CP-FG-04 (01/12/2005)</t>
  </si>
  <si>
    <t>FMFGSTKR130</t>
  </si>
  <si>
    <t>manh</t>
  </si>
  <si>
    <t>TYPE</t>
  </si>
  <si>
    <t>TOP</t>
  </si>
  <si>
    <t>CODE</t>
  </si>
  <si>
    <t xml:space="preserve">EXTENDLABEL </t>
  </si>
  <si>
    <t>MEDICINE</t>
  </si>
  <si>
    <t>QUANTITY</t>
  </si>
  <si>
    <t>SIZE_BAG</t>
  </si>
  <si>
    <t>LOCK</t>
  </si>
  <si>
    <t>PACKAGING</t>
  </si>
  <si>
    <t>FORMULAR</t>
  </si>
  <si>
    <t>PRODUCT</t>
  </si>
  <si>
    <t>350P</t>
  </si>
  <si>
    <t>350PF</t>
  </si>
  <si>
    <t>CAM_DAI_LY</t>
  </si>
  <si>
    <t>CAM_TRAI</t>
  </si>
  <si>
    <t>CAM_TUI</t>
  </si>
  <si>
    <t>110</t>
  </si>
  <si>
    <t>240</t>
  </si>
  <si>
    <t xml:space="preserve"> TA# 513F (25KG) </t>
  </si>
  <si>
    <t>21115507200225</t>
  </si>
  <si>
    <t>550S F</t>
  </si>
  <si>
    <t>552 SX</t>
  </si>
  <si>
    <t>21115537200250</t>
  </si>
  <si>
    <t>952 SX</t>
  </si>
  <si>
    <t>BS04</t>
  </si>
  <si>
    <t>BS04A</t>
  </si>
  <si>
    <t>HT#11</t>
  </si>
  <si>
    <t>30125</t>
  </si>
  <si>
    <t>301</t>
  </si>
  <si>
    <t>1290D203010025</t>
  </si>
  <si>
    <t>25</t>
  </si>
  <si>
    <t>BagO25- 301- 52x87-93-B-000-H</t>
  </si>
  <si>
    <t>30225</t>
  </si>
  <si>
    <t>1290D203020025</t>
  </si>
  <si>
    <t>BagO25- 302- 52x87-93-B-000-H</t>
  </si>
  <si>
    <t>32425</t>
  </si>
  <si>
    <t>324</t>
  </si>
  <si>
    <t>1290D203240025</t>
  </si>
  <si>
    <t>BagO25- 324- 52x87-93-B-000-H</t>
  </si>
  <si>
    <t>35225</t>
  </si>
  <si>
    <t>352</t>
  </si>
  <si>
    <t>1290D203520025</t>
  </si>
  <si>
    <t>BagO25- 352- 52x87-93-B-000-H</t>
  </si>
  <si>
    <t>38425</t>
  </si>
  <si>
    <t>1290D903840025</t>
  </si>
  <si>
    <t>BagO25- 384- 54x93-102-B-000-H</t>
  </si>
  <si>
    <t>385S25</t>
  </si>
  <si>
    <t>1290D903851925</t>
  </si>
  <si>
    <t>BagO25- 385S- 54x93-102-B-000-H</t>
  </si>
  <si>
    <t>51025</t>
  </si>
  <si>
    <t>1290E405100025</t>
  </si>
  <si>
    <t>BagO25- 510- 54x90-99-B-000-H</t>
  </si>
  <si>
    <t>510S25</t>
  </si>
  <si>
    <t>1290E405101925</t>
  </si>
  <si>
    <t>BagO25- 510S- 54x90-99-B-000-H</t>
  </si>
  <si>
    <t>510M25</t>
  </si>
  <si>
    <t>1290D205101325</t>
  </si>
  <si>
    <t>BagO25- 510M- 52x87-93-B-000-H</t>
  </si>
  <si>
    <t>51125</t>
  </si>
  <si>
    <t>511</t>
  </si>
  <si>
    <t>1290D205110025</t>
  </si>
  <si>
    <t>BagO25- 511- 52x87-93-B-000-H</t>
  </si>
  <si>
    <t>511B25</t>
  </si>
  <si>
    <t>1290D205110225</t>
  </si>
  <si>
    <t>BagO25- 511B- 52x87-93-B-000-H</t>
  </si>
  <si>
    <t>511L25</t>
  </si>
  <si>
    <t>1290D205111225</t>
  </si>
  <si>
    <t>BagO25- 511L- 52x87-93-B-000-H</t>
  </si>
  <si>
    <t>511M25</t>
  </si>
  <si>
    <t>1290D205111325</t>
  </si>
  <si>
    <t>BagO25- 511M- 52x87-93-B-000-H</t>
  </si>
  <si>
    <t>511S25</t>
  </si>
  <si>
    <t>1290H605111925</t>
  </si>
  <si>
    <t>BagO25- 511S- 52x87-93-B-000-H(viên)</t>
  </si>
  <si>
    <t>511AS25</t>
  </si>
  <si>
    <t>1290K305118425</t>
  </si>
  <si>
    <t>BagO25- 511AS- 52x87-93-P-000-D(viên)</t>
  </si>
  <si>
    <t>52125</t>
  </si>
  <si>
    <t>521</t>
  </si>
  <si>
    <t>1290D205210025</t>
  </si>
  <si>
    <t>BagO25-521-52x87-93-B-000-H</t>
  </si>
  <si>
    <t>521PRO25</t>
  </si>
  <si>
    <t>521PRO</t>
  </si>
  <si>
    <t>1290K605217525</t>
  </si>
  <si>
    <t>BagO25- 521Pro- 52x87-101-B-000-H</t>
  </si>
  <si>
    <t>521SPRO25</t>
  </si>
  <si>
    <t>521SPRO</t>
  </si>
  <si>
    <t>1290K605217925</t>
  </si>
  <si>
    <t>BagO25- 521SPro- 52x87-101-B-000-H</t>
  </si>
  <si>
    <t>52225</t>
  </si>
  <si>
    <t>522</t>
  </si>
  <si>
    <t>1290D205220025</t>
  </si>
  <si>
    <t>BagO25-522-52x87-93-B-000-H .(VIÊN)</t>
  </si>
  <si>
    <t>522PRO25</t>
  </si>
  <si>
    <t>522PRO</t>
  </si>
  <si>
    <t>1290K605227525</t>
  </si>
  <si>
    <t>BagO25- 522Pro- 52x87-101-B-000-H</t>
  </si>
  <si>
    <t>52425</t>
  </si>
  <si>
    <t>524</t>
  </si>
  <si>
    <t>1290D205240025</t>
  </si>
  <si>
    <t>BagO25- 524- 52x87-93-B-000-H(VIÊN)</t>
  </si>
  <si>
    <t>BagO25- 524- 52x87-93-B-000-H(MẢNH)</t>
  </si>
  <si>
    <t>54025</t>
  </si>
  <si>
    <t>540</t>
  </si>
  <si>
    <t>1290D205400025</t>
  </si>
  <si>
    <t>BagO25- 540- 52x87-93-B-000-H</t>
  </si>
  <si>
    <t>54425</t>
  </si>
  <si>
    <t>544</t>
  </si>
  <si>
    <t>1290D405440025</t>
  </si>
  <si>
    <t>BagO25- 544- 52x87-138-B-201-H</t>
  </si>
  <si>
    <t>54525</t>
  </si>
  <si>
    <t>545</t>
  </si>
  <si>
    <t>1290D405450025</t>
  </si>
  <si>
    <t>BagO25- 545- 52x87-138-B-201-H</t>
  </si>
  <si>
    <t>54825</t>
  </si>
  <si>
    <t>548</t>
  </si>
  <si>
    <t>1290D205480025</t>
  </si>
  <si>
    <t>BagO25- 548- 52x87-93-B-000-H</t>
  </si>
  <si>
    <t>54925</t>
  </si>
  <si>
    <t>1290D205490025</t>
  </si>
  <si>
    <t>BagO25- 549- 52x87-93-B-000-H</t>
  </si>
  <si>
    <t>550S25</t>
  </si>
  <si>
    <t>1290B705501925</t>
  </si>
  <si>
    <t>BagB25- 550S- (42+10)x90-123-B-000-M</t>
  </si>
  <si>
    <t>550PRO25</t>
  </si>
  <si>
    <t>550PRO</t>
  </si>
  <si>
    <t>1290B705501625</t>
  </si>
  <si>
    <t>BagB25- 550Pro- (42+10)x90-123-B-000-M</t>
  </si>
  <si>
    <t>55125</t>
  </si>
  <si>
    <t>551</t>
  </si>
  <si>
    <t>1290D205510025</t>
  </si>
  <si>
    <t>BagO25- 551- 52x87-93-B-000-H</t>
  </si>
  <si>
    <t>551X2625</t>
  </si>
  <si>
    <t>1290D205512625</t>
  </si>
  <si>
    <t>BagO25- 551X26- 52x87-93-B-000-H</t>
  </si>
  <si>
    <t>551PRO25</t>
  </si>
  <si>
    <t>551PRO</t>
  </si>
  <si>
    <t>1290B705511625</t>
  </si>
  <si>
    <t>BagB25- 551Pro- (42+10)x90-123-B-000-M|</t>
  </si>
  <si>
    <t>551GP25</t>
  </si>
  <si>
    <t>1290D205511625</t>
  </si>
  <si>
    <t>BagO25- 551GP- 52x87-93-B-000-H</t>
  </si>
  <si>
    <t>55225</t>
  </si>
  <si>
    <t>1290D205520025</t>
  </si>
  <si>
    <t>BagO25- 552- 52x87-93-B-000-H</t>
  </si>
  <si>
    <t>552E25</t>
  </si>
  <si>
    <t>1290H605520525</t>
  </si>
  <si>
    <t>BagO25- 552E- 52x87-93-B-000-H</t>
  </si>
  <si>
    <t>552PRO25</t>
  </si>
  <si>
    <t>552PRO</t>
  </si>
  <si>
    <t>1290H205521625</t>
  </si>
  <si>
    <t>BagO25- 552Pro- 52x87-101-B-000-D</t>
  </si>
  <si>
    <t>552M25</t>
  </si>
  <si>
    <t>1290D205521325</t>
  </si>
  <si>
    <t>BagO25- 552M- 52x87-93-B-000-H</t>
  </si>
  <si>
    <t>552MX25</t>
  </si>
  <si>
    <t>1290D205527925</t>
  </si>
  <si>
    <t>BagO25- 552MX- 52x87-93-B-000-H</t>
  </si>
  <si>
    <t>552S25</t>
  </si>
  <si>
    <t>1290D205521925</t>
  </si>
  <si>
    <t>BagO25- 552S- 52x87-93-B-000-H</t>
  </si>
  <si>
    <t>552SPRO25</t>
  </si>
  <si>
    <t>552SPRO</t>
  </si>
  <si>
    <t>1290H205527525</t>
  </si>
  <si>
    <t>BagO25- 552SPro- 52x87-101-B-000-D</t>
  </si>
  <si>
    <t>552SX25</t>
  </si>
  <si>
    <t>1290D205527325</t>
  </si>
  <si>
    <t>BagO25- 552SX- 52x87-93-B-000-H</t>
  </si>
  <si>
    <t>55325</t>
  </si>
  <si>
    <t>553</t>
  </si>
  <si>
    <t>1290D205530025</t>
  </si>
  <si>
    <t>BagO25- 553- 52x87-93-B-000-H</t>
  </si>
  <si>
    <t>553S25</t>
  </si>
  <si>
    <t>1290D205531925</t>
  </si>
  <si>
    <t>BagO25- 553S- 52x87-93-B-000-H</t>
  </si>
  <si>
    <t>553SPRO25</t>
  </si>
  <si>
    <t>553SPRO</t>
  </si>
  <si>
    <t>1290H205537525</t>
  </si>
  <si>
    <t>BagO25- 553SPro- 52x87-101-B-000-D</t>
  </si>
  <si>
    <t>56225</t>
  </si>
  <si>
    <t>562</t>
  </si>
  <si>
    <t>1290D205620025</t>
  </si>
  <si>
    <t>BagO25- 562- 52x87-93-B-000-H</t>
  </si>
  <si>
    <t>562P25</t>
  </si>
  <si>
    <t>1290D205621625</t>
  </si>
  <si>
    <t>BagO25- 562P- 52x87-93-B-000-H</t>
  </si>
  <si>
    <t>56625</t>
  </si>
  <si>
    <t>1290D205660025</t>
  </si>
  <si>
    <t>BagO25- 566- 52x87-93-B-000-H</t>
  </si>
  <si>
    <t>56725</t>
  </si>
  <si>
    <t>567</t>
  </si>
  <si>
    <t>1290D205670025</t>
  </si>
  <si>
    <t>BagO25- 567- 52x87-93-B-000-H</t>
  </si>
  <si>
    <t>567S25</t>
  </si>
  <si>
    <t>1290D205671925</t>
  </si>
  <si>
    <t>BagO25- 567S- 52x87-93-B-000-H</t>
  </si>
  <si>
    <t>57125</t>
  </si>
  <si>
    <t>571</t>
  </si>
  <si>
    <t>1290K305710025</t>
  </si>
  <si>
    <t>BagO25- 571- 52x87-93-B-000-D</t>
  </si>
  <si>
    <t>58425</t>
  </si>
  <si>
    <t>584</t>
  </si>
  <si>
    <t>1290D205840025</t>
  </si>
  <si>
    <t>BagO25- 584- 52x87-93-B-000-H</t>
  </si>
  <si>
    <t>59425</t>
  </si>
  <si>
    <t>594</t>
  </si>
  <si>
    <t>1290D205940325</t>
  </si>
  <si>
    <t>Bag O25- 594- 52x87-93-B-000-H</t>
  </si>
  <si>
    <t>59525</t>
  </si>
  <si>
    <t>595</t>
  </si>
  <si>
    <t>1290D205950025</t>
  </si>
  <si>
    <t>BagO25- 595- 52x87-93-B-000-H</t>
  </si>
  <si>
    <t>PP2025</t>
  </si>
  <si>
    <t>1290D215440025</t>
  </si>
  <si>
    <t>BagO25- PP20- 52x87-93-C-000-H</t>
  </si>
  <si>
    <t>54440</t>
  </si>
  <si>
    <t>1290H505440040</t>
  </si>
  <si>
    <t>BagO40- 544- 60x98-176-B-101-H</t>
  </si>
  <si>
    <t>88425</t>
  </si>
  <si>
    <t>884</t>
  </si>
  <si>
    <t>1290D908840025</t>
  </si>
  <si>
    <t>Bag O25- 884-54x93-102-A-000-H</t>
  </si>
  <si>
    <t>885S25</t>
  </si>
  <si>
    <t>1290D908851925</t>
  </si>
  <si>
    <t>Bag O25- 885S-54x93-102-A-000-H</t>
  </si>
  <si>
    <t>91025</t>
  </si>
  <si>
    <t>910</t>
  </si>
  <si>
    <t>1290E409100025</t>
  </si>
  <si>
    <t>BagO25- 910- 54x90-99-A-000-H</t>
  </si>
  <si>
    <t>94925</t>
  </si>
  <si>
    <t>1290D209490025</t>
  </si>
  <si>
    <t>BagO25- 949- 52x87-93-A-000-H</t>
  </si>
  <si>
    <t>94425</t>
  </si>
  <si>
    <t>944</t>
  </si>
  <si>
    <t>1290H409440025</t>
  </si>
  <si>
    <t>BagO25- 944- 52x87-138-A-101-H</t>
  </si>
  <si>
    <t>95125</t>
  </si>
  <si>
    <t>951</t>
  </si>
  <si>
    <t>1290D209510025</t>
  </si>
  <si>
    <t>BagO25- 951- 52x87-93-A-000-H</t>
  </si>
  <si>
    <t>95225</t>
  </si>
  <si>
    <t>952</t>
  </si>
  <si>
    <t>1290D209520025</t>
  </si>
  <si>
    <t>BagO25- 952- 52x87-93-A-000-H</t>
  </si>
  <si>
    <t>952M25</t>
  </si>
  <si>
    <t>1290D209521325</t>
  </si>
  <si>
    <t>BagO25- 952M- 52x87-93-A-000-H</t>
  </si>
  <si>
    <t>952S25</t>
  </si>
  <si>
    <t>1290D209521925</t>
  </si>
  <si>
    <t>BagO25- 952S- 52x87-93-A-000-H</t>
  </si>
  <si>
    <t>952SX25</t>
  </si>
  <si>
    <t>1290D209527325</t>
  </si>
  <si>
    <t>BagO25- 952SX- 52x87-93-A-000-H</t>
  </si>
  <si>
    <t>95325</t>
  </si>
  <si>
    <t>953</t>
  </si>
  <si>
    <t>1290D209530025</t>
  </si>
  <si>
    <t>BagO25- 953- 52x87-93-A-000-H</t>
  </si>
  <si>
    <t>953S25</t>
  </si>
  <si>
    <t>1290D209531925</t>
  </si>
  <si>
    <t>BagO25- 953S- 52x87-93-A-000-H</t>
  </si>
  <si>
    <t>96625</t>
  </si>
  <si>
    <t>966</t>
  </si>
  <si>
    <t>1290D209660025</t>
  </si>
  <si>
    <t>BagO25- 966- 52x87-93-A-000-H</t>
  </si>
  <si>
    <t>96725</t>
  </si>
  <si>
    <t>967</t>
  </si>
  <si>
    <t>1290D209670025</t>
  </si>
  <si>
    <t>BagO25- 967- 52x87-93-A-000-H</t>
  </si>
  <si>
    <t>967S25</t>
  </si>
  <si>
    <t>1290D209671925</t>
  </si>
  <si>
    <t>BagO25- 967S- 52x87-93-A-000-H</t>
  </si>
  <si>
    <t>98425</t>
  </si>
  <si>
    <t>984</t>
  </si>
  <si>
    <t>1290D209840025</t>
  </si>
  <si>
    <t>BagO25- 984- 52x87-93-B-000-H</t>
  </si>
  <si>
    <t>991-1425</t>
  </si>
  <si>
    <t>1290D209911425</t>
  </si>
  <si>
    <t>BagO25- 991-14- 52x87-93-A-000-H</t>
  </si>
  <si>
    <t>991-1825</t>
  </si>
  <si>
    <t>1290D209911825</t>
  </si>
  <si>
    <t>BagO25- 991-18- 52x87-93-A-000-H</t>
  </si>
  <si>
    <t>BS0425</t>
  </si>
  <si>
    <t>1290D913840025</t>
  </si>
  <si>
    <t>BagO25-BS04- 54x93-102-C-000-H</t>
  </si>
  <si>
    <t>BS04A25</t>
  </si>
  <si>
    <t>1290D913840125</t>
  </si>
  <si>
    <t>BagO25-BS04A- 54x93-102-C-000-H</t>
  </si>
  <si>
    <t>BS05S25</t>
  </si>
  <si>
    <t>BS05S</t>
  </si>
  <si>
    <t>1290D913851925</t>
  </si>
  <si>
    <t>BagO25-BS05S- 54x93-102-C-000-H</t>
  </si>
  <si>
    <t>BS1425</t>
  </si>
  <si>
    <t>1290D915841925</t>
  </si>
  <si>
    <t>BagO25-BS14- 52x87-93-C-000-H</t>
  </si>
  <si>
    <t>HT1125</t>
  </si>
  <si>
    <t>1290D215510025</t>
  </si>
  <si>
    <t>BagO25-HT11-52x87-93-C-000-H</t>
  </si>
  <si>
    <t>HT11GP25</t>
  </si>
  <si>
    <t>1290D215514925</t>
  </si>
  <si>
    <t>BagO25-HT11GP- 52x87-93-C-000-H</t>
  </si>
  <si>
    <t>HT1225</t>
  </si>
  <si>
    <t>1290D215520025</t>
  </si>
  <si>
    <t>BagO25-HT12- 52x87-93-C-000-H</t>
  </si>
  <si>
    <t>HT12S25</t>
  </si>
  <si>
    <t>1290D215521925</t>
  </si>
  <si>
    <t>BagO25-HT12S- 52x87-93-C-000-H</t>
  </si>
  <si>
    <t>HT12SX25</t>
  </si>
  <si>
    <t>1290D215527325</t>
  </si>
  <si>
    <t>BagO25- HT12SX- 52x87-93-C-000-H</t>
  </si>
  <si>
    <t>HT1325</t>
  </si>
  <si>
    <t>1290D215530025</t>
  </si>
  <si>
    <t>BagO25- HT13- 52x87-93-C-000-H</t>
  </si>
  <si>
    <t>HT13S25</t>
  </si>
  <si>
    <t>1290D215531925</t>
  </si>
  <si>
    <t>BagO25- HT13S- 52x87-93-C-000-H</t>
  </si>
  <si>
    <t>HG1625</t>
  </si>
  <si>
    <t>1290D215660025</t>
  </si>
  <si>
    <t>BagO25- HG16- 52x87-93-C-000-H</t>
  </si>
  <si>
    <t>HG1725</t>
  </si>
  <si>
    <t>1290D215670025</t>
  </si>
  <si>
    <t>BagO25- HG17- 52x87-93-C-000-H</t>
  </si>
  <si>
    <t>HG17S25</t>
  </si>
  <si>
    <t>1290D215671925</t>
  </si>
  <si>
    <t>BagO25- HG17S- 52x87-93-C-000-H</t>
  </si>
  <si>
    <t>VT1125</t>
  </si>
  <si>
    <t>1290D215480025</t>
  </si>
  <si>
    <t>BagO25- VT11- 52x87-93-C-000-H</t>
  </si>
  <si>
    <t>VT1225</t>
  </si>
  <si>
    <t>1290D215490025</t>
  </si>
  <si>
    <t>BagO25- VT12- 52x87-93-C-000-H</t>
  </si>
  <si>
    <t>GD0425</t>
  </si>
  <si>
    <t>1290D213240025</t>
  </si>
  <si>
    <t>BagO25- GD04- 52x87-93-C-000-H</t>
  </si>
  <si>
    <t>GD1425</t>
  </si>
  <si>
    <t>1290D215240025</t>
  </si>
  <si>
    <t>BagO25- GD14- 52x87-93-C-000-H(VIÊN)</t>
  </si>
  <si>
    <t>BagO25- GD14- 52x87-93-C-000-H(MÃNH)</t>
  </si>
  <si>
    <t>GT1125</t>
  </si>
  <si>
    <t>1290D215210025</t>
  </si>
  <si>
    <t>BagO25- GT11- 52x87-93-C-000-H</t>
  </si>
  <si>
    <t>GT11S25</t>
  </si>
  <si>
    <t>1290D215101925</t>
  </si>
  <si>
    <t>BagO25- GT11S- 52x87-93-C-000-H(MÃNH)</t>
  </si>
  <si>
    <t>GT1225</t>
  </si>
  <si>
    <t>1290D215110025</t>
  </si>
  <si>
    <t>BagO25- GT12- 52x87-93-C-000-H</t>
  </si>
  <si>
    <t>GT12A25</t>
  </si>
  <si>
    <t>1290D215110125</t>
  </si>
  <si>
    <t>BagO25- GT12A- 52x87-93-C-000-H(VIÊN)</t>
  </si>
  <si>
    <t>BagO25- GT12A- 52x87-93-C-000-H(MÃNH)</t>
  </si>
  <si>
    <t>GT12S25</t>
  </si>
  <si>
    <t>1290D225111925</t>
  </si>
  <si>
    <t>BagO25- GT12S- 52x87-93-C-000-H(VIÊN)</t>
  </si>
  <si>
    <t>GT12AS25</t>
  </si>
  <si>
    <t>1290D215118425</t>
  </si>
  <si>
    <t>BagO25- GT12AS- 52x87-93-C-000-H(VIÊN)</t>
  </si>
  <si>
    <t>GT12BS25</t>
  </si>
  <si>
    <t>1290D215117225</t>
  </si>
  <si>
    <t>BagO25- GT12BS- 52x87-93-C-000-H(VIÊN)</t>
  </si>
  <si>
    <t>GT12B25</t>
  </si>
  <si>
    <t>1290D215110225</t>
  </si>
  <si>
    <t>BagO25- GT12B- 52x87-93-C-000-H</t>
  </si>
  <si>
    <t/>
  </si>
  <si>
    <t>688425</t>
  </si>
  <si>
    <t>6884</t>
  </si>
  <si>
    <t>1290K468840025</t>
  </si>
  <si>
    <t>BagO25- 6884- 54x93-102-P-000-D</t>
  </si>
  <si>
    <t>689525</t>
  </si>
  <si>
    <t>6895</t>
  </si>
  <si>
    <t>1290K368950025</t>
  </si>
  <si>
    <t>BagO25- 6895- 54x93-102-P-000-D</t>
  </si>
  <si>
    <t>691125</t>
  </si>
  <si>
    <t>6911</t>
  </si>
  <si>
    <t>1290D269110025</t>
  </si>
  <si>
    <t>BagO25- 6911- 52x87-93-P-000-D</t>
  </si>
  <si>
    <t>692425</t>
  </si>
  <si>
    <t>6924</t>
  </si>
  <si>
    <t>1290K369240025</t>
  </si>
  <si>
    <t>BagO25- 6924- 52x87-93-P-000-D</t>
  </si>
  <si>
    <t>694925</t>
  </si>
  <si>
    <t>6949</t>
  </si>
  <si>
    <t>1290D269490025</t>
  </si>
  <si>
    <t>BagO25- 6949- 52x87-93-P-000-D</t>
  </si>
  <si>
    <t>12901869510025  </t>
  </si>
  <si>
    <t>BagO25- 6951- 52x87-93-P-000-D</t>
  </si>
  <si>
    <t>695225</t>
  </si>
  <si>
    <t>6952</t>
  </si>
  <si>
    <t>1290D269520025</t>
  </si>
  <si>
    <t>BagO25- 6952- 52x87-93-P-000-D</t>
  </si>
  <si>
    <t>695325</t>
  </si>
  <si>
    <t>6953</t>
  </si>
  <si>
    <t>1290D269530025</t>
  </si>
  <si>
    <t>BagO25- 6953- 52x87-93-P-000-D</t>
  </si>
  <si>
    <t>699125</t>
  </si>
  <si>
    <t>6991</t>
  </si>
  <si>
    <t>1290D269910025</t>
  </si>
  <si>
    <t>BagO25- 6991- 52x87-93-P-000-H</t>
  </si>
  <si>
    <t>699525</t>
  </si>
  <si>
    <t>6995</t>
  </si>
  <si>
    <t>1290K369950025</t>
  </si>
  <si>
    <t>BagO25- 6995- 52x87-93-P-000-D</t>
  </si>
  <si>
    <t>965125</t>
  </si>
  <si>
    <t>9651</t>
  </si>
  <si>
    <t>1290D296510025</t>
  </si>
  <si>
    <t>BagO25- 9651- 52x87-93-U-000-H</t>
  </si>
  <si>
    <t>965225</t>
  </si>
  <si>
    <t>9652</t>
  </si>
  <si>
    <t>1290D296520025</t>
  </si>
  <si>
    <t>BagO25- 9652- 52x87-93-U-000-H</t>
  </si>
  <si>
    <t>9652S25</t>
  </si>
  <si>
    <t>1290D296521925</t>
  </si>
  <si>
    <t>BagO25- 9652S- 52x87-93-U-000-H</t>
  </si>
  <si>
    <t>966625</t>
  </si>
  <si>
    <t>9666</t>
  </si>
  <si>
    <t>1290D296660025</t>
  </si>
  <si>
    <t>BagO25- 9666- 52x87-93-U-000-H</t>
  </si>
  <si>
    <t>966725</t>
  </si>
  <si>
    <t>9667</t>
  </si>
  <si>
    <t>1290D296670025</t>
  </si>
  <si>
    <t>BagO25- 9667- 52x87-93-U-000-H</t>
  </si>
  <si>
    <t>510NF50</t>
  </si>
  <si>
    <t>1290BU05101450</t>
  </si>
  <si>
    <t>BagOF50- 510NF- 65x110-128-Z-000-C</t>
  </si>
  <si>
    <t>511ANF50</t>
  </si>
  <si>
    <t>1290BU05116950</t>
  </si>
  <si>
    <t>BagOF50- 511ANF- 65x110-128-Z-000-C</t>
  </si>
  <si>
    <t>511NF50</t>
  </si>
  <si>
    <t>1290BT05111450</t>
  </si>
  <si>
    <t>BagOF50- 511NF- 65x105-122-Z-000-C</t>
  </si>
  <si>
    <t>513F50</t>
  </si>
  <si>
    <t>1290BT05130050</t>
  </si>
  <si>
    <t>BagOF50- 513F- 65x105-122-Z-000-C</t>
  </si>
  <si>
    <t>540F50</t>
  </si>
  <si>
    <t>1290BT05400050</t>
  </si>
  <si>
    <t>BagOF50- 540F- 65x105-122-Z-000-C</t>
  </si>
  <si>
    <t>548F50</t>
  </si>
  <si>
    <t>1290BT05480050</t>
  </si>
  <si>
    <t>BagOF50- 548F- 65x105-122-Z-000-C</t>
  </si>
  <si>
    <t>549F50</t>
  </si>
  <si>
    <t>1290BT05490050</t>
  </si>
  <si>
    <t>BagOF50- 549F- 65x105-122-Z-000-C</t>
  </si>
  <si>
    <t>550SF50</t>
  </si>
  <si>
    <t>1290BT05501950</t>
  </si>
  <si>
    <t>BagOF50- 550SF- 65x105-122-Z-000-C</t>
  </si>
  <si>
    <t>551F50</t>
  </si>
  <si>
    <t>1290BT05510050</t>
  </si>
  <si>
    <t>BagOF50- 551F- 65x105-122-Z-000-C</t>
  </si>
  <si>
    <t>551GPF50</t>
  </si>
  <si>
    <t>1290BT05514950</t>
  </si>
  <si>
    <t>BagOF50- 551GPF- 65x105-122-Z-000-C</t>
  </si>
  <si>
    <t>552F50</t>
  </si>
  <si>
    <t>1290BT05520050</t>
  </si>
  <si>
    <t>BagOF50- 552F- 65x105-122-Z-000-C</t>
  </si>
  <si>
    <t>552SF50</t>
  </si>
  <si>
    <t>1290BT05521950</t>
  </si>
  <si>
    <t>BagOF50- 552SF- 65x105-122-Z-000-C</t>
  </si>
  <si>
    <t>553MF50</t>
  </si>
  <si>
    <t>1290BT05531350</t>
  </si>
  <si>
    <t>BagOF50- 553MF- 65x105-122-Z-000-C</t>
  </si>
  <si>
    <t>562F50</t>
  </si>
  <si>
    <t>1290BT05620050</t>
  </si>
  <si>
    <t>BagOF50- 562F- 65x105-122-Z-000-C</t>
  </si>
  <si>
    <t>562PF50</t>
  </si>
  <si>
    <t>1290BT05621650</t>
  </si>
  <si>
    <t>BagOF50- 562PF- 65x105-122-Z-000-C</t>
  </si>
  <si>
    <t>566F50</t>
  </si>
  <si>
    <t>1290BT05660050</t>
  </si>
  <si>
    <t>BagOF50- 566F- 65x105-122-Z-000-C</t>
  </si>
  <si>
    <t>567SF50</t>
  </si>
  <si>
    <t>1290BT05671950</t>
  </si>
  <si>
    <t>Bag OF50- 567SF- 65x105-122-Z-000-C</t>
  </si>
  <si>
    <t>Bao Tái Sử Dụng(Bao lộn)</t>
  </si>
  <si>
    <t>511NFTL350</t>
  </si>
  <si>
    <t>510NFTL350</t>
  </si>
  <si>
    <t>511ANFTL350</t>
  </si>
  <si>
    <t>513FTL350</t>
  </si>
  <si>
    <t>PK_w</t>
  </si>
  <si>
    <t xml:space="preserve">93H04567  </t>
  </si>
  <si>
    <t xml:space="preserve">93H04187  </t>
  </si>
  <si>
    <t xml:space="preserve">93H02007  </t>
  </si>
  <si>
    <t xml:space="preserve">93H00556  </t>
  </si>
  <si>
    <t xml:space="preserve">93C18091  </t>
  </si>
  <si>
    <t xml:space="preserve">93C13736  </t>
  </si>
  <si>
    <t xml:space="preserve">93C08946  </t>
  </si>
  <si>
    <t xml:space="preserve">93C05790  </t>
  </si>
  <si>
    <t xml:space="preserve">70H04040  </t>
  </si>
  <si>
    <t xml:space="preserve">70H02661  </t>
  </si>
  <si>
    <t xml:space="preserve">70H01225  </t>
  </si>
  <si>
    <t xml:space="preserve">70H00035  </t>
  </si>
  <si>
    <t xml:space="preserve">70G00773  </t>
  </si>
  <si>
    <t xml:space="preserve">70C19637  </t>
  </si>
  <si>
    <t xml:space="preserve">70C11297  </t>
  </si>
  <si>
    <t xml:space="preserve">70C05760  </t>
  </si>
  <si>
    <t xml:space="preserve">70C05236  </t>
  </si>
  <si>
    <t>50 kgs.</t>
  </si>
  <si>
    <t xml:space="preserve">C«ng Ty Cæ PhÇn Ch¨n Nu«i C.P. ViÖt Nam - Chi Nh¸nh 3 T¹i §ång Nai </t>
  </si>
  <si>
    <t>18/09/2023</t>
  </si>
  <si>
    <t xml:space="preserve">70C05166  </t>
  </si>
  <si>
    <t xml:space="preserve">C«ng Ty Cæ PhÇn Ch¨n Nu«i C.P. ViÖt Nam- Chi Nh¸nh t¹i B×nh Ph­íc </t>
  </si>
  <si>
    <t xml:space="preserve">70C05000  </t>
  </si>
  <si>
    <t xml:space="preserve">69H00796  </t>
  </si>
  <si>
    <t xml:space="preserve">62H06010  </t>
  </si>
  <si>
    <t xml:space="preserve">62H01571  </t>
  </si>
  <si>
    <t xml:space="preserve">61K69461  </t>
  </si>
  <si>
    <t xml:space="preserve">61K64662  </t>
  </si>
  <si>
    <t xml:space="preserve">61K61930  </t>
  </si>
  <si>
    <t xml:space="preserve">61H21075  </t>
  </si>
  <si>
    <t xml:space="preserve">61H20809  </t>
  </si>
  <si>
    <t xml:space="preserve">61H18245  </t>
  </si>
  <si>
    <t xml:space="preserve">61H17737  </t>
  </si>
  <si>
    <t xml:space="preserve">61H17541  </t>
  </si>
  <si>
    <t xml:space="preserve">61H16463  </t>
  </si>
  <si>
    <t xml:space="preserve">61H14576  </t>
  </si>
  <si>
    <t>61H11132  51R00454</t>
  </si>
  <si>
    <t xml:space="preserve">61H08165  </t>
  </si>
  <si>
    <t xml:space="preserve">61H06989  </t>
  </si>
  <si>
    <t xml:space="preserve">61H06680  </t>
  </si>
  <si>
    <t xml:space="preserve">61H03792  </t>
  </si>
  <si>
    <t xml:space="preserve">61H01880  </t>
  </si>
  <si>
    <t xml:space="preserve">61F00935  </t>
  </si>
  <si>
    <t xml:space="preserve">61E03955  </t>
  </si>
  <si>
    <t xml:space="preserve">61E01970  </t>
  </si>
  <si>
    <t xml:space="preserve">61C57363  </t>
  </si>
  <si>
    <t xml:space="preserve">61C56364  </t>
  </si>
  <si>
    <t xml:space="preserve">61C45623  </t>
  </si>
  <si>
    <t xml:space="preserve">61C40940  </t>
  </si>
  <si>
    <t xml:space="preserve">61C40619  </t>
  </si>
  <si>
    <t xml:space="preserve">61C40057  </t>
  </si>
  <si>
    <t xml:space="preserve">61C35799  </t>
  </si>
  <si>
    <t xml:space="preserve">61C33540  </t>
  </si>
  <si>
    <t xml:space="preserve">61C32411  </t>
  </si>
  <si>
    <t xml:space="preserve">61C32279  </t>
  </si>
  <si>
    <t xml:space="preserve">61C31799  </t>
  </si>
  <si>
    <t xml:space="preserve">61C30802  </t>
  </si>
  <si>
    <t xml:space="preserve">61C30764  </t>
  </si>
  <si>
    <t xml:space="preserve">61C30648  </t>
  </si>
  <si>
    <t xml:space="preserve">61C30186  </t>
  </si>
  <si>
    <t xml:space="preserve">61C29658  </t>
  </si>
  <si>
    <t xml:space="preserve">61C28750  </t>
  </si>
  <si>
    <t xml:space="preserve">61C25652  </t>
  </si>
  <si>
    <t xml:space="preserve">61C25241  </t>
  </si>
  <si>
    <t xml:space="preserve">61C25202  </t>
  </si>
  <si>
    <t xml:space="preserve">61C24451  </t>
  </si>
  <si>
    <t xml:space="preserve">61C22374  </t>
  </si>
  <si>
    <t xml:space="preserve">61C22303  </t>
  </si>
  <si>
    <t xml:space="preserve">61C22190  </t>
  </si>
  <si>
    <t xml:space="preserve">61C21650  </t>
  </si>
  <si>
    <t xml:space="preserve">61C21428  </t>
  </si>
  <si>
    <t xml:space="preserve">61C20827  </t>
  </si>
  <si>
    <t xml:space="preserve">61C20299  </t>
  </si>
  <si>
    <t xml:space="preserve">61C19379  </t>
  </si>
  <si>
    <t xml:space="preserve">61C18836  </t>
  </si>
  <si>
    <t xml:space="preserve">61C16650  </t>
  </si>
  <si>
    <t xml:space="preserve">61C14980  </t>
  </si>
  <si>
    <t xml:space="preserve">61C14524  </t>
  </si>
  <si>
    <t xml:space="preserve">61C14478  </t>
  </si>
  <si>
    <t xml:space="preserve">61C14383  </t>
  </si>
  <si>
    <t xml:space="preserve">61C14346  </t>
  </si>
  <si>
    <t xml:space="preserve">61C14343  </t>
  </si>
  <si>
    <t xml:space="preserve">61C14306  </t>
  </si>
  <si>
    <t xml:space="preserve">61C14285  </t>
  </si>
  <si>
    <t xml:space="preserve">61C14040  </t>
  </si>
  <si>
    <t xml:space="preserve">61C13833  </t>
  </si>
  <si>
    <t xml:space="preserve">60H21006  </t>
  </si>
  <si>
    <t xml:space="preserve">60H14354  </t>
  </si>
  <si>
    <t xml:space="preserve">60C41058  </t>
  </si>
  <si>
    <t xml:space="preserve">60C31242  </t>
  </si>
  <si>
    <t xml:space="preserve">60C18137  </t>
  </si>
  <si>
    <t xml:space="preserve">60C17411  </t>
  </si>
  <si>
    <t xml:space="preserve">60C15001  </t>
  </si>
  <si>
    <t xml:space="preserve">51M74443  </t>
  </si>
  <si>
    <t xml:space="preserve">51M06418  </t>
  </si>
  <si>
    <t xml:space="preserve">51D99511  </t>
  </si>
  <si>
    <t xml:space="preserve">51D65730  </t>
  </si>
  <si>
    <t xml:space="preserve">51C91870  </t>
  </si>
  <si>
    <t xml:space="preserve">51C75196  </t>
  </si>
  <si>
    <t xml:space="preserve">50H75528  </t>
  </si>
  <si>
    <t xml:space="preserve">50H18257  </t>
  </si>
  <si>
    <t xml:space="preserve">48C11259  </t>
  </si>
  <si>
    <t xml:space="preserve">48C03755  </t>
  </si>
  <si>
    <t>47H08153  47RM01278</t>
  </si>
  <si>
    <t xml:space="preserve">47H05624  </t>
  </si>
  <si>
    <t>47F00570  47RM00437</t>
  </si>
  <si>
    <t xml:space="preserve">47F00561  </t>
  </si>
  <si>
    <t xml:space="preserve">47C21385  </t>
  </si>
  <si>
    <t xml:space="preserve">47C21238  </t>
  </si>
  <si>
    <t xml:space="preserve">47C20533  </t>
  </si>
  <si>
    <t xml:space="preserve">47C20532  </t>
  </si>
  <si>
    <t xml:space="preserve">47C20023  </t>
  </si>
  <si>
    <t xml:space="preserve">47C18548  </t>
  </si>
  <si>
    <t xml:space="preserve">47C12815  </t>
  </si>
  <si>
    <t xml:space="preserve">47C11029  </t>
  </si>
  <si>
    <t xml:space="preserve">    ====&gt;    0.78   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</si>
</sst>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;[Red]#,##0"/>
    <numFmt numFmtId="166" formatCode="_(* #,##0.0_);_(* \(#,##0.0\);_(* &quot;-&quot;??_);_(@_)"/>
    <numFmt numFmtId="167" formatCode="_(* #,##0_);_(* \(#,##0\);_(* &quot;-&quot;??_);_(@_)"/>
    <numFmt numFmtId="168" formatCode="mm/dd/yy;@"/>
    <numFmt numFmtId="169" formatCode="[$-F800]dddd\,\ mmmm\ dd\,\ yyyy"/>
    <numFmt numFmtId="170" formatCode="[$-409]d/mmm;@"/>
    <numFmt numFmtId="171" formatCode="_(* #,##0.00_);_(* \(#,##0.00\);_(* &quot;-&quot;_);_(@_)"/>
    <numFmt numFmtId="172" formatCode="#,###"/>
    <numFmt numFmtId="173" formatCode="0.00_);\(0.00\)"/>
    <numFmt numFmtId="174" formatCode="0.0%"/>
    <numFmt numFmtId="175" formatCode="[$-101042A]d\ mmmm\ yyyy;@"/>
    <numFmt numFmtId="176" formatCode="#,##0.000"/>
    <numFmt numFmtId="177" formatCode="[$-1010000]d/m/yyyy;@"/>
  </numFmts>
  <fonts count="124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??"/>
      <family val="3"/>
    </font>
    <font>
      <b/>
      <sz val="10"/>
      <name val="Times New Roman"/>
      <family val="1"/>
    </font>
    <font>
      <b/>
      <sz val="11"/>
      <color indexed="10"/>
      <name val="Times New Roman"/>
      <family val="1"/>
    </font>
    <font>
      <b/>
      <i/>
      <sz val="11"/>
      <color indexed="10"/>
      <name val="Times New Roman"/>
      <family val="1"/>
    </font>
    <font>
      <sz val="10"/>
      <name val="Times New Roman"/>
      <family val="1"/>
    </font>
    <font>
      <sz val="8"/>
      <name val="Times New Roman"/>
      <family val="1"/>
    </font>
    <font>
      <b/>
      <sz val="8"/>
      <name val="Times New Roman"/>
      <family val="1"/>
    </font>
    <font>
      <b/>
      <sz val="11"/>
      <name val="Times New Roman"/>
      <family val="1"/>
    </font>
    <font>
      <b/>
      <i/>
      <sz val="10"/>
      <name val="Times New Roman"/>
      <family val="1"/>
    </font>
    <font>
      <b/>
      <sz val="10"/>
      <color indexed="12"/>
      <name val="Times New Roman"/>
      <family val="1"/>
    </font>
    <font>
      <b/>
      <sz val="14"/>
      <color indexed="10"/>
      <name val="Times New Roman"/>
      <family val="1"/>
    </font>
    <font>
      <b/>
      <sz val="10"/>
      <color indexed="10"/>
      <name val="Times New Roman"/>
      <family val="1"/>
    </font>
    <font>
      <sz val="10"/>
      <color indexed="8"/>
      <name val="Times New Roman"/>
      <family val="1"/>
    </font>
    <font>
      <b/>
      <i/>
      <sz val="10"/>
      <color indexed="10"/>
      <name val="Times New Roman"/>
      <family val="1"/>
    </font>
    <font>
      <b/>
      <sz val="11"/>
      <color indexed="14"/>
      <name val="Times New Roman"/>
      <family val="1"/>
    </font>
    <font>
      <b/>
      <i/>
      <sz val="11"/>
      <color indexed="14"/>
      <name val="Times New Roman"/>
      <family val="1"/>
    </font>
    <font>
      <b/>
      <sz val="9"/>
      <name val="Times New Roman"/>
      <family val="1"/>
    </font>
    <font>
      <b/>
      <sz val="12"/>
      <name val="Times New Roman"/>
      <family val="1"/>
    </font>
    <font>
      <b/>
      <sz val="8"/>
      <color indexed="10"/>
      <name val="Times New Roman"/>
      <family val="1"/>
    </font>
    <font>
      <sz val="11"/>
      <name val="Times New Roman"/>
      <family val="1"/>
    </font>
    <font>
      <sz val="8"/>
      <color indexed="12"/>
      <name val="Times New Roman"/>
      <family val="1"/>
    </font>
    <font>
      <b/>
      <i/>
      <sz val="8"/>
      <name val="Times New Roman"/>
      <family val="1"/>
    </font>
    <font>
      <b/>
      <i/>
      <sz val="8"/>
      <color indexed="10"/>
      <name val="Times New Roman"/>
      <family val="1"/>
    </font>
    <font>
      <sz val="13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14"/>
      <color indexed="10"/>
      <name val="Times New Roman"/>
      <family val="1"/>
    </font>
    <font>
      <b/>
      <sz val="11"/>
      <color indexed="12"/>
      <name val="Times New Roman"/>
      <family val="1"/>
    </font>
    <font>
      <b/>
      <i/>
      <sz val="11"/>
      <name val="Times New Roman"/>
      <family val="1"/>
    </font>
    <font>
      <sz val="11"/>
      <color indexed="10"/>
      <name val="Times New Roman"/>
      <family val="1"/>
    </font>
    <font>
      <sz val="11"/>
      <color indexed="8"/>
      <name val="Times New Roman"/>
      <family val="1"/>
    </font>
    <font>
      <sz val="11"/>
      <color indexed="12"/>
      <name val="Times New Roman"/>
      <family val="1"/>
    </font>
    <font>
      <sz val="11"/>
      <color indexed="14"/>
      <name val="Times New Roman"/>
      <family val="1"/>
    </font>
    <font>
      <sz val="11"/>
      <color indexed="9"/>
      <name val="Times New Roman"/>
      <family val="1"/>
    </font>
    <font>
      <b/>
      <sz val="11"/>
      <color indexed="9"/>
      <name val="Times New Roman"/>
      <family val="1"/>
    </font>
    <font>
      <b/>
      <sz val="11"/>
      <color indexed="16"/>
      <name val="Times New Roman"/>
      <family val="1"/>
    </font>
    <font>
      <b/>
      <i/>
      <sz val="11"/>
      <color indexed="16"/>
      <name val="Times New Roman"/>
      <family val="1"/>
    </font>
    <font>
      <b/>
      <sz val="11"/>
      <color indexed="17"/>
      <name val="Times New Roman"/>
      <family val="1"/>
    </font>
    <font>
      <b/>
      <sz val="11"/>
      <color indexed="56"/>
      <name val="Times New Roman"/>
      <family val="1"/>
    </font>
    <font>
      <b/>
      <i/>
      <sz val="10"/>
      <color indexed="12"/>
      <name val="Times New Roman"/>
      <family val="1"/>
    </font>
    <font>
      <b/>
      <sz val="11"/>
      <color indexed="10"/>
      <name val="Times New Roman"/>
      <family val="1"/>
    </font>
    <font>
      <b/>
      <sz val="12"/>
      <color indexed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indexed="56"/>
      <name val="Times New Roman"/>
      <family val="1"/>
    </font>
    <font>
      <sz val="8"/>
      <name val="Arial"/>
      <family val="2"/>
    </font>
    <font>
      <sz val="11"/>
      <color indexed="18"/>
      <name val="Times New Roman"/>
      <family val="1"/>
    </font>
    <font>
      <b/>
      <sz val="11"/>
      <color indexed="18"/>
      <name val="Times New Roman"/>
      <family val="1"/>
    </font>
    <font>
      <b/>
      <i/>
      <sz val="11"/>
      <color indexed="18"/>
      <name val="Times New Roman"/>
      <family val="1"/>
    </font>
    <font>
      <sz val="11"/>
      <color indexed="8"/>
      <name val="Times New Roman"/>
      <family val="1"/>
    </font>
    <font>
      <b/>
      <sz val="11"/>
      <color indexed="8"/>
      <name val="Times New Roman"/>
      <family val="1"/>
    </font>
    <font>
      <sz val="11"/>
      <color indexed="9"/>
      <name val="Times New Roman"/>
      <family val="1"/>
    </font>
    <font>
      <sz val="11"/>
      <color indexed="10"/>
      <name val="Times New Roman"/>
      <family val="1"/>
    </font>
    <font>
      <b/>
      <sz val="10"/>
      <color indexed="8"/>
      <name val="Times New Roman"/>
      <family val="1"/>
    </font>
    <font>
      <sz val="14"/>
      <color indexed="8"/>
      <name val="Times New Roman"/>
      <family val="1"/>
    </font>
    <font>
      <sz val="10"/>
      <color indexed="18"/>
      <name val="Times New Roman"/>
      <family val="1"/>
    </font>
    <font>
      <b/>
      <sz val="10"/>
      <color indexed="14"/>
      <name val="Times New Roman"/>
      <family val="1"/>
    </font>
    <font>
      <b/>
      <sz val="10"/>
      <color indexed="9"/>
      <name val="Times New Roman"/>
      <family val="1"/>
    </font>
    <font>
      <b/>
      <i/>
      <sz val="14"/>
      <name val="Times New Roman"/>
      <family val="1"/>
    </font>
    <font>
      <b/>
      <sz val="11"/>
      <color indexed="13"/>
      <name val="Times New Roman"/>
      <family val="1"/>
    </font>
    <font>
      <sz val="11"/>
      <color indexed="13"/>
      <name val="Times New Roman"/>
      <family val="1"/>
    </font>
    <font>
      <sz val="8"/>
      <name val="Arial"/>
      <family val="2"/>
    </font>
    <font>
      <b/>
      <sz val="12"/>
      <color indexed="30"/>
      <name val="Times New Roman"/>
      <family val="1"/>
    </font>
    <font>
      <sz val="10"/>
      <color indexed="8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6"/>
      <name val="Times New Roman"/>
      <family val="1"/>
    </font>
    <font>
      <b/>
      <sz val="10.5"/>
      <name val="Times New Roman"/>
      <family val="1"/>
    </font>
    <font>
      <b/>
      <sz val="11"/>
      <color theme="0" tint="-0.14999847407452621"/>
      <name val="Times New Roman"/>
      <family val="1"/>
    </font>
    <font>
      <b/>
      <sz val="11"/>
      <color rgb="FFFF00FF"/>
      <name val="Times New Roman"/>
      <family val="1"/>
    </font>
    <font>
      <b/>
      <sz val="11"/>
      <color rgb="FFFF0000"/>
      <name val="Times New Roman"/>
      <family val="1"/>
    </font>
    <font>
      <sz val="10"/>
      <color rgb="FFFF0000"/>
      <name val="Arial"/>
      <family val="2"/>
    </font>
    <font>
      <b/>
      <sz val="12"/>
      <color theme="0" tint="-0.14999847407452621"/>
      <name val="Times New Roman"/>
      <family val="1"/>
    </font>
    <font>
      <b/>
      <i/>
      <sz val="12"/>
      <color theme="0" tint="-0.14999847407452621"/>
      <name val="Times New Roman"/>
      <family val="1"/>
    </font>
    <font>
      <sz val="11"/>
      <color rgb="FFFF0000"/>
      <name val="Times New Roman"/>
      <family val="1"/>
    </font>
    <font>
      <b/>
      <sz val="11"/>
      <color rgb="FF0000FF"/>
      <name val="Times New Roman"/>
      <family val="1"/>
    </font>
    <font>
      <sz val="12"/>
      <color theme="0" tint="-0.14999847407452621"/>
      <name val="Times New Roman"/>
      <family val="1"/>
    </font>
    <font>
      <i/>
      <sz val="12"/>
      <color theme="0" tint="-0.1499984740745262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rgb="FFCC00FF"/>
      <name val="Times New Roman"/>
      <family val="1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00B0F0"/>
      <name val="Times New Roman"/>
      <family val="1"/>
    </font>
    <font>
      <sz val="11"/>
      <color theme="0" tint="-4.9989318521683403E-2"/>
      <name val="Times New Roman"/>
      <family val="1"/>
    </font>
    <font>
      <sz val="11"/>
      <color rgb="FFFFFFFF"/>
      <name val="Times New Roman"/>
      <family val="1"/>
    </font>
    <font>
      <sz val="10"/>
      <color theme="1"/>
      <name val="Arial"/>
      <family val="2"/>
    </font>
    <font>
      <b/>
      <sz val="11"/>
      <color theme="0"/>
      <name val="Times New Roman"/>
      <family val="1"/>
    </font>
    <font>
      <sz val="11"/>
      <color theme="2"/>
      <name val="Times New Roman"/>
      <family val="1"/>
    </font>
    <font>
      <b/>
      <sz val="11"/>
      <color theme="3"/>
      <name val="Times New Roman"/>
      <family val="1"/>
    </font>
    <font>
      <sz val="11"/>
      <color theme="0"/>
      <name val="Times New Roman"/>
      <family val="1"/>
    </font>
    <font>
      <sz val="11"/>
      <color rgb="FF002060"/>
      <name val="Times New Roman"/>
      <family val="1"/>
    </font>
    <font>
      <sz val="11"/>
      <color rgb="FF0070C0"/>
      <name val="Times New Roman"/>
      <family val="1"/>
    </font>
    <font>
      <b/>
      <sz val="11"/>
      <color rgb="FF7030A0"/>
      <name val="Times New Roman"/>
      <family val="1"/>
    </font>
    <font>
      <b/>
      <sz val="11"/>
      <color theme="0" tint="-4.9989318521683403E-2"/>
      <name val="Times New Roman"/>
      <family val="1"/>
    </font>
    <font>
      <sz val="11"/>
      <color theme="4" tint="-0.499984740745262"/>
      <name val="Times New Roman"/>
      <family val="1"/>
    </font>
    <font>
      <b/>
      <u/>
      <sz val="11"/>
      <color theme="3"/>
      <name val="Times New Roman"/>
      <family val="1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0"/>
      <color theme="0" tint="-4.9989318521683403E-2"/>
      <name val="Times New Roman"/>
      <family val="1"/>
    </font>
    <font>
      <sz val="10"/>
      <color theme="0" tint="-4.9989318521683403E-2"/>
      <name val="Times New Roman"/>
      <family val="1"/>
    </font>
    <font>
      <sz val="12"/>
      <color theme="0" tint="-4.9989318521683403E-2"/>
      <name val="Times New Roman"/>
      <family val="1"/>
    </font>
    <font>
      <b/>
      <i/>
      <sz val="10"/>
      <color theme="0" tint="-4.9989318521683403E-2"/>
      <name val="Times New Roman"/>
      <family val="1"/>
    </font>
    <font>
      <b/>
      <sz val="12"/>
      <color theme="0" tint="-4.9989318521683403E-2"/>
      <name val="Times New Roman"/>
      <family val="1"/>
    </font>
    <font>
      <b/>
      <i/>
      <sz val="12"/>
      <color theme="0" tint="-4.9989318521683403E-2"/>
      <name val="Times New Roman"/>
      <family val="1"/>
    </font>
    <font>
      <i/>
      <sz val="12"/>
      <color theme="0" tint="-4.9989318521683403E-2"/>
      <name val="Times New Roman"/>
      <family val="1"/>
    </font>
    <font>
      <b/>
      <sz val="8"/>
      <color theme="0" tint="-4.9989318521683403E-2"/>
      <name val="Times New Roman"/>
      <family val="1"/>
    </font>
    <font>
      <b/>
      <sz val="9"/>
      <color theme="0" tint="-4.9989318521683403E-2"/>
      <name val="Times New Roman"/>
      <family val="1"/>
    </font>
    <font>
      <b/>
      <i/>
      <sz val="11"/>
      <color theme="0" tint="-4.9989318521683403E-2"/>
      <name val="Times New Roman"/>
      <family val="1"/>
    </font>
  </fonts>
  <fills count="3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4"/>
        <bgColor indexed="13"/>
      </patternFill>
    </fill>
    <fill>
      <patternFill patternType="solid">
        <fgColor indexed="14"/>
        <bgColor indexed="64"/>
      </patternFill>
    </fill>
    <fill>
      <patternFill patternType="solid">
        <fgColor indexed="9"/>
        <bgColor indexed="13"/>
      </patternFill>
    </fill>
    <fill>
      <patternFill patternType="solid">
        <fgColor indexed="1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3"/>
        <bgColor indexed="13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0"/>
        <bgColor indexed="13"/>
      </patternFill>
    </fill>
    <fill>
      <patternFill patternType="solid">
        <fgColor indexed="6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6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9"/>
        <bgColor indexed="41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13"/>
      </patternFill>
    </fill>
    <fill>
      <patternFill patternType="solid">
        <fgColor rgb="FFFF00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13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</fills>
  <borders count="9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indexed="64"/>
      </right>
      <top style="thin">
        <color theme="0"/>
      </top>
      <bottom/>
      <diagonal/>
    </border>
    <border>
      <left/>
      <right/>
      <top/>
      <bottom style="thin">
        <color theme="0"/>
      </bottom>
      <diagonal/>
    </border>
    <border>
      <left/>
      <right style="thin">
        <color indexed="64"/>
      </right>
      <top/>
      <bottom style="thin">
        <color theme="0"/>
      </bottom>
      <diagonal/>
    </border>
  </borders>
  <cellStyleXfs count="11">
    <xf numFmtId="0" fontId="0" fillId="0" borderId="0"/>
    <xf numFmtId="0" fontId="2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0" borderId="1" applyNumberFormat="0" applyAlignment="0" applyProtection="0">
      <alignment horizontal="left" vertical="center"/>
    </xf>
    <xf numFmtId="0" fontId="3" fillId="0" borderId="2">
      <alignment horizontal="left" vertical="center"/>
    </xf>
    <xf numFmtId="0" fontId="71" fillId="0" borderId="0">
      <alignment vertical="top"/>
    </xf>
    <xf numFmtId="0" fontId="73" fillId="0" borderId="0">
      <alignment vertical="top"/>
    </xf>
    <xf numFmtId="0" fontId="5" fillId="0" borderId="0">
      <alignment vertical="top"/>
    </xf>
    <xf numFmtId="0" fontId="77" fillId="0" borderId="0">
      <alignment vertical="top"/>
    </xf>
    <xf numFmtId="9" fontId="1" fillId="0" borderId="0" applyFont="0" applyFill="0" applyBorder="0" applyAlignment="0" applyProtection="0"/>
  </cellStyleXfs>
  <cellXfs count="1199">
    <xf numFmtId="0" fontId="0" fillId="0" borderId="0" xfId="0"/>
    <xf numFmtId="0" fontId="8" fillId="2" borderId="0" xfId="1" applyFont="1" applyFill="1"/>
    <xf numFmtId="0" fontId="2" fillId="0" borderId="0" xfId="1"/>
    <xf numFmtId="0" fontId="2" fillId="2" borderId="0" xfId="1" applyFill="1"/>
    <xf numFmtId="0" fontId="2" fillId="3" borderId="3" xfId="1" applyFill="1" applyBorder="1"/>
    <xf numFmtId="0" fontId="2" fillId="4" borderId="4" xfId="1" applyFill="1" applyBorder="1"/>
    <xf numFmtId="0" fontId="7" fillId="5" borderId="5" xfId="1" applyFont="1" applyFill="1" applyBorder="1" applyAlignment="1">
      <alignment horizontal="center"/>
    </xf>
    <xf numFmtId="0" fontId="4" fillId="6" borderId="6" xfId="1" applyFont="1" applyFill="1" applyBorder="1" applyAlignment="1">
      <alignment horizontal="center"/>
    </xf>
    <xf numFmtId="0" fontId="7" fillId="5" borderId="6" xfId="1" applyFont="1" applyFill="1" applyBorder="1" applyAlignment="1">
      <alignment horizontal="center"/>
    </xf>
    <xf numFmtId="0" fontId="7" fillId="5" borderId="7" xfId="1" applyFont="1" applyFill="1" applyBorder="1" applyAlignment="1">
      <alignment horizontal="center"/>
    </xf>
    <xf numFmtId="0" fontId="2" fillId="4" borderId="8" xfId="1" applyFill="1" applyBorder="1"/>
    <xf numFmtId="0" fontId="2" fillId="3" borderId="9" xfId="1" applyFill="1" applyBorder="1"/>
    <xf numFmtId="0" fontId="2" fillId="4" borderId="9" xfId="1" applyFill="1" applyBorder="1"/>
    <xf numFmtId="0" fontId="2" fillId="3" borderId="10" xfId="1" applyFill="1" applyBorder="1"/>
    <xf numFmtId="3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3" fontId="13" fillId="0" borderId="0" xfId="0" applyNumberFormat="1" applyFont="1" applyAlignment="1">
      <alignment vertical="center"/>
    </xf>
    <xf numFmtId="3" fontId="13" fillId="0" borderId="0" xfId="0" applyNumberFormat="1" applyFont="1" applyAlignment="1">
      <alignment horizontal="center" vertical="center"/>
    </xf>
    <xf numFmtId="41" fontId="12" fillId="0" borderId="0" xfId="0" applyNumberFormat="1" applyFont="1" applyAlignment="1">
      <alignment horizontal="left" vertical="center"/>
    </xf>
    <xf numFmtId="41" fontId="12" fillId="0" borderId="0" xfId="0" applyNumberFormat="1" applyFont="1" applyAlignment="1">
      <alignment vertical="center"/>
    </xf>
    <xf numFmtId="41" fontId="13" fillId="0" borderId="0" xfId="0" applyNumberFormat="1" applyFont="1" applyAlignment="1">
      <alignment vertical="center"/>
    </xf>
    <xf numFmtId="0" fontId="19" fillId="0" borderId="0" xfId="0" applyFont="1" applyAlignment="1">
      <alignment vertical="center"/>
    </xf>
    <xf numFmtId="41" fontId="9" fillId="0" borderId="0" xfId="0" applyNumberFormat="1" applyFont="1" applyAlignment="1">
      <alignment horizontal="center" vertical="center"/>
    </xf>
    <xf numFmtId="14" fontId="24" fillId="2" borderId="11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2" borderId="12" xfId="0" applyNumberFormat="1" applyFont="1" applyFill="1" applyBorder="1" applyAlignment="1">
      <alignment horizontal="center" vertical="center"/>
    </xf>
    <xf numFmtId="0" fontId="25" fillId="0" borderId="13" xfId="0" applyFont="1" applyBorder="1" applyAlignment="1">
      <alignment vertical="center"/>
    </xf>
    <xf numFmtId="0" fontId="12" fillId="0" borderId="0" xfId="0" applyFont="1"/>
    <xf numFmtId="41" fontId="12" fillId="0" borderId="0" xfId="0" applyNumberFormat="1" applyFont="1"/>
    <xf numFmtId="41" fontId="12" fillId="0" borderId="0" xfId="0" applyNumberFormat="1" applyFont="1" applyAlignment="1">
      <alignment horizontal="center"/>
    </xf>
    <xf numFmtId="41" fontId="13" fillId="0" borderId="0" xfId="0" applyNumberFormat="1" applyFont="1" applyAlignment="1">
      <alignment horizontal="center" vertical="center"/>
    </xf>
    <xf numFmtId="41" fontId="17" fillId="0" borderId="0" xfId="0" applyNumberFormat="1" applyFont="1" applyAlignment="1">
      <alignment horizontal="center" vertical="center"/>
    </xf>
    <xf numFmtId="41" fontId="28" fillId="0" borderId="0" xfId="0" applyNumberFormat="1" applyFont="1" applyAlignment="1">
      <alignment horizontal="center" vertical="center"/>
    </xf>
    <xf numFmtId="0" fontId="27" fillId="0" borderId="14" xfId="0" applyFont="1" applyBorder="1" applyAlignment="1">
      <alignment vertical="center"/>
    </xf>
    <xf numFmtId="0" fontId="27" fillId="0" borderId="0" xfId="0" applyFont="1" applyAlignment="1">
      <alignment vertical="center"/>
    </xf>
    <xf numFmtId="14" fontId="13" fillId="0" borderId="0" xfId="0" applyNumberFormat="1" applyFont="1" applyAlignment="1">
      <alignment horizontal="right" vertical="center"/>
    </xf>
    <xf numFmtId="41" fontId="13" fillId="0" borderId="0" xfId="0" applyNumberFormat="1" applyFont="1" applyAlignment="1">
      <alignment horizontal="centerContinuous" vertical="center"/>
    </xf>
    <xf numFmtId="14" fontId="9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center"/>
    </xf>
    <xf numFmtId="41" fontId="12" fillId="0" borderId="0" xfId="0" quotePrefix="1" applyNumberFormat="1" applyFont="1" applyAlignment="1">
      <alignment horizontal="right" vertical="center"/>
    </xf>
    <xf numFmtId="14" fontId="16" fillId="0" borderId="0" xfId="0" quotePrefix="1" applyNumberFormat="1" applyFont="1" applyAlignment="1">
      <alignment horizontal="right" vertical="center"/>
    </xf>
    <xf numFmtId="169" fontId="30" fillId="0" borderId="0" xfId="0" applyNumberFormat="1" applyFont="1" applyAlignment="1">
      <alignment horizontal="left" vertical="center"/>
    </xf>
    <xf numFmtId="41" fontId="14" fillId="0" borderId="0" xfId="0" applyNumberFormat="1" applyFont="1" applyAlignment="1">
      <alignment horizontal="left" vertical="center"/>
    </xf>
    <xf numFmtId="41" fontId="13" fillId="0" borderId="0" xfId="0" applyNumberFormat="1" applyFont="1" applyAlignment="1">
      <alignment horizontal="left" vertical="center"/>
    </xf>
    <xf numFmtId="3" fontId="26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3" fontId="12" fillId="0" borderId="0" xfId="0" applyNumberFormat="1" applyFont="1" applyAlignment="1">
      <alignment horizontal="center" vertical="center"/>
    </xf>
    <xf numFmtId="3" fontId="1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right" vertical="center"/>
    </xf>
    <xf numFmtId="41" fontId="21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41" fontId="14" fillId="0" borderId="0" xfId="0" applyNumberFormat="1" applyFont="1" applyAlignment="1">
      <alignment vertical="center"/>
    </xf>
    <xf numFmtId="14" fontId="12" fillId="0" borderId="0" xfId="0" applyNumberFormat="1" applyFont="1" applyAlignment="1">
      <alignment horizontal="right" vertical="center"/>
    </xf>
    <xf numFmtId="0" fontId="27" fillId="0" borderId="0" xfId="0" applyFont="1"/>
    <xf numFmtId="0" fontId="15" fillId="0" borderId="0" xfId="0" applyFont="1"/>
    <xf numFmtId="3" fontId="27" fillId="0" borderId="0" xfId="0" applyNumberFormat="1" applyFont="1"/>
    <xf numFmtId="41" fontId="15" fillId="0" borderId="9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0" fontId="15" fillId="0" borderId="0" xfId="0" applyFont="1" applyAlignment="1">
      <alignment vertical="center"/>
    </xf>
    <xf numFmtId="41" fontId="15" fillId="0" borderId="11" xfId="0" applyNumberFormat="1" applyFont="1" applyBorder="1" applyAlignment="1">
      <alignment horizontal="center" vertical="center"/>
    </xf>
    <xf numFmtId="41" fontId="15" fillId="0" borderId="8" xfId="0" applyNumberFormat="1" applyFont="1" applyBorder="1" applyAlignment="1">
      <alignment horizontal="center" vertical="center"/>
    </xf>
    <xf numFmtId="0" fontId="10" fillId="7" borderId="13" xfId="0" applyFont="1" applyFill="1" applyBorder="1" applyAlignment="1">
      <alignment horizontal="center" vertical="center"/>
    </xf>
    <xf numFmtId="41" fontId="27" fillId="0" borderId="16" xfId="0" applyNumberFormat="1" applyFont="1" applyBorder="1" applyAlignment="1">
      <alignment horizontal="centerContinuous"/>
    </xf>
    <xf numFmtId="41" fontId="27" fillId="0" borderId="16" xfId="0" applyNumberFormat="1" applyFont="1" applyBorder="1" applyAlignment="1">
      <alignment horizontal="center"/>
    </xf>
    <xf numFmtId="41" fontId="35" fillId="0" borderId="8" xfId="0" applyNumberFormat="1" applyFont="1" applyBorder="1" applyAlignment="1">
      <alignment horizontal="center"/>
    </xf>
    <xf numFmtId="41" fontId="35" fillId="0" borderId="11" xfId="0" applyNumberFormat="1" applyFont="1" applyBorder="1" applyAlignment="1">
      <alignment horizontal="center"/>
    </xf>
    <xf numFmtId="0" fontId="35" fillId="0" borderId="0" xfId="0" applyFont="1"/>
    <xf numFmtId="0" fontId="27" fillId="0" borderId="0" xfId="0" applyFont="1" applyAlignment="1">
      <alignment horizontal="center"/>
    </xf>
    <xf numFmtId="41" fontId="10" fillId="0" borderId="11" xfId="0" applyNumberFormat="1" applyFont="1" applyBorder="1" applyAlignment="1">
      <alignment horizontal="center"/>
    </xf>
    <xf numFmtId="41" fontId="3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center"/>
    </xf>
    <xf numFmtId="41" fontId="15" fillId="0" borderId="12" xfId="0" applyNumberFormat="1" applyFont="1" applyBorder="1" applyAlignment="1">
      <alignment horizontal="center" vertical="center"/>
    </xf>
    <xf numFmtId="0" fontId="27" fillId="0" borderId="16" xfId="0" applyFont="1" applyBorder="1" applyAlignment="1">
      <alignment horizontal="right"/>
    </xf>
    <xf numFmtId="41" fontId="15" fillId="0" borderId="14" xfId="0" applyNumberFormat="1" applyFont="1" applyBorder="1" applyAlignment="1">
      <alignment horizontal="center" vertical="center"/>
    </xf>
    <xf numFmtId="41" fontId="15" fillId="0" borderId="0" xfId="0" applyNumberFormat="1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" fontId="27" fillId="0" borderId="0" xfId="0" applyNumberFormat="1" applyFont="1" applyAlignment="1">
      <alignment horizontal="center" vertical="center"/>
    </xf>
    <xf numFmtId="3" fontId="15" fillId="0" borderId="11" xfId="0" applyNumberFormat="1" applyFont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3" fontId="27" fillId="0" borderId="0" xfId="0" applyNumberFormat="1" applyFont="1" applyAlignment="1">
      <alignment vertical="center"/>
    </xf>
    <xf numFmtId="41" fontId="27" fillId="0" borderId="0" xfId="0" applyNumberFormat="1" applyFont="1" applyAlignment="1">
      <alignment vertical="center"/>
    </xf>
    <xf numFmtId="0" fontId="35" fillId="0" borderId="0" xfId="0" applyFont="1" applyAlignment="1">
      <alignment vertical="center"/>
    </xf>
    <xf numFmtId="3" fontId="15" fillId="0" borderId="0" xfId="0" applyNumberFormat="1" applyFont="1" applyAlignment="1">
      <alignment vertical="center"/>
    </xf>
    <xf numFmtId="0" fontId="15" fillId="8" borderId="11" xfId="0" applyFont="1" applyFill="1" applyBorder="1" applyAlignment="1">
      <alignment horizontal="center" vertical="center"/>
    </xf>
    <xf numFmtId="1" fontId="10" fillId="8" borderId="11" xfId="0" applyNumberFormat="1" applyFont="1" applyFill="1" applyBorder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41" fontId="27" fillId="0" borderId="16" xfId="0" applyNumberFormat="1" applyFont="1" applyBorder="1" applyAlignment="1">
      <alignment horizontal="center" vertical="center"/>
    </xf>
    <xf numFmtId="0" fontId="37" fillId="0" borderId="16" xfId="0" applyFont="1" applyBorder="1" applyAlignment="1">
      <alignment horizontal="right" vertical="center"/>
    </xf>
    <xf numFmtId="41" fontId="10" fillId="0" borderId="16" xfId="0" applyNumberFormat="1" applyFont="1" applyBorder="1" applyAlignment="1">
      <alignment horizontal="right" vertical="center"/>
    </xf>
    <xf numFmtId="0" fontId="27" fillId="0" borderId="16" xfId="0" applyFont="1" applyBorder="1" applyAlignment="1">
      <alignment horizontal="right" vertical="center"/>
    </xf>
    <xf numFmtId="0" fontId="27" fillId="6" borderId="0" xfId="0" applyFont="1" applyFill="1" applyAlignment="1">
      <alignment vertical="center"/>
    </xf>
    <xf numFmtId="0" fontId="27" fillId="9" borderId="16" xfId="0" applyFont="1" applyFill="1" applyBorder="1" applyAlignment="1">
      <alignment horizontal="right" vertical="center"/>
    </xf>
    <xf numFmtId="41" fontId="27" fillId="9" borderId="16" xfId="0" applyNumberFormat="1" applyFont="1" applyFill="1" applyBorder="1" applyAlignment="1">
      <alignment horizontal="center" vertical="center"/>
    </xf>
    <xf numFmtId="41" fontId="15" fillId="9" borderId="16" xfId="0" applyNumberFormat="1" applyFont="1" applyFill="1" applyBorder="1" applyAlignment="1">
      <alignment horizontal="center" vertical="center"/>
    </xf>
    <xf numFmtId="3" fontId="27" fillId="0" borderId="11" xfId="0" applyNumberFormat="1" applyFont="1" applyBorder="1" applyAlignment="1">
      <alignment horizontal="center" vertical="center"/>
    </xf>
    <xf numFmtId="41" fontId="38" fillId="0" borderId="16" xfId="0" applyNumberFormat="1" applyFont="1" applyBorder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27" fillId="10" borderId="16" xfId="0" applyFont="1" applyFill="1" applyBorder="1" applyAlignment="1">
      <alignment horizontal="right" vertical="center"/>
    </xf>
    <xf numFmtId="41" fontId="15" fillId="10" borderId="16" xfId="0" applyNumberFormat="1" applyFont="1" applyFill="1" applyBorder="1" applyAlignment="1">
      <alignment horizontal="center" vertical="center"/>
    </xf>
    <xf numFmtId="0" fontId="46" fillId="0" borderId="0" xfId="0" applyFont="1" applyAlignment="1">
      <alignment vertical="center"/>
    </xf>
    <xf numFmtId="0" fontId="46" fillId="3" borderId="0" xfId="0" applyFont="1" applyFill="1" applyAlignment="1">
      <alignment vertical="center"/>
    </xf>
    <xf numFmtId="0" fontId="10" fillId="7" borderId="9" xfId="0" applyFont="1" applyFill="1" applyBorder="1" applyAlignment="1">
      <alignment horizontal="center" vertical="center"/>
    </xf>
    <xf numFmtId="0" fontId="27" fillId="0" borderId="17" xfId="0" applyFont="1" applyBorder="1" applyAlignment="1">
      <alignment horizontal="right" vertical="center"/>
    </xf>
    <xf numFmtId="0" fontId="27" fillId="3" borderId="0" xfId="0" applyFont="1" applyFill="1"/>
    <xf numFmtId="41" fontId="15" fillId="11" borderId="9" xfId="0" applyNumberFormat="1" applyFont="1" applyFill="1" applyBorder="1" applyAlignment="1">
      <alignment horizontal="center"/>
    </xf>
    <xf numFmtId="41" fontId="15" fillId="11" borderId="11" xfId="0" applyNumberFormat="1" applyFont="1" applyFill="1" applyBorder="1" applyAlignment="1">
      <alignment horizontal="center"/>
    </xf>
    <xf numFmtId="41" fontId="15" fillId="11" borderId="18" xfId="0" applyNumberFormat="1" applyFont="1" applyFill="1" applyBorder="1" applyAlignment="1">
      <alignment horizontal="center"/>
    </xf>
    <xf numFmtId="41" fontId="15" fillId="0" borderId="0" xfId="0" applyNumberFormat="1" applyFont="1" applyAlignment="1">
      <alignment horizontal="center"/>
    </xf>
    <xf numFmtId="41" fontId="15" fillId="0" borderId="11" xfId="0" applyNumberFormat="1" applyFont="1" applyBorder="1" applyAlignment="1">
      <alignment horizontal="center"/>
    </xf>
    <xf numFmtId="3" fontId="15" fillId="0" borderId="11" xfId="0" applyNumberFormat="1" applyFont="1" applyBorder="1" applyAlignment="1">
      <alignment horizontal="center"/>
    </xf>
    <xf numFmtId="41" fontId="36" fillId="0" borderId="0" xfId="0" applyNumberFormat="1" applyFont="1" applyAlignment="1">
      <alignment horizontal="center" vertical="center"/>
    </xf>
    <xf numFmtId="0" fontId="27" fillId="6" borderId="0" xfId="0" applyFont="1" applyFill="1"/>
    <xf numFmtId="3" fontId="27" fillId="0" borderId="0" xfId="0" applyNumberFormat="1" applyFont="1" applyAlignment="1">
      <alignment horizontal="center"/>
    </xf>
    <xf numFmtId="0" fontId="17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41" fontId="35" fillId="0" borderId="19" xfId="0" applyNumberFormat="1" applyFont="1" applyBorder="1" applyAlignment="1">
      <alignment horizontal="center" vertical="center"/>
    </xf>
    <xf numFmtId="41" fontId="35" fillId="0" borderId="11" xfId="0" applyNumberFormat="1" applyFont="1" applyBorder="1" applyAlignment="1">
      <alignment horizontal="center" vertical="center"/>
    </xf>
    <xf numFmtId="41" fontId="12" fillId="0" borderId="0" xfId="0" applyNumberFormat="1" applyFont="1" applyAlignment="1">
      <alignment horizontal="center" vertical="center"/>
    </xf>
    <xf numFmtId="3" fontId="49" fillId="0" borderId="0" xfId="0" applyNumberFormat="1" applyFont="1" applyAlignment="1">
      <alignment vertical="center"/>
    </xf>
    <xf numFmtId="41" fontId="15" fillId="0" borderId="11" xfId="0" applyNumberFormat="1" applyFont="1" applyBorder="1" applyAlignment="1">
      <alignment vertical="center"/>
    </xf>
    <xf numFmtId="41" fontId="10" fillId="0" borderId="15" xfId="0" applyNumberFormat="1" applyFont="1" applyBorder="1" applyAlignment="1">
      <alignment horizontal="center" vertical="center"/>
    </xf>
    <xf numFmtId="0" fontId="48" fillId="0" borderId="0" xfId="0" applyFont="1" applyAlignment="1">
      <alignment vertical="center"/>
    </xf>
    <xf numFmtId="41" fontId="10" fillId="0" borderId="11" xfId="0" applyNumberFormat="1" applyFont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48" fillId="0" borderId="0" xfId="0" applyFont="1"/>
    <xf numFmtId="41" fontId="27" fillId="0" borderId="14" xfId="0" applyNumberFormat="1" applyFont="1" applyBorder="1" applyAlignment="1">
      <alignment vertical="center"/>
    </xf>
    <xf numFmtId="41" fontId="22" fillId="0" borderId="0" xfId="0" applyNumberFormat="1" applyFont="1" applyAlignment="1">
      <alignment horizontal="left"/>
    </xf>
    <xf numFmtId="0" fontId="22" fillId="0" borderId="0" xfId="0" applyFont="1" applyAlignment="1">
      <alignment horizontal="left" vertical="center"/>
    </xf>
    <xf numFmtId="169" fontId="23" fillId="0" borderId="0" xfId="0" applyNumberFormat="1" applyFont="1" applyAlignment="1">
      <alignment horizontal="left" vertical="center"/>
    </xf>
    <xf numFmtId="41" fontId="22" fillId="0" borderId="0" xfId="0" applyNumberFormat="1" applyFont="1" applyAlignment="1">
      <alignment horizontal="left" vertical="center"/>
    </xf>
    <xf numFmtId="41" fontId="22" fillId="0" borderId="18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/>
    </xf>
    <xf numFmtId="41" fontId="15" fillId="0" borderId="11" xfId="0" applyNumberFormat="1" applyFont="1" applyBorder="1" applyAlignment="1">
      <alignment horizontal="left" vertical="center"/>
    </xf>
    <xf numFmtId="41" fontId="46" fillId="0" borderId="11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/>
    </xf>
    <xf numFmtId="41" fontId="22" fillId="0" borderId="20" xfId="0" applyNumberFormat="1" applyFont="1" applyBorder="1" applyAlignment="1">
      <alignment horizontal="left"/>
    </xf>
    <xf numFmtId="41" fontId="22" fillId="0" borderId="16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 vertical="center"/>
    </xf>
    <xf numFmtId="41" fontId="22" fillId="0" borderId="15" xfId="0" applyNumberFormat="1" applyFont="1" applyBorder="1" applyAlignment="1">
      <alignment horizontal="left" vertical="center"/>
    </xf>
    <xf numFmtId="41" fontId="22" fillId="0" borderId="19" xfId="0" applyNumberFormat="1" applyFont="1" applyBorder="1" applyAlignment="1">
      <alignment horizontal="left" vertical="center"/>
    </xf>
    <xf numFmtId="41" fontId="22" fillId="0" borderId="14" xfId="0" applyNumberFormat="1" applyFont="1" applyBorder="1" applyAlignment="1">
      <alignment horizontal="left" vertical="center"/>
    </xf>
    <xf numFmtId="41" fontId="22" fillId="0" borderId="11" xfId="0" applyNumberFormat="1" applyFont="1" applyBorder="1" applyAlignment="1">
      <alignment horizontal="left"/>
    </xf>
    <xf numFmtId="41" fontId="22" fillId="0" borderId="8" xfId="0" applyNumberFormat="1" applyFont="1" applyBorder="1" applyAlignment="1">
      <alignment horizontal="left"/>
    </xf>
    <xf numFmtId="41" fontId="22" fillId="0" borderId="21" xfId="0" applyNumberFormat="1" applyFont="1" applyBorder="1" applyAlignment="1">
      <alignment horizontal="left"/>
    </xf>
    <xf numFmtId="0" fontId="22" fillId="0" borderId="14" xfId="0" applyFont="1" applyBorder="1" applyAlignment="1">
      <alignment horizontal="left"/>
    </xf>
    <xf numFmtId="0" fontId="22" fillId="0" borderId="0" xfId="0" applyFont="1" applyAlignment="1">
      <alignment horizontal="left"/>
    </xf>
    <xf numFmtId="41" fontId="15" fillId="0" borderId="15" xfId="0" applyNumberFormat="1" applyFont="1" applyBorder="1" applyAlignment="1">
      <alignment horizontal="left" vertical="center"/>
    </xf>
    <xf numFmtId="41" fontId="15" fillId="11" borderId="9" xfId="0" applyNumberFormat="1" applyFont="1" applyFill="1" applyBorder="1" applyAlignment="1">
      <alignment horizontal="left"/>
    </xf>
    <xf numFmtId="41" fontId="15" fillId="11" borderId="11" xfId="0" applyNumberFormat="1" applyFont="1" applyFill="1" applyBorder="1" applyAlignment="1">
      <alignment horizontal="left"/>
    </xf>
    <xf numFmtId="41" fontId="15" fillId="11" borderId="18" xfId="0" applyNumberFormat="1" applyFont="1" applyFill="1" applyBorder="1" applyAlignment="1">
      <alignment horizontal="left"/>
    </xf>
    <xf numFmtId="41" fontId="15" fillId="0" borderId="11" xfId="0" applyNumberFormat="1" applyFont="1" applyBorder="1" applyAlignment="1">
      <alignment horizontal="left"/>
    </xf>
    <xf numFmtId="41" fontId="27" fillId="0" borderId="22" xfId="0" applyNumberFormat="1" applyFont="1" applyBorder="1" applyAlignment="1">
      <alignment horizontal="center" vertical="center"/>
    </xf>
    <xf numFmtId="41" fontId="38" fillId="0" borderId="21" xfId="0" applyNumberFormat="1" applyFont="1" applyBorder="1" applyAlignment="1">
      <alignment horizontal="center" vertical="center"/>
    </xf>
    <xf numFmtId="41" fontId="20" fillId="0" borderId="0" xfId="0" applyNumberFormat="1" applyFont="1" applyAlignment="1">
      <alignment horizontal="center" vertical="center"/>
    </xf>
    <xf numFmtId="0" fontId="27" fillId="12" borderId="16" xfId="0" applyFont="1" applyFill="1" applyBorder="1" applyAlignment="1">
      <alignment horizontal="right" vertical="center"/>
    </xf>
    <xf numFmtId="41" fontId="27" fillId="12" borderId="16" xfId="0" applyNumberFormat="1" applyFont="1" applyFill="1" applyBorder="1" applyAlignment="1">
      <alignment horizontal="center" vertical="center"/>
    </xf>
    <xf numFmtId="0" fontId="27" fillId="13" borderId="16" xfId="0" applyFont="1" applyFill="1" applyBorder="1" applyAlignment="1">
      <alignment horizontal="right"/>
    </xf>
    <xf numFmtId="0" fontId="27" fillId="14" borderId="16" xfId="0" applyFont="1" applyFill="1" applyBorder="1" applyAlignment="1">
      <alignment horizontal="right"/>
    </xf>
    <xf numFmtId="0" fontId="37" fillId="14" borderId="16" xfId="0" applyFont="1" applyFill="1" applyBorder="1" applyAlignment="1">
      <alignment horizontal="right" vertical="center"/>
    </xf>
    <xf numFmtId="41" fontId="27" fillId="14" borderId="16" xfId="0" applyNumberFormat="1" applyFont="1" applyFill="1" applyBorder="1" applyAlignment="1">
      <alignment horizontal="center" vertical="center"/>
    </xf>
    <xf numFmtId="0" fontId="37" fillId="6" borderId="16" xfId="0" applyFont="1" applyFill="1" applyBorder="1" applyAlignment="1">
      <alignment horizontal="right" vertical="center"/>
    </xf>
    <xf numFmtId="41" fontId="27" fillId="6" borderId="16" xfId="0" applyNumberFormat="1" applyFont="1" applyFill="1" applyBorder="1" applyAlignment="1">
      <alignment horizontal="center" vertical="center"/>
    </xf>
    <xf numFmtId="0" fontId="27" fillId="6" borderId="16" xfId="0" applyFont="1" applyFill="1" applyBorder="1" applyAlignment="1">
      <alignment horizontal="right" vertical="center"/>
    </xf>
    <xf numFmtId="0" fontId="27" fillId="15" borderId="16" xfId="0" applyFont="1" applyFill="1" applyBorder="1" applyAlignment="1">
      <alignment horizontal="right" vertical="center"/>
    </xf>
    <xf numFmtId="41" fontId="27" fillId="15" borderId="16" xfId="0" applyNumberFormat="1" applyFont="1" applyFill="1" applyBorder="1" applyAlignment="1">
      <alignment horizontal="center" vertical="center"/>
    </xf>
    <xf numFmtId="0" fontId="27" fillId="14" borderId="16" xfId="0" applyFont="1" applyFill="1" applyBorder="1" applyAlignment="1">
      <alignment horizontal="right" vertical="center"/>
    </xf>
    <xf numFmtId="0" fontId="27" fillId="13" borderId="16" xfId="0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right" vertical="center"/>
    </xf>
    <xf numFmtId="41" fontId="27" fillId="13" borderId="16" xfId="0" applyNumberFormat="1" applyFont="1" applyFill="1" applyBorder="1" applyAlignment="1">
      <alignment horizontal="center" vertical="center"/>
    </xf>
    <xf numFmtId="41" fontId="27" fillId="13" borderId="16" xfId="0" applyNumberFormat="1" applyFont="1" applyFill="1" applyBorder="1" applyAlignment="1">
      <alignment horizontal="centerContinuous"/>
    </xf>
    <xf numFmtId="0" fontId="27" fillId="6" borderId="16" xfId="0" applyFont="1" applyFill="1" applyBorder="1" applyAlignment="1">
      <alignment horizontal="right"/>
    </xf>
    <xf numFmtId="41" fontId="27" fillId="6" borderId="16" xfId="0" applyNumberFormat="1" applyFont="1" applyFill="1" applyBorder="1" applyAlignment="1">
      <alignment horizontal="centerContinuous"/>
    </xf>
    <xf numFmtId="41" fontId="27" fillId="14" borderId="16" xfId="0" applyNumberFormat="1" applyFont="1" applyFill="1" applyBorder="1" applyAlignment="1">
      <alignment horizontal="centerContinuous"/>
    </xf>
    <xf numFmtId="41" fontId="27" fillId="13" borderId="22" xfId="0" applyNumberFormat="1" applyFont="1" applyFill="1" applyBorder="1" applyAlignment="1">
      <alignment horizontal="centerContinuous"/>
    </xf>
    <xf numFmtId="0" fontId="27" fillId="13" borderId="17" xfId="0" applyFont="1" applyFill="1" applyBorder="1" applyAlignment="1">
      <alignment horizontal="right" vertical="center"/>
    </xf>
    <xf numFmtId="0" fontId="27" fillId="14" borderId="17" xfId="0" applyFont="1" applyFill="1" applyBorder="1" applyAlignment="1">
      <alignment horizontal="right" vertical="center"/>
    </xf>
    <xf numFmtId="0" fontId="27" fillId="13" borderId="21" xfId="0" applyFont="1" applyFill="1" applyBorder="1" applyAlignment="1">
      <alignment horizontal="right" vertical="center"/>
    </xf>
    <xf numFmtId="41" fontId="27" fillId="13" borderId="21" xfId="0" applyNumberFormat="1" applyFont="1" applyFill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41" fontId="15" fillId="0" borderId="9" xfId="0" applyNumberFormat="1" applyFont="1" applyBorder="1" applyAlignment="1">
      <alignment horizontal="center"/>
    </xf>
    <xf numFmtId="0" fontId="27" fillId="0" borderId="14" xfId="0" applyFont="1" applyBorder="1" applyAlignment="1">
      <alignment horizontal="left" vertical="top"/>
    </xf>
    <xf numFmtId="3" fontId="10" fillId="0" borderId="14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41" fontId="35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0" fontId="55" fillId="0" borderId="0" xfId="0" applyFont="1" applyAlignment="1">
      <alignment horizontal="left" vertical="top"/>
    </xf>
    <xf numFmtId="3" fontId="27" fillId="0" borderId="0" xfId="0" applyNumberFormat="1" applyFont="1" applyAlignment="1">
      <alignment horizontal="left" vertical="top"/>
    </xf>
    <xf numFmtId="3" fontId="10" fillId="0" borderId="0" xfId="0" applyNumberFormat="1" applyFont="1" applyAlignment="1">
      <alignment horizontal="left" vertical="top"/>
    </xf>
    <xf numFmtId="41" fontId="27" fillId="0" borderId="0" xfId="0" applyNumberFormat="1" applyFont="1" applyAlignment="1">
      <alignment horizontal="left" vertical="top"/>
    </xf>
    <xf numFmtId="169" fontId="36" fillId="0" borderId="0" xfId="0" applyNumberFormat="1" applyFont="1" applyAlignment="1">
      <alignment horizontal="left" vertical="top"/>
    </xf>
    <xf numFmtId="14" fontId="15" fillId="0" borderId="0" xfId="0" applyNumberFormat="1" applyFont="1" applyAlignment="1">
      <alignment horizontal="left" vertical="top"/>
    </xf>
    <xf numFmtId="169" fontId="56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41" fontId="55" fillId="0" borderId="0" xfId="0" applyNumberFormat="1" applyFont="1" applyAlignment="1">
      <alignment horizontal="left" vertical="top"/>
    </xf>
    <xf numFmtId="41" fontId="15" fillId="0" borderId="11" xfId="0" applyNumberFormat="1" applyFont="1" applyBorder="1" applyAlignment="1">
      <alignment horizontal="left" vertical="top"/>
    </xf>
    <xf numFmtId="41" fontId="15" fillId="0" borderId="8" xfId="0" applyNumberFormat="1" applyFont="1" applyBorder="1" applyAlignment="1">
      <alignment horizontal="left" vertical="top"/>
    </xf>
    <xf numFmtId="41" fontId="54" fillId="0" borderId="16" xfId="0" applyNumberFormat="1" applyFont="1" applyBorder="1" applyAlignment="1">
      <alignment horizontal="left" vertical="top"/>
    </xf>
    <xf numFmtId="41" fontId="55" fillId="0" borderId="16" xfId="0" applyNumberFormat="1" applyFont="1" applyBorder="1" applyAlignment="1">
      <alignment horizontal="left" vertical="top"/>
    </xf>
    <xf numFmtId="0" fontId="54" fillId="0" borderId="0" xfId="0" applyFont="1" applyAlignment="1">
      <alignment horizontal="left" vertical="top"/>
    </xf>
    <xf numFmtId="0" fontId="54" fillId="6" borderId="16" xfId="0" applyFont="1" applyFill="1" applyBorder="1" applyAlignment="1">
      <alignment horizontal="left" vertical="top"/>
    </xf>
    <xf numFmtId="0" fontId="54" fillId="10" borderId="16" xfId="0" applyFont="1" applyFill="1" applyBorder="1" applyAlignment="1">
      <alignment horizontal="left" vertical="top"/>
    </xf>
    <xf numFmtId="41" fontId="55" fillId="0" borderId="23" xfId="0" applyNumberFormat="1" applyFont="1" applyBorder="1" applyAlignment="1">
      <alignment horizontal="left" vertical="top"/>
    </xf>
    <xf numFmtId="0" fontId="55" fillId="6" borderId="16" xfId="0" applyFont="1" applyFill="1" applyBorder="1" applyAlignment="1">
      <alignment horizontal="left" vertical="top"/>
    </xf>
    <xf numFmtId="0" fontId="55" fillId="6" borderId="21" xfId="0" applyFont="1" applyFill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35" fillId="0" borderId="11" xfId="0" applyNumberFormat="1" applyFont="1" applyBorder="1" applyAlignment="1">
      <alignment horizontal="left" vertical="top"/>
    </xf>
    <xf numFmtId="41" fontId="55" fillId="0" borderId="11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0" fontId="35" fillId="0" borderId="0" xfId="0" applyFont="1" applyAlignment="1">
      <alignment horizontal="left" vertical="top"/>
    </xf>
    <xf numFmtId="41" fontId="55" fillId="0" borderId="9" xfId="0" applyNumberFormat="1" applyFont="1" applyBorder="1" applyAlignment="1">
      <alignment horizontal="left" vertical="top"/>
    </xf>
    <xf numFmtId="41" fontId="35" fillId="0" borderId="9" xfId="0" applyNumberFormat="1" applyFont="1" applyBorder="1" applyAlignment="1">
      <alignment horizontal="left" vertical="top"/>
    </xf>
    <xf numFmtId="41" fontId="22" fillId="0" borderId="11" xfId="0" applyNumberFormat="1" applyFont="1" applyBorder="1" applyAlignment="1">
      <alignment horizontal="left" vertical="top"/>
    </xf>
    <xf numFmtId="41" fontId="22" fillId="0" borderId="8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0" fontId="22" fillId="0" borderId="0" xfId="0" applyFont="1" applyAlignment="1">
      <alignment horizontal="left" vertical="top"/>
    </xf>
    <xf numFmtId="41" fontId="55" fillId="0" borderId="8" xfId="0" applyNumberFormat="1" applyFont="1" applyBorder="1" applyAlignment="1">
      <alignment horizontal="left" vertical="top"/>
    </xf>
    <xf numFmtId="0" fontId="41" fillId="0" borderId="0" xfId="0" applyFont="1" applyAlignment="1">
      <alignment horizontal="left" vertical="top"/>
    </xf>
    <xf numFmtId="41" fontId="39" fillId="0" borderId="0" xfId="0" applyNumberFormat="1" applyFont="1" applyAlignment="1">
      <alignment horizontal="left" vertical="top"/>
    </xf>
    <xf numFmtId="41" fontId="27" fillId="0" borderId="14" xfId="0" applyNumberFormat="1" applyFont="1" applyBorder="1" applyAlignment="1">
      <alignment horizontal="left" vertical="top"/>
    </xf>
    <xf numFmtId="0" fontId="54" fillId="0" borderId="14" xfId="0" applyFont="1" applyBorder="1" applyAlignment="1">
      <alignment horizontal="left" vertical="top"/>
    </xf>
    <xf numFmtId="3" fontId="27" fillId="0" borderId="14" xfId="0" applyNumberFormat="1" applyFont="1" applyBorder="1" applyAlignment="1">
      <alignment horizontal="left" vertical="top"/>
    </xf>
    <xf numFmtId="41" fontId="27" fillId="0" borderId="16" xfId="0" applyNumberFormat="1" applyFont="1" applyBorder="1" applyAlignment="1">
      <alignment horizontal="left" vertical="top"/>
    </xf>
    <xf numFmtId="0" fontId="27" fillId="14" borderId="16" xfId="0" applyFont="1" applyFill="1" applyBorder="1" applyAlignment="1">
      <alignment horizontal="left" vertical="top"/>
    </xf>
    <xf numFmtId="41" fontId="22" fillId="0" borderId="16" xfId="0" applyNumberFormat="1" applyFont="1" applyBorder="1" applyAlignment="1">
      <alignment horizontal="left" vertical="top"/>
    </xf>
    <xf numFmtId="0" fontId="40" fillId="0" borderId="0" xfId="0" applyFont="1" applyAlignment="1">
      <alignment horizontal="left" vertical="top"/>
    </xf>
    <xf numFmtId="0" fontId="27" fillId="0" borderId="16" xfId="0" applyFont="1" applyBorder="1" applyAlignment="1">
      <alignment horizontal="left" vertical="top"/>
    </xf>
    <xf numFmtId="41" fontId="22" fillId="0" borderId="21" xfId="0" applyNumberFormat="1" applyFont="1" applyBorder="1" applyAlignment="1">
      <alignment horizontal="left" vertical="top"/>
    </xf>
    <xf numFmtId="41" fontId="35" fillId="0" borderId="4" xfId="0" applyNumberFormat="1" applyFont="1" applyBorder="1" applyAlignment="1">
      <alignment horizontal="left" vertical="top"/>
    </xf>
    <xf numFmtId="41" fontId="42" fillId="0" borderId="0" xfId="0" applyNumberFormat="1" applyFont="1" applyAlignment="1">
      <alignment horizontal="left" vertical="top"/>
    </xf>
    <xf numFmtId="3" fontId="41" fillId="0" borderId="0" xfId="0" applyNumberFormat="1" applyFont="1" applyAlignment="1">
      <alignment horizontal="left" vertical="top"/>
    </xf>
    <xf numFmtId="3" fontId="22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horizontal="left" vertical="top"/>
    </xf>
    <xf numFmtId="3" fontId="54" fillId="0" borderId="0" xfId="0" applyNumberFormat="1" applyFont="1" applyAlignment="1">
      <alignment horizontal="left" vertical="top"/>
    </xf>
    <xf numFmtId="41" fontId="37" fillId="0" borderId="0" xfId="0" applyNumberFormat="1" applyFont="1" applyAlignment="1">
      <alignment horizontal="left" vertical="top"/>
    </xf>
    <xf numFmtId="3" fontId="15" fillId="0" borderId="0" xfId="0" applyNumberFormat="1" applyFont="1" applyAlignment="1">
      <alignment horizontal="left" vertical="top"/>
    </xf>
    <xf numFmtId="41" fontId="10" fillId="19" borderId="24" xfId="0" applyNumberFormat="1" applyFont="1" applyFill="1" applyBorder="1" applyAlignment="1">
      <alignment horizontal="left" vertical="top"/>
    </xf>
    <xf numFmtId="41" fontId="10" fillId="19" borderId="11" xfId="0" applyNumberFormat="1" applyFont="1" applyFill="1" applyBorder="1" applyAlignment="1">
      <alignment horizontal="left" vertical="top"/>
    </xf>
    <xf numFmtId="0" fontId="11" fillId="0" borderId="25" xfId="0" applyFont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9" fontId="27" fillId="0" borderId="0" xfId="10" applyFont="1" applyBorder="1" applyAlignment="1">
      <alignment horizontal="left" vertical="top"/>
    </xf>
    <xf numFmtId="0" fontId="55" fillId="0" borderId="9" xfId="0" applyFont="1" applyBorder="1" applyAlignment="1">
      <alignment horizontal="left" vertical="top"/>
    </xf>
    <xf numFmtId="0" fontId="55" fillId="0" borderId="26" xfId="0" applyFont="1" applyBorder="1" applyAlignment="1">
      <alignment horizontal="left" vertical="top"/>
    </xf>
    <xf numFmtId="41" fontId="43" fillId="2" borderId="11" xfId="0" applyNumberFormat="1" applyFont="1" applyFill="1" applyBorder="1" applyAlignment="1">
      <alignment horizontal="left" vertical="top"/>
    </xf>
    <xf numFmtId="0" fontId="55" fillId="0" borderId="11" xfId="0" applyFont="1" applyBorder="1" applyAlignment="1">
      <alignment horizontal="left" vertical="top"/>
    </xf>
    <xf numFmtId="3" fontId="44" fillId="2" borderId="25" xfId="0" applyNumberFormat="1" applyFont="1" applyFill="1" applyBorder="1" applyAlignment="1">
      <alignment horizontal="left" vertical="top"/>
    </xf>
    <xf numFmtId="3" fontId="44" fillId="2" borderId="27" xfId="0" applyNumberFormat="1" applyFont="1" applyFill="1" applyBorder="1" applyAlignment="1">
      <alignment horizontal="left" vertical="top"/>
    </xf>
    <xf numFmtId="0" fontId="52" fillId="0" borderId="0" xfId="0" applyFont="1" applyAlignment="1">
      <alignment horizontal="left" vertical="top"/>
    </xf>
    <xf numFmtId="3" fontId="46" fillId="0" borderId="0" xfId="0" applyNumberFormat="1" applyFont="1" applyAlignment="1">
      <alignment horizontal="left" vertical="top"/>
    </xf>
    <xf numFmtId="0" fontId="39" fillId="0" borderId="0" xfId="0" applyFont="1" applyAlignment="1">
      <alignment horizontal="left" vertical="top"/>
    </xf>
    <xf numFmtId="2" fontId="37" fillId="0" borderId="0" xfId="0" applyNumberFormat="1" applyFont="1" applyAlignment="1">
      <alignment horizontal="left" vertical="top"/>
    </xf>
    <xf numFmtId="3" fontId="35" fillId="0" borderId="0" xfId="0" applyNumberFormat="1" applyFont="1" applyAlignment="1">
      <alignment horizontal="left" vertical="top"/>
    </xf>
    <xf numFmtId="3" fontId="10" fillId="0" borderId="6" xfId="0" applyNumberFormat="1" applyFont="1" applyBorder="1" applyAlignment="1">
      <alignment horizontal="left" vertical="top"/>
    </xf>
    <xf numFmtId="0" fontId="45" fillId="0" borderId="0" xfId="0" applyFont="1" applyAlignment="1">
      <alignment horizontal="left" vertical="top"/>
    </xf>
    <xf numFmtId="41" fontId="45" fillId="0" borderId="0" xfId="0" applyNumberFormat="1" applyFont="1" applyAlignment="1">
      <alignment horizontal="left" vertical="top"/>
    </xf>
    <xf numFmtId="0" fontId="15" fillId="6" borderId="11" xfId="0" applyFont="1" applyFill="1" applyBorder="1" applyAlignment="1">
      <alignment horizontal="left" vertical="top"/>
    </xf>
    <xf numFmtId="41" fontId="15" fillId="0" borderId="28" xfId="0" applyNumberFormat="1" applyFont="1" applyBorder="1" applyAlignment="1">
      <alignment horizontal="left" vertical="top"/>
    </xf>
    <xf numFmtId="3" fontId="15" fillId="0" borderId="11" xfId="0" applyNumberFormat="1" applyFont="1" applyBorder="1" applyAlignment="1">
      <alignment horizontal="left" vertical="top"/>
    </xf>
    <xf numFmtId="41" fontId="58" fillId="14" borderId="16" xfId="0" applyNumberFormat="1" applyFont="1" applyFill="1" applyBorder="1" applyAlignment="1">
      <alignment horizontal="right" vertical="center"/>
    </xf>
    <xf numFmtId="41" fontId="58" fillId="0" borderId="16" xfId="0" applyNumberFormat="1" applyFont="1" applyBorder="1" applyAlignment="1">
      <alignment horizontal="left"/>
    </xf>
    <xf numFmtId="0" fontId="57" fillId="0" borderId="0" xfId="0" applyFont="1" applyAlignment="1">
      <alignment vertical="center"/>
    </xf>
    <xf numFmtId="41" fontId="58" fillId="6" borderId="16" xfId="0" applyNumberFormat="1" applyFont="1" applyFill="1" applyBorder="1" applyAlignment="1">
      <alignment horizontal="right" vertical="center"/>
    </xf>
    <xf numFmtId="0" fontId="59" fillId="0" borderId="0" xfId="0" applyFont="1" applyAlignment="1">
      <alignment vertical="center"/>
    </xf>
    <xf numFmtId="164" fontId="36" fillId="0" borderId="0" xfId="0" applyNumberFormat="1" applyFont="1" applyAlignment="1">
      <alignment horizontal="left" vertical="top"/>
    </xf>
    <xf numFmtId="164" fontId="15" fillId="0" borderId="0" xfId="0" applyNumberFormat="1" applyFont="1" applyAlignment="1">
      <alignment horizontal="left" vertical="top"/>
    </xf>
    <xf numFmtId="0" fontId="60" fillId="0" borderId="0" xfId="0" applyFont="1" applyAlignment="1">
      <alignment horizontal="left" vertical="top"/>
    </xf>
    <xf numFmtId="41" fontId="37" fillId="0" borderId="29" xfId="0" applyNumberFormat="1" applyFont="1" applyBorder="1"/>
    <xf numFmtId="41" fontId="37" fillId="0" borderId="30" xfId="0" applyNumberFormat="1" applyFont="1" applyBorder="1"/>
    <xf numFmtId="41" fontId="37" fillId="0" borderId="31" xfId="0" applyNumberFormat="1" applyFont="1" applyBorder="1" applyAlignment="1">
      <alignment vertical="center"/>
    </xf>
    <xf numFmtId="3" fontId="45" fillId="0" borderId="0" xfId="0" applyNumberFormat="1" applyFont="1" applyAlignment="1">
      <alignment horizontal="left" vertical="top"/>
    </xf>
    <xf numFmtId="41" fontId="10" fillId="0" borderId="0" xfId="0" applyNumberFormat="1" applyFont="1" applyAlignment="1">
      <alignment horizontal="center" vertical="center"/>
    </xf>
    <xf numFmtId="41" fontId="62" fillId="0" borderId="0" xfId="0" applyNumberFormat="1" applyFont="1" applyAlignment="1">
      <alignment horizontal="center" vertical="center"/>
    </xf>
    <xf numFmtId="0" fontId="61" fillId="0" borderId="0" xfId="0" applyFont="1" applyAlignment="1">
      <alignment vertical="center"/>
    </xf>
    <xf numFmtId="41" fontId="27" fillId="0" borderId="18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left" vertical="top"/>
    </xf>
    <xf numFmtId="41" fontId="17" fillId="0" borderId="11" xfId="0" applyNumberFormat="1" applyFont="1" applyBorder="1" applyAlignment="1">
      <alignment horizontal="center" vertical="center"/>
    </xf>
    <xf numFmtId="41" fontId="17" fillId="0" borderId="11" xfId="3" applyNumberFormat="1" applyFont="1" applyBorder="1" applyAlignment="1">
      <alignment horizontal="left" vertical="center"/>
    </xf>
    <xf numFmtId="41" fontId="63" fillId="0" borderId="16" xfId="0" applyNumberFormat="1" applyFont="1" applyBorder="1" applyAlignment="1">
      <alignment horizontal="left" vertical="top"/>
    </xf>
    <xf numFmtId="0" fontId="12" fillId="0" borderId="0" xfId="0" applyFont="1" applyAlignment="1">
      <alignment horizontal="left" vertical="top"/>
    </xf>
    <xf numFmtId="41" fontId="12" fillId="0" borderId="16" xfId="0" applyNumberFormat="1" applyFont="1" applyBorder="1" applyAlignment="1">
      <alignment horizontal="left" vertical="top"/>
    </xf>
    <xf numFmtId="3" fontId="64" fillId="0" borderId="0" xfId="0" applyNumberFormat="1" applyFont="1" applyAlignment="1">
      <alignment horizontal="left" vertical="top"/>
    </xf>
    <xf numFmtId="41" fontId="9" fillId="0" borderId="28" xfId="0" applyNumberFormat="1" applyFont="1" applyBorder="1" applyAlignment="1">
      <alignment horizontal="left" vertical="top"/>
    </xf>
    <xf numFmtId="41" fontId="27" fillId="0" borderId="0" xfId="0" applyNumberFormat="1" applyFont="1" applyAlignment="1">
      <alignment horizontal="center"/>
    </xf>
    <xf numFmtId="0" fontId="27" fillId="0" borderId="0" xfId="0" applyFont="1" applyAlignment="1">
      <alignment horizontal="left" vertical="center"/>
    </xf>
    <xf numFmtId="41" fontId="13" fillId="0" borderId="0" xfId="0" applyNumberFormat="1" applyFont="1" applyAlignment="1">
      <alignment horizontal="right" vertical="center"/>
    </xf>
    <xf numFmtId="41" fontId="27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68" fillId="0" borderId="0" xfId="0" applyFont="1" applyAlignment="1">
      <alignment horizontal="left" vertical="top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right" vertical="center"/>
    </xf>
    <xf numFmtId="0" fontId="15" fillId="0" borderId="32" xfId="0" applyFont="1" applyBorder="1" applyAlignment="1">
      <alignment horizontal="left" vertical="top"/>
    </xf>
    <xf numFmtId="0" fontId="11" fillId="0" borderId="0" xfId="0" applyFont="1" applyAlignment="1">
      <alignment horizontal="left" vertical="top"/>
    </xf>
    <xf numFmtId="0" fontId="67" fillId="20" borderId="16" xfId="0" applyFont="1" applyFill="1" applyBorder="1" applyAlignment="1">
      <alignment horizontal="left" vertical="top"/>
    </xf>
    <xf numFmtId="41" fontId="68" fillId="20" borderId="21" xfId="0" applyNumberFormat="1" applyFont="1" applyFill="1" applyBorder="1" applyAlignment="1">
      <alignment horizontal="left" vertical="top"/>
    </xf>
    <xf numFmtId="3" fontId="44" fillId="0" borderId="0" xfId="0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32" xfId="0" applyFont="1" applyBorder="1" applyAlignment="1">
      <alignment horizontal="center" vertical="top"/>
    </xf>
    <xf numFmtId="3" fontId="55" fillId="0" borderId="9" xfId="0" applyNumberFormat="1" applyFont="1" applyBorder="1" applyAlignment="1">
      <alignment horizontal="center" vertical="center" wrapText="1"/>
    </xf>
    <xf numFmtId="0" fontId="42" fillId="0" borderId="0" xfId="0" applyFont="1" applyAlignment="1">
      <alignment horizontal="center" vertical="center"/>
    </xf>
    <xf numFmtId="3" fontId="55" fillId="0" borderId="8" xfId="0" applyNumberFormat="1" applyFont="1" applyBorder="1" applyAlignment="1">
      <alignment horizontal="center" vertical="center" wrapText="1"/>
    </xf>
    <xf numFmtId="0" fontId="15" fillId="8" borderId="9" xfId="0" applyFont="1" applyFill="1" applyBorder="1" applyAlignment="1">
      <alignment horizontal="center" vertical="center"/>
    </xf>
    <xf numFmtId="1" fontId="15" fillId="8" borderId="9" xfId="0" applyNumberFormat="1" applyFont="1" applyFill="1" applyBorder="1" applyAlignment="1">
      <alignment horizontal="center" vertical="center"/>
    </xf>
    <xf numFmtId="1" fontId="10" fillId="8" borderId="9" xfId="0" applyNumberFormat="1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1" fontId="15" fillId="8" borderId="11" xfId="0" applyNumberFormat="1" applyFont="1" applyFill="1" applyBorder="1" applyAlignment="1">
      <alignment horizontal="center" vertical="center"/>
    </xf>
    <xf numFmtId="1" fontId="15" fillId="8" borderId="15" xfId="0" applyNumberFormat="1" applyFont="1" applyFill="1" applyBorder="1" applyAlignment="1">
      <alignment horizontal="center" vertical="center"/>
    </xf>
    <xf numFmtId="41" fontId="38" fillId="0" borderId="16" xfId="0" applyNumberFormat="1" applyFont="1" applyBorder="1" applyAlignment="1">
      <alignment horizontal="left" vertical="top"/>
    </xf>
    <xf numFmtId="0" fontId="41" fillId="18" borderId="16" xfId="0" applyFont="1" applyFill="1" applyBorder="1" applyAlignment="1">
      <alignment horizontal="right" vertical="center"/>
    </xf>
    <xf numFmtId="41" fontId="27" fillId="0" borderId="21" xfId="0" applyNumberFormat="1" applyFont="1" applyBorder="1" applyAlignment="1">
      <alignment horizontal="left" vertical="top"/>
    </xf>
    <xf numFmtId="41" fontId="9" fillId="0" borderId="11" xfId="0" applyNumberFormat="1" applyFont="1" applyBorder="1" applyAlignment="1">
      <alignment horizontal="center" vertical="center"/>
    </xf>
    <xf numFmtId="41" fontId="66" fillId="6" borderId="0" xfId="0" applyNumberFormat="1" applyFont="1" applyFill="1" applyAlignment="1">
      <alignment vertical="center"/>
    </xf>
    <xf numFmtId="0" fontId="9" fillId="0" borderId="11" xfId="0" applyFont="1" applyBorder="1" applyAlignment="1">
      <alignment vertical="center"/>
    </xf>
    <xf numFmtId="41" fontId="15" fillId="6" borderId="8" xfId="0" applyNumberFormat="1" applyFont="1" applyFill="1" applyBorder="1" applyAlignment="1">
      <alignment horizontal="left" vertical="top"/>
    </xf>
    <xf numFmtId="41" fontId="55" fillId="0" borderId="21" xfId="0" applyNumberFormat="1" applyFont="1" applyBorder="1" applyAlignment="1">
      <alignment horizontal="left" vertical="top"/>
    </xf>
    <xf numFmtId="3" fontId="27" fillId="0" borderId="16" xfId="0" applyNumberFormat="1" applyFont="1" applyBorder="1" applyAlignment="1">
      <alignment horizontal="left" vertical="top"/>
    </xf>
    <xf numFmtId="41" fontId="9" fillId="21" borderId="33" xfId="0" applyNumberFormat="1" applyFont="1" applyFill="1" applyBorder="1" applyAlignment="1">
      <alignment horizontal="left" vertical="top" wrapText="1"/>
    </xf>
    <xf numFmtId="41" fontId="9" fillId="21" borderId="34" xfId="0" applyNumberFormat="1" applyFont="1" applyFill="1" applyBorder="1" applyAlignment="1">
      <alignment horizontal="left" vertical="top" wrapText="1"/>
    </xf>
    <xf numFmtId="41" fontId="9" fillId="21" borderId="35" xfId="0" applyNumberFormat="1" applyFont="1" applyFill="1" applyBorder="1" applyAlignment="1">
      <alignment horizontal="left" vertical="top" wrapText="1"/>
    </xf>
    <xf numFmtId="41" fontId="9" fillId="22" borderId="28" xfId="0" applyNumberFormat="1" applyFont="1" applyFill="1" applyBorder="1" applyAlignment="1">
      <alignment horizontal="left" vertical="top" wrapText="1"/>
    </xf>
    <xf numFmtId="41" fontId="15" fillId="0" borderId="0" xfId="0" applyNumberFormat="1" applyFont="1" applyAlignment="1">
      <alignment horizontal="center" vertical="top"/>
    </xf>
    <xf numFmtId="167" fontId="27" fillId="0" borderId="0" xfId="2" applyNumberFormat="1" applyFont="1" applyFill="1" applyAlignment="1">
      <alignment vertical="center"/>
    </xf>
    <xf numFmtId="41" fontId="15" fillId="6" borderId="0" xfId="0" applyNumberFormat="1" applyFont="1" applyFill="1"/>
    <xf numFmtId="41" fontId="11" fillId="0" borderId="0" xfId="0" applyNumberFormat="1" applyFont="1" applyAlignment="1">
      <alignment horizontal="left" vertical="top"/>
    </xf>
    <xf numFmtId="0" fontId="41" fillId="20" borderId="16" xfId="0" applyFont="1" applyFill="1" applyBorder="1" applyAlignment="1">
      <alignment horizontal="left" vertical="top"/>
    </xf>
    <xf numFmtId="41" fontId="54" fillId="6" borderId="16" xfId="0" applyNumberFormat="1" applyFont="1" applyFill="1" applyBorder="1" applyAlignment="1">
      <alignment horizontal="center" vertical="top"/>
    </xf>
    <xf numFmtId="41" fontId="54" fillId="10" borderId="16" xfId="0" applyNumberFormat="1" applyFont="1" applyFill="1" applyBorder="1" applyAlignment="1">
      <alignment horizontal="center" vertical="top"/>
    </xf>
    <xf numFmtId="41" fontId="55" fillId="6" borderId="16" xfId="0" applyNumberFormat="1" applyFont="1" applyFill="1" applyBorder="1" applyAlignment="1">
      <alignment horizontal="center" vertical="top"/>
    </xf>
    <xf numFmtId="41" fontId="55" fillId="6" borderId="21" xfId="0" applyNumberFormat="1" applyFont="1" applyFill="1" applyBorder="1" applyAlignment="1">
      <alignment horizontal="center" vertical="top"/>
    </xf>
    <xf numFmtId="0" fontId="27" fillId="0" borderId="14" xfId="0" applyFont="1" applyBorder="1" applyAlignment="1">
      <alignment horizontal="center" vertical="top"/>
    </xf>
    <xf numFmtId="0" fontId="27" fillId="0" borderId="16" xfId="0" applyFont="1" applyBorder="1" applyAlignment="1">
      <alignment horizontal="center" vertical="top"/>
    </xf>
    <xf numFmtId="41" fontId="68" fillId="20" borderId="21" xfId="0" applyNumberFormat="1" applyFont="1" applyFill="1" applyBorder="1" applyAlignment="1">
      <alignment horizontal="center" vertical="top"/>
    </xf>
    <xf numFmtId="41" fontId="68" fillId="20" borderId="16" xfId="0" applyNumberFormat="1" applyFont="1" applyFill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3" fontId="22" fillId="0" borderId="0" xfId="0" applyNumberFormat="1" applyFont="1" applyAlignment="1">
      <alignment horizontal="center" vertical="top"/>
    </xf>
    <xf numFmtId="3" fontId="15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37" fillId="14" borderId="16" xfId="0" applyFont="1" applyFill="1" applyBorder="1" applyAlignment="1">
      <alignment horizontal="left" vertical="top"/>
    </xf>
    <xf numFmtId="41" fontId="10" fillId="0" borderId="16" xfId="0" applyNumberFormat="1" applyFont="1" applyBorder="1" applyAlignment="1">
      <alignment horizontal="left" vertical="top"/>
    </xf>
    <xf numFmtId="0" fontId="41" fillId="17" borderId="16" xfId="0" applyFont="1" applyFill="1" applyBorder="1" applyAlignment="1">
      <alignment horizontal="right" vertical="center"/>
    </xf>
    <xf numFmtId="13" fontId="27" fillId="0" borderId="0" xfId="0" applyNumberFormat="1" applyFont="1" applyAlignment="1">
      <alignment horizontal="left" vertical="top"/>
    </xf>
    <xf numFmtId="41" fontId="10" fillId="6" borderId="11" xfId="0" applyNumberFormat="1" applyFont="1" applyFill="1" applyBorder="1" applyAlignment="1">
      <alignment horizontal="left" vertical="top"/>
    </xf>
    <xf numFmtId="0" fontId="41" fillId="10" borderId="17" xfId="0" applyFont="1" applyFill="1" applyBorder="1" applyAlignment="1">
      <alignment horizontal="right" vertical="center"/>
    </xf>
    <xf numFmtId="41" fontId="37" fillId="0" borderId="16" xfId="0" applyNumberFormat="1" applyFont="1" applyBorder="1" applyAlignment="1">
      <alignment horizontal="left" vertical="top"/>
    </xf>
    <xf numFmtId="41" fontId="38" fillId="0" borderId="16" xfId="0" applyNumberFormat="1" applyFont="1" applyBorder="1" applyAlignment="1">
      <alignment horizontal="center"/>
    </xf>
    <xf numFmtId="41" fontId="38" fillId="0" borderId="22" xfId="0" applyNumberFormat="1" applyFont="1" applyBorder="1" applyAlignment="1">
      <alignment horizontal="center"/>
    </xf>
    <xf numFmtId="0" fontId="10" fillId="0" borderId="0" xfId="0" applyFont="1" applyAlignment="1">
      <alignment vertical="center"/>
    </xf>
    <xf numFmtId="0" fontId="10" fillId="0" borderId="0" xfId="0" applyFont="1"/>
    <xf numFmtId="0" fontId="55" fillId="14" borderId="11" xfId="0" applyFont="1" applyFill="1" applyBorder="1" applyAlignment="1">
      <alignment horizontal="left" vertical="top"/>
    </xf>
    <xf numFmtId="3" fontId="55" fillId="14" borderId="11" xfId="0" applyNumberFormat="1" applyFont="1" applyFill="1" applyBorder="1" applyAlignment="1">
      <alignment horizontal="left" vertical="top"/>
    </xf>
    <xf numFmtId="3" fontId="10" fillId="0" borderId="32" xfId="0" applyNumberFormat="1" applyFont="1" applyBorder="1" applyAlignment="1">
      <alignment horizontal="left" vertical="top"/>
    </xf>
    <xf numFmtId="0" fontId="15" fillId="17" borderId="0" xfId="0" applyFont="1" applyFill="1" applyAlignment="1">
      <alignment horizontal="left" vertical="top" wrapText="1"/>
    </xf>
    <xf numFmtId="41" fontId="35" fillId="0" borderId="8" xfId="0" applyNumberFormat="1" applyFont="1" applyBorder="1" applyAlignment="1">
      <alignment vertical="top"/>
    </xf>
    <xf numFmtId="0" fontId="41" fillId="16" borderId="16" xfId="0" applyFont="1" applyFill="1" applyBorder="1" applyAlignment="1">
      <alignment horizontal="right" vertical="center"/>
    </xf>
    <xf numFmtId="41" fontId="41" fillId="20" borderId="16" xfId="0" applyNumberFormat="1" applyFont="1" applyFill="1" applyBorder="1" applyAlignment="1">
      <alignment horizontal="left" vertical="top"/>
    </xf>
    <xf numFmtId="0" fontId="27" fillId="0" borderId="20" xfId="0" applyFont="1" applyBorder="1" applyAlignment="1">
      <alignment vertical="center"/>
    </xf>
    <xf numFmtId="41" fontId="40" fillId="0" borderId="0" xfId="0" applyNumberFormat="1" applyFont="1" applyAlignment="1">
      <alignment horizontal="left" vertical="top"/>
    </xf>
    <xf numFmtId="0" fontId="27" fillId="14" borderId="16" xfId="0" applyFont="1" applyFill="1" applyBorder="1" applyAlignment="1">
      <alignment horizontal="center" vertical="top"/>
    </xf>
    <xf numFmtId="3" fontId="35" fillId="0" borderId="32" xfId="0" applyNumberFormat="1" applyFont="1" applyBorder="1" applyAlignment="1">
      <alignment horizontal="left" vertical="top"/>
    </xf>
    <xf numFmtId="3" fontId="35" fillId="0" borderId="36" xfId="0" applyNumberFormat="1" applyFont="1" applyBorder="1" applyAlignment="1">
      <alignment horizontal="left" vertical="top"/>
    </xf>
    <xf numFmtId="41" fontId="54" fillId="0" borderId="0" xfId="0" applyNumberFormat="1" applyFont="1" applyAlignment="1">
      <alignment horizontal="left" vertical="top"/>
    </xf>
    <xf numFmtId="1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/>
    <xf numFmtId="49" fontId="0" fillId="0" borderId="0" xfId="0" quotePrefix="1" applyNumberFormat="1" applyAlignment="1">
      <alignment vertical="top"/>
    </xf>
    <xf numFmtId="49" fontId="0" fillId="23" borderId="0" xfId="0" applyNumberFormat="1" applyFill="1" applyAlignment="1">
      <alignment vertical="top"/>
    </xf>
    <xf numFmtId="0" fontId="0" fillId="24" borderId="0" xfId="0" applyFill="1"/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24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1" fillId="14" borderId="0" xfId="0" applyFont="1" applyFill="1" applyAlignment="1">
      <alignment horizontal="center"/>
    </xf>
    <xf numFmtId="41" fontId="38" fillId="0" borderId="17" xfId="0" applyNumberFormat="1" applyFont="1" applyBorder="1" applyAlignment="1">
      <alignment horizontal="left" vertical="top"/>
    </xf>
    <xf numFmtId="41" fontId="37" fillId="0" borderId="17" xfId="0" applyNumberFormat="1" applyFont="1" applyBorder="1" applyAlignment="1">
      <alignment horizontal="left" vertical="top"/>
    </xf>
    <xf numFmtId="0" fontId="15" fillId="8" borderId="37" xfId="0" applyFont="1" applyFill="1" applyBorder="1" applyAlignment="1">
      <alignment horizontal="center" vertical="center"/>
    </xf>
    <xf numFmtId="41" fontId="67" fillId="0" borderId="38" xfId="0" applyNumberFormat="1" applyFont="1" applyBorder="1" applyAlignment="1">
      <alignment horizontal="left" vertical="top"/>
    </xf>
    <xf numFmtId="3" fontId="55" fillId="14" borderId="15" xfId="0" applyNumberFormat="1" applyFont="1" applyFill="1" applyBorder="1" applyAlignment="1">
      <alignment horizontal="left" vertical="top"/>
    </xf>
    <xf numFmtId="41" fontId="27" fillId="0" borderId="39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 vertical="center"/>
    </xf>
    <xf numFmtId="41" fontId="38" fillId="0" borderId="17" xfId="0" applyNumberFormat="1" applyFont="1" applyBorder="1" applyAlignment="1">
      <alignment horizontal="center" vertical="center"/>
    </xf>
    <xf numFmtId="41" fontId="41" fillId="0" borderId="17" xfId="0" applyNumberFormat="1" applyFont="1" applyBorder="1" applyAlignment="1">
      <alignment horizontal="center" vertical="center"/>
    </xf>
    <xf numFmtId="41" fontId="27" fillId="0" borderId="38" xfId="0" applyNumberFormat="1" applyFont="1" applyBorder="1" applyAlignment="1">
      <alignment horizontal="center" vertical="center"/>
    </xf>
    <xf numFmtId="41" fontId="27" fillId="0" borderId="17" xfId="0" applyNumberFormat="1" applyFont="1" applyBorder="1" applyAlignment="1">
      <alignment horizontal="center"/>
    </xf>
    <xf numFmtId="49" fontId="1" fillId="0" borderId="0" xfId="0" applyNumberFormat="1" applyFont="1" applyAlignment="1">
      <alignment vertical="top"/>
    </xf>
    <xf numFmtId="0" fontId="1" fillId="0" borderId="0" xfId="0" applyFont="1" applyAlignment="1">
      <alignment vertical="top"/>
    </xf>
    <xf numFmtId="41" fontId="27" fillId="14" borderId="40" xfId="0" applyNumberFormat="1" applyFont="1" applyFill="1" applyBorder="1" applyAlignment="1">
      <alignment horizontal="center" vertical="top"/>
    </xf>
    <xf numFmtId="1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left"/>
    </xf>
    <xf numFmtId="41" fontId="80" fillId="0" borderId="0" xfId="0" applyNumberFormat="1" applyFont="1" applyAlignment="1">
      <alignment horizontal="left" vertical="top"/>
    </xf>
    <xf numFmtId="41" fontId="81" fillId="0" borderId="11" xfId="0" applyNumberFormat="1" applyFont="1" applyBorder="1" applyAlignment="1">
      <alignment horizontal="left" vertical="top"/>
    </xf>
    <xf numFmtId="41" fontId="81" fillId="0" borderId="11" xfId="0" applyNumberFormat="1" applyFont="1" applyBorder="1" applyAlignment="1">
      <alignment horizontal="left" vertical="center"/>
    </xf>
    <xf numFmtId="1" fontId="0" fillId="0" borderId="0" xfId="0" applyNumberFormat="1" applyAlignment="1">
      <alignment horizontal="left" vertical="top"/>
    </xf>
    <xf numFmtId="1" fontId="1" fillId="0" borderId="0" xfId="0" applyNumberFormat="1" applyFont="1" applyAlignment="1">
      <alignment horizontal="left" vertical="top"/>
    </xf>
    <xf numFmtId="41" fontId="82" fillId="0" borderId="23" xfId="0" applyNumberFormat="1" applyFont="1" applyBorder="1" applyAlignment="1">
      <alignment horizontal="center" vertical="center"/>
    </xf>
    <xf numFmtId="41" fontId="82" fillId="0" borderId="16" xfId="0" applyNumberFormat="1" applyFont="1" applyBorder="1" applyAlignment="1">
      <alignment horizontal="center" vertical="center"/>
    </xf>
    <xf numFmtId="41" fontId="82" fillId="0" borderId="16" xfId="0" applyNumberFormat="1" applyFont="1" applyBorder="1" applyAlignment="1">
      <alignment horizontal="center"/>
    </xf>
    <xf numFmtId="0" fontId="82" fillId="0" borderId="0" xfId="0" applyFont="1" applyAlignment="1">
      <alignment horizontal="center" vertical="center"/>
    </xf>
    <xf numFmtId="41" fontId="82" fillId="0" borderId="21" xfId="0" applyNumberFormat="1" applyFont="1" applyBorder="1" applyAlignment="1">
      <alignment horizontal="center" vertical="center"/>
    </xf>
    <xf numFmtId="41" fontId="82" fillId="0" borderId="22" xfId="0" applyNumberFormat="1" applyFont="1" applyBorder="1" applyAlignment="1">
      <alignment horizontal="center" vertical="center"/>
    </xf>
    <xf numFmtId="41" fontId="82" fillId="0" borderId="0" xfId="0" applyNumberFormat="1" applyFont="1" applyAlignment="1">
      <alignment horizontal="center" vertical="center"/>
    </xf>
    <xf numFmtId="0" fontId="82" fillId="0" borderId="0" xfId="0" applyFont="1" applyAlignment="1">
      <alignment horizontal="center"/>
    </xf>
    <xf numFmtId="0" fontId="82" fillId="0" borderId="16" xfId="0" applyFont="1" applyBorder="1" applyAlignment="1">
      <alignment horizontal="center" vertical="center"/>
    </xf>
    <xf numFmtId="0" fontId="41" fillId="16" borderId="21" xfId="0" applyFont="1" applyFill="1" applyBorder="1" applyAlignment="1">
      <alignment horizontal="right" vertical="center"/>
    </xf>
    <xf numFmtId="0" fontId="0" fillId="27" borderId="0" xfId="0" applyFill="1"/>
    <xf numFmtId="3" fontId="0" fillId="28" borderId="0" xfId="0" applyNumberFormat="1" applyFill="1"/>
    <xf numFmtId="0" fontId="0" fillId="28" borderId="0" xfId="0" applyFill="1"/>
    <xf numFmtId="0" fontId="83" fillId="0" borderId="0" xfId="0" applyFont="1"/>
    <xf numFmtId="0" fontId="0" fillId="0" borderId="0" xfId="0" applyAlignment="1">
      <alignment horizontal="right"/>
    </xf>
    <xf numFmtId="0" fontId="84" fillId="0" borderId="0" xfId="0" applyFont="1" applyAlignment="1">
      <alignment horizontal="left" vertical="center"/>
    </xf>
    <xf numFmtId="169" fontId="85" fillId="0" borderId="0" xfId="0" applyNumberFormat="1" applyFont="1" applyAlignment="1">
      <alignment horizontal="left" vertical="center"/>
    </xf>
    <xf numFmtId="41" fontId="84" fillId="0" borderId="0" xfId="0" applyNumberFormat="1" applyFont="1" applyAlignment="1">
      <alignment horizontal="left" vertical="center"/>
    </xf>
    <xf numFmtId="0" fontId="84" fillId="0" borderId="40" xfId="0" applyFont="1" applyBorder="1" applyAlignment="1">
      <alignment horizontal="left" vertical="center"/>
    </xf>
    <xf numFmtId="41" fontId="84" fillId="0" borderId="40" xfId="0" applyNumberFormat="1" applyFont="1" applyBorder="1" applyAlignment="1">
      <alignment horizontal="left"/>
    </xf>
    <xf numFmtId="41" fontId="84" fillId="0" borderId="0" xfId="0" applyNumberFormat="1" applyFont="1" applyAlignment="1">
      <alignment horizontal="center" vertical="center"/>
    </xf>
    <xf numFmtId="41" fontId="84" fillId="0" borderId="0" xfId="0" applyNumberFormat="1" applyFont="1" applyAlignment="1">
      <alignment horizontal="left"/>
    </xf>
    <xf numFmtId="0" fontId="84" fillId="0" borderId="0" xfId="0" applyFont="1" applyAlignment="1">
      <alignment horizontal="left"/>
    </xf>
    <xf numFmtId="41" fontId="35" fillId="0" borderId="0" xfId="0" applyNumberFormat="1" applyFont="1" applyAlignment="1">
      <alignment vertical="top"/>
    </xf>
    <xf numFmtId="41" fontId="86" fillId="0" borderId="16" xfId="0" applyNumberFormat="1" applyFont="1" applyBorder="1" applyAlignment="1">
      <alignment horizontal="center" vertical="center"/>
    </xf>
    <xf numFmtId="41" fontId="86" fillId="0" borderId="16" xfId="0" applyNumberFormat="1" applyFont="1" applyBorder="1" applyAlignment="1">
      <alignment vertical="center"/>
    </xf>
    <xf numFmtId="3" fontId="86" fillId="0" borderId="16" xfId="0" applyNumberFormat="1" applyFont="1" applyBorder="1" applyAlignment="1">
      <alignment horizontal="center" vertical="center"/>
    </xf>
    <xf numFmtId="0" fontId="0" fillId="0" borderId="0" xfId="0" applyAlignment="1">
      <alignment horizontal="left"/>
    </xf>
    <xf numFmtId="41" fontId="87" fillId="0" borderId="11" xfId="0" applyNumberFormat="1" applyFont="1" applyBorder="1" applyAlignment="1">
      <alignment horizontal="left" vertical="top"/>
    </xf>
    <xf numFmtId="0" fontId="88" fillId="0" borderId="41" xfId="0" applyFont="1" applyBorder="1" applyAlignment="1">
      <alignment horizontal="left" vertical="center"/>
    </xf>
    <xf numFmtId="0" fontId="89" fillId="0" borderId="41" xfId="0" applyFont="1" applyBorder="1" applyAlignment="1">
      <alignment horizontal="left" vertical="center"/>
    </xf>
    <xf numFmtId="0" fontId="88" fillId="0" borderId="41" xfId="0" applyFont="1" applyBorder="1" applyAlignment="1">
      <alignment horizontal="left"/>
    </xf>
    <xf numFmtId="0" fontId="88" fillId="0" borderId="41" xfId="0" applyFont="1" applyBorder="1" applyAlignment="1">
      <alignment horizontal="center" vertical="center"/>
    </xf>
    <xf numFmtId="41" fontId="15" fillId="0" borderId="42" xfId="0" applyNumberFormat="1" applyFont="1" applyBorder="1" applyAlignment="1">
      <alignment horizontal="left" vertical="top"/>
    </xf>
    <xf numFmtId="0" fontId="27" fillId="0" borderId="21" xfId="0" applyFont="1" applyBorder="1" applyAlignment="1">
      <alignment horizontal="left" vertical="top"/>
    </xf>
    <xf numFmtId="0" fontId="90" fillId="0" borderId="0" xfId="0" applyFont="1" applyAlignment="1">
      <alignment vertical="center"/>
    </xf>
    <xf numFmtId="0" fontId="91" fillId="0" borderId="0" xfId="0" applyFont="1" applyAlignment="1">
      <alignment vertical="center"/>
    </xf>
    <xf numFmtId="0" fontId="90" fillId="0" borderId="0" xfId="0" applyFont="1"/>
    <xf numFmtId="0" fontId="91" fillId="0" borderId="0" xfId="0" applyFont="1"/>
    <xf numFmtId="41" fontId="15" fillId="0" borderId="0" xfId="0" applyNumberFormat="1" applyFont="1"/>
    <xf numFmtId="41" fontId="10" fillId="0" borderId="0" xfId="0" applyNumberFormat="1" applyFont="1"/>
    <xf numFmtId="4" fontId="0" fillId="0" borderId="0" xfId="0" applyNumberFormat="1"/>
    <xf numFmtId="41" fontId="15" fillId="0" borderId="14" xfId="0" applyNumberFormat="1" applyFont="1" applyBorder="1" applyAlignment="1">
      <alignment vertical="center"/>
    </xf>
    <xf numFmtId="41" fontId="10" fillId="0" borderId="20" xfId="0" applyNumberFormat="1" applyFont="1" applyBorder="1" applyAlignment="1">
      <alignment vertical="center"/>
    </xf>
    <xf numFmtId="41" fontId="35" fillId="0" borderId="20" xfId="0" applyNumberFormat="1" applyFont="1" applyBorder="1" applyAlignment="1">
      <alignment vertical="top"/>
    </xf>
    <xf numFmtId="0" fontId="55" fillId="0" borderId="10" xfId="0" applyFont="1" applyBorder="1" applyAlignment="1">
      <alignment horizontal="left" vertical="top"/>
    </xf>
    <xf numFmtId="3" fontId="44" fillId="2" borderId="43" xfId="0" applyNumberFormat="1" applyFont="1" applyFill="1" applyBorder="1" applyAlignment="1">
      <alignment horizontal="left" vertical="top"/>
    </xf>
    <xf numFmtId="0" fontId="41" fillId="29" borderId="21" xfId="0" applyFont="1" applyFill="1" applyBorder="1" applyAlignment="1">
      <alignment horizontal="right" vertical="center"/>
    </xf>
    <xf numFmtId="41" fontId="82" fillId="0" borderId="0" xfId="0" applyNumberFormat="1" applyFont="1" applyAlignment="1">
      <alignment horizontal="left" vertical="top"/>
    </xf>
    <xf numFmtId="165" fontId="70" fillId="0" borderId="0" xfId="0" applyNumberFormat="1" applyFont="1" applyAlignment="1">
      <alignment horizontal="center"/>
    </xf>
    <xf numFmtId="0" fontId="90" fillId="0" borderId="0" xfId="0" applyFont="1" applyAlignment="1">
      <alignment horizontal="left" vertical="top"/>
    </xf>
    <xf numFmtId="41" fontId="92" fillId="0" borderId="16" xfId="0" applyNumberFormat="1" applyFont="1" applyBorder="1" applyAlignment="1">
      <alignment horizontal="right" vertical="top"/>
    </xf>
    <xf numFmtId="41" fontId="10" fillId="0" borderId="16" xfId="0" applyNumberFormat="1" applyFont="1" applyBorder="1" applyAlignment="1">
      <alignment horizontal="right" vertical="top"/>
    </xf>
    <xf numFmtId="43" fontId="35" fillId="0" borderId="0" xfId="0" applyNumberFormat="1" applyFont="1" applyAlignment="1">
      <alignment horizontal="left" vertical="top"/>
    </xf>
    <xf numFmtId="41" fontId="93" fillId="0" borderId="21" xfId="0" applyNumberFormat="1" applyFont="1" applyBorder="1" applyAlignment="1">
      <alignment horizontal="center" vertical="center"/>
    </xf>
    <xf numFmtId="41" fontId="82" fillId="0" borderId="20" xfId="0" applyNumberFormat="1" applyFont="1" applyBorder="1" applyAlignment="1">
      <alignment horizontal="center" vertical="center"/>
    </xf>
    <xf numFmtId="41" fontId="10" fillId="0" borderId="20" xfId="0" applyNumberFormat="1" applyFont="1" applyBorder="1" applyAlignment="1">
      <alignment horizontal="center" vertical="center"/>
    </xf>
    <xf numFmtId="0" fontId="86" fillId="0" borderId="14" xfId="0" applyFont="1" applyBorder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6" fillId="0" borderId="20" xfId="0" applyFont="1" applyBorder="1" applyAlignment="1">
      <alignment horizontal="center" vertical="center"/>
    </xf>
    <xf numFmtId="41" fontId="10" fillId="0" borderId="21" xfId="0" applyNumberFormat="1" applyFont="1" applyBorder="1" applyAlignment="1">
      <alignment horizontal="center" vertical="top"/>
    </xf>
    <xf numFmtId="41" fontId="82" fillId="0" borderId="9" xfId="0" applyNumberFormat="1" applyFont="1" applyBorder="1" applyAlignment="1">
      <alignment horizontal="center"/>
    </xf>
    <xf numFmtId="3" fontId="82" fillId="0" borderId="0" xfId="0" applyNumberFormat="1" applyFont="1" applyAlignment="1">
      <alignment horizontal="center"/>
    </xf>
    <xf numFmtId="41" fontId="41" fillId="16" borderId="16" xfId="0" applyNumberFormat="1" applyFont="1" applyFill="1" applyBorder="1" applyAlignment="1">
      <alignment horizontal="right" vertical="center"/>
    </xf>
    <xf numFmtId="0" fontId="27" fillId="30" borderId="0" xfId="0" applyFont="1" applyFill="1" applyAlignment="1">
      <alignment vertical="center"/>
    </xf>
    <xf numFmtId="41" fontId="27" fillId="30" borderId="0" xfId="0" applyNumberFormat="1" applyFont="1" applyFill="1" applyAlignment="1">
      <alignment horizontal="left" vertical="center"/>
    </xf>
    <xf numFmtId="41" fontId="27" fillId="30" borderId="0" xfId="0" applyNumberFormat="1" applyFont="1" applyFill="1" applyAlignment="1">
      <alignment vertical="center"/>
    </xf>
    <xf numFmtId="41" fontId="15" fillId="30" borderId="14" xfId="0" applyNumberFormat="1" applyFont="1" applyFill="1" applyBorder="1" applyAlignment="1">
      <alignment vertical="center"/>
    </xf>
    <xf numFmtId="41" fontId="10" fillId="30" borderId="20" xfId="0" applyNumberFormat="1" applyFont="1" applyFill="1" applyBorder="1" applyAlignment="1">
      <alignment vertical="center"/>
    </xf>
    <xf numFmtId="41" fontId="15" fillId="30" borderId="11" xfId="0" applyNumberFormat="1" applyFont="1" applyFill="1" applyBorder="1" applyAlignment="1">
      <alignment horizontal="center" vertical="center"/>
    </xf>
    <xf numFmtId="41" fontId="35" fillId="30" borderId="11" xfId="0" applyNumberFormat="1" applyFont="1" applyFill="1" applyBorder="1" applyAlignment="1">
      <alignment horizontal="center" vertical="center"/>
    </xf>
    <xf numFmtId="0" fontId="27" fillId="30" borderId="14" xfId="0" applyFont="1" applyFill="1" applyBorder="1" applyAlignment="1">
      <alignment vertical="center"/>
    </xf>
    <xf numFmtId="0" fontId="27" fillId="30" borderId="20" xfId="0" applyFont="1" applyFill="1" applyBorder="1" applyAlignment="1">
      <alignment vertical="center"/>
    </xf>
    <xf numFmtId="41" fontId="15" fillId="30" borderId="15" xfId="0" applyNumberFormat="1" applyFont="1" applyFill="1" applyBorder="1" applyAlignment="1">
      <alignment horizontal="center" vertical="center"/>
    </xf>
    <xf numFmtId="41" fontId="10" fillId="30" borderId="15" xfId="0" applyNumberFormat="1" applyFont="1" applyFill="1" applyBorder="1" applyAlignment="1">
      <alignment horizontal="center" vertical="center"/>
    </xf>
    <xf numFmtId="41" fontId="35" fillId="30" borderId="19" xfId="0" applyNumberFormat="1" applyFont="1" applyFill="1" applyBorder="1" applyAlignment="1">
      <alignment horizontal="center" vertical="center"/>
    </xf>
    <xf numFmtId="41" fontId="15" fillId="31" borderId="9" xfId="0" applyNumberFormat="1" applyFont="1" applyFill="1" applyBorder="1" applyAlignment="1">
      <alignment horizontal="center"/>
    </xf>
    <xf numFmtId="41" fontId="10" fillId="30" borderId="11" xfId="0" applyNumberFormat="1" applyFont="1" applyFill="1" applyBorder="1" applyAlignment="1">
      <alignment horizontal="center"/>
    </xf>
    <xf numFmtId="41" fontId="15" fillId="30" borderId="11" xfId="0" applyNumberFormat="1" applyFont="1" applyFill="1" applyBorder="1" applyAlignment="1">
      <alignment horizontal="center"/>
    </xf>
    <xf numFmtId="41" fontId="35" fillId="30" borderId="11" xfId="0" applyNumberFormat="1" applyFont="1" applyFill="1" applyBorder="1" applyAlignment="1">
      <alignment horizontal="center"/>
    </xf>
    <xf numFmtId="0" fontId="27" fillId="30" borderId="0" xfId="0" applyFont="1" applyFill="1"/>
    <xf numFmtId="41" fontId="27" fillId="30" borderId="18" xfId="0" applyNumberFormat="1" applyFont="1" applyFill="1" applyBorder="1" applyAlignment="1">
      <alignment horizontal="left" vertical="top"/>
    </xf>
    <xf numFmtId="41" fontId="86" fillId="30" borderId="16" xfId="0" applyNumberFormat="1" applyFont="1" applyFill="1" applyBorder="1" applyAlignment="1">
      <alignment horizontal="left" vertical="top"/>
    </xf>
    <xf numFmtId="41" fontId="22" fillId="30" borderId="11" xfId="0" applyNumberFormat="1" applyFont="1" applyFill="1" applyBorder="1" applyAlignment="1">
      <alignment horizontal="left" vertical="top"/>
    </xf>
    <xf numFmtId="41" fontId="35" fillId="30" borderId="11" xfId="0" applyNumberFormat="1" applyFont="1" applyFill="1" applyBorder="1" applyAlignment="1">
      <alignment horizontal="left" vertical="top"/>
    </xf>
    <xf numFmtId="0" fontId="27" fillId="30" borderId="14" xfId="0" applyFont="1" applyFill="1" applyBorder="1" applyAlignment="1">
      <alignment horizontal="left" vertical="top"/>
    </xf>
    <xf numFmtId="41" fontId="35" fillId="30" borderId="0" xfId="0" applyNumberFormat="1" applyFont="1" applyFill="1" applyAlignment="1">
      <alignment vertical="top"/>
    </xf>
    <xf numFmtId="41" fontId="35" fillId="30" borderId="4" xfId="0" applyNumberFormat="1" applyFont="1" applyFill="1" applyBorder="1" applyAlignment="1">
      <alignment horizontal="left" vertical="top"/>
    </xf>
    <xf numFmtId="41" fontId="15" fillId="30" borderId="11" xfId="0" applyNumberFormat="1" applyFont="1" applyFill="1" applyBorder="1" applyAlignment="1">
      <alignment horizontal="left" vertical="top"/>
    </xf>
    <xf numFmtId="41" fontId="27" fillId="30" borderId="0" xfId="0" applyNumberFormat="1" applyFont="1" applyFill="1" applyAlignment="1">
      <alignment horizontal="left" vertical="top"/>
    </xf>
    <xf numFmtId="41" fontId="10" fillId="30" borderId="44" xfId="0" applyNumberFormat="1" applyFont="1" applyFill="1" applyBorder="1" applyAlignment="1">
      <alignment horizontal="left" vertical="top"/>
    </xf>
    <xf numFmtId="0" fontId="27" fillId="30" borderId="0" xfId="0" applyFont="1" applyFill="1" applyAlignment="1">
      <alignment horizontal="left" vertical="top"/>
    </xf>
    <xf numFmtId="3" fontId="15" fillId="30" borderId="11" xfId="0" applyNumberFormat="1" applyFont="1" applyFill="1" applyBorder="1" applyAlignment="1">
      <alignment horizontal="left" vertical="top"/>
    </xf>
    <xf numFmtId="171" fontId="43" fillId="2" borderId="11" xfId="0" applyNumberFormat="1" applyFont="1" applyFill="1" applyBorder="1" applyAlignment="1">
      <alignment horizontal="left" vertical="top"/>
    </xf>
    <xf numFmtId="171" fontId="43" fillId="2" borderId="9" xfId="0" applyNumberFormat="1" applyFont="1" applyFill="1" applyBorder="1" applyAlignment="1">
      <alignment horizontal="left" vertical="top"/>
    </xf>
    <xf numFmtId="167" fontId="82" fillId="0" borderId="0" xfId="2" applyNumberFormat="1" applyFont="1" applyBorder="1" applyAlignment="1">
      <alignment horizontal="left" vertical="top"/>
    </xf>
    <xf numFmtId="167" fontId="82" fillId="0" borderId="32" xfId="2" applyNumberFormat="1" applyFont="1" applyBorder="1" applyAlignment="1">
      <alignment horizontal="left" vertical="top"/>
    </xf>
    <xf numFmtId="3" fontId="82" fillId="0" borderId="32" xfId="0" applyNumberFormat="1" applyFont="1" applyBorder="1" applyAlignment="1">
      <alignment horizontal="left" vertical="top"/>
    </xf>
    <xf numFmtId="41" fontId="93" fillId="0" borderId="16" xfId="0" applyNumberFormat="1" applyFont="1" applyBorder="1" applyAlignment="1">
      <alignment horizontal="center" vertical="center"/>
    </xf>
    <xf numFmtId="3" fontId="93" fillId="0" borderId="16" xfId="0" applyNumberFormat="1" applyFont="1" applyBorder="1" applyAlignment="1">
      <alignment horizontal="center" vertical="center"/>
    </xf>
    <xf numFmtId="3" fontId="91" fillId="0" borderId="16" xfId="0" applyNumberFormat="1" applyFont="1" applyBorder="1" applyAlignment="1">
      <alignment horizontal="center" vertical="center"/>
    </xf>
    <xf numFmtId="1" fontId="0" fillId="0" borderId="0" xfId="2" applyNumberFormat="1" applyFont="1" applyAlignment="1">
      <alignment horizontal="left"/>
    </xf>
    <xf numFmtId="14" fontId="0" fillId="0" borderId="0" xfId="0" applyNumberFormat="1"/>
    <xf numFmtId="3" fontId="0" fillId="0" borderId="0" xfId="0" applyNumberFormat="1" applyAlignment="1">
      <alignment horizontal="center"/>
    </xf>
    <xf numFmtId="41" fontId="22" fillId="0" borderId="16" xfId="0" applyNumberFormat="1" applyFont="1" applyBorder="1" applyAlignment="1">
      <alignment horizontal="right"/>
    </xf>
    <xf numFmtId="0" fontId="15" fillId="8" borderId="19" xfId="0" applyFont="1" applyFill="1" applyBorder="1" applyAlignment="1">
      <alignment horizontal="center" vertical="center"/>
    </xf>
    <xf numFmtId="41" fontId="37" fillId="0" borderId="0" xfId="0" applyNumberFormat="1" applyFont="1" applyAlignment="1">
      <alignment vertical="center"/>
    </xf>
    <xf numFmtId="0" fontId="54" fillId="32" borderId="16" xfId="0" applyFont="1" applyFill="1" applyBorder="1" applyAlignment="1">
      <alignment horizontal="left" vertical="top"/>
    </xf>
    <xf numFmtId="41" fontId="54" fillId="32" borderId="16" xfId="0" applyNumberFormat="1" applyFont="1" applyFill="1" applyBorder="1" applyAlignment="1">
      <alignment horizontal="center" vertical="top"/>
    </xf>
    <xf numFmtId="41" fontId="81" fillId="0" borderId="23" xfId="0" applyNumberFormat="1" applyFont="1" applyBorder="1" applyAlignment="1">
      <alignment horizontal="center" vertical="center"/>
    </xf>
    <xf numFmtId="41" fontId="81" fillId="0" borderId="16" xfId="0" applyNumberFormat="1" applyFont="1" applyBorder="1" applyAlignment="1">
      <alignment horizontal="right"/>
    </xf>
    <xf numFmtId="41" fontId="24" fillId="0" borderId="12" xfId="0" applyNumberFormat="1" applyFont="1" applyBorder="1" applyAlignment="1">
      <alignment horizontal="center" vertical="center" wrapText="1"/>
    </xf>
    <xf numFmtId="1" fontId="10" fillId="8" borderId="4" xfId="0" applyNumberFormat="1" applyFont="1" applyFill="1" applyBorder="1" applyAlignment="1">
      <alignment horizontal="center" vertical="center"/>
    </xf>
    <xf numFmtId="41" fontId="27" fillId="30" borderId="16" xfId="0" applyNumberFormat="1" applyFont="1" applyFill="1" applyBorder="1" applyAlignment="1">
      <alignment horizontal="right" vertical="center"/>
    </xf>
    <xf numFmtId="41" fontId="93" fillId="0" borderId="16" xfId="0" applyNumberFormat="1" applyFont="1" applyBorder="1" applyAlignment="1">
      <alignment horizontal="left" vertical="center"/>
    </xf>
    <xf numFmtId="0" fontId="94" fillId="0" borderId="21" xfId="0" applyFont="1" applyBorder="1" applyAlignment="1">
      <alignment horizontal="left" vertical="center"/>
    </xf>
    <xf numFmtId="0" fontId="90" fillId="0" borderId="21" xfId="0" applyFont="1" applyBorder="1" applyAlignment="1">
      <alignment horizontal="right" vertical="center"/>
    </xf>
    <xf numFmtId="3" fontId="95" fillId="0" borderId="16" xfId="0" applyNumberFormat="1" applyFont="1" applyBorder="1" applyAlignment="1">
      <alignment horizontal="center" vertical="center"/>
    </xf>
    <xf numFmtId="41" fontId="96" fillId="0" borderId="0" xfId="0" applyNumberFormat="1" applyFont="1" applyAlignment="1">
      <alignment vertical="center"/>
    </xf>
    <xf numFmtId="41" fontId="93" fillId="0" borderId="4" xfId="0" applyNumberFormat="1" applyFont="1" applyBorder="1" applyAlignment="1">
      <alignment horizontal="center" vertical="center"/>
    </xf>
    <xf numFmtId="41" fontId="97" fillId="0" borderId="4" xfId="0" applyNumberFormat="1" applyFont="1" applyBorder="1" applyAlignment="1">
      <alignment vertical="center"/>
    </xf>
    <xf numFmtId="41" fontId="97" fillId="0" borderId="40" xfId="0" applyNumberFormat="1" applyFont="1" applyBorder="1" applyAlignment="1">
      <alignment vertical="center"/>
    </xf>
    <xf numFmtId="41" fontId="93" fillId="0" borderId="40" xfId="0" applyNumberFormat="1" applyFont="1" applyBorder="1" applyAlignment="1">
      <alignment horizontal="center" vertical="center"/>
    </xf>
    <xf numFmtId="0" fontId="96" fillId="0" borderId="0" xfId="0" applyFont="1" applyAlignment="1">
      <alignment vertical="center"/>
    </xf>
    <xf numFmtId="3" fontId="91" fillId="0" borderId="0" xfId="0" applyNumberFormat="1" applyFont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center"/>
    </xf>
    <xf numFmtId="41" fontId="10" fillId="0" borderId="16" xfId="0" applyNumberFormat="1" applyFont="1" applyBorder="1" applyAlignment="1">
      <alignment horizontal="center" vertical="top"/>
    </xf>
    <xf numFmtId="41" fontId="86" fillId="30" borderId="16" xfId="0" applyNumberFormat="1" applyFont="1" applyFill="1" applyBorder="1" applyAlignment="1">
      <alignment horizontal="right" vertical="center"/>
    </xf>
    <xf numFmtId="41" fontId="86" fillId="0" borderId="18" xfId="0" applyNumberFormat="1" applyFont="1" applyBorder="1" applyAlignment="1">
      <alignment horizontal="center" vertical="center"/>
    </xf>
    <xf numFmtId="41" fontId="81" fillId="0" borderId="16" xfId="0" applyNumberFormat="1" applyFont="1" applyBorder="1" applyAlignment="1">
      <alignment horizontal="center"/>
    </xf>
    <xf numFmtId="41" fontId="98" fillId="0" borderId="29" xfId="0" applyNumberFormat="1" applyFont="1" applyBorder="1"/>
    <xf numFmtId="41" fontId="98" fillId="0" borderId="31" xfId="0" applyNumberFormat="1" applyFont="1" applyBorder="1" applyAlignment="1">
      <alignment vertical="center"/>
    </xf>
    <xf numFmtId="41" fontId="81" fillId="0" borderId="16" xfId="0" applyNumberFormat="1" applyFont="1" applyBorder="1" applyAlignment="1">
      <alignment horizontal="right" vertical="top"/>
    </xf>
    <xf numFmtId="41" fontId="81" fillId="0" borderId="16" xfId="0" applyNumberFormat="1" applyFont="1" applyBorder="1" applyAlignment="1">
      <alignment horizontal="left" vertical="top"/>
    </xf>
    <xf numFmtId="22" fontId="0" fillId="0" borderId="0" xfId="0" applyNumberFormat="1"/>
    <xf numFmtId="20" fontId="0" fillId="0" borderId="0" xfId="0" applyNumberFormat="1"/>
    <xf numFmtId="0" fontId="90" fillId="0" borderId="16" xfId="0" applyFont="1" applyBorder="1" applyAlignment="1">
      <alignment horizontal="right" vertical="center"/>
    </xf>
    <xf numFmtId="0" fontId="90" fillId="14" borderId="16" xfId="0" applyFont="1" applyFill="1" applyBorder="1" applyAlignment="1">
      <alignment horizontal="right" vertical="center"/>
    </xf>
    <xf numFmtId="3" fontId="0" fillId="33" borderId="0" xfId="0" applyNumberFormat="1" applyFill="1"/>
    <xf numFmtId="0" fontId="0" fillId="33" borderId="0" xfId="0" applyFill="1"/>
    <xf numFmtId="3" fontId="0" fillId="27" borderId="0" xfId="0" applyNumberFormat="1" applyFill="1"/>
    <xf numFmtId="0" fontId="82" fillId="0" borderId="16" xfId="0" applyFont="1" applyBorder="1" applyAlignment="1">
      <alignment horizontal="center" vertical="top"/>
    </xf>
    <xf numFmtId="41" fontId="86" fillId="0" borderId="16" xfId="0" applyNumberFormat="1" applyFont="1" applyBorder="1" applyAlignment="1">
      <alignment horizontal="left" vertical="top"/>
    </xf>
    <xf numFmtId="41" fontId="81" fillId="0" borderId="16" xfId="0" applyNumberFormat="1" applyFont="1" applyBorder="1" applyAlignment="1">
      <alignment horizontal="right" vertical="center"/>
    </xf>
    <xf numFmtId="41" fontId="82" fillId="27" borderId="11" xfId="0" applyNumberFormat="1" applyFont="1" applyFill="1" applyBorder="1" applyAlignment="1">
      <alignment horizontal="left" vertical="top"/>
    </xf>
    <xf numFmtId="0" fontId="90" fillId="14" borderId="16" xfId="0" applyFont="1" applyFill="1" applyBorder="1" applyAlignment="1">
      <alignment horizontal="center" vertical="top"/>
    </xf>
    <xf numFmtId="0" fontId="82" fillId="14" borderId="16" xfId="0" applyFont="1" applyFill="1" applyBorder="1" applyAlignment="1">
      <alignment horizontal="center" vertical="top"/>
    </xf>
    <xf numFmtId="0" fontId="10" fillId="14" borderId="16" xfId="0" applyFont="1" applyFill="1" applyBorder="1" applyAlignment="1">
      <alignment horizontal="center" vertical="top"/>
    </xf>
    <xf numFmtId="41" fontId="82" fillId="0" borderId="16" xfId="0" applyNumberFormat="1" applyFont="1" applyBorder="1" applyAlignment="1">
      <alignment horizontal="right"/>
    </xf>
    <xf numFmtId="3" fontId="99" fillId="0" borderId="0" xfId="0" applyNumberFormat="1" applyFont="1" applyAlignment="1">
      <alignment horizontal="left" vertical="top"/>
    </xf>
    <xf numFmtId="0" fontId="27" fillId="32" borderId="16" xfId="0" applyFont="1" applyFill="1" applyBorder="1" applyAlignment="1">
      <alignment horizontal="right" vertical="center"/>
    </xf>
    <xf numFmtId="41" fontId="27" fillId="32" borderId="16" xfId="0" applyNumberFormat="1" applyFont="1" applyFill="1" applyBorder="1" applyAlignment="1">
      <alignment horizontal="center" vertical="center"/>
    </xf>
    <xf numFmtId="0" fontId="86" fillId="0" borderId="16" xfId="0" applyFont="1" applyBorder="1" applyAlignment="1">
      <alignment horizontal="center" vertical="top"/>
    </xf>
    <xf numFmtId="4" fontId="5" fillId="0" borderId="0" xfId="0" applyNumberFormat="1" applyFont="1" applyAlignment="1">
      <alignment vertical="top"/>
    </xf>
    <xf numFmtId="0" fontId="100" fillId="18" borderId="16" xfId="0" applyFont="1" applyFill="1" applyBorder="1" applyAlignment="1">
      <alignment horizontal="right" vertical="center"/>
    </xf>
    <xf numFmtId="0" fontId="86" fillId="14" borderId="16" xfId="0" applyFont="1" applyFill="1" applyBorder="1" applyAlignment="1">
      <alignment horizontal="center" vertical="top"/>
    </xf>
    <xf numFmtId="41" fontId="15" fillId="0" borderId="45" xfId="0" applyNumberFormat="1" applyFont="1" applyBorder="1" applyAlignment="1">
      <alignment horizontal="center" vertical="center"/>
    </xf>
    <xf numFmtId="41" fontId="38" fillId="0" borderId="22" xfId="0" applyNumberFormat="1" applyFont="1" applyBorder="1" applyAlignment="1">
      <alignment horizontal="center" vertical="center"/>
    </xf>
    <xf numFmtId="41" fontId="15" fillId="0" borderId="16" xfId="0" applyNumberFormat="1" applyFont="1" applyBorder="1" applyAlignment="1">
      <alignment horizontal="center" vertical="center"/>
    </xf>
    <xf numFmtId="41" fontId="27" fillId="0" borderId="21" xfId="0" applyNumberFormat="1" applyFont="1" applyBorder="1" applyAlignment="1">
      <alignment horizontal="center" vertical="center"/>
    </xf>
    <xf numFmtId="41" fontId="90" fillId="0" borderId="16" xfId="0" applyNumberFormat="1" applyFont="1" applyBorder="1" applyAlignment="1">
      <alignment horizontal="center" vertical="center"/>
    </xf>
    <xf numFmtId="3" fontId="101" fillId="0" borderId="0" xfId="0" applyNumberFormat="1" applyFont="1" applyAlignment="1">
      <alignment vertical="top"/>
    </xf>
    <xf numFmtId="4" fontId="101" fillId="0" borderId="0" xfId="0" applyNumberFormat="1" applyFont="1" applyAlignment="1">
      <alignment vertical="top"/>
    </xf>
    <xf numFmtId="3" fontId="101" fillId="0" borderId="0" xfId="0" applyNumberFormat="1" applyFont="1"/>
    <xf numFmtId="167" fontId="101" fillId="0" borderId="0" xfId="2" applyNumberFormat="1" applyFont="1"/>
    <xf numFmtId="41" fontId="86" fillId="0" borderId="0" xfId="0" applyNumberFormat="1" applyFont="1" applyAlignment="1">
      <alignment horizontal="left" vertical="top"/>
    </xf>
    <xf numFmtId="167" fontId="86" fillId="0" borderId="0" xfId="2" applyNumberFormat="1" applyFont="1" applyBorder="1" applyAlignment="1">
      <alignment horizontal="left" vertical="top"/>
    </xf>
    <xf numFmtId="167" fontId="86" fillId="0" borderId="0" xfId="2" applyNumberFormat="1" applyFont="1" applyFill="1" applyBorder="1" applyAlignment="1">
      <alignment horizontal="left" vertical="top"/>
    </xf>
    <xf numFmtId="1" fontId="1" fillId="0" borderId="0" xfId="2" applyNumberFormat="1" applyFont="1" applyAlignment="1">
      <alignment horizontal="left"/>
    </xf>
    <xf numFmtId="4" fontId="5" fillId="0" borderId="0" xfId="0" applyNumberFormat="1" applyFont="1" applyAlignment="1">
      <alignment horizontal="left" vertical="top"/>
    </xf>
    <xf numFmtId="3" fontId="101" fillId="14" borderId="0" xfId="0" applyNumberFormat="1" applyFont="1" applyFill="1"/>
    <xf numFmtId="167" fontId="101" fillId="14" borderId="0" xfId="0" applyNumberFormat="1" applyFont="1" applyFill="1"/>
    <xf numFmtId="0" fontId="101" fillId="24" borderId="0" xfId="0" applyFont="1" applyFill="1" applyAlignment="1">
      <alignment horizontal="center"/>
    </xf>
    <xf numFmtId="0" fontId="101" fillId="24" borderId="0" xfId="0" applyFont="1" applyFill="1"/>
    <xf numFmtId="0" fontId="101" fillId="0" borderId="0" xfId="0" applyFont="1" applyAlignment="1">
      <alignment vertical="top"/>
    </xf>
    <xf numFmtId="0" fontId="101" fillId="0" borderId="0" xfId="0" applyFont="1"/>
    <xf numFmtId="0" fontId="101" fillId="14" borderId="0" xfId="0" applyFont="1" applyFill="1"/>
    <xf numFmtId="166" fontId="101" fillId="0" borderId="0" xfId="2" applyNumberFormat="1" applyFont="1" applyAlignment="1">
      <alignment vertical="top"/>
    </xf>
    <xf numFmtId="166" fontId="83" fillId="0" borderId="0" xfId="2" applyNumberFormat="1" applyFont="1" applyAlignment="1">
      <alignment vertical="top"/>
    </xf>
    <xf numFmtId="166" fontId="101" fillId="0" borderId="0" xfId="2" applyNumberFormat="1" applyFont="1"/>
    <xf numFmtId="166" fontId="83" fillId="0" borderId="0" xfId="2" applyNumberFormat="1" applyFont="1"/>
    <xf numFmtId="167" fontId="15" fillId="30" borderId="11" xfId="2" applyNumberFormat="1" applyFont="1" applyFill="1" applyBorder="1" applyAlignment="1">
      <alignment horizontal="left" vertical="top"/>
    </xf>
    <xf numFmtId="2" fontId="35" fillId="0" borderId="0" xfId="0" applyNumberFormat="1" applyFont="1" applyAlignment="1">
      <alignment vertical="top"/>
    </xf>
    <xf numFmtId="167" fontId="15" fillId="30" borderId="8" xfId="2" applyNumberFormat="1" applyFont="1" applyFill="1" applyBorder="1" applyAlignment="1">
      <alignment horizontal="right" vertical="top"/>
    </xf>
    <xf numFmtId="167" fontId="15" fillId="0" borderId="8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top"/>
    </xf>
    <xf numFmtId="167" fontId="15" fillId="0" borderId="11" xfId="2" applyNumberFormat="1" applyFont="1" applyBorder="1" applyAlignment="1">
      <alignment horizontal="right" vertical="top"/>
    </xf>
    <xf numFmtId="167" fontId="15" fillId="30" borderId="11" xfId="2" applyNumberFormat="1" applyFont="1" applyFill="1" applyBorder="1" applyAlignment="1">
      <alignment horizontal="right" vertical="center"/>
    </xf>
    <xf numFmtId="167" fontId="15" fillId="0" borderId="11" xfId="2" applyNumberFormat="1" applyFont="1" applyBorder="1" applyAlignment="1">
      <alignment horizontal="right" vertical="center"/>
    </xf>
    <xf numFmtId="41" fontId="102" fillId="0" borderId="0" xfId="0" applyNumberFormat="1" applyFont="1" applyAlignment="1">
      <alignment horizontal="left" vertical="top"/>
    </xf>
    <xf numFmtId="3" fontId="103" fillId="0" borderId="0" xfId="0" applyNumberFormat="1" applyFont="1" applyAlignment="1">
      <alignment horizontal="left" vertical="top"/>
    </xf>
    <xf numFmtId="41" fontId="82" fillId="0" borderId="4" xfId="0" applyNumberFormat="1" applyFont="1" applyBorder="1" applyAlignment="1">
      <alignment horizontal="center" vertical="center"/>
    </xf>
    <xf numFmtId="41" fontId="0" fillId="27" borderId="0" xfId="0" applyNumberFormat="1" applyFill="1" applyAlignment="1">
      <alignment vertical="top"/>
    </xf>
    <xf numFmtId="41" fontId="0" fillId="27" borderId="0" xfId="0" applyNumberFormat="1" applyFill="1"/>
    <xf numFmtId="41" fontId="10" fillId="0" borderId="8" xfId="0" applyNumberFormat="1" applyFont="1" applyBorder="1" applyAlignment="1">
      <alignment horizontal="center"/>
    </xf>
    <xf numFmtId="3" fontId="35" fillId="0" borderId="4" xfId="0" applyNumberFormat="1" applyFont="1" applyBorder="1" applyAlignment="1">
      <alignment vertical="center"/>
    </xf>
    <xf numFmtId="41" fontId="41" fillId="20" borderId="16" xfId="0" applyNumberFormat="1" applyFont="1" applyFill="1" applyBorder="1" applyAlignment="1">
      <alignment horizontal="center" vertical="center"/>
    </xf>
    <xf numFmtId="0" fontId="27" fillId="27" borderId="0" xfId="0" applyFont="1" applyFill="1" applyAlignment="1">
      <alignment vertical="center"/>
    </xf>
    <xf numFmtId="0" fontId="90" fillId="27" borderId="0" xfId="0" applyFont="1" applyFill="1" applyAlignment="1">
      <alignment vertical="center"/>
    </xf>
    <xf numFmtId="41" fontId="27" fillId="27" borderId="0" xfId="0" applyNumberFormat="1" applyFont="1" applyFill="1" applyAlignment="1">
      <alignment vertical="center"/>
    </xf>
    <xf numFmtId="41" fontId="90" fillId="0" borderId="16" xfId="0" applyNumberFormat="1" applyFont="1" applyBorder="1" applyAlignment="1">
      <alignment horizontal="left" vertical="top"/>
    </xf>
    <xf numFmtId="167" fontId="27" fillId="0" borderId="0" xfId="2" applyNumberFormat="1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0" fontId="86" fillId="0" borderId="0" xfId="0" applyFont="1" applyAlignment="1">
      <alignment horizontal="left" vertical="top"/>
    </xf>
    <xf numFmtId="3" fontId="82" fillId="0" borderId="0" xfId="0" applyNumberFormat="1" applyFont="1" applyAlignment="1">
      <alignment horizontal="left" vertical="top"/>
    </xf>
    <xf numFmtId="3" fontId="86" fillId="0" borderId="0" xfId="0" applyNumberFormat="1" applyFont="1" applyAlignment="1">
      <alignment horizontal="left" vertical="top"/>
    </xf>
    <xf numFmtId="167" fontId="86" fillId="0" borderId="0" xfId="0" applyNumberFormat="1" applyFont="1" applyAlignment="1">
      <alignment horizontal="left" vertical="top"/>
    </xf>
    <xf numFmtId="0" fontId="90" fillId="34" borderId="16" xfId="0" applyFont="1" applyFill="1" applyBorder="1" applyAlignment="1">
      <alignment horizontal="right" vertical="center"/>
    </xf>
    <xf numFmtId="41" fontId="90" fillId="34" borderId="16" xfId="0" applyNumberFormat="1" applyFont="1" applyFill="1" applyBorder="1" applyAlignment="1">
      <alignment horizontal="center" vertical="center"/>
    </xf>
    <xf numFmtId="4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41" fontId="22" fillId="0" borderId="4" xfId="0" applyNumberFormat="1" applyFont="1" applyBorder="1" applyAlignment="1">
      <alignment horizontal="left"/>
    </xf>
    <xf numFmtId="41" fontId="86" fillId="13" borderId="16" xfId="0" applyNumberFormat="1" applyFont="1" applyFill="1" applyBorder="1" applyAlignment="1">
      <alignment horizontal="right" vertical="center"/>
    </xf>
    <xf numFmtId="41" fontId="86" fillId="14" borderId="16" xfId="0" applyNumberFormat="1" applyFont="1" applyFill="1" applyBorder="1" applyAlignment="1">
      <alignment horizontal="center" vertical="center"/>
    </xf>
    <xf numFmtId="41" fontId="86" fillId="13" borderId="16" xfId="0" applyNumberFormat="1" applyFont="1" applyFill="1" applyBorder="1" applyAlignment="1">
      <alignment horizontal="center" vertical="center"/>
    </xf>
    <xf numFmtId="41" fontId="90" fillId="30" borderId="16" xfId="0" applyNumberFormat="1" applyFont="1" applyFill="1" applyBorder="1" applyAlignment="1">
      <alignment horizontal="right" vertical="center"/>
    </xf>
    <xf numFmtId="41" fontId="90" fillId="0" borderId="0" xfId="0" applyNumberFormat="1" applyFont="1" applyAlignment="1">
      <alignment vertical="center"/>
    </xf>
    <xf numFmtId="0" fontId="82" fillId="0" borderId="4" xfId="0" applyFont="1" applyBorder="1" applyAlignment="1">
      <alignment horizontal="center" vertical="center"/>
    </xf>
    <xf numFmtId="41" fontId="82" fillId="0" borderId="0" xfId="0" applyNumberFormat="1" applyFont="1" applyAlignment="1">
      <alignment horizontal="center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13" fontId="27" fillId="0" borderId="0" xfId="0" applyNumberFormat="1" applyFont="1" applyAlignment="1">
      <alignment vertical="center"/>
    </xf>
    <xf numFmtId="0" fontId="38" fillId="14" borderId="16" xfId="0" applyFont="1" applyFill="1" applyBorder="1" applyAlignment="1">
      <alignment horizontal="right" vertical="center"/>
    </xf>
    <xf numFmtId="3" fontId="5" fillId="0" borderId="0" xfId="0" applyNumberFormat="1" applyFont="1" applyAlignment="1">
      <alignment vertical="top"/>
    </xf>
    <xf numFmtId="41" fontId="15" fillId="0" borderId="4" xfId="0" applyNumberFormat="1" applyFont="1" applyBorder="1" applyAlignment="1">
      <alignment horizontal="center" vertical="center"/>
    </xf>
    <xf numFmtId="41" fontId="81" fillId="0" borderId="4" xfId="0" applyNumberFormat="1" applyFont="1" applyBorder="1" applyAlignment="1">
      <alignment horizontal="center" vertical="center"/>
    </xf>
    <xf numFmtId="0" fontId="27" fillId="35" borderId="16" xfId="0" applyFont="1" applyFill="1" applyBorder="1" applyAlignment="1">
      <alignment horizontal="right"/>
    </xf>
    <xf numFmtId="41" fontId="27" fillId="35" borderId="16" xfId="0" applyNumberFormat="1" applyFont="1" applyFill="1" applyBorder="1" applyAlignment="1">
      <alignment horizontal="centerContinuous"/>
    </xf>
    <xf numFmtId="0" fontId="27" fillId="35" borderId="17" xfId="0" applyFont="1" applyFill="1" applyBorder="1" applyAlignment="1">
      <alignment horizontal="right"/>
    </xf>
    <xf numFmtId="41" fontId="27" fillId="0" borderId="4" xfId="0" applyNumberFormat="1" applyFont="1" applyBorder="1" applyAlignment="1">
      <alignment horizontal="center" vertical="center"/>
    </xf>
    <xf numFmtId="41" fontId="15" fillId="0" borderId="25" xfId="0" applyNumberFormat="1" applyFont="1" applyBorder="1" applyAlignment="1">
      <alignment vertical="top"/>
    </xf>
    <xf numFmtId="41" fontId="27" fillId="0" borderId="0" xfId="0" applyNumberFormat="1" applyFont="1"/>
    <xf numFmtId="0" fontId="0" fillId="27" borderId="0" xfId="0" applyFill="1" applyAlignment="1">
      <alignment vertical="top"/>
    </xf>
    <xf numFmtId="3" fontId="22" fillId="0" borderId="0" xfId="0" applyNumberFormat="1" applyFont="1" applyAlignment="1">
      <alignment vertical="top"/>
    </xf>
    <xf numFmtId="41" fontId="35" fillId="0" borderId="0" xfId="0" applyNumberFormat="1" applyFont="1" applyAlignment="1">
      <alignment horizontal="right" vertical="top"/>
    </xf>
    <xf numFmtId="3" fontId="22" fillId="0" borderId="0" xfId="0" applyNumberFormat="1" applyFont="1" applyAlignment="1">
      <alignment horizontal="right" vertical="top"/>
    </xf>
    <xf numFmtId="41" fontId="27" fillId="0" borderId="0" xfId="0" applyNumberFormat="1" applyFont="1" applyAlignment="1">
      <alignment horizontal="right" vertical="top"/>
    </xf>
    <xf numFmtId="4" fontId="22" fillId="0" borderId="0" xfId="0" applyNumberFormat="1" applyFont="1" applyAlignment="1">
      <alignment horizontal="right" vertical="top"/>
    </xf>
    <xf numFmtId="1" fontId="101" fillId="0" borderId="0" xfId="2" applyNumberFormat="1" applyFont="1" applyAlignment="1">
      <alignment horizontal="left"/>
    </xf>
    <xf numFmtId="3" fontId="22" fillId="0" borderId="0" xfId="0" applyNumberFormat="1" applyFont="1" applyAlignment="1">
      <alignment horizontal="right" vertical="top" indent="1"/>
    </xf>
    <xf numFmtId="0" fontId="27" fillId="0" borderId="0" xfId="0" applyFont="1" applyAlignment="1">
      <alignment horizontal="right" vertical="top"/>
    </xf>
    <xf numFmtId="41" fontId="86" fillId="20" borderId="21" xfId="0" applyNumberFormat="1" applyFont="1" applyFill="1" applyBorder="1" applyAlignment="1">
      <alignment horizontal="center" vertical="top"/>
    </xf>
    <xf numFmtId="1" fontId="10" fillId="0" borderId="41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41" fontId="82" fillId="0" borderId="45" xfId="0" applyNumberFormat="1" applyFont="1" applyBorder="1" applyAlignment="1">
      <alignment horizontal="center" vertical="center"/>
    </xf>
    <xf numFmtId="41" fontId="27" fillId="0" borderId="4" xfId="0" applyNumberFormat="1" applyFont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/>
    </xf>
    <xf numFmtId="41" fontId="38" fillId="30" borderId="16" xfId="0" applyNumberFormat="1" applyFont="1" applyFill="1" applyBorder="1" applyAlignment="1">
      <alignment horizontal="right"/>
    </xf>
    <xf numFmtId="41" fontId="41" fillId="18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horizontal="right" vertical="center"/>
    </xf>
    <xf numFmtId="3" fontId="38" fillId="0" borderId="16" xfId="0" applyNumberFormat="1" applyFont="1" applyBorder="1" applyAlignment="1">
      <alignment horizontal="right"/>
    </xf>
    <xf numFmtId="3" fontId="38" fillId="0" borderId="16" xfId="0" applyNumberFormat="1" applyFont="1" applyBorder="1" applyAlignment="1">
      <alignment horizontal="right" vertical="center"/>
    </xf>
    <xf numFmtId="41" fontId="86" fillId="0" borderId="16" xfId="0" applyNumberFormat="1" applyFont="1" applyBorder="1" applyAlignment="1">
      <alignment horizontal="right"/>
    </xf>
    <xf numFmtId="41" fontId="40" fillId="0" borderId="16" xfId="0" applyNumberFormat="1" applyFont="1" applyBorder="1" applyAlignment="1">
      <alignment horizontal="right"/>
    </xf>
    <xf numFmtId="41" fontId="37" fillId="0" borderId="29" xfId="0" applyNumberFormat="1" applyFont="1" applyBorder="1" applyAlignment="1">
      <alignment horizontal="right"/>
    </xf>
    <xf numFmtId="0" fontId="27" fillId="0" borderId="0" xfId="0" applyFont="1" applyAlignment="1">
      <alignment horizontal="right" vertical="center"/>
    </xf>
    <xf numFmtId="0" fontId="90" fillId="0" borderId="0" xfId="0" applyFont="1" applyAlignment="1">
      <alignment horizontal="right" vertical="center"/>
    </xf>
    <xf numFmtId="41" fontId="41" fillId="10" borderId="16" xfId="0" applyNumberFormat="1" applyFont="1" applyFill="1" applyBorder="1" applyAlignment="1">
      <alignment horizontal="center" vertical="center"/>
    </xf>
    <xf numFmtId="41" fontId="102" fillId="30" borderId="0" xfId="0" applyNumberFormat="1" applyFont="1" applyFill="1" applyAlignment="1">
      <alignment horizontal="left" vertical="top"/>
    </xf>
    <xf numFmtId="1" fontId="0" fillId="0" borderId="0" xfId="0" applyNumberFormat="1" applyAlignment="1">
      <alignment horizontal="center"/>
    </xf>
    <xf numFmtId="3" fontId="90" fillId="0" borderId="16" xfId="0" applyNumberFormat="1" applyFont="1" applyBorder="1" applyAlignment="1">
      <alignment horizontal="center" vertical="center"/>
    </xf>
    <xf numFmtId="41" fontId="90" fillId="14" borderId="16" xfId="0" applyNumberFormat="1" applyFont="1" applyFill="1" applyBorder="1" applyAlignment="1">
      <alignment horizontal="center" vertical="center"/>
    </xf>
    <xf numFmtId="3" fontId="38" fillId="0" borderId="16" xfId="0" applyNumberFormat="1" applyFont="1" applyBorder="1" applyAlignment="1">
      <alignment horizontal="center"/>
    </xf>
    <xf numFmtId="41" fontId="27" fillId="0" borderId="21" xfId="0" applyNumberFormat="1" applyFont="1" applyBorder="1" applyAlignment="1">
      <alignment horizontal="center"/>
    </xf>
    <xf numFmtId="41" fontId="27" fillId="0" borderId="38" xfId="0" applyNumberFormat="1" applyFont="1" applyBorder="1" applyAlignment="1">
      <alignment horizontal="center"/>
    </xf>
    <xf numFmtId="41" fontId="37" fillId="0" borderId="48" xfId="0" applyNumberFormat="1" applyFont="1" applyBorder="1"/>
    <xf numFmtId="41" fontId="15" fillId="0" borderId="26" xfId="0" applyNumberFormat="1" applyFont="1" applyBorder="1" applyAlignment="1">
      <alignment horizontal="center"/>
    </xf>
    <xf numFmtId="41" fontId="15" fillId="0" borderId="14" xfId="0" applyNumberFormat="1" applyFont="1" applyBorder="1" applyAlignment="1">
      <alignment horizontal="center"/>
    </xf>
    <xf numFmtId="41" fontId="104" fillId="0" borderId="0" xfId="0" applyNumberFormat="1" applyFont="1" applyAlignment="1">
      <alignment horizontal="center"/>
    </xf>
    <xf numFmtId="4" fontId="27" fillId="0" borderId="0" xfId="0" applyNumberFormat="1" applyFont="1" applyAlignment="1">
      <alignment horizontal="left" vertical="top"/>
    </xf>
    <xf numFmtId="41" fontId="78" fillId="2" borderId="10" xfId="0" applyNumberFormat="1" applyFont="1" applyFill="1" applyBorder="1" applyAlignment="1">
      <alignment horizontal="left" vertical="top"/>
    </xf>
    <xf numFmtId="165" fontId="90" fillId="0" borderId="0" xfId="0" applyNumberFormat="1" applyFont="1" applyAlignment="1">
      <alignment horizontal="center"/>
    </xf>
    <xf numFmtId="41" fontId="90" fillId="0" borderId="0" xfId="0" applyNumberFormat="1" applyFont="1" applyAlignment="1">
      <alignment horizontal="left" vertical="top"/>
    </xf>
    <xf numFmtId="41" fontId="38" fillId="0" borderId="22" xfId="0" applyNumberFormat="1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center" vertical="center" wrapText="1"/>
    </xf>
    <xf numFmtId="41" fontId="15" fillId="0" borderId="11" xfId="0" applyNumberFormat="1" applyFont="1" applyBorder="1" applyAlignment="1">
      <alignment horizontal="center" vertical="center" wrapText="1"/>
    </xf>
    <xf numFmtId="3" fontId="55" fillId="0" borderId="11" xfId="0" applyNumberFormat="1" applyFont="1" applyBorder="1" applyAlignment="1">
      <alignment horizontal="center" vertical="center" wrapText="1"/>
    </xf>
    <xf numFmtId="3" fontId="15" fillId="0" borderId="11" xfId="0" applyNumberFormat="1" applyFont="1" applyBorder="1" applyAlignment="1">
      <alignment horizontal="center" vertical="center" wrapText="1"/>
    </xf>
    <xf numFmtId="41" fontId="15" fillId="27" borderId="11" xfId="0" applyNumberFormat="1" applyFont="1" applyFill="1" applyBorder="1" applyAlignment="1">
      <alignment horizontal="center" vertical="center"/>
    </xf>
    <xf numFmtId="0" fontId="15" fillId="0" borderId="49" xfId="0" applyFont="1" applyBorder="1" applyAlignment="1">
      <alignment horizontal="center" vertical="center"/>
    </xf>
    <xf numFmtId="0" fontId="15" fillId="30" borderId="49" xfId="0" applyFont="1" applyFill="1" applyBorder="1" applyAlignment="1">
      <alignment horizontal="center" vertical="center"/>
    </xf>
    <xf numFmtId="0" fontId="55" fillId="0" borderId="2" xfId="0" applyFont="1" applyBorder="1" applyAlignment="1">
      <alignment horizontal="left" vertical="center"/>
    </xf>
    <xf numFmtId="41" fontId="9" fillId="21" borderId="50" xfId="0" applyNumberFormat="1" applyFont="1" applyFill="1" applyBorder="1" applyAlignment="1">
      <alignment vertical="center"/>
    </xf>
    <xf numFmtId="41" fontId="9" fillId="21" borderId="51" xfId="0" applyNumberFormat="1" applyFont="1" applyFill="1" applyBorder="1" applyAlignment="1">
      <alignment vertical="center"/>
    </xf>
    <xf numFmtId="41" fontId="35" fillId="0" borderId="50" xfId="0" applyNumberFormat="1" applyFont="1" applyBorder="1" applyAlignment="1">
      <alignment vertical="center"/>
    </xf>
    <xf numFmtId="41" fontId="35" fillId="30" borderId="13" xfId="0" applyNumberFormat="1" applyFont="1" applyFill="1" applyBorder="1" applyAlignment="1">
      <alignment vertical="center"/>
    </xf>
    <xf numFmtId="41" fontId="55" fillId="0" borderId="52" xfId="0" applyNumberFormat="1" applyFont="1" applyBorder="1" applyAlignment="1">
      <alignment horizontal="left" vertical="center"/>
    </xf>
    <xf numFmtId="41" fontId="9" fillId="21" borderId="53" xfId="0" applyNumberFormat="1" applyFont="1" applyFill="1" applyBorder="1" applyAlignment="1">
      <alignment vertical="center"/>
    </xf>
    <xf numFmtId="41" fontId="9" fillId="21" borderId="47" xfId="0" applyNumberFormat="1" applyFont="1" applyFill="1" applyBorder="1" applyAlignment="1">
      <alignment vertical="center"/>
    </xf>
    <xf numFmtId="9" fontId="10" fillId="0" borderId="53" xfId="0" applyNumberFormat="1" applyFont="1" applyBorder="1" applyAlignment="1">
      <alignment vertical="center"/>
    </xf>
    <xf numFmtId="41" fontId="10" fillId="30" borderId="16" xfId="0" applyNumberFormat="1" applyFont="1" applyFill="1" applyBorder="1" applyAlignment="1">
      <alignment vertical="center"/>
    </xf>
    <xf numFmtId="41" fontId="55" fillId="0" borderId="54" xfId="0" applyNumberFormat="1" applyFont="1" applyBorder="1" applyAlignment="1">
      <alignment horizontal="left" vertical="center"/>
    </xf>
    <xf numFmtId="41" fontId="35" fillId="0" borderId="53" xfId="0" applyNumberFormat="1" applyFont="1" applyBorder="1" applyAlignment="1">
      <alignment vertical="center"/>
    </xf>
    <xf numFmtId="41" fontId="35" fillId="30" borderId="16" xfId="0" applyNumberFormat="1" applyFont="1" applyFill="1" applyBorder="1" applyAlignment="1">
      <alignment vertical="center"/>
    </xf>
    <xf numFmtId="41" fontId="10" fillId="0" borderId="53" xfId="0" applyNumberFormat="1" applyFont="1" applyBorder="1" applyAlignment="1">
      <alignment vertical="center"/>
    </xf>
    <xf numFmtId="41" fontId="9" fillId="21" borderId="55" xfId="0" applyNumberFormat="1" applyFont="1" applyFill="1" applyBorder="1" applyAlignment="1">
      <alignment vertical="center"/>
    </xf>
    <xf numFmtId="41" fontId="9" fillId="21" borderId="56" xfId="0" applyNumberFormat="1" applyFont="1" applyFill="1" applyBorder="1" applyAlignment="1">
      <alignment vertical="center"/>
    </xf>
    <xf numFmtId="9" fontId="10" fillId="0" borderId="55" xfId="0" applyNumberFormat="1" applyFont="1" applyBorder="1" applyAlignment="1">
      <alignment vertical="center"/>
    </xf>
    <xf numFmtId="41" fontId="55" fillId="0" borderId="57" xfId="0" applyNumberFormat="1" applyFont="1" applyBorder="1" applyAlignment="1">
      <alignment horizontal="left" vertical="center"/>
    </xf>
    <xf numFmtId="41" fontId="35" fillId="0" borderId="49" xfId="0" applyNumberFormat="1" applyFont="1" applyBorder="1" applyAlignment="1">
      <alignment vertical="center"/>
    </xf>
    <xf numFmtId="41" fontId="35" fillId="30" borderId="11" xfId="0" applyNumberFormat="1" applyFont="1" applyFill="1" applyBorder="1" applyAlignment="1">
      <alignment vertical="center"/>
    </xf>
    <xf numFmtId="41" fontId="55" fillId="0" borderId="58" xfId="0" applyNumberFormat="1" applyFont="1" applyBorder="1" applyAlignment="1">
      <alignment horizontal="left" vertical="center"/>
    </xf>
    <xf numFmtId="41" fontId="9" fillId="22" borderId="28" xfId="0" applyNumberFormat="1" applyFont="1" applyFill="1" applyBorder="1" applyAlignment="1">
      <alignment horizontal="left" vertical="center"/>
    </xf>
    <xf numFmtId="41" fontId="9" fillId="22" borderId="59" xfId="0" applyNumberFormat="1" applyFont="1" applyFill="1" applyBorder="1" applyAlignment="1">
      <alignment vertical="center"/>
    </xf>
    <xf numFmtId="41" fontId="10" fillId="0" borderId="49" xfId="0" applyNumberFormat="1" applyFont="1" applyBorder="1" applyAlignment="1">
      <alignment vertical="center"/>
    </xf>
    <xf numFmtId="41" fontId="10" fillId="30" borderId="11" xfId="0" applyNumberFormat="1" applyFont="1" applyFill="1" applyBorder="1" applyAlignment="1">
      <alignment vertical="center"/>
    </xf>
    <xf numFmtId="41" fontId="10" fillId="0" borderId="32" xfId="0" applyNumberFormat="1" applyFont="1" applyBorder="1" applyAlignment="1">
      <alignment horizontal="left" vertical="top"/>
    </xf>
    <xf numFmtId="0" fontId="15" fillId="0" borderId="11" xfId="0" applyFont="1" applyBorder="1" applyAlignment="1">
      <alignment horizontal="center" vertical="center" wrapText="1"/>
    </xf>
    <xf numFmtId="0" fontId="15" fillId="13" borderId="11" xfId="0" applyFont="1" applyFill="1" applyBorder="1" applyAlignment="1">
      <alignment horizontal="center" vertical="center" wrapText="1"/>
    </xf>
    <xf numFmtId="0" fontId="15" fillId="6" borderId="11" xfId="0" applyFont="1" applyFill="1" applyBorder="1" applyAlignment="1">
      <alignment horizontal="center" vertical="center" wrapText="1"/>
    </xf>
    <xf numFmtId="0" fontId="102" fillId="25" borderId="11" xfId="0" applyFont="1" applyFill="1" applyBorder="1" applyAlignment="1">
      <alignment horizontal="center" vertical="center" wrapText="1"/>
    </xf>
    <xf numFmtId="41" fontId="38" fillId="0" borderId="1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right" vertical="center"/>
    </xf>
    <xf numFmtId="175" fontId="36" fillId="0" borderId="0" xfId="0" applyNumberFormat="1" applyFont="1" applyAlignment="1">
      <alignment horizontal="left" vertical="center"/>
    </xf>
    <xf numFmtId="41" fontId="27" fillId="0" borderId="0" xfId="0" applyNumberFormat="1" applyFont="1" applyAlignment="1">
      <alignment horizontal="left"/>
    </xf>
    <xf numFmtId="0" fontId="27" fillId="0" borderId="0" xfId="0" applyFont="1" applyAlignment="1">
      <alignment vertical="top"/>
    </xf>
    <xf numFmtId="0" fontId="27" fillId="27" borderId="20" xfId="0" applyFont="1" applyFill="1" applyBorder="1" applyAlignment="1">
      <alignment vertical="top"/>
    </xf>
    <xf numFmtId="174" fontId="12" fillId="6" borderId="60" xfId="0" applyNumberFormat="1" applyFont="1" applyFill="1" applyBorder="1" applyAlignment="1">
      <alignment horizontal="left" vertical="top"/>
    </xf>
    <xf numFmtId="174" fontId="27" fillId="6" borderId="0" xfId="0" applyNumberFormat="1" applyFont="1" applyFill="1" applyAlignment="1">
      <alignment horizontal="left" vertical="top"/>
    </xf>
    <xf numFmtId="174" fontId="63" fillId="14" borderId="61" xfId="0" applyNumberFormat="1" applyFont="1" applyFill="1" applyBorder="1" applyAlignment="1">
      <alignment horizontal="left" vertical="top"/>
    </xf>
    <xf numFmtId="174" fontId="27" fillId="0" borderId="0" xfId="0" applyNumberFormat="1" applyFont="1" applyAlignment="1">
      <alignment horizontal="left" vertical="top"/>
    </xf>
    <xf numFmtId="3" fontId="36" fillId="0" borderId="0" xfId="0" applyNumberFormat="1" applyFont="1" applyAlignment="1">
      <alignment vertical="top"/>
    </xf>
    <xf numFmtId="41" fontId="36" fillId="0" borderId="0" xfId="0" applyNumberFormat="1" applyFont="1" applyAlignment="1">
      <alignment vertical="top"/>
    </xf>
    <xf numFmtId="3" fontId="15" fillId="0" borderId="0" xfId="0" applyNumberFormat="1" applyFont="1" applyAlignment="1">
      <alignment vertical="top"/>
    </xf>
    <xf numFmtId="3" fontId="55" fillId="0" borderId="0" xfId="0" applyNumberFormat="1" applyFont="1" applyAlignment="1">
      <alignment horizontal="left" vertical="top"/>
    </xf>
    <xf numFmtId="0" fontId="15" fillId="17" borderId="11" xfId="0" applyFont="1" applyFill="1" applyBorder="1" applyAlignment="1">
      <alignment horizontal="center" vertical="center" wrapText="1"/>
    </xf>
    <xf numFmtId="3" fontId="9" fillId="0" borderId="11" xfId="0" applyNumberFormat="1" applyFont="1" applyBorder="1" applyAlignment="1">
      <alignment horizontal="left" vertical="top"/>
    </xf>
    <xf numFmtId="0" fontId="9" fillId="13" borderId="11" xfId="0" applyFont="1" applyFill="1" applyBorder="1" applyAlignment="1">
      <alignment horizontal="left" vertical="top" wrapText="1"/>
    </xf>
    <xf numFmtId="41" fontId="35" fillId="0" borderId="62" xfId="0" applyNumberFormat="1" applyFont="1" applyBorder="1" applyAlignment="1">
      <alignment vertical="center" wrapText="1"/>
    </xf>
    <xf numFmtId="41" fontId="35" fillId="0" borderId="13" xfId="0" applyNumberFormat="1" applyFont="1" applyBorder="1" applyAlignment="1">
      <alignment vertical="center" wrapText="1"/>
    </xf>
    <xf numFmtId="41" fontId="10" fillId="21" borderId="46" xfId="0" applyNumberFormat="1" applyFont="1" applyFill="1" applyBorder="1" applyAlignment="1">
      <alignment vertical="center" wrapText="1"/>
    </xf>
    <xf numFmtId="41" fontId="35" fillId="0" borderId="46" xfId="0" applyNumberFormat="1" applyFont="1" applyBorder="1" applyAlignment="1">
      <alignment vertical="center" wrapText="1"/>
    </xf>
    <xf numFmtId="41" fontId="35" fillId="0" borderId="16" xfId="0" applyNumberFormat="1" applyFont="1" applyBorder="1" applyAlignment="1">
      <alignment vertical="center" wrapText="1"/>
    </xf>
    <xf numFmtId="41" fontId="10" fillId="0" borderId="46" xfId="0" applyNumberFormat="1" applyFont="1" applyBorder="1" applyAlignment="1">
      <alignment vertical="center" wrapText="1"/>
    </xf>
    <xf numFmtId="41" fontId="10" fillId="0" borderId="16" xfId="0" applyNumberFormat="1" applyFont="1" applyBorder="1" applyAlignment="1">
      <alignment vertical="center" wrapText="1"/>
    </xf>
    <xf numFmtId="1" fontId="10" fillId="0" borderId="16" xfId="0" applyNumberFormat="1" applyFont="1" applyBorder="1" applyAlignment="1">
      <alignment vertical="center" wrapText="1"/>
    </xf>
    <xf numFmtId="41" fontId="35" fillId="0" borderId="46" xfId="0" applyNumberFormat="1" applyFont="1" applyBorder="1" applyAlignment="1">
      <alignment horizontal="right" vertical="center" wrapText="1"/>
    </xf>
    <xf numFmtId="41" fontId="10" fillId="0" borderId="63" xfId="0" applyNumberFormat="1" applyFont="1" applyBorder="1" applyAlignment="1">
      <alignment vertical="center" wrapText="1"/>
    </xf>
    <xf numFmtId="41" fontId="10" fillId="0" borderId="22" xfId="0" applyNumberFormat="1" applyFont="1" applyBorder="1" applyAlignment="1">
      <alignment vertical="center" wrapText="1"/>
    </xf>
    <xf numFmtId="41" fontId="39" fillId="0" borderId="42" xfId="0" applyNumberFormat="1" applyFont="1" applyBorder="1" applyAlignment="1">
      <alignment vertical="center" wrapText="1"/>
    </xf>
    <xf numFmtId="41" fontId="35" fillId="0" borderId="42" xfId="0" applyNumberFormat="1" applyFont="1" applyBorder="1" applyAlignment="1">
      <alignment vertical="center" wrapText="1"/>
    </xf>
    <xf numFmtId="0" fontId="105" fillId="16" borderId="16" xfId="0" applyFont="1" applyFill="1" applyBorder="1" applyAlignment="1">
      <alignment horizontal="right" vertical="center"/>
    </xf>
    <xf numFmtId="41" fontId="105" fillId="16" borderId="16" xfId="0" applyNumberFormat="1" applyFont="1" applyFill="1" applyBorder="1" applyAlignment="1">
      <alignment horizontal="center" vertical="center"/>
    </xf>
    <xf numFmtId="41" fontId="24" fillId="2" borderId="8" xfId="0" applyNumberFormat="1" applyFont="1" applyFill="1" applyBorder="1" applyAlignment="1">
      <alignment horizontal="center" vertical="center"/>
    </xf>
    <xf numFmtId="0" fontId="27" fillId="0" borderId="14" xfId="0" applyFont="1" applyBorder="1" applyAlignment="1">
      <alignment vertical="top"/>
    </xf>
    <xf numFmtId="41" fontId="15" fillId="36" borderId="9" xfId="0" applyNumberFormat="1" applyFont="1" applyFill="1" applyBorder="1" applyAlignment="1">
      <alignment horizontal="center" vertical="center"/>
    </xf>
    <xf numFmtId="41" fontId="15" fillId="36" borderId="11" xfId="0" applyNumberFormat="1" applyFont="1" applyFill="1" applyBorder="1" applyAlignment="1">
      <alignment horizontal="center" vertical="center"/>
    </xf>
    <xf numFmtId="41" fontId="24" fillId="2" borderId="14" xfId="0" applyNumberFormat="1" applyFont="1" applyFill="1" applyBorder="1" applyAlignment="1">
      <alignment horizontal="centerContinuous" vertical="center"/>
    </xf>
    <xf numFmtId="41" fontId="24" fillId="2" borderId="37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Continuous" vertical="center"/>
    </xf>
    <xf numFmtId="41" fontId="24" fillId="2" borderId="20" xfId="0" applyNumberFormat="1" applyFont="1" applyFill="1" applyBorder="1" applyAlignment="1">
      <alignment horizontal="center" vertical="center"/>
    </xf>
    <xf numFmtId="41" fontId="24" fillId="2" borderId="26" xfId="0" applyNumberFormat="1" applyFont="1" applyFill="1" applyBorder="1" applyAlignment="1">
      <alignment horizontal="centerContinuous" vertical="center"/>
    </xf>
    <xf numFmtId="3" fontId="24" fillId="2" borderId="37" xfId="0" applyNumberFormat="1" applyFont="1" applyFill="1" applyBorder="1" applyAlignment="1">
      <alignment horizontal="center" vertical="center" wrapText="1"/>
    </xf>
    <xf numFmtId="3" fontId="24" fillId="2" borderId="41" xfId="0" applyNumberFormat="1" applyFont="1" applyFill="1" applyBorder="1" applyAlignment="1">
      <alignment horizontal="center" vertical="center"/>
    </xf>
    <xf numFmtId="3" fontId="96" fillId="2" borderId="8" xfId="0" applyNumberFormat="1" applyFont="1" applyFill="1" applyBorder="1" applyAlignment="1">
      <alignment horizontal="center" vertical="center" wrapText="1"/>
    </xf>
    <xf numFmtId="39" fontId="5" fillId="0" borderId="0" xfId="0" applyNumberFormat="1" applyFont="1" applyAlignment="1">
      <alignment vertical="top"/>
    </xf>
    <xf numFmtId="0" fontId="106" fillId="9" borderId="16" xfId="0" applyFont="1" applyFill="1" applyBorder="1" applyAlignment="1">
      <alignment horizontal="right" vertical="center"/>
    </xf>
    <xf numFmtId="41" fontId="106" fillId="9" borderId="16" xfId="0" applyNumberFormat="1" applyFont="1" applyFill="1" applyBorder="1" applyAlignment="1">
      <alignment horizontal="center" vertical="center"/>
    </xf>
    <xf numFmtId="174" fontId="12" fillId="6" borderId="64" xfId="0" applyNumberFormat="1" applyFont="1" applyFill="1" applyBorder="1" applyAlignment="1">
      <alignment horizontal="left" vertical="top"/>
    </xf>
    <xf numFmtId="167" fontId="10" fillId="21" borderId="16" xfId="0" applyNumberFormat="1" applyFont="1" applyFill="1" applyBorder="1" applyAlignment="1">
      <alignment vertical="center" wrapText="1"/>
    </xf>
    <xf numFmtId="41" fontId="107" fillId="0" borderId="31" xfId="0" applyNumberFormat="1" applyFont="1" applyBorder="1" applyAlignment="1">
      <alignment vertical="center"/>
    </xf>
    <xf numFmtId="3" fontId="35" fillId="0" borderId="11" xfId="0" applyNumberFormat="1" applyFont="1" applyBorder="1" applyAlignment="1">
      <alignment vertical="center"/>
    </xf>
    <xf numFmtId="0" fontId="15" fillId="14" borderId="16" xfId="0" applyFont="1" applyFill="1" applyBorder="1" applyAlignment="1">
      <alignment horizontal="center" vertical="top"/>
    </xf>
    <xf numFmtId="0" fontId="108" fillId="14" borderId="16" xfId="0" applyFont="1" applyFill="1" applyBorder="1" applyAlignment="1">
      <alignment horizontal="center" vertical="top"/>
    </xf>
    <xf numFmtId="0" fontId="90" fillId="14" borderId="16" xfId="0" applyFont="1" applyFill="1" applyBorder="1" applyAlignment="1">
      <alignment horizontal="left" vertical="top"/>
    </xf>
    <xf numFmtId="167" fontId="10" fillId="0" borderId="0" xfId="0" applyNumberFormat="1" applyFont="1" applyAlignment="1">
      <alignment horizontal="left" vertical="top"/>
    </xf>
    <xf numFmtId="0" fontId="37" fillId="14" borderId="16" xfId="0" applyFont="1" applyFill="1" applyBorder="1" applyAlignment="1">
      <alignment horizontal="right"/>
    </xf>
    <xf numFmtId="0" fontId="0" fillId="0" borderId="0" xfId="0" applyAlignment="1">
      <alignment horizontal="left" vertical="top"/>
    </xf>
    <xf numFmtId="1" fontId="101" fillId="0" borderId="0" xfId="0" applyNumberFormat="1" applyFont="1" applyAlignment="1">
      <alignment horizontal="left" vertical="top"/>
    </xf>
    <xf numFmtId="0" fontId="109" fillId="0" borderId="0" xfId="0" applyFont="1" applyAlignment="1">
      <alignment horizontal="left" vertical="top"/>
    </xf>
    <xf numFmtId="174" fontId="99" fillId="0" borderId="0" xfId="0" applyNumberFormat="1" applyFont="1" applyAlignment="1">
      <alignment horizontal="left" vertical="top"/>
    </xf>
    <xf numFmtId="0" fontId="105" fillId="13" borderId="16" xfId="0" applyFont="1" applyFill="1" applyBorder="1" applyAlignment="1">
      <alignment horizontal="right"/>
    </xf>
    <xf numFmtId="0" fontId="105" fillId="13" borderId="22" xfId="0" applyFont="1" applyFill="1" applyBorder="1" applyAlignment="1">
      <alignment horizontal="right"/>
    </xf>
    <xf numFmtId="0" fontId="38" fillId="6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right" vertical="center"/>
    </xf>
    <xf numFmtId="41" fontId="10" fillId="0" borderId="21" xfId="0" applyNumberFormat="1" applyFont="1" applyBorder="1" applyAlignment="1">
      <alignment horizontal="left" vertical="top"/>
    </xf>
    <xf numFmtId="41" fontId="22" fillId="0" borderId="0" xfId="0" applyNumberFormat="1" applyFont="1" applyAlignment="1">
      <alignment horizontal="left" vertical="top"/>
    </xf>
    <xf numFmtId="0" fontId="22" fillId="0" borderId="11" xfId="0" applyFont="1" applyBorder="1" applyAlignment="1">
      <alignment horizontal="left" vertical="top"/>
    </xf>
    <xf numFmtId="41" fontId="35" fillId="0" borderId="11" xfId="0" applyNumberFormat="1" applyFont="1" applyBorder="1" applyAlignment="1">
      <alignment vertical="top"/>
    </xf>
    <xf numFmtId="0" fontId="10" fillId="28" borderId="0" xfId="0" applyFont="1" applyFill="1" applyAlignment="1">
      <alignment horizontal="center" vertical="center"/>
    </xf>
    <xf numFmtId="41" fontId="106" fillId="0" borderId="16" xfId="0" applyNumberFormat="1" applyFont="1" applyBorder="1" applyAlignment="1">
      <alignment horizontal="left" vertical="top"/>
    </xf>
    <xf numFmtId="41" fontId="106" fillId="0" borderId="22" xfId="0" applyNumberFormat="1" applyFont="1" applyBorder="1" applyAlignment="1">
      <alignment horizontal="left" vertical="top"/>
    </xf>
    <xf numFmtId="41" fontId="107" fillId="0" borderId="0" xfId="0" applyNumberFormat="1" applyFont="1" applyAlignment="1">
      <alignment vertical="center"/>
    </xf>
    <xf numFmtId="41" fontId="98" fillId="0" borderId="0" xfId="0" applyNumberFormat="1" applyFont="1" applyAlignment="1">
      <alignment vertical="center"/>
    </xf>
    <xf numFmtId="41" fontId="98" fillId="0" borderId="0" xfId="0" applyNumberFormat="1" applyFont="1"/>
    <xf numFmtId="0" fontId="110" fillId="14" borderId="16" xfId="0" applyFont="1" applyFill="1" applyBorder="1" applyAlignment="1">
      <alignment horizontal="left" vertical="top"/>
    </xf>
    <xf numFmtId="0" fontId="27" fillId="34" borderId="16" xfId="0" applyFont="1" applyFill="1" applyBorder="1" applyAlignment="1">
      <alignment horizontal="right" vertical="center"/>
    </xf>
    <xf numFmtId="41" fontId="86" fillId="0" borderId="0" xfId="0" applyNumberFormat="1" applyFont="1" applyAlignment="1">
      <alignment horizontal="center" vertical="top"/>
    </xf>
    <xf numFmtId="3" fontId="82" fillId="0" borderId="0" xfId="0" applyNumberFormat="1" applyFont="1" applyAlignment="1">
      <alignment horizontal="right" vertical="top"/>
    </xf>
    <xf numFmtId="41" fontId="105" fillId="12" borderId="16" xfId="0" applyNumberFormat="1" applyFont="1" applyFill="1" applyBorder="1" applyAlignment="1">
      <alignment horizontal="center" vertical="center"/>
    </xf>
    <xf numFmtId="172" fontId="5" fillId="0" borderId="0" xfId="0" applyNumberFormat="1" applyFont="1" applyAlignment="1">
      <alignment vertical="top"/>
    </xf>
    <xf numFmtId="1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1" fillId="0" borderId="0" xfId="0" applyFont="1" applyAlignment="1">
      <alignment horizontal="center" vertical="top"/>
    </xf>
    <xf numFmtId="0" fontId="113" fillId="0" borderId="0" xfId="0" applyFont="1" applyAlignment="1">
      <alignment horizontal="center" vertical="center"/>
    </xf>
    <xf numFmtId="1" fontId="11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3" fontId="5" fillId="0" borderId="0" xfId="0" applyNumberFormat="1" applyFont="1" applyAlignment="1">
      <alignment vertical="top"/>
    </xf>
    <xf numFmtId="3" fontId="38" fillId="0" borderId="16" xfId="0" applyNumberFormat="1" applyFont="1" applyBorder="1" applyAlignment="1">
      <alignment horizontal="center" vertical="center"/>
    </xf>
    <xf numFmtId="3" fontId="38" fillId="0" borderId="18" xfId="0" applyNumberFormat="1" applyFont="1" applyBorder="1" applyAlignment="1">
      <alignment horizontal="center" vertical="center"/>
    </xf>
    <xf numFmtId="0" fontId="94" fillId="0" borderId="4" xfId="0" applyFont="1" applyBorder="1" applyAlignment="1">
      <alignment horizontal="left" vertical="center"/>
    </xf>
    <xf numFmtId="0" fontId="112" fillId="0" borderId="0" xfId="0" applyFont="1" applyAlignment="1">
      <alignment vertical="top"/>
    </xf>
    <xf numFmtId="4" fontId="112" fillId="0" borderId="0" xfId="0" applyNumberFormat="1" applyFont="1" applyAlignment="1">
      <alignment vertical="top"/>
    </xf>
    <xf numFmtId="11" fontId="112" fillId="0" borderId="0" xfId="0" applyNumberFormat="1" applyFont="1" applyAlignment="1">
      <alignment vertical="top"/>
    </xf>
    <xf numFmtId="0" fontId="83" fillId="0" borderId="0" xfId="0" applyFont="1" applyAlignment="1">
      <alignment vertical="top"/>
    </xf>
    <xf numFmtId="3" fontId="102" fillId="0" borderId="0" xfId="0" applyNumberFormat="1" applyFont="1" applyAlignment="1">
      <alignment horizontal="left" vertical="top"/>
    </xf>
    <xf numFmtId="4" fontId="22" fillId="0" borderId="0" xfId="0" applyNumberFormat="1" applyFont="1" applyAlignment="1">
      <alignment vertical="top"/>
    </xf>
    <xf numFmtId="176" fontId="22" fillId="0" borderId="0" xfId="0" applyNumberFormat="1" applyFont="1" applyAlignment="1">
      <alignment vertical="top"/>
    </xf>
    <xf numFmtId="177" fontId="93" fillId="0" borderId="21" xfId="0" applyNumberFormat="1" applyFont="1" applyBorder="1" applyAlignment="1">
      <alignment horizontal="center" vertical="center"/>
    </xf>
    <xf numFmtId="0" fontId="82" fillId="0" borderId="0" xfId="0" applyFont="1" applyAlignment="1">
      <alignment horizontal="left" vertical="top"/>
    </xf>
    <xf numFmtId="3" fontId="114" fillId="0" borderId="41" xfId="0" applyNumberFormat="1" applyFont="1" applyBorder="1" applyAlignment="1">
      <alignment horizontal="left" vertical="top"/>
    </xf>
    <xf numFmtId="0" fontId="114" fillId="0" borderId="41" xfId="0" applyFont="1" applyBorder="1" applyAlignment="1">
      <alignment horizontal="center" vertical="center"/>
    </xf>
    <xf numFmtId="0" fontId="115" fillId="0" borderId="41" xfId="0" applyFont="1" applyBorder="1" applyAlignment="1">
      <alignment horizontal="left" vertical="top"/>
    </xf>
    <xf numFmtId="41" fontId="114" fillId="0" borderId="41" xfId="0" applyNumberFormat="1" applyFont="1" applyBorder="1" applyAlignment="1">
      <alignment horizontal="left" vertical="top"/>
    </xf>
    <xf numFmtId="41" fontId="115" fillId="0" borderId="41" xfId="0" applyNumberFormat="1" applyFont="1" applyBorder="1" applyAlignment="1">
      <alignment horizontal="left" vertical="top"/>
    </xf>
    <xf numFmtId="0" fontId="115" fillId="0" borderId="41" xfId="0" applyFont="1" applyBorder="1" applyAlignment="1">
      <alignment horizontal="right" vertical="top"/>
    </xf>
    <xf numFmtId="0" fontId="115" fillId="0" borderId="41" xfId="0" applyFont="1" applyBorder="1" applyAlignment="1">
      <alignment horizontal="left" vertical="center"/>
    </xf>
    <xf numFmtId="0" fontId="116" fillId="0" borderId="41" xfId="0" applyFont="1" applyBorder="1" applyAlignment="1">
      <alignment horizontal="left"/>
    </xf>
    <xf numFmtId="3" fontId="117" fillId="0" borderId="41" xfId="0" applyNumberFormat="1" applyFont="1" applyBorder="1" applyAlignment="1">
      <alignment horizontal="left" vertical="top"/>
    </xf>
    <xf numFmtId="0" fontId="114" fillId="0" borderId="41" xfId="0" applyFont="1" applyBorder="1" applyAlignment="1">
      <alignment horizontal="left" vertical="top"/>
    </xf>
    <xf numFmtId="167" fontId="109" fillId="14" borderId="11" xfId="2" applyNumberFormat="1" applyFont="1" applyFill="1" applyBorder="1" applyAlignment="1">
      <alignment vertical="center"/>
    </xf>
    <xf numFmtId="174" fontId="115" fillId="14" borderId="11" xfId="0" applyNumberFormat="1" applyFont="1" applyFill="1" applyBorder="1" applyAlignment="1">
      <alignment vertical="top"/>
    </xf>
    <xf numFmtId="167" fontId="117" fillId="0" borderId="41" xfId="2" applyNumberFormat="1" applyFont="1" applyFill="1" applyBorder="1" applyAlignment="1">
      <alignment horizontal="left" vertical="top"/>
    </xf>
    <xf numFmtId="0" fontId="118" fillId="0" borderId="0" xfId="0" applyFont="1" applyAlignment="1">
      <alignment horizontal="left"/>
    </xf>
    <xf numFmtId="0" fontId="118" fillId="0" borderId="0" xfId="0" applyFont="1" applyAlignment="1">
      <alignment horizontal="left" vertical="center"/>
    </xf>
    <xf numFmtId="0" fontId="116" fillId="0" borderId="41" xfId="0" applyFont="1" applyBorder="1" applyAlignment="1">
      <alignment horizontal="left" vertical="center"/>
    </xf>
    <xf numFmtId="169" fontId="119" fillId="0" borderId="0" xfId="0" applyNumberFormat="1" applyFont="1" applyAlignment="1">
      <alignment horizontal="left" vertical="center"/>
    </xf>
    <xf numFmtId="0" fontId="120" fillId="0" borderId="41" xfId="0" applyFont="1" applyBorder="1" applyAlignment="1">
      <alignment horizontal="left" vertical="center"/>
    </xf>
    <xf numFmtId="41" fontId="118" fillId="0" borderId="0" xfId="0" applyNumberFormat="1" applyFont="1" applyAlignment="1">
      <alignment horizontal="left" vertical="center"/>
    </xf>
    <xf numFmtId="0" fontId="118" fillId="0" borderId="40" xfId="0" applyFont="1" applyBorder="1" applyAlignment="1">
      <alignment horizontal="left" vertical="center"/>
    </xf>
    <xf numFmtId="41" fontId="118" fillId="0" borderId="40" xfId="0" applyNumberFormat="1" applyFont="1" applyBorder="1" applyAlignment="1">
      <alignment horizontal="left"/>
    </xf>
    <xf numFmtId="41" fontId="118" fillId="0" borderId="0" xfId="0" applyNumberFormat="1" applyFont="1" applyAlignment="1">
      <alignment horizontal="center" vertical="center"/>
    </xf>
    <xf numFmtId="0" fontId="116" fillId="0" borderId="41" xfId="0" applyFont="1" applyBorder="1" applyAlignment="1">
      <alignment horizontal="center" vertical="center"/>
    </xf>
    <xf numFmtId="41" fontId="118" fillId="0" borderId="0" xfId="0" applyNumberFormat="1" applyFont="1" applyAlignment="1">
      <alignment horizontal="left"/>
    </xf>
    <xf numFmtId="41" fontId="118" fillId="0" borderId="40" xfId="0" applyNumberFormat="1" applyFont="1" applyBorder="1" applyAlignment="1">
      <alignment horizontal="left" vertical="center"/>
    </xf>
    <xf numFmtId="41" fontId="114" fillId="0" borderId="40" xfId="0" applyNumberFormat="1" applyFont="1" applyBorder="1" applyAlignment="1">
      <alignment horizontal="left"/>
    </xf>
    <xf numFmtId="0" fontId="115" fillId="0" borderId="41" xfId="0" applyFont="1" applyBorder="1" applyAlignment="1">
      <alignment horizontal="left"/>
    </xf>
    <xf numFmtId="41" fontId="116" fillId="0" borderId="40" xfId="0" applyNumberFormat="1" applyFont="1" applyBorder="1" applyAlignment="1">
      <alignment horizontal="left"/>
    </xf>
    <xf numFmtId="41" fontId="118" fillId="0" borderId="40" xfId="0" applyNumberFormat="1" applyFont="1" applyBorder="1" applyAlignment="1">
      <alignment horizontal="center"/>
    </xf>
    <xf numFmtId="0" fontId="116" fillId="0" borderId="41" xfId="0" applyFont="1" applyBorder="1" applyAlignment="1">
      <alignment horizontal="center"/>
    </xf>
    <xf numFmtId="0" fontId="99" fillId="0" borderId="0" xfId="0" applyFont="1"/>
    <xf numFmtId="0" fontId="102" fillId="0" borderId="0" xfId="0" applyFont="1" applyAlignment="1">
      <alignment horizontal="left" vertical="top"/>
    </xf>
    <xf numFmtId="167" fontId="102" fillId="0" borderId="0" xfId="0" applyNumberFormat="1" applyFont="1" applyAlignment="1">
      <alignment horizontal="left" vertical="top"/>
    </xf>
    <xf numFmtId="174" fontId="105" fillId="0" borderId="0" xfId="0" applyNumberFormat="1" applyFont="1" applyAlignment="1">
      <alignment horizontal="left" vertical="top"/>
    </xf>
    <xf numFmtId="167" fontId="105" fillId="0" borderId="0" xfId="0" applyNumberFormat="1" applyFont="1" applyAlignment="1">
      <alignment horizontal="left" vertical="top"/>
    </xf>
    <xf numFmtId="0" fontId="105" fillId="0" borderId="0" xfId="0" applyFont="1" applyAlignment="1">
      <alignment horizontal="left" vertical="top"/>
    </xf>
    <xf numFmtId="3" fontId="109" fillId="0" borderId="14" xfId="0" applyNumberFormat="1" applyFont="1" applyBorder="1" applyAlignment="1">
      <alignment horizontal="left" vertical="top"/>
    </xf>
    <xf numFmtId="3" fontId="109" fillId="0" borderId="0" xfId="0" applyNumberFormat="1" applyFont="1" applyAlignment="1">
      <alignment horizontal="left" vertical="top"/>
    </xf>
    <xf numFmtId="0" fontId="121" fillId="0" borderId="0" xfId="0" applyFont="1" applyAlignment="1">
      <alignment horizontal="center" vertical="center"/>
    </xf>
    <xf numFmtId="0" fontId="121" fillId="0" borderId="40" xfId="0" applyFont="1" applyBorder="1" applyAlignment="1">
      <alignment horizontal="center" vertical="center"/>
    </xf>
    <xf numFmtId="41" fontId="122" fillId="0" borderId="40" xfId="0" applyNumberFormat="1" applyFont="1" applyBorder="1" applyAlignment="1">
      <alignment horizontal="left" vertical="top"/>
    </xf>
    <xf numFmtId="41" fontId="109" fillId="0" borderId="0" xfId="0" applyNumberFormat="1" applyFont="1" applyAlignment="1">
      <alignment horizontal="left" vertical="top"/>
    </xf>
    <xf numFmtId="41" fontId="99" fillId="0" borderId="0" xfId="0" applyNumberFormat="1" applyFont="1" applyAlignment="1">
      <alignment horizontal="left" vertical="top"/>
    </xf>
    <xf numFmtId="0" fontId="109" fillId="0" borderId="0" xfId="0" applyFont="1" applyAlignment="1">
      <alignment horizontal="center" vertical="center"/>
    </xf>
    <xf numFmtId="0" fontId="109" fillId="0" borderId="40" xfId="0" applyFont="1" applyBorder="1" applyAlignment="1">
      <alignment horizontal="center" vertical="center"/>
    </xf>
    <xf numFmtId="41" fontId="114" fillId="0" borderId="40" xfId="0" applyNumberFormat="1" applyFont="1" applyBorder="1" applyAlignment="1">
      <alignment horizontal="left" vertical="center"/>
    </xf>
    <xf numFmtId="41" fontId="122" fillId="0" borderId="40" xfId="0" applyNumberFormat="1" applyFont="1" applyBorder="1" applyAlignment="1">
      <alignment horizontal="left" vertical="center"/>
    </xf>
    <xf numFmtId="41" fontId="109" fillId="0" borderId="40" xfId="0" applyNumberFormat="1" applyFont="1" applyBorder="1" applyAlignment="1">
      <alignment horizontal="left" vertical="top"/>
    </xf>
    <xf numFmtId="3" fontId="123" fillId="0" borderId="0" xfId="0" applyNumberFormat="1" applyFont="1" applyAlignment="1">
      <alignment horizontal="left" vertical="top"/>
    </xf>
    <xf numFmtId="167" fontId="123" fillId="0" borderId="0" xfId="2" applyNumberFormat="1" applyFont="1" applyFill="1" applyBorder="1" applyAlignment="1">
      <alignment horizontal="left" vertical="top"/>
    </xf>
    <xf numFmtId="0" fontId="99" fillId="0" borderId="0" xfId="0" applyFont="1" applyAlignment="1">
      <alignment horizontal="left" vertical="top"/>
    </xf>
    <xf numFmtId="41" fontId="10" fillId="0" borderId="9" xfId="0" applyNumberFormat="1" applyFont="1" applyBorder="1" applyAlignment="1">
      <alignment horizontal="left" vertical="top"/>
    </xf>
    <xf numFmtId="41" fontId="35" fillId="0" borderId="0" xfId="0" applyNumberFormat="1" applyFont="1" applyAlignment="1">
      <alignment horizontal="left" vertical="top" wrapText="1"/>
    </xf>
    <xf numFmtId="0" fontId="22" fillId="0" borderId="42" xfId="0" applyFont="1" applyBorder="1" applyAlignment="1">
      <alignment horizontal="left" vertical="top"/>
    </xf>
    <xf numFmtId="0" fontId="22" fillId="0" borderId="2" xfId="0" applyFont="1" applyBorder="1" applyAlignment="1">
      <alignment horizontal="left" vertical="top"/>
    </xf>
    <xf numFmtId="0" fontId="22" fillId="0" borderId="15" xfId="0" applyFont="1" applyBorder="1" applyAlignment="1">
      <alignment horizontal="left" vertical="top"/>
    </xf>
    <xf numFmtId="0" fontId="35" fillId="0" borderId="42" xfId="0" applyFont="1" applyBorder="1" applyAlignment="1">
      <alignment horizontal="left" vertical="top"/>
    </xf>
    <xf numFmtId="0" fontId="35" fillId="0" borderId="2" xfId="0" applyFont="1" applyBorder="1" applyAlignment="1">
      <alignment horizontal="left" vertical="top"/>
    </xf>
    <xf numFmtId="0" fontId="35" fillId="0" borderId="15" xfId="0" applyFont="1" applyBorder="1" applyAlignment="1">
      <alignment horizontal="left" vertical="top"/>
    </xf>
    <xf numFmtId="3" fontId="27" fillId="0" borderId="46" xfId="0" applyNumberFormat="1" applyFont="1" applyBorder="1" applyAlignment="1">
      <alignment horizontal="center" vertical="top"/>
    </xf>
    <xf numFmtId="3" fontId="27" fillId="0" borderId="17" xfId="0" applyNumberFormat="1" applyFont="1" applyBorder="1" applyAlignment="1">
      <alignment horizontal="center" vertical="top"/>
    </xf>
    <xf numFmtId="41" fontId="64" fillId="0" borderId="42" xfId="0" applyNumberFormat="1" applyFont="1" applyBorder="1" applyAlignment="1">
      <alignment horizontal="left" vertical="top"/>
    </xf>
    <xf numFmtId="41" fontId="64" fillId="0" borderId="15" xfId="0" applyNumberFormat="1" applyFont="1" applyBorder="1" applyAlignment="1">
      <alignment horizontal="left" vertical="top"/>
    </xf>
    <xf numFmtId="41" fontId="15" fillId="0" borderId="42" xfId="0" applyNumberFormat="1" applyFont="1" applyBorder="1" applyAlignment="1">
      <alignment horizontal="left" vertical="top"/>
    </xf>
    <xf numFmtId="41" fontId="15" fillId="0" borderId="15" xfId="0" applyNumberFormat="1" applyFont="1" applyBorder="1" applyAlignment="1">
      <alignment horizontal="left" vertical="top"/>
    </xf>
    <xf numFmtId="0" fontId="22" fillId="6" borderId="9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3" fontId="55" fillId="14" borderId="66" xfId="0" applyNumberFormat="1" applyFont="1" applyFill="1" applyBorder="1" applyAlignment="1">
      <alignment horizontal="center" vertical="top"/>
    </xf>
    <xf numFmtId="3" fontId="55" fillId="14" borderId="24" xfId="0" applyNumberFormat="1" applyFont="1" applyFill="1" applyBorder="1" applyAlignment="1">
      <alignment horizontal="center" vertical="top"/>
    </xf>
    <xf numFmtId="3" fontId="55" fillId="14" borderId="67" xfId="0" applyNumberFormat="1" applyFont="1" applyFill="1" applyBorder="1" applyAlignment="1">
      <alignment horizontal="center" vertical="top"/>
    </xf>
    <xf numFmtId="3" fontId="36" fillId="0" borderId="0" xfId="0" applyNumberFormat="1" applyFont="1" applyAlignment="1">
      <alignment horizontal="left" vertical="top"/>
    </xf>
    <xf numFmtId="41" fontId="10" fillId="0" borderId="42" xfId="0" applyNumberFormat="1" applyFont="1" applyBorder="1" applyAlignment="1">
      <alignment horizontal="left" vertical="top"/>
    </xf>
    <xf numFmtId="41" fontId="10" fillId="0" borderId="2" xfId="0" applyNumberFormat="1" applyFont="1" applyBorder="1" applyAlignment="1">
      <alignment horizontal="left" vertical="top"/>
    </xf>
    <xf numFmtId="41" fontId="10" fillId="0" borderId="59" xfId="0" applyNumberFormat="1" applyFont="1" applyBorder="1" applyAlignment="1">
      <alignment horizontal="left" vertical="top"/>
    </xf>
    <xf numFmtId="3" fontId="79" fillId="0" borderId="42" xfId="0" applyNumberFormat="1" applyFont="1" applyBorder="1" applyAlignment="1">
      <alignment horizontal="center" vertical="center"/>
    </xf>
    <xf numFmtId="3" fontId="79" fillId="0" borderId="15" xfId="0" applyNumberFormat="1" applyFont="1" applyBorder="1" applyAlignment="1">
      <alignment horizontal="center" vertical="center"/>
    </xf>
    <xf numFmtId="3" fontId="35" fillId="0" borderId="42" xfId="0" applyNumberFormat="1" applyFont="1" applyBorder="1" applyAlignment="1">
      <alignment horizontal="center" vertical="top"/>
    </xf>
    <xf numFmtId="3" fontId="35" fillId="0" borderId="15" xfId="0" applyNumberFormat="1" applyFont="1" applyBorder="1" applyAlignment="1">
      <alignment horizontal="center" vertical="top"/>
    </xf>
    <xf numFmtId="41" fontId="104" fillId="0" borderId="68" xfId="0" applyNumberFormat="1" applyFont="1" applyBorder="1" applyAlignment="1">
      <alignment horizontal="center" vertical="center"/>
    </xf>
    <xf numFmtId="41" fontId="104" fillId="0" borderId="69" xfId="0" applyNumberFormat="1" applyFont="1" applyBorder="1" applyAlignment="1">
      <alignment horizontal="center" vertical="center"/>
    </xf>
    <xf numFmtId="41" fontId="104" fillId="0" borderId="70" xfId="0" applyNumberFormat="1" applyFont="1" applyBorder="1" applyAlignment="1">
      <alignment horizontal="center" vertical="center"/>
    </xf>
    <xf numFmtId="41" fontId="45" fillId="0" borderId="11" xfId="0" applyNumberFormat="1" applyFont="1" applyBorder="1" applyAlignment="1">
      <alignment vertical="center"/>
    </xf>
    <xf numFmtId="41" fontId="45" fillId="0" borderId="42" xfId="0" applyNumberFormat="1" applyFont="1" applyBorder="1" applyAlignment="1">
      <alignment vertical="center"/>
    </xf>
    <xf numFmtId="0" fontId="109" fillId="32" borderId="71" xfId="0" applyFont="1" applyFill="1" applyBorder="1" applyAlignment="1">
      <alignment horizontal="center" vertical="center" wrapText="1"/>
    </xf>
    <xf numFmtId="0" fontId="109" fillId="32" borderId="12" xfId="0" applyFont="1" applyFill="1" applyBorder="1" applyAlignment="1">
      <alignment horizontal="center" vertical="center" wrapText="1"/>
    </xf>
    <xf numFmtId="0" fontId="109" fillId="14" borderId="11" xfId="0" applyFont="1" applyFill="1" applyBorder="1" applyAlignment="1">
      <alignment horizontal="center" vertical="center" wrapText="1"/>
    </xf>
    <xf numFmtId="0" fontId="10" fillId="0" borderId="54" xfId="0" applyFont="1" applyBorder="1" applyAlignment="1">
      <alignment horizontal="left" vertical="center"/>
    </xf>
    <xf numFmtId="41" fontId="35" fillId="0" borderId="47" xfId="0" applyNumberFormat="1" applyFont="1" applyBorder="1" applyAlignment="1">
      <alignment horizontal="left" vertical="center"/>
    </xf>
    <xf numFmtId="41" fontId="35" fillId="0" borderId="54" xfId="0" applyNumberFormat="1" applyFont="1" applyBorder="1" applyAlignment="1">
      <alignment horizontal="left" vertical="center"/>
    </xf>
    <xf numFmtId="0" fontId="82" fillId="27" borderId="60" xfId="0" applyFont="1" applyFill="1" applyBorder="1" applyAlignment="1">
      <alignment horizontal="left" vertical="top"/>
    </xf>
    <xf numFmtId="0" fontId="82" fillId="27" borderId="10" xfId="0" applyFont="1" applyFill="1" applyBorder="1" applyAlignment="1">
      <alignment horizontal="left" vertical="top"/>
    </xf>
    <xf numFmtId="41" fontId="10" fillId="0" borderId="49" xfId="0" applyNumberFormat="1" applyFont="1" applyBorder="1" applyAlignment="1">
      <alignment horizontal="left" vertical="top"/>
    </xf>
    <xf numFmtId="0" fontId="43" fillId="2" borderId="28" xfId="0" applyFont="1" applyFill="1" applyBorder="1" applyAlignment="1">
      <alignment horizontal="left" vertical="top"/>
    </xf>
    <xf numFmtId="0" fontId="43" fillId="2" borderId="11" xfId="0" applyFont="1" applyFill="1" applyBorder="1" applyAlignment="1">
      <alignment horizontal="left" vertical="top"/>
    </xf>
    <xf numFmtId="0" fontId="43" fillId="2" borderId="49" xfId="0" applyFont="1" applyFill="1" applyBorder="1" applyAlignment="1">
      <alignment horizontal="left" vertical="top"/>
    </xf>
    <xf numFmtId="0" fontId="43" fillId="2" borderId="2" xfId="0" applyFont="1" applyFill="1" applyBorder="1" applyAlignment="1">
      <alignment horizontal="left" vertical="top"/>
    </xf>
    <xf numFmtId="41" fontId="10" fillId="19" borderId="49" xfId="0" applyNumberFormat="1" applyFont="1" applyFill="1" applyBorder="1" applyAlignment="1">
      <alignment horizontal="left" vertical="top"/>
    </xf>
    <xf numFmtId="41" fontId="10" fillId="19" borderId="2" xfId="0" applyNumberFormat="1" applyFont="1" applyFill="1" applyBorder="1" applyAlignment="1">
      <alignment horizontal="left" vertical="top"/>
    </xf>
    <xf numFmtId="0" fontId="55" fillId="14" borderId="89" xfId="0" applyFont="1" applyFill="1" applyBorder="1" applyAlignment="1">
      <alignment horizontal="center" vertical="center" wrapText="1"/>
    </xf>
    <xf numFmtId="0" fontId="55" fillId="14" borderId="19" xfId="0" applyFont="1" applyFill="1" applyBorder="1" applyAlignment="1">
      <alignment horizontal="center" vertical="center" wrapText="1"/>
    </xf>
    <xf numFmtId="0" fontId="15" fillId="0" borderId="9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3" fontId="15" fillId="0" borderId="26" xfId="0" applyNumberFormat="1" applyFont="1" applyBorder="1" applyAlignment="1">
      <alignment horizontal="center" vertical="center" wrapText="1"/>
    </xf>
    <xf numFmtId="3" fontId="15" fillId="0" borderId="37" xfId="0" applyNumberFormat="1" applyFont="1" applyBorder="1" applyAlignment="1">
      <alignment horizontal="center" vertical="center" wrapText="1"/>
    </xf>
    <xf numFmtId="3" fontId="15" fillId="0" borderId="40" xfId="0" applyNumberFormat="1" applyFont="1" applyBorder="1" applyAlignment="1">
      <alignment horizontal="center" vertical="center" wrapText="1"/>
    </xf>
    <xf numFmtId="3" fontId="15" fillId="0" borderId="41" xfId="0" applyNumberFormat="1" applyFont="1" applyBorder="1" applyAlignment="1">
      <alignment horizontal="center" vertical="center" wrapText="1"/>
    </xf>
    <xf numFmtId="3" fontId="15" fillId="0" borderId="12" xfId="0" applyNumberFormat="1" applyFont="1" applyBorder="1" applyAlignment="1">
      <alignment horizontal="center" vertical="center" wrapText="1"/>
    </xf>
    <xf numFmtId="3" fontId="15" fillId="0" borderId="19" xfId="0" applyNumberFormat="1" applyFont="1" applyBorder="1" applyAlignment="1">
      <alignment horizontal="center" vertical="center" wrapText="1"/>
    </xf>
    <xf numFmtId="41" fontId="9" fillId="0" borderId="9" xfId="0" applyNumberFormat="1" applyFont="1" applyBorder="1" applyAlignment="1">
      <alignment horizontal="center" vertical="center" wrapText="1"/>
    </xf>
    <xf numFmtId="41" fontId="9" fillId="0" borderId="4" xfId="0" applyNumberFormat="1" applyFont="1" applyBorder="1" applyAlignment="1">
      <alignment horizontal="center" vertical="center" wrapText="1"/>
    </xf>
    <xf numFmtId="41" fontId="9" fillId="0" borderId="8" xfId="0" applyNumberFormat="1" applyFont="1" applyBorder="1" applyAlignment="1">
      <alignment horizontal="center" vertical="center" wrapText="1"/>
    </xf>
    <xf numFmtId="3" fontId="15" fillId="0" borderId="9" xfId="0" applyNumberFormat="1" applyFont="1" applyBorder="1" applyAlignment="1">
      <alignment horizontal="center" vertical="center" wrapText="1"/>
    </xf>
    <xf numFmtId="3" fontId="15" fillId="0" borderId="4" xfId="0" applyNumberFormat="1" applyFont="1" applyBorder="1" applyAlignment="1">
      <alignment horizontal="center" vertical="center" wrapText="1"/>
    </xf>
    <xf numFmtId="3" fontId="15" fillId="0" borderId="8" xfId="0" applyNumberFormat="1" applyFont="1" applyBorder="1" applyAlignment="1">
      <alignment horizontal="center" vertical="center" wrapText="1"/>
    </xf>
    <xf numFmtId="41" fontId="15" fillId="0" borderId="42" xfId="0" applyNumberFormat="1" applyFont="1" applyBorder="1" applyAlignment="1">
      <alignment horizontal="center" vertical="center"/>
    </xf>
    <xf numFmtId="41" fontId="15" fillId="0" borderId="15" xfId="0" applyNumberFormat="1" applyFont="1" applyBorder="1" applyAlignment="1">
      <alignment horizontal="center" vertical="center"/>
    </xf>
    <xf numFmtId="41" fontId="35" fillId="0" borderId="0" xfId="0" applyNumberFormat="1" applyFont="1" applyAlignment="1">
      <alignment horizontal="center" vertical="center"/>
    </xf>
    <xf numFmtId="41" fontId="35" fillId="0" borderId="9" xfId="0" applyNumberFormat="1" applyFont="1" applyBorder="1" applyAlignment="1">
      <alignment horizontal="left" vertical="top"/>
    </xf>
    <xf numFmtId="41" fontId="35" fillId="0" borderId="8" xfId="0" applyNumberFormat="1" applyFont="1" applyBorder="1" applyAlignment="1">
      <alignment horizontal="left" vertical="top"/>
    </xf>
    <xf numFmtId="41" fontId="15" fillId="0" borderId="2" xfId="0" applyNumberFormat="1" applyFont="1" applyBorder="1" applyAlignment="1">
      <alignment horizontal="center" vertical="center"/>
    </xf>
    <xf numFmtId="0" fontId="36" fillId="0" borderId="65" xfId="0" applyFont="1" applyBorder="1" applyAlignment="1">
      <alignment horizontal="left" vertical="top"/>
    </xf>
    <xf numFmtId="170" fontId="36" fillId="0" borderId="65" xfId="0" applyNumberFormat="1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left" vertical="top"/>
    </xf>
    <xf numFmtId="41" fontId="15" fillId="0" borderId="14" xfId="0" applyNumberFormat="1" applyFont="1" applyBorder="1" applyAlignment="1">
      <alignment horizontal="left" vertical="top"/>
    </xf>
    <xf numFmtId="41" fontId="15" fillId="0" borderId="37" xfId="0" applyNumberFormat="1" applyFont="1" applyBorder="1" applyAlignment="1">
      <alignment horizontal="left" vertical="top"/>
    </xf>
    <xf numFmtId="41" fontId="15" fillId="0" borderId="40" xfId="0" applyNumberFormat="1" applyFont="1" applyBorder="1" applyAlignment="1">
      <alignment horizontal="left" vertical="top"/>
    </xf>
    <xf numFmtId="41" fontId="15" fillId="0" borderId="0" xfId="0" applyNumberFormat="1" applyFont="1" applyAlignment="1">
      <alignment horizontal="left" vertical="top"/>
    </xf>
    <xf numFmtId="41" fontId="15" fillId="0" borderId="41" xfId="0" applyNumberFormat="1" applyFont="1" applyBorder="1" applyAlignment="1">
      <alignment horizontal="left" vertical="top"/>
    </xf>
    <xf numFmtId="41" fontId="15" fillId="0" borderId="12" xfId="0" applyNumberFormat="1" applyFont="1" applyBorder="1" applyAlignment="1">
      <alignment horizontal="left" vertical="top"/>
    </xf>
    <xf numFmtId="41" fontId="15" fillId="0" borderId="20" xfId="0" applyNumberFormat="1" applyFont="1" applyBorder="1" applyAlignment="1">
      <alignment horizontal="left" vertical="top"/>
    </xf>
    <xf numFmtId="41" fontId="15" fillId="0" borderId="19" xfId="0" applyNumberFormat="1" applyFont="1" applyBorder="1" applyAlignment="1">
      <alignment horizontal="left" vertical="top"/>
    </xf>
    <xf numFmtId="41" fontId="22" fillId="0" borderId="42" xfId="0" applyNumberFormat="1" applyFont="1" applyBorder="1" applyAlignment="1">
      <alignment horizontal="left" vertical="top"/>
    </xf>
    <xf numFmtId="41" fontId="22" fillId="0" borderId="15" xfId="0" applyNumberFormat="1" applyFont="1" applyBorder="1" applyAlignment="1">
      <alignment horizontal="left" vertical="top"/>
    </xf>
    <xf numFmtId="0" fontId="25" fillId="0" borderId="14" xfId="0" applyFont="1" applyBorder="1" applyAlignment="1">
      <alignment horizontal="center" wrapText="1"/>
    </xf>
    <xf numFmtId="0" fontId="25" fillId="0" borderId="37" xfId="0" applyFont="1" applyBorder="1" applyAlignment="1">
      <alignment horizontal="center" wrapText="1"/>
    </xf>
    <xf numFmtId="0" fontId="25" fillId="0" borderId="0" xfId="0" applyFont="1" applyAlignment="1">
      <alignment horizontal="center" wrapText="1"/>
    </xf>
    <xf numFmtId="0" fontId="25" fillId="0" borderId="41" xfId="0" applyFont="1" applyBorder="1" applyAlignment="1">
      <alignment horizontal="center" wrapText="1"/>
    </xf>
    <xf numFmtId="0" fontId="25" fillId="0" borderId="94" xfId="0" applyFont="1" applyBorder="1" applyAlignment="1">
      <alignment horizontal="center" wrapText="1"/>
    </xf>
    <xf numFmtId="0" fontId="25" fillId="0" borderId="95" xfId="0" applyFont="1" applyBorder="1" applyAlignment="1">
      <alignment horizontal="center" wrapText="1"/>
    </xf>
    <xf numFmtId="0" fontId="15" fillId="0" borderId="26" xfId="0" applyFont="1" applyBorder="1" applyAlignment="1">
      <alignment horizontal="left" vertical="center" wrapText="1"/>
    </xf>
    <xf numFmtId="0" fontId="15" fillId="0" borderId="37" xfId="0" applyFont="1" applyBorder="1" applyAlignment="1">
      <alignment horizontal="left" vertical="center" wrapText="1"/>
    </xf>
    <xf numFmtId="0" fontId="15" fillId="0" borderId="12" xfId="0" applyFont="1" applyBorder="1" applyAlignment="1">
      <alignment horizontal="left" vertical="center" wrapText="1"/>
    </xf>
    <xf numFmtId="0" fontId="15" fillId="0" borderId="19" xfId="0" applyFont="1" applyBorder="1" applyAlignment="1">
      <alignment horizontal="left" vertical="center" wrapText="1"/>
    </xf>
    <xf numFmtId="0" fontId="10" fillId="0" borderId="88" xfId="0" applyFont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0" fillId="0" borderId="37" xfId="0" applyFont="1" applyBorder="1" applyAlignment="1">
      <alignment horizontal="left" vertical="top"/>
    </xf>
    <xf numFmtId="0" fontId="15" fillId="0" borderId="42" xfId="0" applyFont="1" applyBorder="1" applyAlignment="1">
      <alignment horizontal="center" vertical="center"/>
    </xf>
    <xf numFmtId="0" fontId="15" fillId="0" borderId="59" xfId="0" applyFont="1" applyBorder="1" applyAlignment="1">
      <alignment horizontal="center" vertical="center"/>
    </xf>
    <xf numFmtId="41" fontId="10" fillId="0" borderId="46" xfId="0" applyNumberFormat="1" applyFont="1" applyBorder="1" applyAlignment="1">
      <alignment horizontal="left" vertical="center" wrapText="1"/>
    </xf>
    <xf numFmtId="41" fontId="10" fillId="0" borderId="17" xfId="0" applyNumberFormat="1" applyFont="1" applyBorder="1" applyAlignment="1">
      <alignment horizontal="left" vertical="center" wrapText="1"/>
    </xf>
    <xf numFmtId="41" fontId="35" fillId="0" borderId="46" xfId="0" applyNumberFormat="1" applyFont="1" applyBorder="1" applyAlignment="1">
      <alignment horizontal="left" vertical="center" wrapText="1"/>
    </xf>
    <xf numFmtId="41" fontId="35" fillId="0" borderId="76" xfId="0" applyNumberFormat="1" applyFont="1" applyBorder="1" applyAlignment="1">
      <alignment horizontal="left" vertical="center" wrapText="1"/>
    </xf>
    <xf numFmtId="41" fontId="35" fillId="0" borderId="47" xfId="0" applyNumberFormat="1" applyFont="1" applyBorder="1" applyAlignment="1">
      <alignment horizontal="left" vertical="center" wrapText="1"/>
    </xf>
    <xf numFmtId="0" fontId="15" fillId="0" borderId="44" xfId="0" applyFont="1" applyBorder="1" applyAlignment="1">
      <alignment horizontal="center" vertical="center"/>
    </xf>
    <xf numFmtId="0" fontId="15" fillId="0" borderId="24" xfId="0" applyFont="1" applyBorder="1" applyAlignment="1">
      <alignment horizontal="center" vertical="center"/>
    </xf>
    <xf numFmtId="0" fontId="15" fillId="0" borderId="73" xfId="0" applyFont="1" applyBorder="1" applyAlignment="1">
      <alignment horizontal="center" vertical="center"/>
    </xf>
    <xf numFmtId="0" fontId="35" fillId="0" borderId="52" xfId="0" applyFont="1" applyBorder="1" applyAlignment="1">
      <alignment horizontal="left" vertical="center"/>
    </xf>
    <xf numFmtId="41" fontId="10" fillId="0" borderId="54" xfId="0" applyNumberFormat="1" applyFont="1" applyBorder="1" applyAlignment="1">
      <alignment horizontal="left" vertical="center"/>
    </xf>
    <xf numFmtId="41" fontId="35" fillId="0" borderId="17" xfId="0" applyNumberFormat="1" applyFont="1" applyBorder="1" applyAlignment="1">
      <alignment horizontal="left" vertical="center" wrapText="1"/>
    </xf>
    <xf numFmtId="41" fontId="10" fillId="0" borderId="76" xfId="0" applyNumberFormat="1" applyFont="1" applyBorder="1" applyAlignment="1">
      <alignment horizontal="left" vertical="center" wrapText="1"/>
    </xf>
    <xf numFmtId="41" fontId="10" fillId="0" borderId="47" xfId="0" applyNumberFormat="1" applyFont="1" applyBorder="1" applyAlignment="1">
      <alignment horizontal="left" vertical="center" wrapText="1"/>
    </xf>
    <xf numFmtId="41" fontId="10" fillId="0" borderId="32" xfId="0" applyNumberFormat="1" applyFont="1" applyBorder="1" applyAlignment="1">
      <alignment horizontal="left" vertical="top" wrapText="1"/>
    </xf>
    <xf numFmtId="41" fontId="10" fillId="0" borderId="0" xfId="0" applyNumberFormat="1" applyFont="1" applyAlignment="1">
      <alignment horizontal="left" vertical="top" wrapText="1"/>
    </xf>
    <xf numFmtId="41" fontId="10" fillId="0" borderId="47" xfId="0" applyNumberFormat="1" applyFont="1" applyBorder="1" applyAlignment="1">
      <alignment horizontal="left" vertical="center"/>
    </xf>
    <xf numFmtId="41" fontId="39" fillId="0" borderId="62" xfId="0" applyNumberFormat="1" applyFont="1" applyBorder="1" applyAlignment="1">
      <alignment horizontal="left" vertical="center" wrapText="1"/>
    </xf>
    <xf numFmtId="41" fontId="39" fillId="0" borderId="72" xfId="0" applyNumberFormat="1" applyFont="1" applyBorder="1" applyAlignment="1">
      <alignment horizontal="left" vertical="center" wrapText="1"/>
    </xf>
    <xf numFmtId="41" fontId="39" fillId="0" borderId="51" xfId="0" applyNumberFormat="1" applyFont="1" applyBorder="1" applyAlignment="1">
      <alignment horizontal="left" vertical="center" wrapText="1"/>
    </xf>
    <xf numFmtId="41" fontId="10" fillId="21" borderId="46" xfId="0" applyNumberFormat="1" applyFont="1" applyFill="1" applyBorder="1" applyAlignment="1">
      <alignment horizontal="left" vertical="center" wrapText="1"/>
    </xf>
    <xf numFmtId="41" fontId="10" fillId="21" borderId="17" xfId="0" applyNumberFormat="1" applyFont="1" applyFill="1" applyBorder="1" applyAlignment="1">
      <alignment horizontal="left" vertical="center" wrapText="1"/>
    </xf>
    <xf numFmtId="41" fontId="35" fillId="0" borderId="32" xfId="0" applyNumberFormat="1" applyFont="1" applyBorder="1" applyAlignment="1">
      <alignment horizontal="left" vertical="top" wrapText="1"/>
    </xf>
    <xf numFmtId="41" fontId="35" fillId="0" borderId="0" xfId="0" applyNumberFormat="1" applyFont="1" applyAlignment="1">
      <alignment horizontal="left" vertical="top" wrapText="1"/>
    </xf>
    <xf numFmtId="0" fontId="15" fillId="0" borderId="42" xfId="0" applyFont="1" applyBorder="1" applyAlignment="1">
      <alignment horizontal="center" vertical="center" wrapText="1"/>
    </xf>
    <xf numFmtId="0" fontId="15" fillId="0" borderId="15" xfId="0" applyFont="1" applyBorder="1" applyAlignment="1">
      <alignment horizontal="center" vertical="center" wrapText="1"/>
    </xf>
    <xf numFmtId="41" fontId="35" fillId="0" borderId="51" xfId="0" applyNumberFormat="1" applyFont="1" applyBorder="1" applyAlignment="1">
      <alignment horizontal="left" vertical="center"/>
    </xf>
    <xf numFmtId="41" fontId="35" fillId="0" borderId="52" xfId="0" applyNumberFormat="1" applyFont="1" applyBorder="1" applyAlignment="1">
      <alignment horizontal="left" vertical="center"/>
    </xf>
    <xf numFmtId="41" fontId="45" fillId="0" borderId="49" xfId="0" applyNumberFormat="1" applyFont="1" applyBorder="1" applyAlignment="1">
      <alignment vertical="center"/>
    </xf>
    <xf numFmtId="41" fontId="45" fillId="0" borderId="2" xfId="0" applyNumberFormat="1" applyFont="1" applyBorder="1" applyAlignment="1">
      <alignment vertical="center"/>
    </xf>
    <xf numFmtId="41" fontId="45" fillId="0" borderId="15" xfId="0" applyNumberFormat="1" applyFont="1" applyBorder="1" applyAlignment="1">
      <alignment vertical="center"/>
    </xf>
    <xf numFmtId="41" fontId="10" fillId="19" borderId="49" xfId="0" applyNumberFormat="1" applyFont="1" applyFill="1" applyBorder="1" applyAlignment="1">
      <alignment horizontal="left" vertical="top" wrapText="1"/>
    </xf>
    <xf numFmtId="41" fontId="10" fillId="19" borderId="15" xfId="0" applyNumberFormat="1" applyFont="1" applyFill="1" applyBorder="1" applyAlignment="1">
      <alignment horizontal="left" vertical="top" wrapText="1"/>
    </xf>
    <xf numFmtId="41" fontId="10" fillId="19" borderId="2" xfId="0" applyNumberFormat="1" applyFont="1" applyFill="1" applyBorder="1" applyAlignment="1">
      <alignment horizontal="left" vertical="top" wrapText="1"/>
    </xf>
    <xf numFmtId="168" fontId="15" fillId="0" borderId="66" xfId="0" applyNumberFormat="1" applyFont="1" applyBorder="1" applyAlignment="1">
      <alignment horizontal="center" vertical="center" wrapText="1"/>
    </xf>
    <xf numFmtId="168" fontId="15" fillId="0" borderId="24" xfId="0" applyNumberFormat="1" applyFont="1" applyBorder="1" applyAlignment="1">
      <alignment horizontal="center" vertical="center" wrapText="1"/>
    </xf>
    <xf numFmtId="168" fontId="15" fillId="0" borderId="73" xfId="0" applyNumberFormat="1" applyFont="1" applyBorder="1" applyAlignment="1">
      <alignment horizontal="center" vertical="center" wrapText="1"/>
    </xf>
    <xf numFmtId="0" fontId="9" fillId="0" borderId="92" xfId="0" applyFont="1" applyBorder="1" applyAlignment="1">
      <alignment horizontal="center" vertical="top"/>
    </xf>
    <xf numFmtId="0" fontId="9" fillId="0" borderId="93" xfId="0" applyFont="1" applyBorder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9" fillId="0" borderId="41" xfId="0" applyFont="1" applyBorder="1" applyAlignment="1">
      <alignment horizontal="center" vertical="top"/>
    </xf>
    <xf numFmtId="0" fontId="9" fillId="0" borderId="20" xfId="0" applyFont="1" applyBorder="1" applyAlignment="1">
      <alignment horizontal="center" vertical="top"/>
    </xf>
    <xf numFmtId="0" fontId="9" fillId="0" borderId="19" xfId="0" applyFont="1" applyBorder="1" applyAlignment="1">
      <alignment horizontal="center" vertical="top"/>
    </xf>
    <xf numFmtId="41" fontId="35" fillId="0" borderId="62" xfId="0" applyNumberFormat="1" applyFont="1" applyBorder="1" applyAlignment="1">
      <alignment horizontal="left" vertical="center" wrapText="1"/>
    </xf>
    <xf numFmtId="41" fontId="35" fillId="0" borderId="39" xfId="0" applyNumberFormat="1" applyFont="1" applyBorder="1" applyAlignment="1">
      <alignment horizontal="left" vertical="center" wrapText="1"/>
    </xf>
    <xf numFmtId="0" fontId="9" fillId="26" borderId="74" xfId="0" applyFont="1" applyFill="1" applyBorder="1" applyAlignment="1">
      <alignment horizontal="center" vertical="top" wrapText="1"/>
    </xf>
    <xf numFmtId="0" fontId="9" fillId="26" borderId="75" xfId="0" applyFont="1" applyFill="1" applyBorder="1" applyAlignment="1">
      <alignment horizontal="center" vertical="top" wrapText="1"/>
    </xf>
    <xf numFmtId="0" fontId="15" fillId="0" borderId="2" xfId="0" applyFont="1" applyBorder="1" applyAlignment="1">
      <alignment horizontal="center" vertical="center" wrapText="1"/>
    </xf>
    <xf numFmtId="0" fontId="15" fillId="0" borderId="59" xfId="0" applyFont="1" applyBorder="1" applyAlignment="1">
      <alignment horizontal="center" vertical="center" wrapText="1"/>
    </xf>
    <xf numFmtId="3" fontId="111" fillId="0" borderId="64" xfId="0" applyNumberFormat="1" applyFont="1" applyBorder="1" applyAlignment="1">
      <alignment horizontal="left" vertical="center"/>
    </xf>
    <xf numFmtId="3" fontId="111" fillId="0" borderId="69" xfId="0" applyNumberFormat="1" applyFont="1" applyBorder="1" applyAlignment="1">
      <alignment horizontal="left" vertical="center"/>
    </xf>
    <xf numFmtId="3" fontId="111" fillId="0" borderId="61" xfId="0" applyNumberFormat="1" applyFont="1" applyBorder="1" applyAlignment="1">
      <alignment horizontal="left" vertical="center"/>
    </xf>
    <xf numFmtId="0" fontId="102" fillId="29" borderId="81" xfId="0" applyFont="1" applyFill="1" applyBorder="1" applyAlignment="1">
      <alignment horizontal="center" vertical="center"/>
    </xf>
    <xf numFmtId="0" fontId="102" fillId="29" borderId="11" xfId="0" applyFont="1" applyFill="1" applyBorder="1" applyAlignment="1">
      <alignment horizontal="center" vertical="center"/>
    </xf>
    <xf numFmtId="0" fontId="15" fillId="23" borderId="81" xfId="0" applyFont="1" applyFill="1" applyBorder="1" applyAlignment="1">
      <alignment horizontal="center" vertical="center" wrapText="1"/>
    </xf>
    <xf numFmtId="41" fontId="10" fillId="0" borderId="59" xfId="0" applyNumberFormat="1" applyFont="1" applyBorder="1" applyAlignment="1">
      <alignment horizontal="left" vertical="center"/>
    </xf>
    <xf numFmtId="41" fontId="10" fillId="0" borderId="58" xfId="0" applyNumberFormat="1" applyFont="1" applyBorder="1" applyAlignment="1">
      <alignment horizontal="left" vertical="center"/>
    </xf>
    <xf numFmtId="41" fontId="9" fillId="22" borderId="49" xfId="0" applyNumberFormat="1" applyFont="1" applyFill="1" applyBorder="1" applyAlignment="1">
      <alignment horizontal="left" vertical="center" wrapText="1"/>
    </xf>
    <xf numFmtId="41" fontId="9" fillId="22" borderId="59" xfId="0" applyNumberFormat="1" applyFont="1" applyFill="1" applyBorder="1" applyAlignment="1">
      <alignment horizontal="left" vertical="center" wrapText="1"/>
    </xf>
    <xf numFmtId="0" fontId="15" fillId="32" borderId="82" xfId="0" applyFont="1" applyFill="1" applyBorder="1" applyAlignment="1">
      <alignment horizontal="center" vertical="center" wrapText="1"/>
    </xf>
    <xf numFmtId="0" fontId="15" fillId="32" borderId="83" xfId="0" applyFont="1" applyFill="1" applyBorder="1" applyAlignment="1">
      <alignment horizontal="center" vertical="center" wrapText="1"/>
    </xf>
    <xf numFmtId="0" fontId="15" fillId="23" borderId="81" xfId="0" applyFont="1" applyFill="1" applyBorder="1" applyAlignment="1">
      <alignment horizontal="center" vertical="center"/>
    </xf>
    <xf numFmtId="0" fontId="15" fillId="14" borderId="81" xfId="0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41" fontId="10" fillId="0" borderId="63" xfId="0" applyNumberFormat="1" applyFont="1" applyBorder="1" applyAlignment="1">
      <alignment horizontal="left" vertical="center" wrapText="1"/>
    </xf>
    <xf numFmtId="41" fontId="10" fillId="0" borderId="87" xfId="0" applyNumberFormat="1" applyFont="1" applyBorder="1" applyAlignment="1">
      <alignment horizontal="left" vertical="center" wrapText="1"/>
    </xf>
    <xf numFmtId="41" fontId="10" fillId="0" borderId="56" xfId="0" applyNumberFormat="1" applyFont="1" applyBorder="1" applyAlignment="1">
      <alignment horizontal="left" vertical="center"/>
    </xf>
    <xf numFmtId="41" fontId="10" fillId="0" borderId="57" xfId="0" applyNumberFormat="1" applyFont="1" applyBorder="1" applyAlignment="1">
      <alignment horizontal="left" vertical="center"/>
    </xf>
    <xf numFmtId="2" fontId="65" fillId="16" borderId="84" xfId="0" applyNumberFormat="1" applyFont="1" applyFill="1" applyBorder="1" applyAlignment="1">
      <alignment horizontal="center" vertical="center"/>
    </xf>
    <xf numFmtId="2" fontId="65" fillId="16" borderId="28" xfId="0" applyNumberFormat="1" applyFont="1" applyFill="1" applyBorder="1" applyAlignment="1">
      <alignment horizontal="center" vertical="center"/>
    </xf>
    <xf numFmtId="175" fontId="36" fillId="0" borderId="0" xfId="0" applyNumberFormat="1" applyFont="1" applyAlignment="1">
      <alignment horizontal="left" vertical="center"/>
    </xf>
    <xf numFmtId="41" fontId="35" fillId="0" borderId="0" xfId="0" applyNumberFormat="1" applyFont="1" applyAlignment="1">
      <alignment horizontal="center" vertical="top"/>
    </xf>
    <xf numFmtId="41" fontId="35" fillId="0" borderId="20" xfId="0" applyNumberFormat="1" applyFont="1" applyBorder="1" applyAlignment="1">
      <alignment horizontal="center" vertical="top"/>
    </xf>
    <xf numFmtId="0" fontId="45" fillId="0" borderId="49" xfId="0" applyFont="1" applyBorder="1" applyAlignment="1">
      <alignment horizontal="left" vertical="top"/>
    </xf>
    <xf numFmtId="0" fontId="45" fillId="0" borderId="2" xfId="0" applyFont="1" applyBorder="1" applyAlignment="1">
      <alignment horizontal="left" vertical="top"/>
    </xf>
    <xf numFmtId="0" fontId="45" fillId="0" borderId="15" xfId="0" applyFont="1" applyBorder="1" applyAlignment="1">
      <alignment horizontal="left" vertical="top"/>
    </xf>
    <xf numFmtId="41" fontId="35" fillId="0" borderId="42" xfId="0" applyNumberFormat="1" applyFont="1" applyBorder="1" applyAlignment="1">
      <alignment horizontal="left" vertical="center" wrapText="1"/>
    </xf>
    <xf numFmtId="41" fontId="35" fillId="0" borderId="15" xfId="0" applyNumberFormat="1" applyFont="1" applyBorder="1" applyAlignment="1">
      <alignment horizontal="left" vertical="center" wrapText="1"/>
    </xf>
    <xf numFmtId="41" fontId="35" fillId="0" borderId="2" xfId="0" applyNumberFormat="1" applyFont="1" applyBorder="1" applyAlignment="1">
      <alignment horizontal="left" vertical="center" wrapText="1"/>
    </xf>
    <xf numFmtId="41" fontId="35" fillId="0" borderId="59" xfId="0" applyNumberFormat="1" applyFont="1" applyBorder="1" applyAlignment="1">
      <alignment horizontal="left" vertical="center" wrapText="1"/>
    </xf>
    <xf numFmtId="1" fontId="10" fillId="0" borderId="42" xfId="0" applyNumberFormat="1" applyFont="1" applyBorder="1" applyAlignment="1">
      <alignment horizontal="right" vertical="center"/>
    </xf>
    <xf numFmtId="1" fontId="10" fillId="0" borderId="2" xfId="0" applyNumberFormat="1" applyFont="1" applyBorder="1" applyAlignment="1">
      <alignment horizontal="right" vertical="center"/>
    </xf>
    <xf numFmtId="1" fontId="10" fillId="0" borderId="59" xfId="0" applyNumberFormat="1" applyFont="1" applyBorder="1" applyAlignment="1">
      <alignment horizontal="right" vertical="center"/>
    </xf>
    <xf numFmtId="41" fontId="35" fillId="0" borderId="59" xfId="0" applyNumberFormat="1" applyFont="1" applyBorder="1" applyAlignment="1">
      <alignment horizontal="left" vertical="center"/>
    </xf>
    <xf numFmtId="41" fontId="35" fillId="0" borderId="58" xfId="0" applyNumberFormat="1" applyFont="1" applyBorder="1" applyAlignment="1">
      <alignment horizontal="left" vertical="center"/>
    </xf>
    <xf numFmtId="41" fontId="15" fillId="0" borderId="9" xfId="0" applyNumberFormat="1" applyFont="1" applyBorder="1" applyAlignment="1">
      <alignment horizontal="center" vertical="center" wrapText="1"/>
    </xf>
    <xf numFmtId="41" fontId="15" fillId="0" borderId="4" xfId="0" applyNumberFormat="1" applyFont="1" applyBorder="1" applyAlignment="1">
      <alignment horizontal="center" vertical="center" wrapText="1"/>
    </xf>
    <xf numFmtId="41" fontId="15" fillId="0" borderId="8" xfId="0" applyNumberFormat="1" applyFont="1" applyBorder="1" applyAlignment="1">
      <alignment horizontal="center" vertical="center" wrapText="1"/>
    </xf>
    <xf numFmtId="41" fontId="35" fillId="0" borderId="42" xfId="0" applyNumberFormat="1" applyFont="1" applyBorder="1" applyAlignment="1">
      <alignment horizontal="center" vertical="center"/>
    </xf>
    <xf numFmtId="41" fontId="35" fillId="0" borderId="15" xfId="0" applyNumberFormat="1" applyFont="1" applyBorder="1" applyAlignment="1">
      <alignment horizontal="center" vertical="center"/>
    </xf>
    <xf numFmtId="0" fontId="104" fillId="0" borderId="64" xfId="0" applyFont="1" applyBorder="1" applyAlignment="1">
      <alignment horizontal="left" vertical="top"/>
    </xf>
    <xf numFmtId="0" fontId="104" fillId="0" borderId="69" xfId="0" applyFont="1" applyBorder="1" applyAlignment="1">
      <alignment horizontal="left" vertical="top"/>
    </xf>
    <xf numFmtId="0" fontId="104" fillId="0" borderId="61" xfId="0" applyFont="1" applyBorder="1" applyAlignment="1">
      <alignment horizontal="left" vertical="top"/>
    </xf>
    <xf numFmtId="3" fontId="45" fillId="0" borderId="26" xfId="0" applyNumberFormat="1" applyFont="1" applyBorder="1" applyAlignment="1">
      <alignment horizontal="center" vertical="center"/>
    </xf>
    <xf numFmtId="3" fontId="45" fillId="0" borderId="14" xfId="0" applyNumberFormat="1" applyFont="1" applyBorder="1" applyAlignment="1">
      <alignment horizontal="center" vertical="center"/>
    </xf>
    <xf numFmtId="3" fontId="45" fillId="0" borderId="85" xfId="0" applyNumberFormat="1" applyFont="1" applyBorder="1" applyAlignment="1">
      <alignment horizontal="center" vertical="center"/>
    </xf>
    <xf numFmtId="3" fontId="104" fillId="0" borderId="68" xfId="0" applyNumberFormat="1" applyFont="1" applyBorder="1" applyAlignment="1">
      <alignment horizontal="center" vertical="top"/>
    </xf>
    <xf numFmtId="3" fontId="104" fillId="0" borderId="69" xfId="0" applyNumberFormat="1" applyFont="1" applyBorder="1" applyAlignment="1">
      <alignment horizontal="center" vertical="top"/>
    </xf>
    <xf numFmtId="3" fontId="104" fillId="0" borderId="70" xfId="0" applyNumberFormat="1" applyFont="1" applyBorder="1" applyAlignment="1">
      <alignment horizontal="center" vertical="top"/>
    </xf>
    <xf numFmtId="41" fontId="10" fillId="0" borderId="86" xfId="0" applyNumberFormat="1" applyFont="1" applyBorder="1" applyAlignment="1">
      <alignment horizontal="left" vertical="center" wrapText="1"/>
    </xf>
    <xf numFmtId="0" fontId="10" fillId="0" borderId="56" xfId="0" applyFont="1" applyBorder="1" applyAlignment="1">
      <alignment horizontal="left" vertical="center" wrapText="1"/>
    </xf>
    <xf numFmtId="1" fontId="10" fillId="0" borderId="15" xfId="0" applyNumberFormat="1" applyFont="1" applyBorder="1" applyAlignment="1">
      <alignment horizontal="right" vertical="center"/>
    </xf>
    <xf numFmtId="0" fontId="15" fillId="26" borderId="77" xfId="0" applyFont="1" applyFill="1" applyBorder="1" applyAlignment="1">
      <alignment horizontal="center" vertical="center"/>
    </xf>
    <xf numFmtId="0" fontId="15" fillId="26" borderId="78" xfId="0" applyFont="1" applyFill="1" applyBorder="1" applyAlignment="1">
      <alignment horizontal="center" vertical="center"/>
    </xf>
    <xf numFmtId="0" fontId="15" fillId="26" borderId="79" xfId="0" applyFont="1" applyFill="1" applyBorder="1" applyAlignment="1">
      <alignment horizontal="center" vertical="center"/>
    </xf>
    <xf numFmtId="0" fontId="15" fillId="26" borderId="80" xfId="0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41" fontId="10" fillId="0" borderId="9" xfId="0" applyNumberFormat="1" applyFont="1" applyBorder="1" applyAlignment="1">
      <alignment horizontal="left" vertical="top"/>
    </xf>
    <xf numFmtId="41" fontId="10" fillId="0" borderId="4" xfId="0" applyNumberFormat="1" applyFont="1" applyBorder="1" applyAlignment="1">
      <alignment horizontal="left" vertical="top"/>
    </xf>
    <xf numFmtId="41" fontId="10" fillId="0" borderId="8" xfId="0" applyNumberFormat="1" applyFont="1" applyBorder="1" applyAlignment="1">
      <alignment horizontal="left" vertical="top"/>
    </xf>
    <xf numFmtId="41" fontId="15" fillId="0" borderId="26" xfId="0" applyNumberFormat="1" applyFont="1" applyBorder="1" applyAlignment="1">
      <alignment horizontal="center" vertical="center"/>
    </xf>
    <xf numFmtId="0" fontId="27" fillId="0" borderId="0" xfId="0" applyFont="1" applyAlignment="1">
      <alignment horizontal="left" vertical="top"/>
    </xf>
    <xf numFmtId="41" fontId="10" fillId="0" borderId="0" xfId="0" applyNumberFormat="1" applyFont="1" applyAlignment="1">
      <alignment horizontal="left" vertical="top"/>
    </xf>
    <xf numFmtId="0" fontId="15" fillId="32" borderId="71" xfId="0" applyFont="1" applyFill="1" applyBorder="1" applyAlignment="1">
      <alignment horizontal="center" vertical="center" wrapText="1"/>
    </xf>
    <xf numFmtId="0" fontId="15" fillId="32" borderId="12" xfId="0" applyFont="1" applyFill="1" applyBorder="1" applyAlignment="1">
      <alignment horizontal="center" vertical="center" wrapText="1"/>
    </xf>
    <xf numFmtId="0" fontId="15" fillId="23" borderId="71" xfId="0" applyFont="1" applyFill="1" applyBorder="1" applyAlignment="1">
      <alignment horizontal="center" vertical="top"/>
    </xf>
    <xf numFmtId="0" fontId="15" fillId="23" borderId="90" xfId="0" applyFont="1" applyFill="1" applyBorder="1" applyAlignment="1">
      <alignment horizontal="center" vertical="top"/>
    </xf>
    <xf numFmtId="0" fontId="15" fillId="23" borderId="89" xfId="0" applyFont="1" applyFill="1" applyBorder="1" applyAlignment="1">
      <alignment horizontal="center" vertical="top"/>
    </xf>
    <xf numFmtId="41" fontId="19" fillId="6" borderId="42" xfId="0" applyNumberFormat="1" applyFont="1" applyFill="1" applyBorder="1" applyAlignment="1">
      <alignment horizontal="left" vertical="top"/>
    </xf>
    <xf numFmtId="41" fontId="19" fillId="6" borderId="2" xfId="0" applyNumberFormat="1" applyFont="1" applyFill="1" applyBorder="1" applyAlignment="1">
      <alignment horizontal="left" vertical="top"/>
    </xf>
    <xf numFmtId="41" fontId="19" fillId="6" borderId="59" xfId="0" applyNumberFormat="1" applyFont="1" applyFill="1" applyBorder="1" applyAlignment="1">
      <alignment horizontal="left" vertical="top"/>
    </xf>
    <xf numFmtId="41" fontId="87" fillId="0" borderId="66" xfId="0" applyNumberFormat="1" applyFont="1" applyBorder="1" applyAlignment="1">
      <alignment horizontal="left" vertical="top"/>
    </xf>
    <xf numFmtId="41" fontId="87" fillId="0" borderId="24" xfId="0" applyNumberFormat="1" applyFont="1" applyBorder="1" applyAlignment="1">
      <alignment horizontal="left" vertical="top"/>
    </xf>
    <xf numFmtId="41" fontId="87" fillId="0" borderId="73" xfId="0" applyNumberFormat="1" applyFont="1" applyBorder="1" applyAlignment="1">
      <alignment horizontal="left" vertical="top"/>
    </xf>
    <xf numFmtId="0" fontId="15" fillId="14" borderId="91" xfId="0" applyFont="1" applyFill="1" applyBorder="1" applyAlignment="1">
      <alignment horizontal="center" vertical="center"/>
    </xf>
    <xf numFmtId="0" fontId="15" fillId="14" borderId="8" xfId="0" applyFont="1" applyFill="1" applyBorder="1" applyAlignment="1">
      <alignment horizontal="center" vertical="center"/>
    </xf>
    <xf numFmtId="0" fontId="35" fillId="0" borderId="54" xfId="0" applyFont="1" applyBorder="1" applyAlignment="1">
      <alignment horizontal="left" vertical="center"/>
    </xf>
    <xf numFmtId="0" fontId="15" fillId="0" borderId="65" xfId="0" applyFont="1" applyBorder="1" applyAlignment="1">
      <alignment horizontal="left" vertical="top"/>
    </xf>
    <xf numFmtId="2" fontId="10" fillId="0" borderId="26" xfId="0" applyNumberFormat="1" applyFont="1" applyBorder="1" applyAlignment="1">
      <alignment horizontal="center" vertical="top"/>
    </xf>
    <xf numFmtId="2" fontId="10" fillId="0" borderId="85" xfId="0" applyNumberFormat="1" applyFont="1" applyBorder="1" applyAlignment="1">
      <alignment horizontal="center" vertical="top"/>
    </xf>
    <xf numFmtId="0" fontId="27" fillId="0" borderId="0" xfId="0" applyFont="1" applyAlignment="1">
      <alignment horizontal="left" vertical="center"/>
    </xf>
    <xf numFmtId="3" fontId="35" fillId="0" borderId="9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15" fillId="0" borderId="9" xfId="0" applyNumberFormat="1" applyFont="1" applyBorder="1" applyAlignment="1">
      <alignment horizontal="center" vertical="center"/>
    </xf>
    <xf numFmtId="3" fontId="15" fillId="0" borderId="8" xfId="0" applyNumberFormat="1" applyFont="1" applyBorder="1" applyAlignment="1">
      <alignment horizontal="center" vertical="center"/>
    </xf>
    <xf numFmtId="0" fontId="35" fillId="0" borderId="42" xfId="0" applyFont="1" applyBorder="1" applyAlignment="1">
      <alignment horizontal="left" vertical="center"/>
    </xf>
    <xf numFmtId="0" fontId="35" fillId="0" borderId="2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/>
    </xf>
    <xf numFmtId="0" fontId="15" fillId="0" borderId="42" xfId="0" applyFont="1" applyBorder="1" applyAlignment="1">
      <alignment horizontal="left" vertical="center"/>
    </xf>
    <xf numFmtId="0" fontId="15" fillId="0" borderId="2" xfId="0" applyFont="1" applyBorder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41" fontId="82" fillId="0" borderId="9" xfId="0" applyNumberFormat="1" applyFont="1" applyBorder="1" applyAlignment="1">
      <alignment horizontal="center" vertical="center"/>
    </xf>
    <xf numFmtId="41" fontId="82" fillId="0" borderId="4" xfId="0" applyNumberFormat="1" applyFont="1" applyBorder="1" applyAlignment="1">
      <alignment horizontal="center" vertical="center"/>
    </xf>
    <xf numFmtId="41" fontId="82" fillId="0" borderId="8" xfId="0" applyNumberFormat="1" applyFont="1" applyBorder="1" applyAlignment="1">
      <alignment horizontal="center" vertical="center"/>
    </xf>
    <xf numFmtId="175" fontId="36" fillId="0" borderId="0" xfId="0" applyNumberFormat="1" applyFont="1" applyAlignment="1">
      <alignment horizontal="left"/>
    </xf>
    <xf numFmtId="0" fontId="10" fillId="0" borderId="42" xfId="0" applyFont="1" applyBorder="1" applyAlignment="1">
      <alignment horizontal="left" vertical="center"/>
    </xf>
    <xf numFmtId="0" fontId="10" fillId="0" borderId="2" xfId="0" applyFont="1" applyBorder="1" applyAlignment="1">
      <alignment horizontal="left" vertical="center"/>
    </xf>
    <xf numFmtId="0" fontId="10" fillId="0" borderId="15" xfId="0" applyFont="1" applyBorder="1" applyAlignment="1">
      <alignment horizontal="left" vertical="center"/>
    </xf>
    <xf numFmtId="3" fontId="35" fillId="0" borderId="9" xfId="0" applyNumberFormat="1" applyFont="1" applyBorder="1" applyAlignment="1">
      <alignment vertical="center"/>
    </xf>
    <xf numFmtId="3" fontId="35" fillId="0" borderId="8" xfId="0" applyNumberFormat="1" applyFont="1" applyBorder="1" applyAlignment="1">
      <alignment vertical="center"/>
    </xf>
    <xf numFmtId="0" fontId="15" fillId="0" borderId="42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15" xfId="0" applyFont="1" applyBorder="1" applyAlignment="1">
      <alignment horizontal="left"/>
    </xf>
    <xf numFmtId="0" fontId="82" fillId="0" borderId="4" xfId="0" applyFont="1" applyBorder="1" applyAlignment="1">
      <alignment horizontal="center" vertical="center"/>
    </xf>
    <xf numFmtId="0" fontId="82" fillId="0" borderId="8" xfId="0" applyFont="1" applyBorder="1" applyAlignment="1">
      <alignment horizontal="center" vertical="center"/>
    </xf>
    <xf numFmtId="0" fontId="10" fillId="0" borderId="42" xfId="0" applyFont="1" applyBorder="1" applyAlignment="1">
      <alignment horizontal="left"/>
    </xf>
    <xf numFmtId="0" fontId="10" fillId="0" borderId="2" xfId="0" applyFont="1" applyBorder="1" applyAlignment="1">
      <alignment horizontal="left"/>
    </xf>
    <xf numFmtId="0" fontId="10" fillId="0" borderId="15" xfId="0" applyFont="1" applyBorder="1" applyAlignment="1">
      <alignment horizontal="left"/>
    </xf>
    <xf numFmtId="0" fontId="35" fillId="0" borderId="42" xfId="0" applyFont="1" applyBorder="1" applyAlignment="1">
      <alignment horizontal="left"/>
    </xf>
    <xf numFmtId="0" fontId="35" fillId="0" borderId="2" xfId="0" applyFont="1" applyBorder="1" applyAlignment="1">
      <alignment horizontal="left"/>
    </xf>
    <xf numFmtId="0" fontId="35" fillId="0" borderId="15" xfId="0" applyFont="1" applyBorder="1" applyAlignment="1">
      <alignment horizontal="left"/>
    </xf>
    <xf numFmtId="41" fontId="15" fillId="0" borderId="37" xfId="0" applyNumberFormat="1" applyFont="1" applyBorder="1" applyAlignment="1">
      <alignment horizontal="center" vertical="center"/>
    </xf>
    <xf numFmtId="3" fontId="15" fillId="0" borderId="4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1" fontId="19" fillId="0" borderId="9" xfId="0" applyNumberFormat="1" applyFont="1" applyBorder="1" applyAlignment="1">
      <alignment horizontal="center" vertical="center"/>
    </xf>
    <xf numFmtId="41" fontId="19" fillId="0" borderId="8" xfId="0" applyNumberFormat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3" fontId="15" fillId="36" borderId="9" xfId="0" applyNumberFormat="1" applyFont="1" applyFill="1" applyBorder="1" applyAlignment="1">
      <alignment horizontal="center" vertical="center" wrapText="1"/>
    </xf>
    <xf numFmtId="3" fontId="15" fillId="36" borderId="4" xfId="0" applyNumberFormat="1" applyFont="1" applyFill="1" applyBorder="1" applyAlignment="1">
      <alignment horizontal="center" vertical="center" wrapText="1"/>
    </xf>
    <xf numFmtId="3" fontId="15" fillId="36" borderId="8" xfId="0" applyNumberFormat="1" applyFont="1" applyFill="1" applyBorder="1" applyAlignment="1">
      <alignment horizontal="center" vertical="center" wrapText="1"/>
    </xf>
    <xf numFmtId="0" fontId="15" fillId="36" borderId="9" xfId="0" applyFont="1" applyFill="1" applyBorder="1" applyAlignment="1">
      <alignment horizontal="center" vertical="center" wrapText="1"/>
    </xf>
    <xf numFmtId="0" fontId="15" fillId="36" borderId="4" xfId="0" applyFont="1" applyFill="1" applyBorder="1" applyAlignment="1">
      <alignment horizontal="center" vertical="center" wrapText="1"/>
    </xf>
    <xf numFmtId="0" fontId="15" fillId="36" borderId="8" xfId="0" applyFont="1" applyFill="1" applyBorder="1" applyAlignment="1">
      <alignment horizontal="center" vertical="center" wrapText="1"/>
    </xf>
    <xf numFmtId="41" fontId="24" fillId="2" borderId="12" xfId="0" applyNumberFormat="1" applyFont="1" applyFill="1" applyBorder="1" applyAlignment="1">
      <alignment horizontal="center" vertical="center"/>
    </xf>
    <xf numFmtId="41" fontId="24" fillId="2" borderId="19" xfId="0" applyNumberFormat="1" applyFont="1" applyFill="1" applyBorder="1" applyAlignment="1">
      <alignment horizontal="center" vertical="center"/>
    </xf>
    <xf numFmtId="0" fontId="47" fillId="0" borderId="11" xfId="0" applyFont="1" applyBorder="1" applyAlignment="1">
      <alignment horizontal="center" vertical="center"/>
    </xf>
    <xf numFmtId="41" fontId="24" fillId="2" borderId="9" xfId="0" applyNumberFormat="1" applyFont="1" applyFill="1" applyBorder="1" applyAlignment="1">
      <alignment horizontal="center" vertical="center"/>
    </xf>
    <xf numFmtId="41" fontId="24" fillId="2" borderId="4" xfId="0" applyNumberFormat="1" applyFont="1" applyFill="1" applyBorder="1" applyAlignment="1">
      <alignment horizontal="center" vertical="center"/>
    </xf>
    <xf numFmtId="3" fontId="24" fillId="2" borderId="9" xfId="0" applyNumberFormat="1" applyFont="1" applyFill="1" applyBorder="1" applyAlignment="1">
      <alignment horizontal="center" vertical="center" wrapText="1"/>
    </xf>
    <xf numFmtId="3" fontId="24" fillId="2" borderId="4" xfId="0" applyNumberFormat="1" applyFont="1" applyFill="1" applyBorder="1" applyAlignment="1">
      <alignment horizontal="center" vertical="center" wrapText="1"/>
    </xf>
    <xf numFmtId="41" fontId="24" fillId="2" borderId="26" xfId="0" applyNumberFormat="1" applyFont="1" applyFill="1" applyBorder="1" applyAlignment="1">
      <alignment horizontal="center" vertical="center"/>
    </xf>
    <xf numFmtId="41" fontId="24" fillId="2" borderId="37" xfId="0" applyNumberFormat="1" applyFont="1" applyFill="1" applyBorder="1" applyAlignment="1">
      <alignment horizontal="center" vertical="center"/>
    </xf>
    <xf numFmtId="41" fontId="9" fillId="36" borderId="9" xfId="0" applyNumberFormat="1" applyFont="1" applyFill="1" applyBorder="1" applyAlignment="1">
      <alignment horizontal="center" vertical="center" wrapText="1"/>
    </xf>
    <xf numFmtId="41" fontId="9" fillId="36" borderId="4" xfId="0" applyNumberFormat="1" applyFont="1" applyFill="1" applyBorder="1" applyAlignment="1">
      <alignment horizontal="center" vertical="center" wrapText="1"/>
    </xf>
    <xf numFmtId="41" fontId="9" fillId="36" borderId="8" xfId="0" applyNumberFormat="1" applyFont="1" applyFill="1" applyBorder="1" applyAlignment="1">
      <alignment horizontal="center" vertical="center" wrapText="1"/>
    </xf>
    <xf numFmtId="14" fontId="24" fillId="2" borderId="26" xfId="0" applyNumberFormat="1" applyFont="1" applyFill="1" applyBorder="1" applyAlignment="1">
      <alignment horizontal="center" vertical="center" wrapText="1"/>
    </xf>
    <xf numFmtId="14" fontId="24" fillId="2" borderId="12" xfId="0" applyNumberFormat="1" applyFont="1" applyFill="1" applyBorder="1" applyAlignment="1">
      <alignment horizontal="center" vertical="center" wrapText="1"/>
    </xf>
    <xf numFmtId="169" fontId="29" fillId="0" borderId="0" xfId="0" applyNumberFormat="1" applyFont="1" applyAlignment="1">
      <alignment horizontal="left" vertical="center"/>
    </xf>
    <xf numFmtId="41" fontId="32" fillId="0" borderId="0" xfId="0" applyNumberFormat="1" applyFont="1" applyAlignment="1">
      <alignment horizontal="center" vertical="center"/>
    </xf>
    <xf numFmtId="41" fontId="18" fillId="0" borderId="0" xfId="0" applyNumberFormat="1" applyFont="1" applyAlignment="1">
      <alignment horizontal="center" vertical="center"/>
    </xf>
    <xf numFmtId="41" fontId="34" fillId="0" borderId="20" xfId="0" applyNumberFormat="1" applyFont="1" applyBorder="1" applyAlignment="1">
      <alignment horizontal="center" vertical="center"/>
    </xf>
    <xf numFmtId="41" fontId="34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41" fontId="41" fillId="18" borderId="16" xfId="0" applyNumberFormat="1" applyFont="1" applyFill="1" applyBorder="1" applyAlignment="1">
      <alignment horizontal="center" vertical="center"/>
    </xf>
    <xf numFmtId="41" fontId="38" fillId="30" borderId="16" xfId="0" applyNumberFormat="1" applyFont="1" applyFill="1" applyBorder="1" applyAlignment="1">
      <alignment horizontal="right" vertical="center"/>
    </xf>
    <xf numFmtId="41" fontId="38" fillId="0" borderId="16" xfId="0" applyNumberFormat="1" applyFont="1" applyBorder="1" applyAlignment="1">
      <alignment vertical="center"/>
    </xf>
    <xf numFmtId="41" fontId="10" fillId="0" borderId="11" xfId="0" applyNumberFormat="1" applyFont="1" applyBorder="1" applyAlignment="1">
      <alignment horizontal="left" vertical="center"/>
    </xf>
    <xf numFmtId="41" fontId="38" fillId="0" borderId="16" xfId="0" applyNumberFormat="1" applyFont="1" applyBorder="1"/>
    <xf numFmtId="41" fontId="38" fillId="0" borderId="21" xfId="0" applyNumberFormat="1" applyFont="1" applyBorder="1" applyAlignment="1">
      <alignment horizontal="center"/>
    </xf>
    <xf numFmtId="41" fontId="38" fillId="0" borderId="0" xfId="0" applyNumberFormat="1" applyFont="1" applyAlignment="1">
      <alignment vertical="center"/>
    </xf>
    <xf numFmtId="0" fontId="38" fillId="0" borderId="0" xfId="0" applyFont="1" applyAlignment="1">
      <alignment vertical="center"/>
    </xf>
    <xf numFmtId="41" fontId="42" fillId="16" borderId="16" xfId="0" applyNumberFormat="1" applyFont="1" applyFill="1" applyBorder="1" applyAlignment="1">
      <alignment horizontal="right" vertical="center"/>
    </xf>
    <xf numFmtId="41" fontId="42" fillId="0" borderId="16" xfId="0" applyNumberFormat="1" applyFont="1" applyBorder="1" applyAlignment="1">
      <alignment horizontal="left"/>
    </xf>
    <xf numFmtId="0" fontId="41" fillId="0" borderId="0" xfId="0" applyFont="1" applyAlignment="1">
      <alignment vertical="center"/>
    </xf>
    <xf numFmtId="41" fontId="37" fillId="27" borderId="0" xfId="0" applyNumberFormat="1" applyFont="1" applyFill="1" applyAlignment="1">
      <alignment vertical="center"/>
    </xf>
    <xf numFmtId="41" fontId="41" fillId="16" borderId="16" xfId="0" applyNumberFormat="1" applyFont="1" applyFill="1" applyBorder="1" applyAlignment="1">
      <alignment horizontal="center" vertical="center"/>
    </xf>
    <xf numFmtId="0" fontId="37" fillId="15" borderId="16" xfId="0" applyFont="1" applyFill="1" applyBorder="1" applyAlignment="1">
      <alignment horizontal="right" vertical="center"/>
    </xf>
    <xf numFmtId="3" fontId="37" fillId="0" borderId="16" xfId="0" applyNumberFormat="1" applyFont="1" applyBorder="1" applyAlignment="1">
      <alignment horizontal="center" vertical="center"/>
    </xf>
    <xf numFmtId="41" fontId="37" fillId="0" borderId="16" xfId="0" applyNumberFormat="1" applyFont="1" applyBorder="1" applyAlignment="1">
      <alignment horizontal="center" vertical="center"/>
    </xf>
    <xf numFmtId="0" fontId="41" fillId="9" borderId="16" xfId="0" applyFont="1" applyFill="1" applyBorder="1" applyAlignment="1">
      <alignment horizontal="right" vertical="center"/>
    </xf>
    <xf numFmtId="41" fontId="41" fillId="16" borderId="21" xfId="0" applyNumberFormat="1" applyFont="1" applyFill="1" applyBorder="1" applyAlignment="1">
      <alignment horizontal="center" vertical="center"/>
    </xf>
    <xf numFmtId="0" fontId="37" fillId="0" borderId="17" xfId="0" applyFont="1" applyBorder="1" applyAlignment="1">
      <alignment horizontal="right" vertical="center"/>
    </xf>
    <xf numFmtId="41" fontId="41" fillId="10" borderId="16" xfId="0" applyNumberFormat="1" applyFont="1" applyFill="1" applyBorder="1" applyAlignment="1">
      <alignment horizontal="right" vertical="center"/>
    </xf>
    <xf numFmtId="41" fontId="42" fillId="10" borderId="16" xfId="0" applyNumberFormat="1" applyFont="1" applyFill="1" applyBorder="1" applyAlignment="1">
      <alignment horizontal="center" vertical="center"/>
    </xf>
    <xf numFmtId="0" fontId="37" fillId="0" borderId="16" xfId="0" applyFont="1" applyBorder="1" applyAlignment="1">
      <alignment horizontal="right"/>
    </xf>
    <xf numFmtId="3" fontId="38" fillId="0" borderId="21" xfId="0" applyNumberFormat="1" applyFont="1" applyBorder="1" applyAlignment="1">
      <alignment horizontal="center"/>
    </xf>
    <xf numFmtId="41" fontId="38" fillId="0" borderId="18" xfId="0" applyNumberFormat="1" applyFont="1" applyBorder="1" applyAlignment="1">
      <alignment horizontal="left" vertical="top"/>
    </xf>
    <xf numFmtId="3" fontId="38" fillId="0" borderId="16" xfId="0" applyNumberFormat="1" applyFont="1" applyBorder="1" applyAlignment="1">
      <alignment horizontal="left" vertical="top"/>
    </xf>
    <xf numFmtId="41" fontId="41" fillId="17" borderId="16" xfId="0" applyNumberFormat="1" applyFont="1" applyFill="1" applyBorder="1" applyAlignment="1">
      <alignment horizontal="center" vertical="top"/>
    </xf>
    <xf numFmtId="41" fontId="38" fillId="30" borderId="16" xfId="0" applyNumberFormat="1" applyFont="1" applyFill="1" applyBorder="1" applyAlignment="1">
      <alignment horizontal="left" vertical="top"/>
    </xf>
    <xf numFmtId="3" fontId="37" fillId="0" borderId="16" xfId="0" applyNumberFormat="1" applyFont="1" applyBorder="1" applyAlignment="1">
      <alignment horizontal="left" vertical="top"/>
    </xf>
    <xf numFmtId="41" fontId="37" fillId="0" borderId="21" xfId="0" applyNumberFormat="1" applyFont="1" applyBorder="1" applyAlignment="1">
      <alignment horizontal="left" vertical="top"/>
    </xf>
    <xf numFmtId="41" fontId="58" fillId="0" borderId="21" xfId="0" applyNumberFormat="1" applyFont="1" applyBorder="1" applyAlignment="1">
      <alignment horizontal="left" vertical="top"/>
    </xf>
    <xf numFmtId="41" fontId="10" fillId="0" borderId="9" xfId="0" applyNumberFormat="1" applyFont="1" applyBorder="1" applyAlignment="1">
      <alignment horizontal="center" vertical="top"/>
    </xf>
    <xf numFmtId="0" fontId="37" fillId="0" borderId="0" xfId="0" applyFont="1" applyAlignment="1">
      <alignment horizontal="left" vertical="top"/>
    </xf>
    <xf numFmtId="41" fontId="10" fillId="0" borderId="4" xfId="0" applyNumberFormat="1" applyFont="1" applyBorder="1" applyAlignment="1">
      <alignment horizontal="center" vertical="top"/>
    </xf>
    <xf numFmtId="41" fontId="10" fillId="0" borderId="8" xfId="0" applyNumberFormat="1" applyFont="1" applyBorder="1" applyAlignment="1">
      <alignment horizontal="center" vertical="top"/>
    </xf>
    <xf numFmtId="41" fontId="11" fillId="0" borderId="0" xfId="0" applyNumberFormat="1" applyFont="1" applyAlignment="1">
      <alignment vertical="center"/>
    </xf>
    <xf numFmtId="0" fontId="1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3" fontId="10" fillId="0" borderId="0" xfId="0" applyNumberFormat="1" applyFont="1" applyAlignment="1">
      <alignment vertical="center"/>
    </xf>
    <xf numFmtId="41" fontId="11" fillId="0" borderId="0" xfId="0" applyNumberFormat="1" applyFont="1" applyAlignment="1">
      <alignment horizontal="center" vertical="center"/>
    </xf>
    <xf numFmtId="41" fontId="35" fillId="0" borderId="47" xfId="0" applyNumberFormat="1" applyFont="1" applyBorder="1" applyAlignment="1">
      <alignment horizontal="left" vertical="top" wrapText="1"/>
    </xf>
    <xf numFmtId="4" fontId="5" fillId="27" borderId="0" xfId="0" applyNumberFormat="1" applyFont="1" applyFill="1" applyAlignment="1">
      <alignment vertical="top"/>
    </xf>
    <xf numFmtId="3" fontId="5" fillId="27" borderId="0" xfId="0" applyNumberFormat="1" applyFont="1" applyFill="1" applyAlignment="1">
      <alignment vertical="top"/>
    </xf>
  </cellXfs>
  <cellStyles count="11">
    <cellStyle name="??_kc-elec system check list" xfId="1" xr:uid="{BBD51AD9-6C9C-4A76-B3A4-17AEC426F513}"/>
    <cellStyle name="Comma" xfId="2" builtinId="3"/>
    <cellStyle name="Currency" xfId="3" builtinId="4"/>
    <cellStyle name="Header1" xfId="4" xr:uid="{2EED4D25-DBFD-4BEB-A4BE-3F298B9E3951}"/>
    <cellStyle name="Header2" xfId="5" xr:uid="{487335DF-B253-4557-99B4-EF7291544AD3}"/>
    <cellStyle name="Normal" xfId="0" builtinId="0"/>
    <cellStyle name="Normal 2" xfId="6" xr:uid="{597BFC25-C342-4A01-8313-AC38D15C5080}"/>
    <cellStyle name="Normal 3" xfId="7" xr:uid="{C6EBED4F-F1FF-46E9-A422-38D811A55959}"/>
    <cellStyle name="Normal 4" xfId="8" xr:uid="{DEA3ABA5-62CE-4BF0-AA7F-B020C1106A0A}"/>
    <cellStyle name="Normal 5" xfId="9" xr:uid="{0FDD4DEC-576E-49D3-9EF1-04CCEBF4931A}"/>
    <cellStyle name="Percent" xfId="10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4" name="Line 1">
          <a:extLst>
            <a:ext uri="{FF2B5EF4-FFF2-40B4-BE49-F238E27FC236}">
              <a16:creationId xmlns:a16="http://schemas.microsoft.com/office/drawing/2014/main" id="{923FC7A3-4CF1-1524-DAE3-5D5219FB2059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5" name="Line 2">
          <a:extLst>
            <a:ext uri="{FF2B5EF4-FFF2-40B4-BE49-F238E27FC236}">
              <a16:creationId xmlns:a16="http://schemas.microsoft.com/office/drawing/2014/main" id="{C3E4A08D-CF8D-882C-4A8B-04C7AAC026D9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5886" name="Line 1">
          <a:extLst>
            <a:ext uri="{FF2B5EF4-FFF2-40B4-BE49-F238E27FC236}">
              <a16:creationId xmlns:a16="http://schemas.microsoft.com/office/drawing/2014/main" id="{041B22A0-DC86-7864-8DCA-4C3BE68E56F6}"/>
            </a:ext>
          </a:extLst>
        </xdr:cNvPr>
        <xdr:cNvSpPr>
          <a:spLocks noChangeShapeType="1"/>
        </xdr:cNvSpPr>
      </xdr:nvSpPr>
      <xdr:spPr bwMode="auto">
        <a:xfrm>
          <a:off x="527685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66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1705887" name="Line 2">
          <a:extLst>
            <a:ext uri="{FF2B5EF4-FFF2-40B4-BE49-F238E27FC236}">
              <a16:creationId xmlns:a16="http://schemas.microsoft.com/office/drawing/2014/main" id="{61DB94C3-CABC-C6F7-26FC-02A7307B3143}"/>
            </a:ext>
          </a:extLst>
        </xdr:cNvPr>
        <xdr:cNvSpPr>
          <a:spLocks noChangeShapeType="1"/>
        </xdr:cNvSpPr>
      </xdr:nvSpPr>
      <xdr:spPr bwMode="auto">
        <a:xfrm>
          <a:off x="5276850" y="1406842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447675</xdr:colOff>
          <xdr:row>0</xdr:row>
          <xdr:rowOff>152400</xdr:rowOff>
        </xdr:from>
        <xdr:to>
          <xdr:col>19</xdr:col>
          <xdr:colOff>819150</xdr:colOff>
          <xdr:row>3</xdr:row>
          <xdr:rowOff>0</xdr:rowOff>
        </xdr:to>
        <xdr:sp macro="" textlink="">
          <xdr:nvSpPr>
            <xdr:cNvPr id="1705888" name="Button 1952" hidden="1">
              <a:extLst>
                <a:ext uri="{63B3BB69-23CF-44E3-9099-C40C66FF867C}">
                  <a14:compatExt spid="_x0000_s1705888"/>
                </a:ext>
                <a:ext uri="{FF2B5EF4-FFF2-40B4-BE49-F238E27FC236}">
                  <a16:creationId xmlns:a16="http://schemas.microsoft.com/office/drawing/2014/main" id="{00000000-0008-0000-0100-0000A007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TONG HOP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08" name="Line 1">
          <a:extLst>
            <a:ext uri="{FF2B5EF4-FFF2-40B4-BE49-F238E27FC236}">
              <a16:creationId xmlns:a16="http://schemas.microsoft.com/office/drawing/2014/main" id="{EE3EAF14-FABB-178A-0F00-4F4E56A325B4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339</xdr:row>
      <xdr:rowOff>0</xdr:rowOff>
    </xdr:from>
    <xdr:to>
      <xdr:col>8</xdr:col>
      <xdr:colOff>0</xdr:colOff>
      <xdr:row>339</xdr:row>
      <xdr:rowOff>0</xdr:rowOff>
    </xdr:to>
    <xdr:sp macro="" textlink="">
      <xdr:nvSpPr>
        <xdr:cNvPr id="1706909" name="Line 2">
          <a:extLst>
            <a:ext uri="{FF2B5EF4-FFF2-40B4-BE49-F238E27FC236}">
              <a16:creationId xmlns:a16="http://schemas.microsoft.com/office/drawing/2014/main" id="{58079E14-2FD2-C657-703C-50737F83300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0</xdr:row>
      <xdr:rowOff>0</xdr:rowOff>
    </xdr:from>
    <xdr:to>
      <xdr:col>8</xdr:col>
      <xdr:colOff>0</xdr:colOff>
      <xdr:row>0</xdr:row>
      <xdr:rowOff>0</xdr:rowOff>
    </xdr:to>
    <xdr:sp macro="" textlink="">
      <xdr:nvSpPr>
        <xdr:cNvPr id="1706910" name="Line 1">
          <a:extLst>
            <a:ext uri="{FF2B5EF4-FFF2-40B4-BE49-F238E27FC236}">
              <a16:creationId xmlns:a16="http://schemas.microsoft.com/office/drawing/2014/main" id="{95D9F375-8189-CE89-0765-512330BF2080}"/>
            </a:ext>
          </a:extLst>
        </xdr:cNvPr>
        <xdr:cNvSpPr>
          <a:spLocks noChangeShapeType="1"/>
        </xdr:cNvSpPr>
      </xdr:nvSpPr>
      <xdr:spPr bwMode="auto">
        <a:xfrm>
          <a:off x="5600700" y="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339</xdr:row>
      <xdr:rowOff>0</xdr:rowOff>
    </xdr:from>
    <xdr:to>
      <xdr:col>8</xdr:col>
      <xdr:colOff>0</xdr:colOff>
      <xdr:row>339</xdr:row>
      <xdr:rowOff>0</xdr:rowOff>
    </xdr:to>
    <xdr:sp macro="" textlink="">
      <xdr:nvSpPr>
        <xdr:cNvPr id="1706911" name="Line 2">
          <a:extLst>
            <a:ext uri="{FF2B5EF4-FFF2-40B4-BE49-F238E27FC236}">
              <a16:creationId xmlns:a16="http://schemas.microsoft.com/office/drawing/2014/main" id="{A0E68837-7A60-E538-E886-B20AA1580D38}"/>
            </a:ext>
          </a:extLst>
        </xdr:cNvPr>
        <xdr:cNvSpPr>
          <a:spLocks noChangeShapeType="1"/>
        </xdr:cNvSpPr>
      </xdr:nvSpPr>
      <xdr:spPr bwMode="auto">
        <a:xfrm>
          <a:off x="5600700" y="64236600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6" name="Line 1">
          <a:extLst>
            <a:ext uri="{FF2B5EF4-FFF2-40B4-BE49-F238E27FC236}">
              <a16:creationId xmlns:a16="http://schemas.microsoft.com/office/drawing/2014/main" id="{514CB8BD-8707-4135-599F-03783F6339F3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77" name="Line 1">
          <a:extLst>
            <a:ext uri="{FF2B5EF4-FFF2-40B4-BE49-F238E27FC236}">
              <a16:creationId xmlns:a16="http://schemas.microsoft.com/office/drawing/2014/main" id="{8B7463D2-423E-A0A7-F886-106E07980C6E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78" name="Line 1">
          <a:extLst>
            <a:ext uri="{FF2B5EF4-FFF2-40B4-BE49-F238E27FC236}">
              <a16:creationId xmlns:a16="http://schemas.microsoft.com/office/drawing/2014/main" id="{E2064E20-2F04-4CDA-EE65-D58BA5BE2C48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79" name="Line 1">
          <a:extLst>
            <a:ext uri="{FF2B5EF4-FFF2-40B4-BE49-F238E27FC236}">
              <a16:creationId xmlns:a16="http://schemas.microsoft.com/office/drawing/2014/main" id="{5A5D78D8-7767-55EE-98DB-FED78CDEC5AD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0" name="Line 1">
          <a:extLst>
            <a:ext uri="{FF2B5EF4-FFF2-40B4-BE49-F238E27FC236}">
              <a16:creationId xmlns:a16="http://schemas.microsoft.com/office/drawing/2014/main" id="{428AEE06-0FCE-8490-14F7-76884A410DAA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1" name="Line 1">
          <a:extLst>
            <a:ext uri="{FF2B5EF4-FFF2-40B4-BE49-F238E27FC236}">
              <a16:creationId xmlns:a16="http://schemas.microsoft.com/office/drawing/2014/main" id="{B85B78F8-E3BC-AFBA-D512-FD6E5920D6D7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2" name="Line 1">
          <a:extLst>
            <a:ext uri="{FF2B5EF4-FFF2-40B4-BE49-F238E27FC236}">
              <a16:creationId xmlns:a16="http://schemas.microsoft.com/office/drawing/2014/main" id="{0A267590-C672-03EB-4D9E-DC768339EEEE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3" name="Line 1">
          <a:extLst>
            <a:ext uri="{FF2B5EF4-FFF2-40B4-BE49-F238E27FC236}">
              <a16:creationId xmlns:a16="http://schemas.microsoft.com/office/drawing/2014/main" id="{125B5B86-29FA-FD35-9787-EB452FA18CF4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84" name="Line 1">
          <a:extLst>
            <a:ext uri="{FF2B5EF4-FFF2-40B4-BE49-F238E27FC236}">
              <a16:creationId xmlns:a16="http://schemas.microsoft.com/office/drawing/2014/main" id="{D3E589F7-E414-691B-F850-611153ABECA0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5" name="Line 1">
          <a:extLst>
            <a:ext uri="{FF2B5EF4-FFF2-40B4-BE49-F238E27FC236}">
              <a16:creationId xmlns:a16="http://schemas.microsoft.com/office/drawing/2014/main" id="{86A83DC7-269E-C38B-2A5F-75980EA1ACBF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86" name="Line 1">
          <a:extLst>
            <a:ext uri="{FF2B5EF4-FFF2-40B4-BE49-F238E27FC236}">
              <a16:creationId xmlns:a16="http://schemas.microsoft.com/office/drawing/2014/main" id="{40E7645F-3DC9-9B70-31B0-8245FB8148EB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87" name="Line 1">
          <a:extLst>
            <a:ext uri="{FF2B5EF4-FFF2-40B4-BE49-F238E27FC236}">
              <a16:creationId xmlns:a16="http://schemas.microsoft.com/office/drawing/2014/main" id="{AB7F8B80-9A82-C7E5-7403-4D3E455BDB7B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8" name="Line 1">
          <a:extLst>
            <a:ext uri="{FF2B5EF4-FFF2-40B4-BE49-F238E27FC236}">
              <a16:creationId xmlns:a16="http://schemas.microsoft.com/office/drawing/2014/main" id="{42CAAB7D-FEE1-C2EC-40EE-FCFCB232AB3C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89" name="Line 1">
          <a:extLst>
            <a:ext uri="{FF2B5EF4-FFF2-40B4-BE49-F238E27FC236}">
              <a16:creationId xmlns:a16="http://schemas.microsoft.com/office/drawing/2014/main" id="{ABEEDA75-D325-357D-4133-424906F7BBC8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54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1713590" name="Line 1">
          <a:extLst>
            <a:ext uri="{FF2B5EF4-FFF2-40B4-BE49-F238E27FC236}">
              <a16:creationId xmlns:a16="http://schemas.microsoft.com/office/drawing/2014/main" id="{62FCFE45-0F02-B507-7E49-C7A3E7040824}"/>
            </a:ext>
          </a:extLst>
        </xdr:cNvPr>
        <xdr:cNvSpPr>
          <a:spLocks noChangeShapeType="1"/>
        </xdr:cNvSpPr>
      </xdr:nvSpPr>
      <xdr:spPr bwMode="auto">
        <a:xfrm>
          <a:off x="5762625" y="11877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1" name="Line 1">
          <a:extLst>
            <a:ext uri="{FF2B5EF4-FFF2-40B4-BE49-F238E27FC236}">
              <a16:creationId xmlns:a16="http://schemas.microsoft.com/office/drawing/2014/main" id="{B84CAA48-C777-D895-C111-76BC7F14D3B2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2" name="Line 1">
          <a:extLst>
            <a:ext uri="{FF2B5EF4-FFF2-40B4-BE49-F238E27FC236}">
              <a16:creationId xmlns:a16="http://schemas.microsoft.com/office/drawing/2014/main" id="{FDFA0324-E101-EF8A-DD69-49D1C631EBAF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55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1713593" name="Line 1">
          <a:extLst>
            <a:ext uri="{FF2B5EF4-FFF2-40B4-BE49-F238E27FC236}">
              <a16:creationId xmlns:a16="http://schemas.microsoft.com/office/drawing/2014/main" id="{1FA4924D-9ADD-F315-F20D-FCCF48B4841D}"/>
            </a:ext>
          </a:extLst>
        </xdr:cNvPr>
        <xdr:cNvSpPr>
          <a:spLocks noChangeShapeType="1"/>
        </xdr:cNvSpPr>
      </xdr:nvSpPr>
      <xdr:spPr bwMode="auto">
        <a:xfrm>
          <a:off x="5762625" y="12068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4" name="Line 1">
          <a:extLst>
            <a:ext uri="{FF2B5EF4-FFF2-40B4-BE49-F238E27FC236}">
              <a16:creationId xmlns:a16="http://schemas.microsoft.com/office/drawing/2014/main" id="{206744DE-BDFE-1C7B-D814-3C20B51E2475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5" name="Line 1">
          <a:extLst>
            <a:ext uri="{FF2B5EF4-FFF2-40B4-BE49-F238E27FC236}">
              <a16:creationId xmlns:a16="http://schemas.microsoft.com/office/drawing/2014/main" id="{CE6BA04E-6807-EA7A-6B2B-C8149341012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56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1713596" name="Line 1">
          <a:extLst>
            <a:ext uri="{FF2B5EF4-FFF2-40B4-BE49-F238E27FC236}">
              <a16:creationId xmlns:a16="http://schemas.microsoft.com/office/drawing/2014/main" id="{83216426-7E36-EF7C-F9E0-1E51B5BB30F6}"/>
            </a:ext>
          </a:extLst>
        </xdr:cNvPr>
        <xdr:cNvSpPr>
          <a:spLocks noChangeShapeType="1"/>
        </xdr:cNvSpPr>
      </xdr:nvSpPr>
      <xdr:spPr bwMode="auto">
        <a:xfrm>
          <a:off x="5762625" y="12258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7" name="Line 1">
          <a:extLst>
            <a:ext uri="{FF2B5EF4-FFF2-40B4-BE49-F238E27FC236}">
              <a16:creationId xmlns:a16="http://schemas.microsoft.com/office/drawing/2014/main" id="{9EDF0282-1BAD-622D-B045-69CF7346CA08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58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1713598" name="Line 1">
          <a:extLst>
            <a:ext uri="{FF2B5EF4-FFF2-40B4-BE49-F238E27FC236}">
              <a16:creationId xmlns:a16="http://schemas.microsoft.com/office/drawing/2014/main" id="{6D56A6D6-36B3-A225-DC6B-D36AD43AC969}"/>
            </a:ext>
          </a:extLst>
        </xdr:cNvPr>
        <xdr:cNvSpPr>
          <a:spLocks noChangeShapeType="1"/>
        </xdr:cNvSpPr>
      </xdr:nvSpPr>
      <xdr:spPr bwMode="auto">
        <a:xfrm>
          <a:off x="5762625" y="126396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57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1713599" name="Line 1">
          <a:extLst>
            <a:ext uri="{FF2B5EF4-FFF2-40B4-BE49-F238E27FC236}">
              <a16:creationId xmlns:a16="http://schemas.microsoft.com/office/drawing/2014/main" id="{3F06A94D-F7E5-1B7C-D1B8-C9814A71C578}"/>
            </a:ext>
          </a:extLst>
        </xdr:cNvPr>
        <xdr:cNvSpPr>
          <a:spLocks noChangeShapeType="1"/>
        </xdr:cNvSpPr>
      </xdr:nvSpPr>
      <xdr:spPr bwMode="auto">
        <a:xfrm>
          <a:off x="5762625" y="12449175"/>
          <a:ext cx="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2.5.87\Soft\FFSTOCK%2008-03-2010%20BDFM%2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5103711350-003\Data%20(D)\hien\report\FINISH%20FEED\FFSTOCK%202014\FFSTOCK%2011-2014\STOCK%2027-04-2014%20BDFM...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3">
          <cell r="N3" t="str">
            <v>Date:</v>
          </cell>
        </row>
      </sheetData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2"/>
      <sheetName val="C .CA"/>
      <sheetName val="Sheet1"/>
      <sheetName val="WEEKLY REPORT"/>
      <sheetName val="INT OF WEEKLY"/>
      <sheetName val="Chart1"/>
      <sheetName val="Chart2"/>
      <sheetName val="BRAN"/>
      <sheetName val="INTGRATE"/>
      <sheetName val="REMIX"/>
      <sheetName val="XL4Popp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>
        <row r="3">
          <cell r="N3">
            <v>41756</v>
          </cell>
        </row>
      </sheetData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C333C-45DB-446E-9EE6-455110AE6CFC}">
  <sheetPr codeName="Sheet6"/>
  <dimension ref="A1:C41"/>
  <sheetViews>
    <sheetView showFormulas="1" workbookViewId="0">
      <selection activeCell="C1" sqref="C1"/>
    </sheetView>
  </sheetViews>
  <sheetFormatPr defaultColWidth="10" defaultRowHeight="12.75"/>
  <cols>
    <col min="1" max="1" width="32.42578125" style="2" customWidth="1"/>
    <col min="2" max="2" width="1.42578125" style="2" customWidth="1"/>
    <col min="3" max="3" width="34.85546875" style="2" customWidth="1"/>
    <col min="4" max="16384" width="10" style="2"/>
  </cols>
  <sheetData>
    <row r="1" spans="1:3" ht="13.5">
      <c r="A1" s="1" t="s">
        <v>0</v>
      </c>
      <c r="C1" s="2" t="str">
        <f>"Deleted By K"</f>
        <v>Deleted By K</v>
      </c>
    </row>
    <row r="2" spans="1:3" ht="14.25" thickBot="1">
      <c r="A2" s="1" t="s">
        <v>1</v>
      </c>
    </row>
    <row r="3" spans="1:3" ht="13.5" thickBot="1">
      <c r="A3" s="3" t="s">
        <v>2</v>
      </c>
      <c r="C3" s="4" t="s">
        <v>3</v>
      </c>
    </row>
    <row r="4" spans="1:3">
      <c r="A4" s="3">
        <v>3</v>
      </c>
      <c r="C4" s="5" t="str">
        <f>"Delete"</f>
        <v>Delete</v>
      </c>
    </row>
    <row r="5" spans="1:3">
      <c r="C5" s="5" t="str">
        <f>"Deleted By K"</f>
        <v>Deleted By K</v>
      </c>
    </row>
    <row r="6" spans="1:3" ht="13.5" thickBot="1">
      <c r="C6" s="5" t="str">
        <f>"Deleted By"</f>
        <v>Deleted By</v>
      </c>
    </row>
    <row r="7" spans="1:3">
      <c r="A7" s="6" t="s">
        <v>4</v>
      </c>
      <c r="C7" s="5" t="str">
        <f>"D"</f>
        <v>D</v>
      </c>
    </row>
    <row r="8" spans="1:3">
      <c r="A8" s="7" t="s">
        <v>5</v>
      </c>
      <c r="C8" s="5" t="str">
        <f>""</f>
        <v/>
      </c>
    </row>
    <row r="9" spans="1:3">
      <c r="A9" s="8" t="s">
        <v>6</v>
      </c>
      <c r="C9" s="5" t="str">
        <f>"Del"</f>
        <v>Del</v>
      </c>
    </row>
    <row r="10" spans="1:3">
      <c r="A10" s="7" t="s">
        <v>7</v>
      </c>
      <c r="C10" s="5" t="str">
        <f>"Delete"</f>
        <v>Delete</v>
      </c>
    </row>
    <row r="11" spans="1:3" ht="13.5" thickBot="1">
      <c r="A11" s="9" t="s">
        <v>8</v>
      </c>
      <c r="C11" s="5" t="str">
        <f>"Deleted By Kaspersky Lab A"</f>
        <v>Deleted By Kaspersky Lab A</v>
      </c>
    </row>
    <row r="12" spans="1:3">
      <c r="C12" s="5" t="str">
        <f>"Deleted By Kaspersky Lab AV "</f>
        <v xml:space="preserve">Deleted By Kaspersky Lab AV </v>
      </c>
    </row>
    <row r="13" spans="1:3" ht="13.5" thickBot="1">
      <c r="C13" s="5" t="str">
        <f>"Deleted By K"</f>
        <v>Deleted By K</v>
      </c>
    </row>
    <row r="14" spans="1:3" ht="13.5" thickBot="1">
      <c r="A14" s="4" t="s">
        <v>9</v>
      </c>
      <c r="C14" s="10" t="str">
        <f>"D"</f>
        <v>D</v>
      </c>
    </row>
    <row r="15" spans="1:3">
      <c r="A15" s="5" t="str">
        <f>"Deleted By Kaspersky Lab AV Deleted By K"</f>
        <v>Deleted By Kaspersky Lab AV Deleted By K</v>
      </c>
    </row>
    <row r="16" spans="1:3" ht="13.5" thickBot="1">
      <c r="A16" s="5" t="str">
        <f>"Deleted By Kaspersky Lab AV Deleted By"</f>
        <v>Deleted By Kaspersky Lab AV Deleted By</v>
      </c>
    </row>
    <row r="17" spans="1:3" ht="13.5" thickBot="1">
      <c r="A17" s="10" t="str">
        <f>"D"</f>
        <v>D</v>
      </c>
      <c r="C17" s="4" t="s">
        <v>10</v>
      </c>
    </row>
    <row r="18" spans="1:3">
      <c r="C18" s="5" t="str">
        <f>"Deleted By Kaspersky Lab AV Deleted By "</f>
        <v xml:space="preserve">Deleted By Kaspersky Lab AV Deleted By </v>
      </c>
    </row>
    <row r="19" spans="1:3">
      <c r="C19" s="5" t="str">
        <f>"Deleted By Kaspersky Lab A"</f>
        <v>Deleted By Kaspersky Lab A</v>
      </c>
    </row>
    <row r="20" spans="1:3">
      <c r="A20" s="11" t="s">
        <v>11</v>
      </c>
      <c r="C20" s="5" t="str">
        <f>"Deleted By Kaspersky "</f>
        <v xml:space="preserve">Deleted By Kaspersky </v>
      </c>
    </row>
    <row r="21" spans="1:3">
      <c r="A21" s="12" t="str">
        <f>"Deleted By Kaspersky Lab AV Deleted By"</f>
        <v>Deleted By Kaspersky Lab AV Deleted By</v>
      </c>
      <c r="C21" s="5" t="str">
        <f>"Deleted By Kaspersky "</f>
        <v xml:space="preserve">Deleted By Kaspersky </v>
      </c>
    </row>
    <row r="22" spans="1:3">
      <c r="A22" s="5" t="str">
        <f>"Deleted "</f>
        <v xml:space="preserve">Deleted </v>
      </c>
      <c r="C22" s="5" t="str">
        <f>"Deleted By Kaspersky Lab AV Deleted By "</f>
        <v xml:space="preserve">Deleted By Kaspersky Lab AV Deleted By </v>
      </c>
    </row>
    <row r="23" spans="1:3">
      <c r="A23" s="5" t="str">
        <f>"Deleted By"</f>
        <v>Deleted By</v>
      </c>
      <c r="C23" s="10" t="str">
        <f>"D"</f>
        <v>D</v>
      </c>
    </row>
    <row r="24" spans="1:3">
      <c r="A24" s="5" t="str">
        <f>"D"</f>
        <v>D</v>
      </c>
    </row>
    <row r="25" spans="1:3">
      <c r="A25" s="5" t="str">
        <f>""</f>
        <v/>
      </c>
    </row>
    <row r="26" spans="1:3" ht="13.5" thickBot="1">
      <c r="A26" s="5" t="str">
        <f>"Dele"</f>
        <v>Dele</v>
      </c>
      <c r="C26" s="13" t="s">
        <v>12</v>
      </c>
    </row>
    <row r="27" spans="1:3">
      <c r="A27" s="5" t="str">
        <f>"Dele"</f>
        <v>Dele</v>
      </c>
      <c r="C27" s="5" t="str">
        <f>"Delete"</f>
        <v>Delete</v>
      </c>
    </row>
    <row r="28" spans="1:3">
      <c r="A28" s="5" t="str">
        <f>"Dele"</f>
        <v>Dele</v>
      </c>
      <c r="C28" s="5" t="str">
        <f>"Deleted "</f>
        <v xml:space="preserve">Deleted </v>
      </c>
    </row>
    <row r="29" spans="1:3">
      <c r="A29" s="5" t="str">
        <f>"D"</f>
        <v>D</v>
      </c>
      <c r="C29" s="5" t="str">
        <f>"Deleted By"</f>
        <v>Deleted By</v>
      </c>
    </row>
    <row r="30" spans="1:3">
      <c r="A30" s="5" t="str">
        <f>"Delete"</f>
        <v>Delete</v>
      </c>
      <c r="C30" s="5" t="str">
        <f>"D"</f>
        <v>D</v>
      </c>
    </row>
    <row r="31" spans="1:3">
      <c r="A31" s="5" t="str">
        <f>"Deleted By Kasper"</f>
        <v>Deleted By Kasper</v>
      </c>
      <c r="C31" s="5" t="str">
        <f>"Del"</f>
        <v>Del</v>
      </c>
    </row>
    <row r="32" spans="1:3">
      <c r="A32" s="5" t="str">
        <f>"Deleted By Kaspersky"</f>
        <v>Deleted By Kaspersky</v>
      </c>
      <c r="C32" s="5" t="str">
        <f>"D"</f>
        <v>D</v>
      </c>
    </row>
    <row r="33" spans="1:3">
      <c r="A33" s="5" t="str">
        <f>"Deleted By Kaspersk"</f>
        <v>Deleted By Kaspersk</v>
      </c>
      <c r="C33" s="5" t="str">
        <f>"Delete"</f>
        <v>Delete</v>
      </c>
    </row>
    <row r="34" spans="1:3">
      <c r="A34" s="5" t="str">
        <f>"Deleted By Kaspersky"</f>
        <v>Deleted By Kaspersky</v>
      </c>
      <c r="C34" s="5" t="str">
        <f>"Deleted By Kasper"</f>
        <v>Deleted By Kasper</v>
      </c>
    </row>
    <row r="35" spans="1:3">
      <c r="A35" s="5" t="str">
        <f>"Deleted By Kaspers"</f>
        <v>Deleted By Kaspers</v>
      </c>
      <c r="C35" s="5" t="str">
        <f>""</f>
        <v/>
      </c>
    </row>
    <row r="36" spans="1:3">
      <c r="A36" s="5" t="str">
        <f>"D"</f>
        <v>D</v>
      </c>
      <c r="C36" s="10" t="str">
        <f>"D"</f>
        <v>D</v>
      </c>
    </row>
    <row r="37" spans="1:3">
      <c r="A37" s="5" t="str">
        <f>"D"</f>
        <v>D</v>
      </c>
    </row>
    <row r="38" spans="1:3">
      <c r="A38" s="5" t="str">
        <f>"D"</f>
        <v>D</v>
      </c>
    </row>
    <row r="39" spans="1:3">
      <c r="A39" s="5" t="str">
        <f>"Delete"</f>
        <v>Delete</v>
      </c>
      <c r="C39" s="12" t="str">
        <f>"Deleted By Kaspersky"</f>
        <v>Deleted By Kaspersky</v>
      </c>
    </row>
    <row r="40" spans="1:3">
      <c r="A40" s="5" t="str">
        <f>"D"</f>
        <v>D</v>
      </c>
      <c r="C40" s="5" t="str">
        <f>"Deleted By Kaspersky Lab AV Deleted By Kaspersky Lab AV Dele"</f>
        <v>Deleted By Kaspersky Lab AV Deleted By Kaspersky Lab AV Dele</v>
      </c>
    </row>
    <row r="41" spans="1:3">
      <c r="A41" s="10" t="str">
        <f>"D"</f>
        <v>D</v>
      </c>
      <c r="C41" s="10" t="str">
        <f>"D"</f>
        <v>D</v>
      </c>
    </row>
  </sheetData>
  <sheetProtection password="8863" sheet="1" objects="1"/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B12D9-DC87-4636-A874-CB1F7F473E45}">
  <sheetPr codeName="Sheet19"/>
  <dimension ref="A2:ES88"/>
  <sheetViews>
    <sheetView topLeftCell="A36" zoomScale="80" zoomScaleNormal="80" workbookViewId="0">
      <pane xSplit="5" topLeftCell="F1" activePane="topRight" state="frozen"/>
      <selection pane="topRight" activeCell="E12" sqref="E12"/>
      <selection activeCell="D283" sqref="D283"/>
    </sheetView>
  </sheetViews>
  <sheetFormatPr defaultRowHeight="15.75"/>
  <cols>
    <col min="1" max="1" width="5.5703125" style="58" customWidth="1"/>
    <col min="2" max="2" width="11" style="58" customWidth="1"/>
    <col min="3" max="3" width="8.7109375" style="58" customWidth="1"/>
    <col min="4" max="4" width="10.85546875" style="58" customWidth="1"/>
    <col min="5" max="5" width="11.85546875" style="72" customWidth="1"/>
    <col min="6" max="6" width="12.140625" style="58" customWidth="1"/>
    <col min="7" max="7" width="7.7109375" style="58" customWidth="1"/>
    <col min="8" max="8" width="11.28515625" style="58" customWidth="1"/>
    <col min="9" max="9" width="10.28515625" style="58" customWidth="1"/>
    <col min="10" max="10" width="11.5703125" style="58" customWidth="1"/>
    <col min="11" max="11" width="8.42578125" style="58" customWidth="1"/>
    <col min="12" max="12" width="10.42578125" style="58" customWidth="1"/>
    <col min="13" max="13" width="11" style="481" customWidth="1"/>
    <col min="14" max="14" width="13.28515625" style="58" customWidth="1"/>
    <col min="15" max="15" width="12.42578125" style="60" customWidth="1"/>
    <col min="16" max="16" width="14.140625" style="60" hidden="1" customWidth="1"/>
    <col min="17" max="17" width="12.5703125" style="60" hidden="1" customWidth="1"/>
    <col min="18" max="18" width="12.28515625" style="117" customWidth="1"/>
    <col min="19" max="19" width="12.28515625" style="60" customWidth="1"/>
    <col min="20" max="20" width="18.85546875" style="408" customWidth="1"/>
    <col min="21" max="21" width="12.5703125" style="150" customWidth="1"/>
    <col min="22" max="22" width="14.85546875" style="423" customWidth="1"/>
    <col min="23" max="23" width="16.85546875" style="432" customWidth="1"/>
    <col min="24" max="53" width="9.140625" style="72" customWidth="1"/>
    <col min="54" max="54" width="9.140625" style="58" customWidth="1"/>
    <col min="55" max="55" width="12.140625" style="58" customWidth="1"/>
    <col min="56" max="56" width="13.85546875" style="58" bestFit="1" customWidth="1"/>
    <col min="57" max="57" width="10.85546875" style="58" hidden="1" customWidth="1"/>
    <col min="58" max="58" width="12.140625" style="438" customWidth="1"/>
    <col min="59" max="59" width="14.28515625" style="58" customWidth="1"/>
    <col min="60" max="16384" width="9.140625" style="58"/>
  </cols>
  <sheetData>
    <row r="2" spans="1:58" s="38" customFormat="1" ht="15" customHeight="1">
      <c r="A2" s="1094" t="s">
        <v>13</v>
      </c>
      <c r="B2" s="1094"/>
      <c r="C2" s="1094"/>
      <c r="D2" s="1094"/>
      <c r="E2" s="1094"/>
      <c r="F2" s="1094"/>
      <c r="G2" s="291"/>
      <c r="J2" s="63"/>
      <c r="K2" s="63"/>
      <c r="M2" s="465"/>
      <c r="N2" s="63"/>
      <c r="O2" s="84"/>
      <c r="P2" s="84"/>
      <c r="Q2" s="84"/>
      <c r="R2" s="81"/>
      <c r="S2" s="84"/>
      <c r="T2" s="404"/>
      <c r="U2" s="132"/>
      <c r="V2" s="416"/>
      <c r="W2" s="430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F2" s="436"/>
    </row>
    <row r="3" spans="1:58" s="38" customFormat="1" ht="15" customHeight="1">
      <c r="A3" s="1094" t="s">
        <v>14</v>
      </c>
      <c r="B3" s="1094"/>
      <c r="C3" s="1094"/>
      <c r="D3" s="1094"/>
      <c r="E3" s="1094"/>
      <c r="F3" s="1094"/>
      <c r="G3" s="291"/>
      <c r="J3" s="63"/>
      <c r="K3" s="63"/>
      <c r="M3" s="466"/>
      <c r="N3" s="718" t="s">
        <v>15</v>
      </c>
      <c r="O3" s="1108">
        <f>+BRAN!O3</f>
        <v>46152</v>
      </c>
      <c r="P3" s="1108"/>
      <c r="Q3" s="1108"/>
      <c r="R3" s="1108"/>
      <c r="S3" s="1108"/>
      <c r="T3" s="1108"/>
      <c r="U3" s="133"/>
      <c r="V3" s="417"/>
      <c r="W3" s="431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F3" s="436"/>
    </row>
    <row r="4" spans="1:58" s="38" customFormat="1" ht="15" customHeight="1">
      <c r="A4" s="38" t="s">
        <v>16</v>
      </c>
      <c r="G4" s="291"/>
      <c r="J4" s="63"/>
      <c r="K4" s="63"/>
      <c r="M4" s="467"/>
      <c r="O4" s="86"/>
      <c r="P4" s="86"/>
      <c r="Q4" s="86"/>
      <c r="R4" s="81"/>
      <c r="S4" s="84"/>
      <c r="T4" s="404"/>
      <c r="U4" s="132"/>
      <c r="V4" s="416"/>
      <c r="W4" s="430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17</v>
      </c>
      <c r="AS4" s="80"/>
      <c r="AT4" s="80"/>
      <c r="AU4" s="80"/>
      <c r="AV4" s="80"/>
      <c r="AW4" s="80"/>
      <c r="AX4" s="80"/>
      <c r="AY4" s="80"/>
      <c r="AZ4" s="80"/>
      <c r="BA4" s="80"/>
      <c r="BF4" s="436"/>
    </row>
    <row r="5" spans="1:58" s="38" customFormat="1" ht="15" customHeight="1">
      <c r="A5" s="38" t="s">
        <v>18</v>
      </c>
      <c r="G5" s="291"/>
      <c r="H5" s="85"/>
      <c r="I5" s="85"/>
      <c r="J5" s="85"/>
      <c r="K5" s="85"/>
      <c r="L5" s="85"/>
      <c r="M5" s="465"/>
      <c r="O5" s="87"/>
      <c r="P5" s="87"/>
      <c r="Q5" s="87"/>
      <c r="R5" s="81"/>
      <c r="S5" s="84"/>
      <c r="T5" s="404"/>
      <c r="U5" s="132"/>
      <c r="V5" s="416"/>
      <c r="W5" s="430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F5" s="436"/>
    </row>
    <row r="6" spans="1:58" s="38" customFormat="1" ht="15" customHeight="1">
      <c r="A6" s="38" t="s">
        <v>19</v>
      </c>
      <c r="G6" s="291"/>
      <c r="H6" s="85"/>
      <c r="I6" s="85"/>
      <c r="J6" s="85"/>
      <c r="K6" s="85"/>
      <c r="L6" s="85"/>
      <c r="M6" s="467"/>
      <c r="N6" s="85"/>
      <c r="O6" s="84"/>
      <c r="P6" s="84"/>
      <c r="Q6" s="84"/>
      <c r="R6" s="81"/>
      <c r="S6" s="84"/>
      <c r="T6" s="456"/>
      <c r="U6" s="134"/>
      <c r="V6" s="418"/>
      <c r="W6" s="430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F6" s="436"/>
    </row>
    <row r="7" spans="1:58" s="38" customFormat="1" ht="15" customHeight="1">
      <c r="A7" s="443" t="s">
        <v>20</v>
      </c>
      <c r="B7" s="443"/>
      <c r="C7" s="443"/>
      <c r="D7" s="443"/>
      <c r="E7" s="443"/>
      <c r="F7" s="443"/>
      <c r="G7" s="443"/>
      <c r="H7" s="443"/>
      <c r="I7" s="443"/>
      <c r="J7" s="443"/>
      <c r="K7" s="443"/>
      <c r="L7" s="443"/>
      <c r="M7" s="468"/>
      <c r="N7" s="443"/>
      <c r="O7" s="443"/>
      <c r="P7" s="443"/>
      <c r="Q7" s="443"/>
      <c r="R7" s="443"/>
      <c r="S7" s="443"/>
      <c r="T7" s="78"/>
      <c r="U7" s="145"/>
      <c r="V7" s="418"/>
      <c r="W7" s="430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F7" s="436"/>
    </row>
    <row r="8" spans="1:58" s="38" customFormat="1" ht="15" customHeight="1">
      <c r="A8" s="444" t="s">
        <v>21</v>
      </c>
      <c r="B8" s="444"/>
      <c r="C8" s="444"/>
      <c r="D8" s="444"/>
      <c r="E8" s="444"/>
      <c r="F8" s="444"/>
      <c r="G8" s="444"/>
      <c r="H8" s="444"/>
      <c r="I8" s="444"/>
      <c r="J8" s="444"/>
      <c r="K8" s="444"/>
      <c r="L8" s="444"/>
      <c r="M8" s="469"/>
      <c r="N8" s="444"/>
      <c r="O8" s="444"/>
      <c r="P8" s="444"/>
      <c r="Q8" s="444"/>
      <c r="R8" s="444"/>
      <c r="S8" s="444"/>
      <c r="T8" s="457"/>
      <c r="U8" s="134"/>
      <c r="V8" s="418"/>
      <c r="W8" s="430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F8" s="436"/>
    </row>
    <row r="9" spans="1:58" s="63" customFormat="1" ht="39" customHeight="1">
      <c r="A9" s="925" t="s">
        <v>22</v>
      </c>
      <c r="B9" s="916" t="s">
        <v>23</v>
      </c>
      <c r="C9" s="916" t="s">
        <v>24</v>
      </c>
      <c r="D9" s="928" t="s">
        <v>25</v>
      </c>
      <c r="E9" s="61" t="s">
        <v>26</v>
      </c>
      <c r="F9" s="931" t="s">
        <v>27</v>
      </c>
      <c r="G9" s="936"/>
      <c r="H9" s="932"/>
      <c r="I9" s="931" t="s">
        <v>28</v>
      </c>
      <c r="J9" s="936"/>
      <c r="K9" s="936"/>
      <c r="L9" s="936"/>
      <c r="M9" s="931" t="s">
        <v>29</v>
      </c>
      <c r="N9" s="932"/>
      <c r="O9" s="183" t="s">
        <v>30</v>
      </c>
      <c r="P9" s="183"/>
      <c r="Q9" s="183"/>
      <c r="R9" s="183" t="s">
        <v>31</v>
      </c>
      <c r="S9" s="928" t="s">
        <v>32</v>
      </c>
      <c r="T9" s="1049" t="s">
        <v>33</v>
      </c>
      <c r="U9" s="881" t="s">
        <v>34</v>
      </c>
      <c r="V9" s="419"/>
      <c r="W9" s="430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F9" s="437"/>
    </row>
    <row r="10" spans="1:58" s="63" customFormat="1" ht="49.5" customHeight="1">
      <c r="A10" s="926"/>
      <c r="B10" s="917"/>
      <c r="C10" s="917"/>
      <c r="D10" s="929" t="s">
        <v>35</v>
      </c>
      <c r="E10" s="64" t="s">
        <v>36</v>
      </c>
      <c r="F10" s="680" t="s">
        <v>37</v>
      </c>
      <c r="G10" s="512" t="s">
        <v>38</v>
      </c>
      <c r="H10" s="681" t="s">
        <v>39</v>
      </c>
      <c r="I10" s="931" t="s">
        <v>40</v>
      </c>
      <c r="J10" s="936"/>
      <c r="K10" s="512" t="s">
        <v>41</v>
      </c>
      <c r="L10" s="681" t="s">
        <v>42</v>
      </c>
      <c r="M10" s="931" t="s">
        <v>43</v>
      </c>
      <c r="N10" s="932"/>
      <c r="O10" s="683" t="s">
        <v>44</v>
      </c>
      <c r="P10" s="184"/>
      <c r="Q10" s="184"/>
      <c r="R10" s="683" t="s">
        <v>45</v>
      </c>
      <c r="S10" s="929"/>
      <c r="T10" s="1050"/>
      <c r="U10" s="882"/>
      <c r="V10" s="419"/>
      <c r="W10" s="430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F10" s="437"/>
    </row>
    <row r="11" spans="1:58" s="63" customFormat="1" ht="18" customHeight="1">
      <c r="A11" s="927"/>
      <c r="B11" s="918"/>
      <c r="C11" s="918"/>
      <c r="D11" s="930" t="s">
        <v>46</v>
      </c>
      <c r="E11" s="64" t="s">
        <v>47</v>
      </c>
      <c r="F11" s="64" t="s">
        <v>47</v>
      </c>
      <c r="G11" s="64" t="s">
        <v>47</v>
      </c>
      <c r="H11" s="64" t="s">
        <v>47</v>
      </c>
      <c r="I11" s="64" t="s">
        <v>47</v>
      </c>
      <c r="J11" s="64" t="s">
        <v>46</v>
      </c>
      <c r="K11" s="64" t="s">
        <v>47</v>
      </c>
      <c r="L11" s="64" t="s">
        <v>47</v>
      </c>
      <c r="M11" s="64" t="s">
        <v>47</v>
      </c>
      <c r="N11" s="64" t="s">
        <v>47</v>
      </c>
      <c r="O11" s="65" t="s">
        <v>46</v>
      </c>
      <c r="P11" s="185"/>
      <c r="Q11" s="185"/>
      <c r="R11" s="65" t="s">
        <v>48</v>
      </c>
      <c r="S11" s="930"/>
      <c r="T11" s="1051"/>
      <c r="U11" s="684" t="s">
        <v>47</v>
      </c>
      <c r="V11" s="419"/>
      <c r="W11" s="430"/>
      <c r="X11" s="89">
        <v>1</v>
      </c>
      <c r="Y11" s="89">
        <v>2</v>
      </c>
      <c r="Z11" s="88">
        <v>3</v>
      </c>
      <c r="AA11" s="89">
        <v>4</v>
      </c>
      <c r="AB11" s="88">
        <v>5</v>
      </c>
      <c r="AC11" s="89">
        <v>6</v>
      </c>
      <c r="AD11" s="88">
        <v>7</v>
      </c>
      <c r="AE11" s="89">
        <v>8</v>
      </c>
      <c r="AF11" s="88">
        <v>9</v>
      </c>
      <c r="AG11" s="89">
        <v>10</v>
      </c>
      <c r="AH11" s="88">
        <v>11</v>
      </c>
      <c r="AI11" s="89">
        <v>12</v>
      </c>
      <c r="AJ11" s="88">
        <v>13</v>
      </c>
      <c r="AK11" s="89">
        <v>14</v>
      </c>
      <c r="AL11" s="88">
        <v>15</v>
      </c>
      <c r="AM11" s="89">
        <v>16</v>
      </c>
      <c r="AN11" s="88">
        <v>17</v>
      </c>
      <c r="AO11" s="89">
        <v>18</v>
      </c>
      <c r="AP11" s="88">
        <v>19</v>
      </c>
      <c r="AQ11" s="89">
        <v>20</v>
      </c>
      <c r="AR11" s="88">
        <v>21</v>
      </c>
      <c r="AS11" s="89">
        <v>22</v>
      </c>
      <c r="AT11" s="88">
        <v>23</v>
      </c>
      <c r="AU11" s="89">
        <v>24</v>
      </c>
      <c r="AV11" s="88">
        <v>25</v>
      </c>
      <c r="AW11" s="89">
        <v>26</v>
      </c>
      <c r="AX11" s="88">
        <v>27</v>
      </c>
      <c r="AY11" s="89">
        <v>28</v>
      </c>
      <c r="AZ11" s="88">
        <v>29</v>
      </c>
      <c r="BA11" s="89">
        <v>30</v>
      </c>
      <c r="BB11" s="89">
        <v>31</v>
      </c>
      <c r="BC11" s="90" t="s">
        <v>49</v>
      </c>
      <c r="BF11" s="437"/>
    </row>
    <row r="12" spans="1:58" s="63" customFormat="1" ht="17.25" customHeight="1">
      <c r="A12" s="631">
        <v>1</v>
      </c>
      <c r="B12" s="315" t="s">
        <v>50</v>
      </c>
      <c r="C12" s="555" t="s">
        <v>51</v>
      </c>
      <c r="D12" s="1157">
        <v>25</v>
      </c>
      <c r="E12" s="561">
        <v>0</v>
      </c>
      <c r="F12" s="100">
        <f>SUMIF(pro!$A:$A,$V:$V,pro!$N:$N)</f>
        <v>0</v>
      </c>
      <c r="G12" s="425"/>
      <c r="H12" s="100">
        <v>0</v>
      </c>
      <c r="I12" s="100">
        <f>SUMIF(data!$D:$D,$B12&amp;$D12,data!$J:$J)</f>
        <v>0</v>
      </c>
      <c r="J12" s="351">
        <f>SUMIF(data!$D:$D,$B12&amp;$D12,data!$K:$K)</f>
        <v>0</v>
      </c>
      <c r="K12" s="100">
        <v>0</v>
      </c>
      <c r="L12" s="100">
        <f>SUMIF(CBOUT!$A:$A,BRAN!$V:$V,CBOUT!$G:$G)</f>
        <v>0</v>
      </c>
      <c r="M12" s="1158">
        <f>E12+F12+H12-I12-L12+G12-K12</f>
        <v>0</v>
      </c>
      <c r="N12" s="652">
        <f>M12*25</f>
        <v>0</v>
      </c>
      <c r="O12" s="1159">
        <f>SUM(X12:BB12)</f>
        <v>0</v>
      </c>
      <c r="P12" s="804"/>
      <c r="Q12" s="804"/>
      <c r="R12" s="100">
        <f>O12/INTGRATE!$N$293</f>
        <v>0</v>
      </c>
      <c r="S12" s="665">
        <f t="shared" ref="S12:S14" si="0">IF(R12=0,0,N12/R12)</f>
        <v>0</v>
      </c>
      <c r="T12" s="403"/>
      <c r="U12" s="136"/>
      <c r="V12" s="420" t="str">
        <f t="shared" ref="V12:V17" si="1">B12&amp;D12</f>
        <v>522Pro25</v>
      </c>
      <c r="W12" s="430">
        <v>123701</v>
      </c>
      <c r="X12" s="644"/>
      <c r="Y12" s="644">
        <v>0</v>
      </c>
      <c r="Z12" s="645">
        <v>0</v>
      </c>
      <c r="AA12" s="646">
        <v>0</v>
      </c>
      <c r="AB12" s="645">
        <v>0</v>
      </c>
      <c r="AC12" s="646">
        <v>0</v>
      </c>
      <c r="AD12" s="645">
        <v>0</v>
      </c>
      <c r="AE12" s="646">
        <v>0</v>
      </c>
      <c r="AF12" s="645">
        <v>0</v>
      </c>
      <c r="AG12" s="646"/>
      <c r="AH12" s="645"/>
      <c r="AI12" s="646"/>
      <c r="AJ12" s="645"/>
      <c r="AK12" s="646"/>
      <c r="AL12" s="645"/>
      <c r="AM12" s="646"/>
      <c r="AN12" s="645"/>
      <c r="AO12" s="646"/>
      <c r="AP12" s="645"/>
      <c r="AQ12" s="646"/>
      <c r="AR12" s="645"/>
      <c r="AS12" s="646"/>
      <c r="AT12" s="645"/>
      <c r="AU12" s="646"/>
      <c r="AV12" s="645"/>
      <c r="AW12" s="646"/>
      <c r="AX12" s="100"/>
      <c r="AY12" s="100"/>
      <c r="AZ12" s="645"/>
      <c r="BA12" s="646"/>
      <c r="BB12" s="646"/>
      <c r="BC12" s="276">
        <f t="shared" ref="BC12:BC26" si="2">SUM(X12:BB12)</f>
        <v>0</v>
      </c>
      <c r="BF12" s="437"/>
    </row>
    <row r="13" spans="1:58" s="63" customFormat="1" ht="17.25" customHeight="1">
      <c r="A13" s="631">
        <v>2</v>
      </c>
      <c r="B13" s="315" t="s">
        <v>52</v>
      </c>
      <c r="C13" s="555" t="s">
        <v>51</v>
      </c>
      <c r="D13" s="1157">
        <v>25</v>
      </c>
      <c r="E13" s="561">
        <v>727</v>
      </c>
      <c r="F13" s="100">
        <f>SUMIF(pro!$A:$A,$V:$V,pro!$N:$N)</f>
        <v>0</v>
      </c>
      <c r="G13" s="425"/>
      <c r="H13" s="100">
        <f>SUMIF(CBIN!$A:$A,'PRO-NASA'!$V:$V,CBIN!$G:$G)</f>
        <v>0</v>
      </c>
      <c r="I13" s="100">
        <f>SUMIF(data!$D:$D,$B13&amp;$D13,data!$J:$J)</f>
        <v>0</v>
      </c>
      <c r="J13" s="351">
        <f>SUMIF(data!$D:$D,$B13&amp;$D13,data!$K:$K)</f>
        <v>0</v>
      </c>
      <c r="K13" s="100">
        <v>0</v>
      </c>
      <c r="L13" s="100">
        <f>SUMIF(CBOUT!$A:$A,BRAN!$V:$V,CBOUT!$G:$G)</f>
        <v>0</v>
      </c>
      <c r="M13" s="1158">
        <f>E13+F13+H13-I13-L13+G13-K13</f>
        <v>727</v>
      </c>
      <c r="N13" s="652">
        <f>M13*25</f>
        <v>18175</v>
      </c>
      <c r="O13" s="1159">
        <f>SUM(X13:BB13)</f>
        <v>3750</v>
      </c>
      <c r="P13" s="804"/>
      <c r="Q13" s="804"/>
      <c r="R13" s="100">
        <f>O13/INTGRATE!$N$293</f>
        <v>416.66666666666669</v>
      </c>
      <c r="S13" s="665">
        <f t="shared" si="0"/>
        <v>43.62</v>
      </c>
      <c r="T13" s="403"/>
      <c r="U13" s="136"/>
      <c r="V13" s="420" t="str">
        <f t="shared" si="1"/>
        <v>521SPro25</v>
      </c>
      <c r="W13" s="430"/>
      <c r="X13" s="644"/>
      <c r="Y13" s="644">
        <v>0</v>
      </c>
      <c r="Z13" s="645">
        <v>0</v>
      </c>
      <c r="AA13" s="646">
        <v>0</v>
      </c>
      <c r="AB13" s="645">
        <v>0</v>
      </c>
      <c r="AC13" s="646">
        <v>3750</v>
      </c>
      <c r="AD13" s="645">
        <v>0</v>
      </c>
      <c r="AE13" s="646">
        <v>0</v>
      </c>
      <c r="AF13" s="645">
        <v>0</v>
      </c>
      <c r="AG13" s="646"/>
      <c r="AH13" s="645"/>
      <c r="AI13" s="646"/>
      <c r="AJ13" s="645"/>
      <c r="AK13" s="646"/>
      <c r="AL13" s="645"/>
      <c r="AM13" s="646"/>
      <c r="AN13" s="645"/>
      <c r="AO13" s="646"/>
      <c r="AP13" s="645"/>
      <c r="AQ13" s="646"/>
      <c r="AR13" s="645"/>
      <c r="AS13" s="646"/>
      <c r="AT13" s="645"/>
      <c r="AU13" s="646"/>
      <c r="AV13" s="645"/>
      <c r="AW13" s="646"/>
      <c r="AX13" s="100"/>
      <c r="AY13" s="646"/>
      <c r="AZ13" s="645"/>
      <c r="BA13" s="646"/>
      <c r="BB13" s="646"/>
      <c r="BC13" s="276"/>
      <c r="BF13" s="437"/>
    </row>
    <row r="14" spans="1:58" s="63" customFormat="1" ht="17.25" customHeight="1">
      <c r="A14" s="631">
        <v>3</v>
      </c>
      <c r="B14" s="315" t="s">
        <v>53</v>
      </c>
      <c r="C14" s="555" t="s">
        <v>51</v>
      </c>
      <c r="D14" s="1157">
        <v>25</v>
      </c>
      <c r="E14" s="561">
        <v>0</v>
      </c>
      <c r="F14" s="100">
        <f>SUMIF(pro!$A:$A,$V:$V,pro!$N:$N)</f>
        <v>0</v>
      </c>
      <c r="G14" s="425"/>
      <c r="H14" s="100">
        <v>0</v>
      </c>
      <c r="I14" s="100">
        <f>SUMIF(data!$D:$D,$B14&amp;$D14,data!$J:$J)</f>
        <v>0</v>
      </c>
      <c r="J14" s="351">
        <f>SUMIF(data!$D:$D,$B14&amp;$D14,data!$K:$K)</f>
        <v>0</v>
      </c>
      <c r="K14" s="100">
        <f>SUMIF(AJOUT!$A:$A,BRAN!$V:$V,AJOUT!$L:$L)</f>
        <v>0</v>
      </c>
      <c r="L14" s="100">
        <f>SUMIF(CBOUT!$A:$A,BRAN!$V:$V,CBOUT!$G:$G)</f>
        <v>0</v>
      </c>
      <c r="M14" s="1158">
        <f>E14+F14+H14-I14-L14+G14-K14</f>
        <v>0</v>
      </c>
      <c r="N14" s="652">
        <f>M14*25</f>
        <v>0</v>
      </c>
      <c r="O14" s="1159">
        <f>SUM(X14:BB14)</f>
        <v>0</v>
      </c>
      <c r="P14" s="804"/>
      <c r="Q14" s="804"/>
      <c r="R14" s="100">
        <f>O14/INTGRATE!$N$293</f>
        <v>0</v>
      </c>
      <c r="S14" s="665">
        <f t="shared" si="0"/>
        <v>0</v>
      </c>
      <c r="T14" s="403"/>
      <c r="U14" s="136"/>
      <c r="V14" s="420" t="str">
        <f t="shared" si="1"/>
        <v>521Pro25</v>
      </c>
      <c r="W14" s="430"/>
      <c r="X14" s="644"/>
      <c r="Y14" s="644">
        <v>0</v>
      </c>
      <c r="Z14" s="645">
        <v>0</v>
      </c>
      <c r="AA14" s="646">
        <v>0</v>
      </c>
      <c r="AB14" s="645">
        <v>0</v>
      </c>
      <c r="AC14" s="646">
        <v>0</v>
      </c>
      <c r="AD14" s="645">
        <v>0</v>
      </c>
      <c r="AE14" s="646">
        <v>0</v>
      </c>
      <c r="AF14" s="645">
        <v>0</v>
      </c>
      <c r="AG14" s="646"/>
      <c r="AH14" s="645"/>
      <c r="AI14" s="646"/>
      <c r="AJ14" s="645"/>
      <c r="AK14" s="646"/>
      <c r="AL14" s="645"/>
      <c r="AM14" s="646"/>
      <c r="AN14" s="645"/>
      <c r="AO14" s="646"/>
      <c r="AP14" s="645"/>
      <c r="AQ14" s="646"/>
      <c r="AR14" s="645"/>
      <c r="AS14" s="646"/>
      <c r="AT14" s="645"/>
      <c r="AU14" s="646"/>
      <c r="AV14" s="645"/>
      <c r="AW14" s="646"/>
      <c r="AX14" s="100"/>
      <c r="AY14" s="646"/>
      <c r="AZ14" s="645"/>
      <c r="BA14" s="646"/>
      <c r="BB14" s="646"/>
      <c r="BC14" s="276">
        <f t="shared" si="2"/>
        <v>0</v>
      </c>
      <c r="BF14" s="437"/>
    </row>
    <row r="15" spans="1:58" s="38" customFormat="1" ht="17.25" customHeight="1">
      <c r="A15" s="631">
        <v>4</v>
      </c>
      <c r="B15" s="170" t="s">
        <v>54</v>
      </c>
      <c r="C15" s="538" t="s">
        <v>55</v>
      </c>
      <c r="D15" s="164">
        <v>25</v>
      </c>
      <c r="E15" s="100">
        <v>213</v>
      </c>
      <c r="F15" s="100">
        <f>SUMIF(pro!$A:$A,$V:$V,pro!$N:$N)</f>
        <v>0</v>
      </c>
      <c r="G15" s="100"/>
      <c r="H15" s="100">
        <f>SUMIF(CBIN!$A:$A,'PRO-NASA'!$V:$V,CBIN!$G:$G)</f>
        <v>0</v>
      </c>
      <c r="I15" s="100">
        <f>SUMIF(data!$D:$D,$B15&amp;$D15,data!$J:$J)</f>
        <v>0</v>
      </c>
      <c r="J15" s="351">
        <f>SUMIF(data!$D:$D,$B15&amp;$D15,data!$K:$K)</f>
        <v>0</v>
      </c>
      <c r="K15" s="100">
        <f>SUMIF(AJOUT!$A:$A,'PRO-NASA'!$V:$V,AJOUT!$L:$L)</f>
        <v>0</v>
      </c>
      <c r="L15" s="100">
        <f>SUMIF(CBOUT!$A:$A,'PRO-NASA'!$V:$V,CBOUT!$G:$G)</f>
        <v>0</v>
      </c>
      <c r="M15" s="1158">
        <f t="shared" ref="M15:M23" si="3">E15+F15+H15-I15-L15+G15-K15</f>
        <v>213</v>
      </c>
      <c r="N15" s="652">
        <f>M15*D15</f>
        <v>5325</v>
      </c>
      <c r="O15" s="1159">
        <f t="shared" ref="O15:O26" si="4">SUM(X15:BB15)</f>
        <v>43775</v>
      </c>
      <c r="P15" s="804"/>
      <c r="Q15" s="804"/>
      <c r="R15" s="100">
        <f>O15/INTGRATE!$N$293</f>
        <v>4863.8888888888887</v>
      </c>
      <c r="S15" s="665">
        <f t="shared" ref="S15:S26" si="5">IF(R15=0,0,N15/R15)</f>
        <v>1.094802969731582</v>
      </c>
      <c r="T15" s="403"/>
      <c r="U15" s="136"/>
      <c r="V15" s="420" t="str">
        <f t="shared" si="1"/>
        <v>550Pro25</v>
      </c>
      <c r="W15" s="432">
        <v>312021</v>
      </c>
      <c r="X15" s="386"/>
      <c r="Y15" s="386">
        <v>17950</v>
      </c>
      <c r="Z15" s="100">
        <v>50</v>
      </c>
      <c r="AA15" s="100">
        <v>4325</v>
      </c>
      <c r="AB15" s="100">
        <v>125</v>
      </c>
      <c r="AC15" s="100">
        <v>4000</v>
      </c>
      <c r="AD15" s="100">
        <v>9750</v>
      </c>
      <c r="AE15" s="100">
        <v>2025</v>
      </c>
      <c r="AF15" s="100">
        <v>5550</v>
      </c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100"/>
      <c r="AY15" s="100"/>
      <c r="AZ15" s="100"/>
      <c r="BA15" s="100"/>
      <c r="BB15" s="100"/>
      <c r="BC15" s="276">
        <f t="shared" si="2"/>
        <v>43775</v>
      </c>
      <c r="BD15" s="85"/>
      <c r="BF15" s="436"/>
    </row>
    <row r="16" spans="1:58" s="38" customFormat="1" ht="17.25" customHeight="1">
      <c r="A16" s="631">
        <v>5</v>
      </c>
      <c r="B16" s="170" t="s">
        <v>54</v>
      </c>
      <c r="C16" s="538" t="s">
        <v>55</v>
      </c>
      <c r="D16" s="164" t="s">
        <v>56</v>
      </c>
      <c r="E16" s="100">
        <v>0</v>
      </c>
      <c r="F16" s="100">
        <f>SUMIF(pro!$A:$A,$V:$V,pro!$N:$N)</f>
        <v>0</v>
      </c>
      <c r="G16" s="100"/>
      <c r="H16" s="100">
        <f>SUMIF(CBIN!$A:$A,'PRO-NASA'!$V:$V,CBIN!$G:$G)</f>
        <v>0</v>
      </c>
      <c r="I16" s="100">
        <f>SUMIF(data!$D:$D,$B16&amp;$D16,data!$J:$J)</f>
        <v>0</v>
      </c>
      <c r="J16" s="351">
        <f>SUMIF(data!$D:$D,$B16&amp;$D16,data!$K:$K)</f>
        <v>0</v>
      </c>
      <c r="K16" s="100">
        <f>SUMIF(AJOUT!$A:$A,'PRO-NASA'!$V:$V,AJOUT!$L:$L)</f>
        <v>0</v>
      </c>
      <c r="L16" s="100">
        <f>SUMIF(CBOUT!$A:$A,'PRO-NASA'!$V:$V,CBOUT!$G:$G)</f>
        <v>0</v>
      </c>
      <c r="M16" s="1158">
        <f t="shared" si="3"/>
        <v>0</v>
      </c>
      <c r="N16" s="652">
        <f>+M16*25</f>
        <v>0</v>
      </c>
      <c r="O16" s="1159">
        <f>SUM(X16:BB16)</f>
        <v>0</v>
      </c>
      <c r="P16" s="804"/>
      <c r="Q16" s="804"/>
      <c r="R16" s="100">
        <f>O16/INTGRATE!$N$293</f>
        <v>0</v>
      </c>
      <c r="S16" s="665">
        <f t="shared" si="5"/>
        <v>0</v>
      </c>
      <c r="T16" s="403"/>
      <c r="U16" s="136"/>
      <c r="V16" s="420" t="str">
        <f t="shared" si="1"/>
        <v>550Pro5*5</v>
      </c>
      <c r="W16" s="432">
        <v>312021</v>
      </c>
      <c r="X16" s="386"/>
      <c r="Y16" s="386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100"/>
      <c r="AY16" s="100"/>
      <c r="AZ16" s="100"/>
      <c r="BA16" s="100"/>
      <c r="BB16" s="100"/>
      <c r="BC16" s="276">
        <f t="shared" si="2"/>
        <v>0</v>
      </c>
      <c r="BD16" s="85"/>
      <c r="BF16" s="436"/>
    </row>
    <row r="17" spans="1:58" s="38" customFormat="1" ht="17.25" customHeight="1">
      <c r="A17" s="631">
        <v>6</v>
      </c>
      <c r="B17" s="170" t="s">
        <v>57</v>
      </c>
      <c r="C17" s="538" t="s">
        <v>55</v>
      </c>
      <c r="D17" s="164">
        <v>25</v>
      </c>
      <c r="E17" s="100">
        <v>0</v>
      </c>
      <c r="F17" s="100">
        <f>SUMIF(pro!$A:$A,$V:$V,pro!$N:$N)</f>
        <v>0</v>
      </c>
      <c r="G17" s="100"/>
      <c r="H17" s="100">
        <f>SUMIF(CBIN!$A:$A,'PRO-NASA'!$V:$V,CBIN!$G:$G)</f>
        <v>0</v>
      </c>
      <c r="I17" s="100">
        <f>SUMIF(data!$D:$D,$B17&amp;$D17,data!$J:$J)</f>
        <v>0</v>
      </c>
      <c r="J17" s="351">
        <f>SUMIF(data!$D:$D,$B17&amp;$D17,data!$K:$K)</f>
        <v>0</v>
      </c>
      <c r="K17" s="100">
        <f>SUMIF(AJOUT!$A:$A,'PRO-NASA'!$V:$V,AJOUT!$L:$L)</f>
        <v>0</v>
      </c>
      <c r="L17" s="100">
        <f>SUMIF(CBOUT!$A:$A,'PRO-NASA'!$V:$V,CBOUT!$G:$G)</f>
        <v>0</v>
      </c>
      <c r="M17" s="1158">
        <f>E17+F17+H17-I17-L17+G17-K17</f>
        <v>0</v>
      </c>
      <c r="N17" s="652">
        <f>+M17*25</f>
        <v>0</v>
      </c>
      <c r="O17" s="1159">
        <f>SUM(X17:BB17)</f>
        <v>0</v>
      </c>
      <c r="P17" s="804"/>
      <c r="Q17" s="804"/>
      <c r="R17" s="100">
        <f>O17/INTGRATE!$N$293</f>
        <v>0</v>
      </c>
      <c r="S17" s="665">
        <f t="shared" si="5"/>
        <v>0</v>
      </c>
      <c r="T17" s="403"/>
      <c r="U17" s="136"/>
      <c r="V17" s="420" t="str">
        <f t="shared" si="1"/>
        <v>550XPro25</v>
      </c>
      <c r="W17" s="432"/>
      <c r="X17" s="386"/>
      <c r="Y17" s="386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276">
        <f t="shared" si="2"/>
        <v>0</v>
      </c>
      <c r="BD17" s="85"/>
      <c r="BF17" s="436"/>
    </row>
    <row r="18" spans="1:58" s="38" customFormat="1" ht="17.25" customHeight="1">
      <c r="A18" s="631">
        <v>7</v>
      </c>
      <c r="B18" s="170" t="s">
        <v>54</v>
      </c>
      <c r="C18" s="538" t="s">
        <v>55</v>
      </c>
      <c r="D18" s="164" t="s">
        <v>58</v>
      </c>
      <c r="E18" s="100">
        <v>0</v>
      </c>
      <c r="F18" s="100">
        <f>SUMIF(pro!$A:$A,$V:$V,pro!$N:$N)</f>
        <v>0</v>
      </c>
      <c r="G18" s="100"/>
      <c r="H18" s="100">
        <f>SUMIF(CBIN!$A:$A,'PRO-NASA'!$V:$V,CBIN!$G:$G)</f>
        <v>0</v>
      </c>
      <c r="I18" s="100">
        <f>SUMIF(data!$D:$D,$B18&amp;$D18,data!$J:$J)</f>
        <v>0</v>
      </c>
      <c r="J18" s="351">
        <f>SUMIF(data!$D:$D,$B18&amp;$D18,data!$K:$K)</f>
        <v>0</v>
      </c>
      <c r="K18" s="100">
        <v>0</v>
      </c>
      <c r="L18" s="100">
        <f>SUMIF(CBOUT!$A:$A,'PRO-NASA'!$V:$V,CBOUT!$G:$G)</f>
        <v>0</v>
      </c>
      <c r="M18" s="1158">
        <v>0</v>
      </c>
      <c r="N18" s="652">
        <f>+M18*25</f>
        <v>0</v>
      </c>
      <c r="O18" s="1159">
        <f>SUM(X18:BB18)</f>
        <v>24180</v>
      </c>
      <c r="P18" s="804"/>
      <c r="Q18" s="804"/>
      <c r="R18" s="100">
        <f>O18/INTGRATE!$N$293</f>
        <v>2686.6666666666665</v>
      </c>
      <c r="S18" s="665">
        <f t="shared" si="5"/>
        <v>0</v>
      </c>
      <c r="T18" s="403"/>
      <c r="U18" s="136"/>
      <c r="V18" s="420" t="str">
        <f t="shared" ref="V18:V27" si="6">B18&amp;D18</f>
        <v>550Prosilo</v>
      </c>
      <c r="W18" s="432">
        <v>312021</v>
      </c>
      <c r="X18" s="386"/>
      <c r="Y18" s="386">
        <v>6000</v>
      </c>
      <c r="Z18" s="100">
        <v>0</v>
      </c>
      <c r="AA18" s="100">
        <v>18180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100"/>
      <c r="AY18" s="100"/>
      <c r="AZ18" s="100"/>
      <c r="BA18" s="100"/>
      <c r="BB18" s="100"/>
      <c r="BC18" s="276">
        <f t="shared" si="2"/>
        <v>24180</v>
      </c>
      <c r="BD18" s="85"/>
      <c r="BF18" s="436"/>
    </row>
    <row r="19" spans="1:58" s="38" customFormat="1" ht="17.25" customHeight="1">
      <c r="A19" s="631">
        <v>8</v>
      </c>
      <c r="B19" s="170" t="s">
        <v>59</v>
      </c>
      <c r="C19" s="538" t="s">
        <v>55</v>
      </c>
      <c r="D19" s="164">
        <v>25</v>
      </c>
      <c r="E19" s="100">
        <v>274</v>
      </c>
      <c r="F19" s="100">
        <f>SUMIF(pro!$A:$A,$V:$V,pro!$N:$N)</f>
        <v>0</v>
      </c>
      <c r="G19" s="100"/>
      <c r="H19" s="100">
        <f>SUMIF(CBIN!$A:$A,'PRO-NASA'!$V:$V,CBIN!$G:$G)</f>
        <v>0</v>
      </c>
      <c r="I19" s="100">
        <f>SUMIF(data!$D:$D,$B19&amp;$D19,data!$J:$J)</f>
        <v>0</v>
      </c>
      <c r="J19" s="351">
        <f>SUMIF(data!$D:$D,$B19&amp;$D19,data!$K:$K)</f>
        <v>0</v>
      </c>
      <c r="K19" s="100">
        <f>SUMIF(AJOUT!$A:$A,'PRO-NASA'!$V:$V,AJOUT!$L:$L)</f>
        <v>0</v>
      </c>
      <c r="L19" s="100">
        <f>SUMIF(CBOUT!$A:$A,'PRO-NASA'!$V:$V,CBOUT!$G:$G)</f>
        <v>0</v>
      </c>
      <c r="M19" s="1158">
        <f t="shared" si="3"/>
        <v>274</v>
      </c>
      <c r="N19" s="652">
        <f>M19*D19</f>
        <v>6850</v>
      </c>
      <c r="O19" s="1159">
        <f t="shared" si="4"/>
        <v>28175</v>
      </c>
      <c r="P19" s="804"/>
      <c r="Q19" s="804"/>
      <c r="R19" s="100">
        <f>O19/INTGRATE!$N$293</f>
        <v>3130.5555555555557</v>
      </c>
      <c r="S19" s="665">
        <f t="shared" si="5"/>
        <v>2.1881100266193432</v>
      </c>
      <c r="T19" s="402"/>
      <c r="U19" s="136"/>
      <c r="V19" s="420" t="str">
        <f t="shared" si="6"/>
        <v>551Pro25</v>
      </c>
      <c r="W19" s="432">
        <v>314021</v>
      </c>
      <c r="X19" s="386"/>
      <c r="Y19" s="386">
        <v>250</v>
      </c>
      <c r="Z19" s="100">
        <v>0</v>
      </c>
      <c r="AA19" s="100">
        <v>3850</v>
      </c>
      <c r="AB19" s="100">
        <v>3075</v>
      </c>
      <c r="AC19" s="100">
        <v>9875</v>
      </c>
      <c r="AD19" s="100">
        <v>2250</v>
      </c>
      <c r="AE19" s="100">
        <v>3875</v>
      </c>
      <c r="AF19" s="100">
        <v>5000</v>
      </c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100"/>
      <c r="AY19" s="100"/>
      <c r="AZ19" s="100"/>
      <c r="BA19" s="100"/>
      <c r="BB19" s="100"/>
      <c r="BC19" s="276">
        <f t="shared" si="2"/>
        <v>28175</v>
      </c>
      <c r="BD19" s="85"/>
      <c r="BF19" s="436"/>
    </row>
    <row r="20" spans="1:58" s="38" customFormat="1" ht="17.25" customHeight="1">
      <c r="A20" s="631">
        <v>9</v>
      </c>
      <c r="B20" s="170" t="s">
        <v>60</v>
      </c>
      <c r="C20" s="538" t="s">
        <v>61</v>
      </c>
      <c r="D20" s="164" t="s">
        <v>58</v>
      </c>
      <c r="E20" s="100"/>
      <c r="F20" s="100">
        <f>+J20</f>
        <v>0</v>
      </c>
      <c r="G20" s="100"/>
      <c r="H20" s="100"/>
      <c r="I20" s="100"/>
      <c r="J20" s="351">
        <f>SUMIF(data!$D:$D,$B20&amp;$D20,data!$K:$K)</f>
        <v>0</v>
      </c>
      <c r="K20" s="100"/>
      <c r="L20" s="100"/>
      <c r="M20" s="1158"/>
      <c r="N20" s="652"/>
      <c r="O20" s="1159">
        <f>SUM(X20:BB20)</f>
        <v>0</v>
      </c>
      <c r="P20" s="804"/>
      <c r="Q20" s="804"/>
      <c r="R20" s="100">
        <f>O20/INTGRATE!$N$293</f>
        <v>0</v>
      </c>
      <c r="S20" s="665">
        <f t="shared" si="5"/>
        <v>0</v>
      </c>
      <c r="T20" s="402"/>
      <c r="U20" s="136"/>
      <c r="V20" s="420" t="str">
        <f t="shared" si="6"/>
        <v>551XPROsilo</v>
      </c>
      <c r="W20" s="432"/>
      <c r="X20" s="386"/>
      <c r="Y20" s="386">
        <v>0</v>
      </c>
      <c r="Z20" s="100">
        <v>0</v>
      </c>
      <c r="AA20" s="100">
        <v>0</v>
      </c>
      <c r="AB20" s="100">
        <v>0</v>
      </c>
      <c r="AC20" s="100">
        <v>0</v>
      </c>
      <c r="AD20" s="100">
        <v>0</v>
      </c>
      <c r="AE20" s="100">
        <v>0</v>
      </c>
      <c r="AF20" s="100">
        <v>0</v>
      </c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100"/>
      <c r="AY20" s="100"/>
      <c r="AZ20" s="100"/>
      <c r="BA20" s="100"/>
      <c r="BB20" s="100"/>
      <c r="BC20" s="276"/>
      <c r="BD20" s="85"/>
      <c r="BF20" s="436"/>
    </row>
    <row r="21" spans="1:58" s="38" customFormat="1" ht="17.25" customHeight="1">
      <c r="A21" s="631">
        <v>10</v>
      </c>
      <c r="B21" s="170" t="s">
        <v>60</v>
      </c>
      <c r="C21" s="538" t="s">
        <v>61</v>
      </c>
      <c r="D21" s="164">
        <v>25</v>
      </c>
      <c r="E21" s="100">
        <v>0</v>
      </c>
      <c r="F21" s="100">
        <f>SUMIF(pro!$A:$A,$V:$V,pro!$N:$N)</f>
        <v>0</v>
      </c>
      <c r="G21" s="100"/>
      <c r="H21" s="100"/>
      <c r="I21" s="100">
        <f>SUMIF(data!$D:$D,$B21&amp;$D21,data!$J:$J)</f>
        <v>0</v>
      </c>
      <c r="J21" s="351">
        <f>SUMIF(data!$D:$D,$B21&amp;$D21,data!$K:$K)</f>
        <v>0</v>
      </c>
      <c r="K21" s="100">
        <v>0</v>
      </c>
      <c r="L21" s="100">
        <f>SUMIF(CBOUT!$A:$A,'PRO-NASA'!$V:$V,CBOUT!$G:$G)</f>
        <v>0</v>
      </c>
      <c r="M21" s="1158">
        <f>E21+F21+H21-I21-L21+G21-K21</f>
        <v>0</v>
      </c>
      <c r="N21" s="652">
        <f>M21*D21</f>
        <v>0</v>
      </c>
      <c r="O21" s="1159">
        <f>SUM(X21:BB21)</f>
        <v>0</v>
      </c>
      <c r="P21" s="804"/>
      <c r="Q21" s="804"/>
      <c r="R21" s="100">
        <f>O21/INTGRATE!$N$293</f>
        <v>0</v>
      </c>
      <c r="S21" s="665">
        <f t="shared" si="5"/>
        <v>0</v>
      </c>
      <c r="T21" s="402"/>
      <c r="U21" s="136"/>
      <c r="V21" s="420" t="str">
        <f>B21&amp;D21</f>
        <v>551XPRO25</v>
      </c>
      <c r="W21" s="432"/>
      <c r="X21" s="386"/>
      <c r="Y21" s="386">
        <v>0</v>
      </c>
      <c r="Z21" s="100">
        <v>0</v>
      </c>
      <c r="AA21" s="100">
        <v>0</v>
      </c>
      <c r="AB21" s="100">
        <v>0</v>
      </c>
      <c r="AC21" s="100">
        <v>0</v>
      </c>
      <c r="AD21" s="100">
        <v>0</v>
      </c>
      <c r="AE21" s="100">
        <v>0</v>
      </c>
      <c r="AF21" s="100">
        <v>0</v>
      </c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100"/>
      <c r="AY21" s="100"/>
      <c r="AZ21" s="100"/>
      <c r="BA21" s="100"/>
      <c r="BB21" s="100"/>
      <c r="BC21" s="276"/>
      <c r="BD21" s="85"/>
      <c r="BF21" s="436"/>
    </row>
    <row r="22" spans="1:58" s="38" customFormat="1" ht="17.25" customHeight="1">
      <c r="A22" s="631">
        <v>11</v>
      </c>
      <c r="B22" s="170" t="s">
        <v>62</v>
      </c>
      <c r="C22" s="538" t="s">
        <v>61</v>
      </c>
      <c r="D22" s="164">
        <v>25</v>
      </c>
      <c r="E22" s="100">
        <v>0</v>
      </c>
      <c r="F22" s="100">
        <f>SUMIF(pro!$A:$A,$V:$V,pro!$N:$N)</f>
        <v>0</v>
      </c>
      <c r="G22" s="100"/>
      <c r="H22" s="100">
        <f>SUMIF(CBIN!$A:$A,'PRO-NASA'!$V:$V,CBIN!$G:$G)</f>
        <v>0</v>
      </c>
      <c r="I22" s="100">
        <f>SUMIF(data!$D:$D,$B22&amp;$D22,data!$J:$J)</f>
        <v>0</v>
      </c>
      <c r="J22" s="351">
        <f>SUMIF(data!$D:$D,$B22&amp;$D22,data!$K:$K)</f>
        <v>0</v>
      </c>
      <c r="K22" s="100">
        <v>0</v>
      </c>
      <c r="L22" s="100">
        <f>SUMIF(CBOUT!$A:$A,'PRO-NASA'!$V:$V,CBOUT!$G:$G)</f>
        <v>0</v>
      </c>
      <c r="M22" s="1158">
        <f t="shared" si="3"/>
        <v>0</v>
      </c>
      <c r="N22" s="652">
        <f>M22*D22</f>
        <v>0</v>
      </c>
      <c r="O22" s="1159">
        <f>SUM(X22:BB22)</f>
        <v>0</v>
      </c>
      <c r="P22" s="804"/>
      <c r="Q22" s="804"/>
      <c r="R22" s="100">
        <f>O22/INTGRATE!$N$293</f>
        <v>0</v>
      </c>
      <c r="S22" s="665">
        <f t="shared" si="5"/>
        <v>0</v>
      </c>
      <c r="T22" s="402"/>
      <c r="U22" s="136"/>
      <c r="V22" s="420" t="str">
        <f t="shared" si="6"/>
        <v>552SXPro25</v>
      </c>
      <c r="W22" s="432"/>
      <c r="X22" s="386"/>
      <c r="Y22" s="386">
        <v>0</v>
      </c>
      <c r="Z22" s="100">
        <v>0</v>
      </c>
      <c r="AA22" s="100">
        <v>0</v>
      </c>
      <c r="AB22" s="100">
        <v>0</v>
      </c>
      <c r="AC22" s="100">
        <v>0</v>
      </c>
      <c r="AD22" s="100">
        <v>0</v>
      </c>
      <c r="AE22" s="100">
        <v>0</v>
      </c>
      <c r="AF22" s="100">
        <v>0</v>
      </c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100"/>
      <c r="AY22" s="100"/>
      <c r="AZ22" s="100"/>
      <c r="BA22" s="100"/>
      <c r="BB22" s="100"/>
      <c r="BC22" s="276">
        <f t="shared" si="2"/>
        <v>0</v>
      </c>
      <c r="BD22" s="85"/>
      <c r="BF22" s="436"/>
    </row>
    <row r="23" spans="1:58" s="38" customFormat="1" ht="17.25" customHeight="1">
      <c r="A23" s="631">
        <v>12</v>
      </c>
      <c r="B23" s="94" t="s">
        <v>63</v>
      </c>
      <c r="C23" s="94" t="s">
        <v>64</v>
      </c>
      <c r="D23" s="91">
        <v>25</v>
      </c>
      <c r="E23" s="100">
        <v>10</v>
      </c>
      <c r="F23" s="100">
        <f>SUMIF(pro!$A:$A,$V:$V,pro!$N:$N)</f>
        <v>0</v>
      </c>
      <c r="G23" s="100"/>
      <c r="H23" s="100">
        <f>SUMIF(CBIN!$A:$A,'PRO-NASA'!$V:$V,CBIN!$G:$G)</f>
        <v>0</v>
      </c>
      <c r="I23" s="100">
        <f>SUMIF(data!$D:$D,$B23&amp;$D23,data!$J:$J)</f>
        <v>0</v>
      </c>
      <c r="J23" s="351">
        <f>SUMIF(data!$D:$D,$B23&amp;$D23,data!$K:$K)</f>
        <v>0</v>
      </c>
      <c r="K23" s="100">
        <f>SUMIF(AJOUT!$A:$A,'PRO-NASA'!$V:$V,AJOUT!$L:$L)</f>
        <v>0</v>
      </c>
      <c r="L23" s="100">
        <f>SUMIF(CBOUT!$A:$A,'PRO-NASA'!$V:$V,CBOUT!$G:$G)</f>
        <v>0</v>
      </c>
      <c r="M23" s="1158">
        <f t="shared" si="3"/>
        <v>10</v>
      </c>
      <c r="N23" s="652">
        <f>M23*D23</f>
        <v>250</v>
      </c>
      <c r="O23" s="1159">
        <f t="shared" si="4"/>
        <v>24050</v>
      </c>
      <c r="P23" s="804"/>
      <c r="Q23" s="804"/>
      <c r="R23" s="100">
        <f>O23/INTGRATE!$N$293</f>
        <v>2672.2222222222222</v>
      </c>
      <c r="S23" s="665">
        <f t="shared" si="5"/>
        <v>9.355509355509356E-2</v>
      </c>
      <c r="T23" s="403"/>
      <c r="U23" s="136"/>
      <c r="V23" s="420" t="str">
        <f t="shared" si="6"/>
        <v>552Pro25</v>
      </c>
      <c r="W23" s="432">
        <v>321021</v>
      </c>
      <c r="X23" s="386"/>
      <c r="Y23" s="386">
        <v>7500</v>
      </c>
      <c r="Z23" s="100">
        <v>0</v>
      </c>
      <c r="AA23" s="100">
        <v>725</v>
      </c>
      <c r="AB23" s="100">
        <v>8375</v>
      </c>
      <c r="AC23" s="100">
        <v>2375</v>
      </c>
      <c r="AD23" s="100">
        <v>750</v>
      </c>
      <c r="AE23" s="100">
        <v>750</v>
      </c>
      <c r="AF23" s="100">
        <v>3575</v>
      </c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100"/>
      <c r="AY23" s="100"/>
      <c r="AZ23" s="100"/>
      <c r="BA23" s="100"/>
      <c r="BB23" s="100"/>
      <c r="BC23" s="276">
        <f t="shared" si="2"/>
        <v>24050</v>
      </c>
      <c r="BD23" s="85"/>
      <c r="BF23" s="436"/>
    </row>
    <row r="24" spans="1:58" s="38" customFormat="1" ht="17.25" customHeight="1">
      <c r="A24" s="631">
        <v>13</v>
      </c>
      <c r="B24" s="94" t="s">
        <v>65</v>
      </c>
      <c r="C24" s="92" t="s">
        <v>61</v>
      </c>
      <c r="D24" s="528" t="s">
        <v>66</v>
      </c>
      <c r="E24" s="425">
        <v>0</v>
      </c>
      <c r="F24" s="425">
        <f>+J24</f>
        <v>0</v>
      </c>
      <c r="G24" s="425"/>
      <c r="H24" s="100">
        <f>SUMIF(CBIN!$A:$A,'PRO-NASA'!$V:$V,CBIN!$G:$G)</f>
        <v>0</v>
      </c>
      <c r="I24" s="425">
        <f>SUMIF(data!$D:$D,$B24&amp;$D24,data!$J:$J)</f>
        <v>0</v>
      </c>
      <c r="J24" s="351">
        <f>SUMIF(data!$D:$D,$B24&amp;$D24,data!$K:$K)</f>
        <v>0</v>
      </c>
      <c r="K24" s="100">
        <f>SUMIF(AJOUT!$A:$A,'PRO-NASA'!$V:$V,AJOUT!$L:$L)</f>
        <v>0</v>
      </c>
      <c r="L24" s="100">
        <f>SUMIF(CBOUT!$A:$A,'PRO-NASA'!$V:$V,CBOUT!$G:$G)</f>
        <v>0</v>
      </c>
      <c r="M24" s="1158">
        <v>0</v>
      </c>
      <c r="N24" s="652">
        <v>0</v>
      </c>
      <c r="O24" s="426">
        <f t="shared" si="4"/>
        <v>0</v>
      </c>
      <c r="P24" s="427"/>
      <c r="Q24" s="427"/>
      <c r="R24" s="425">
        <f>O24/INTGRATE!$N$293</f>
        <v>0</v>
      </c>
      <c r="S24" s="665">
        <f t="shared" si="5"/>
        <v>0</v>
      </c>
      <c r="T24" s="511"/>
      <c r="U24" s="136"/>
      <c r="V24" s="420" t="str">
        <f>B24&amp;D24</f>
        <v>552SProSILO</v>
      </c>
      <c r="W24" s="432">
        <v>320021</v>
      </c>
      <c r="X24" s="386"/>
      <c r="Y24" s="386">
        <v>0</v>
      </c>
      <c r="Z24" s="100">
        <v>0</v>
      </c>
      <c r="AA24" s="100">
        <v>0</v>
      </c>
      <c r="AB24" s="100">
        <v>0</v>
      </c>
      <c r="AC24" s="100">
        <v>0</v>
      </c>
      <c r="AD24" s="100">
        <v>0</v>
      </c>
      <c r="AE24" s="100">
        <v>0</v>
      </c>
      <c r="AF24" s="100">
        <v>0</v>
      </c>
      <c r="AG24" s="100"/>
      <c r="AH24" s="425"/>
      <c r="AI24" s="100"/>
      <c r="AJ24" s="100"/>
      <c r="AK24" s="100"/>
      <c r="AL24" s="100"/>
      <c r="AM24" s="100"/>
      <c r="AN24" s="100"/>
      <c r="AO24" s="100"/>
      <c r="AP24" s="100"/>
      <c r="AQ24" s="425"/>
      <c r="AR24" s="100"/>
      <c r="AS24" s="100"/>
      <c r="AT24" s="100"/>
      <c r="AU24" s="100"/>
      <c r="AV24" s="100"/>
      <c r="AW24" s="100"/>
      <c r="AX24" s="425"/>
      <c r="AY24" s="100"/>
      <c r="AZ24" s="100"/>
      <c r="BA24" s="100"/>
      <c r="BB24" s="100"/>
      <c r="BC24" s="276">
        <f t="shared" si="2"/>
        <v>0</v>
      </c>
      <c r="BF24" s="436"/>
    </row>
    <row r="25" spans="1:58" s="38" customFormat="1" ht="17.25" customHeight="1">
      <c r="A25" s="631">
        <v>14</v>
      </c>
      <c r="B25" s="94" t="s">
        <v>65</v>
      </c>
      <c r="C25" s="537" t="s">
        <v>61</v>
      </c>
      <c r="D25" s="91">
        <v>25</v>
      </c>
      <c r="E25" s="100">
        <v>2051</v>
      </c>
      <c r="F25" s="100">
        <f>SUMIF(pro!$A:$A,$V:$V,pro!$N:$N)</f>
        <v>0</v>
      </c>
      <c r="G25" s="100"/>
      <c r="H25" s="100">
        <f>SUMIF(CBIN!$A:$A,'PRO-NASA'!$V:$V,CBIN!$G:$G)</f>
        <v>0</v>
      </c>
      <c r="I25" s="100">
        <f>SUMIF(data!$D:$D,$B25&amp;$D25,data!$J:$J)</f>
        <v>0</v>
      </c>
      <c r="J25" s="351">
        <f>SUMIF(data!$D:$D,$B25&amp;$D25,data!$K:$K)</f>
        <v>0</v>
      </c>
      <c r="K25" s="100">
        <f>SUMIF(AJOUT!$A:$A,'PRO-NASA'!$V:$V,AJOUT!$L:$L)</f>
        <v>0</v>
      </c>
      <c r="L25" s="100">
        <f>SUMIF(CBOUT!$A:$A,'PRO-NASA'!$V:$V,CBOUT!$G:$G)</f>
        <v>0</v>
      </c>
      <c r="M25" s="1158">
        <f>E25+F25+H25-I25-L25+G25-K25</f>
        <v>2051</v>
      </c>
      <c r="N25" s="652">
        <f>M25*D25</f>
        <v>51275</v>
      </c>
      <c r="O25" s="1159">
        <f t="shared" si="4"/>
        <v>41200</v>
      </c>
      <c r="P25" s="804"/>
      <c r="Q25" s="804"/>
      <c r="R25" s="100">
        <f>O25/INTGRATE!$N$293</f>
        <v>4577.7777777777774</v>
      </c>
      <c r="S25" s="665">
        <f t="shared" si="5"/>
        <v>11.200849514563108</v>
      </c>
      <c r="T25" s="530"/>
      <c r="U25" s="136"/>
      <c r="V25" s="420" t="str">
        <f t="shared" si="6"/>
        <v>552SPro25</v>
      </c>
      <c r="W25" s="432">
        <v>320021</v>
      </c>
      <c r="X25" s="386"/>
      <c r="Y25" s="386">
        <v>9750</v>
      </c>
      <c r="Z25" s="100">
        <v>0</v>
      </c>
      <c r="AA25" s="100">
        <v>13950</v>
      </c>
      <c r="AB25" s="100">
        <v>6675</v>
      </c>
      <c r="AC25" s="100">
        <v>2825</v>
      </c>
      <c r="AD25" s="100">
        <v>4000</v>
      </c>
      <c r="AE25" s="100">
        <v>1375</v>
      </c>
      <c r="AF25" s="100">
        <v>2625</v>
      </c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276">
        <f t="shared" si="2"/>
        <v>41200</v>
      </c>
      <c r="BD25" s="328"/>
      <c r="BF25" s="436"/>
    </row>
    <row r="26" spans="1:58" s="38" customFormat="1" ht="17.25" customHeight="1">
      <c r="A26" s="631">
        <v>15</v>
      </c>
      <c r="B26" s="94" t="s">
        <v>67</v>
      </c>
      <c r="C26" s="163" t="s">
        <v>68</v>
      </c>
      <c r="D26" s="617">
        <v>25</v>
      </c>
      <c r="E26" s="561">
        <v>0</v>
      </c>
      <c r="F26" s="100">
        <f>SUMIF(pro!$A:$A,$V:$V,pro!$N:$N)</f>
        <v>0</v>
      </c>
      <c r="G26" s="100"/>
      <c r="H26" s="100">
        <f>SUMIF(CBIN!$A:$A,'PRO-NASA'!$V:$V,CBIN!$G:$G)</f>
        <v>0</v>
      </c>
      <c r="I26" s="100">
        <f>SUMIF(data!$D:$D,$B26&amp;$D26,data!$J:$J)</f>
        <v>0</v>
      </c>
      <c r="J26" s="351">
        <f>SUMIF(data!$D:$D,$B26&amp;$D26,data!$K:$K)</f>
        <v>0</v>
      </c>
      <c r="K26" s="100">
        <f>SUMIF(AJOUT!$A:$A,'PRO-NASA'!$V:$V,AJOUT!$L:$L)</f>
        <v>0</v>
      </c>
      <c r="L26" s="100">
        <f>SUMIF(CBOUT!$A:$A,'PRO-NASA'!$V:$V,CBOUT!$G:$G)</f>
        <v>0</v>
      </c>
      <c r="M26" s="1158">
        <f>E26+F26+H26-I26-L26+G26-K26</f>
        <v>0</v>
      </c>
      <c r="N26" s="652">
        <f>M26*D26</f>
        <v>0</v>
      </c>
      <c r="O26" s="1159">
        <f t="shared" si="4"/>
        <v>0</v>
      </c>
      <c r="P26" s="804"/>
      <c r="Q26" s="804"/>
      <c r="R26" s="100">
        <f>O26/INTGRATE!$N$293</f>
        <v>0</v>
      </c>
      <c r="S26" s="665">
        <f t="shared" si="5"/>
        <v>0</v>
      </c>
      <c r="T26" s="403"/>
      <c r="U26" s="136"/>
      <c r="V26" s="420" t="str">
        <f>B26&amp;D26</f>
        <v>553SPro25</v>
      </c>
      <c r="W26" s="432">
        <v>332121</v>
      </c>
      <c r="X26" s="386"/>
      <c r="Y26" s="386">
        <v>0</v>
      </c>
      <c r="Z26" s="100">
        <v>0</v>
      </c>
      <c r="AA26" s="100">
        <v>0</v>
      </c>
      <c r="AB26" s="100">
        <v>0</v>
      </c>
      <c r="AC26" s="100">
        <v>0</v>
      </c>
      <c r="AD26" s="100">
        <v>0</v>
      </c>
      <c r="AE26" s="100">
        <v>0</v>
      </c>
      <c r="AF26" s="100">
        <v>0</v>
      </c>
      <c r="AG26" s="100"/>
      <c r="AH26" s="425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100"/>
      <c r="AY26" s="100"/>
      <c r="AZ26" s="100"/>
      <c r="BA26" s="100"/>
      <c r="BB26" s="100"/>
      <c r="BC26" s="276">
        <f t="shared" si="2"/>
        <v>0</v>
      </c>
      <c r="BF26" s="436"/>
    </row>
    <row r="27" spans="1:58" s="63" customFormat="1" ht="15" customHeight="1">
      <c r="A27" s="1102" t="s">
        <v>69</v>
      </c>
      <c r="B27" s="1103"/>
      <c r="C27" s="1103"/>
      <c r="D27" s="1104"/>
      <c r="E27" s="64"/>
      <c r="F27" s="64"/>
      <c r="G27" s="64"/>
      <c r="H27" s="64"/>
      <c r="I27" s="64"/>
      <c r="J27" s="64"/>
      <c r="K27" s="64"/>
      <c r="L27" s="64"/>
      <c r="M27" s="588"/>
      <c r="N27" s="64"/>
      <c r="O27" s="124"/>
      <c r="P27" s="64" t="e">
        <f>SUM(#REF!)</f>
        <v>#REF!</v>
      </c>
      <c r="Q27" s="64" t="e">
        <f>SUM(#REF!)</f>
        <v>#REF!</v>
      </c>
      <c r="R27" s="64"/>
      <c r="S27" s="99"/>
      <c r="T27" s="1105"/>
      <c r="U27" s="137"/>
      <c r="V27" s="418" t="str">
        <f t="shared" si="6"/>
        <v/>
      </c>
      <c r="W27" s="430"/>
      <c r="X27" s="557">
        <f>SUM(X12:X26)</f>
        <v>0</v>
      </c>
      <c r="Y27" s="557">
        <f t="shared" ref="Y27:BC27" si="7">SUM(Y12:Y26)</f>
        <v>41450</v>
      </c>
      <c r="Z27" s="557">
        <f t="shared" si="7"/>
        <v>50</v>
      </c>
      <c r="AA27" s="557">
        <f t="shared" si="7"/>
        <v>41030</v>
      </c>
      <c r="AB27" s="557">
        <f t="shared" si="7"/>
        <v>18250</v>
      </c>
      <c r="AC27" s="557">
        <f t="shared" si="7"/>
        <v>22825</v>
      </c>
      <c r="AD27" s="557">
        <f t="shared" si="7"/>
        <v>16750</v>
      </c>
      <c r="AE27" s="557">
        <f t="shared" si="7"/>
        <v>8025</v>
      </c>
      <c r="AF27" s="557">
        <f t="shared" si="7"/>
        <v>16750</v>
      </c>
      <c r="AG27" s="557">
        <f t="shared" si="7"/>
        <v>0</v>
      </c>
      <c r="AH27" s="557">
        <f t="shared" si="7"/>
        <v>0</v>
      </c>
      <c r="AI27" s="557">
        <f t="shared" si="7"/>
        <v>0</v>
      </c>
      <c r="AJ27" s="557">
        <f t="shared" si="7"/>
        <v>0</v>
      </c>
      <c r="AK27" s="557">
        <f t="shared" si="7"/>
        <v>0</v>
      </c>
      <c r="AL27" s="557">
        <f t="shared" si="7"/>
        <v>0</v>
      </c>
      <c r="AM27" s="557">
        <f t="shared" si="7"/>
        <v>0</v>
      </c>
      <c r="AN27" s="557">
        <f t="shared" si="7"/>
        <v>0</v>
      </c>
      <c r="AO27" s="557">
        <f t="shared" si="7"/>
        <v>0</v>
      </c>
      <c r="AP27" s="557">
        <f t="shared" si="7"/>
        <v>0</v>
      </c>
      <c r="AQ27" s="557">
        <f t="shared" si="7"/>
        <v>0</v>
      </c>
      <c r="AR27" s="557">
        <f t="shared" si="7"/>
        <v>0</v>
      </c>
      <c r="AS27" s="557">
        <f t="shared" si="7"/>
        <v>0</v>
      </c>
      <c r="AT27" s="557">
        <f t="shared" si="7"/>
        <v>0</v>
      </c>
      <c r="AU27" s="557">
        <f t="shared" si="7"/>
        <v>0</v>
      </c>
      <c r="AV27" s="557">
        <f t="shared" si="7"/>
        <v>0</v>
      </c>
      <c r="AW27" s="557">
        <f t="shared" si="7"/>
        <v>0</v>
      </c>
      <c r="AX27" s="557">
        <f t="shared" si="7"/>
        <v>0</v>
      </c>
      <c r="AY27" s="557">
        <f t="shared" si="7"/>
        <v>0</v>
      </c>
      <c r="AZ27" s="557">
        <f t="shared" si="7"/>
        <v>0</v>
      </c>
      <c r="BA27" s="557">
        <f t="shared" si="7"/>
        <v>0</v>
      </c>
      <c r="BB27" s="557">
        <f t="shared" si="7"/>
        <v>0</v>
      </c>
      <c r="BC27" s="647">
        <f t="shared" si="7"/>
        <v>161380</v>
      </c>
      <c r="BF27" s="437"/>
    </row>
    <row r="28" spans="1:58" s="63" customFormat="1" ht="15" customHeight="1">
      <c r="A28" s="1102" t="s">
        <v>70</v>
      </c>
      <c r="B28" s="1103"/>
      <c r="C28" s="1103"/>
      <c r="D28" s="1104"/>
      <c r="E28" s="64">
        <v>0</v>
      </c>
      <c r="F28" s="64">
        <v>0</v>
      </c>
      <c r="G28" s="64">
        <v>0</v>
      </c>
      <c r="H28" s="64">
        <v>0</v>
      </c>
      <c r="I28" s="64">
        <v>0</v>
      </c>
      <c r="J28" s="64">
        <v>0</v>
      </c>
      <c r="K28" s="64">
        <v>0</v>
      </c>
      <c r="L28" s="64">
        <v>0</v>
      </c>
      <c r="M28" s="64">
        <v>0</v>
      </c>
      <c r="N28" s="64">
        <v>0</v>
      </c>
      <c r="O28" s="64">
        <v>0</v>
      </c>
      <c r="P28" s="64">
        <v>0</v>
      </c>
      <c r="Q28" s="64">
        <v>0</v>
      </c>
      <c r="R28" s="64">
        <v>0</v>
      </c>
      <c r="S28" s="64">
        <v>0</v>
      </c>
      <c r="T28" s="1106"/>
      <c r="U28" s="137"/>
      <c r="V28" s="418"/>
      <c r="W28" s="430"/>
      <c r="X28" s="79"/>
      <c r="Y28" s="79"/>
      <c r="Z28" s="79"/>
      <c r="AA28" s="79"/>
      <c r="AB28" s="79"/>
      <c r="AC28" s="79"/>
      <c r="AD28" s="79"/>
      <c r="AE28" s="79"/>
      <c r="AF28" s="79"/>
      <c r="AG28" s="79"/>
      <c r="AH28" s="79"/>
      <c r="AI28" s="79"/>
      <c r="AJ28" s="79"/>
      <c r="AK28" s="79"/>
      <c r="AL28" s="79"/>
      <c r="AM28" s="79"/>
      <c r="AN28" s="79"/>
      <c r="AO28" s="79"/>
      <c r="AP28" s="79"/>
      <c r="AQ28" s="79"/>
      <c r="AR28" s="79"/>
      <c r="AS28" s="79"/>
      <c r="AT28" s="79"/>
      <c r="AU28" s="79"/>
      <c r="AV28" s="79"/>
      <c r="AW28" s="79"/>
      <c r="AX28" s="79"/>
      <c r="AY28" s="79"/>
      <c r="AZ28" s="79"/>
      <c r="BA28" s="79"/>
      <c r="BB28" s="79"/>
      <c r="BC28" s="507"/>
      <c r="BF28" s="437"/>
    </row>
    <row r="29" spans="1:58" s="63" customFormat="1" ht="15" customHeight="1">
      <c r="A29" s="1102" t="s">
        <v>71</v>
      </c>
      <c r="B29" s="1103"/>
      <c r="C29" s="1103"/>
      <c r="D29" s="1104"/>
      <c r="E29" s="64">
        <v>0</v>
      </c>
      <c r="F29" s="64">
        <v>0</v>
      </c>
      <c r="G29" s="64">
        <v>0</v>
      </c>
      <c r="H29" s="64">
        <v>0</v>
      </c>
      <c r="I29" s="64">
        <v>0</v>
      </c>
      <c r="J29" s="64">
        <v>0</v>
      </c>
      <c r="K29" s="64">
        <v>0</v>
      </c>
      <c r="L29" s="64">
        <v>0</v>
      </c>
      <c r="M29" s="64">
        <v>0</v>
      </c>
      <c r="N29" s="64">
        <v>0</v>
      </c>
      <c r="O29" s="64">
        <v>0</v>
      </c>
      <c r="P29" s="64">
        <v>0</v>
      </c>
      <c r="Q29" s="64">
        <v>0</v>
      </c>
      <c r="R29" s="64">
        <v>0</v>
      </c>
      <c r="S29" s="64">
        <v>0</v>
      </c>
      <c r="T29" s="1106"/>
      <c r="U29" s="64">
        <f>SUM(U15:U26)*25</f>
        <v>0</v>
      </c>
      <c r="V29" s="421" t="str">
        <f t="shared" ref="V29:V35" si="8">B29&amp;D29</f>
        <v/>
      </c>
      <c r="W29" s="433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507"/>
      <c r="BF29" s="437"/>
    </row>
    <row r="30" spans="1:58" s="63" customFormat="1" ht="15" customHeight="1">
      <c r="A30" s="1102" t="s">
        <v>72</v>
      </c>
      <c r="B30" s="1103"/>
      <c r="C30" s="1103"/>
      <c r="D30" s="1104"/>
      <c r="E30" s="64">
        <f>SUM(E12:E26)</f>
        <v>3275</v>
      </c>
      <c r="F30" s="64">
        <f t="shared" ref="F30:R30" si="9">SUM(F12:F26)</f>
        <v>0</v>
      </c>
      <c r="G30" s="64">
        <f t="shared" si="9"/>
        <v>0</v>
      </c>
      <c r="H30" s="64">
        <f t="shared" si="9"/>
        <v>0</v>
      </c>
      <c r="I30" s="64">
        <f t="shared" si="9"/>
        <v>0</v>
      </c>
      <c r="J30" s="64">
        <f t="shared" si="9"/>
        <v>0</v>
      </c>
      <c r="K30" s="64">
        <f t="shared" si="9"/>
        <v>0</v>
      </c>
      <c r="L30" s="64">
        <f t="shared" si="9"/>
        <v>0</v>
      </c>
      <c r="M30" s="64">
        <f t="shared" si="9"/>
        <v>3275</v>
      </c>
      <c r="N30" s="64">
        <f t="shared" si="9"/>
        <v>81875</v>
      </c>
      <c r="O30" s="64">
        <f t="shared" si="9"/>
        <v>165130</v>
      </c>
      <c r="P30" s="64">
        <f t="shared" si="9"/>
        <v>0</v>
      </c>
      <c r="Q30" s="64">
        <f t="shared" si="9"/>
        <v>0</v>
      </c>
      <c r="R30" s="64">
        <f t="shared" si="9"/>
        <v>18347.777777777777</v>
      </c>
      <c r="S30" s="64">
        <f>SUM(S15:S26)</f>
        <v>14.577317604469126</v>
      </c>
      <c r="T30" s="1106"/>
      <c r="U30" s="398"/>
      <c r="V30" s="418" t="str">
        <f t="shared" si="8"/>
        <v/>
      </c>
      <c r="W30" s="430"/>
      <c r="X30" s="79"/>
      <c r="Y30" s="79"/>
      <c r="Z30" s="79"/>
      <c r="AA30" s="79"/>
      <c r="AB30" s="79"/>
      <c r="AC30" s="79"/>
      <c r="AD30" s="79"/>
      <c r="AE30" s="79"/>
      <c r="AF30" s="79"/>
      <c r="AG30" s="79"/>
      <c r="AH30" s="79"/>
      <c r="AI30" s="79"/>
      <c r="AJ30" s="79"/>
      <c r="AK30" s="79"/>
      <c r="AL30" s="79"/>
      <c r="AM30" s="79"/>
      <c r="AN30" s="79"/>
      <c r="AO30" s="79"/>
      <c r="AP30" s="79"/>
      <c r="AQ30" s="79"/>
      <c r="AR30" s="79"/>
      <c r="AS30" s="79"/>
      <c r="AT30" s="79"/>
      <c r="AU30" s="79"/>
      <c r="AV30" s="79"/>
      <c r="AW30" s="79"/>
      <c r="AX30" s="79"/>
      <c r="AY30" s="79"/>
      <c r="AZ30" s="79"/>
      <c r="BA30" s="79"/>
      <c r="BB30" s="79"/>
      <c r="BC30" s="507"/>
      <c r="BF30" s="437"/>
    </row>
    <row r="31" spans="1:58" s="63" customFormat="1" ht="15" customHeight="1">
      <c r="A31" s="1102" t="s">
        <v>73</v>
      </c>
      <c r="B31" s="1103"/>
      <c r="C31" s="1103"/>
      <c r="D31" s="1104"/>
      <c r="E31" s="64">
        <v>0</v>
      </c>
      <c r="F31" s="64">
        <v>0</v>
      </c>
      <c r="G31" s="64">
        <v>0</v>
      </c>
      <c r="H31" s="64">
        <v>0</v>
      </c>
      <c r="I31" s="64">
        <v>0</v>
      </c>
      <c r="J31" s="64">
        <v>0</v>
      </c>
      <c r="K31" s="64">
        <v>0</v>
      </c>
      <c r="L31" s="64">
        <v>0</v>
      </c>
      <c r="M31" s="64">
        <v>0</v>
      </c>
      <c r="N31" s="64">
        <v>0</v>
      </c>
      <c r="O31" s="64">
        <v>0</v>
      </c>
      <c r="P31" s="64">
        <v>0</v>
      </c>
      <c r="Q31" s="64">
        <v>0</v>
      </c>
      <c r="R31" s="64">
        <v>0</v>
      </c>
      <c r="S31" s="64">
        <v>0</v>
      </c>
      <c r="T31" s="1106"/>
      <c r="U31" s="137"/>
      <c r="V31" s="418" t="str">
        <f t="shared" si="8"/>
        <v/>
      </c>
      <c r="W31" s="430"/>
      <c r="X31" s="79"/>
      <c r="Y31" s="79"/>
      <c r="Z31" s="79"/>
      <c r="AA31" s="79"/>
      <c r="AB31" s="79"/>
      <c r="AC31" s="79"/>
      <c r="AD31" s="79"/>
      <c r="AE31" s="79"/>
      <c r="AF31" s="79"/>
      <c r="AG31" s="79"/>
      <c r="AH31" s="79"/>
      <c r="AI31" s="79"/>
      <c r="AJ31" s="79"/>
      <c r="AK31" s="79"/>
      <c r="AL31" s="79"/>
      <c r="AM31" s="79"/>
      <c r="AN31" s="79"/>
      <c r="AO31" s="79"/>
      <c r="AP31" s="79"/>
      <c r="AQ31" s="79"/>
      <c r="AR31" s="79"/>
      <c r="AS31" s="79"/>
      <c r="AT31" s="79"/>
      <c r="AU31" s="79"/>
      <c r="AV31" s="79"/>
      <c r="AW31" s="79"/>
      <c r="AX31" s="79"/>
      <c r="AY31" s="79"/>
      <c r="AZ31" s="79"/>
      <c r="BA31" s="79"/>
      <c r="BB31" s="79"/>
      <c r="BC31" s="507"/>
      <c r="BF31" s="437"/>
    </row>
    <row r="32" spans="1:58" s="63" customFormat="1" ht="15" customHeight="1">
      <c r="A32" s="872" t="s">
        <v>74</v>
      </c>
      <c r="B32" s="873"/>
      <c r="C32" s="873"/>
      <c r="D32" s="874"/>
      <c r="E32" s="64">
        <f t="shared" ref="E32:S32" si="10">+E24</f>
        <v>0</v>
      </c>
      <c r="F32" s="64">
        <f>+F20+F18+F24</f>
        <v>0</v>
      </c>
      <c r="G32" s="64">
        <f t="shared" ref="G32:M32" si="11">+G20+G18+G24</f>
        <v>0</v>
      </c>
      <c r="H32" s="64">
        <f t="shared" si="11"/>
        <v>0</v>
      </c>
      <c r="I32" s="64">
        <f t="shared" si="11"/>
        <v>0</v>
      </c>
      <c r="J32" s="64">
        <f t="shared" si="11"/>
        <v>0</v>
      </c>
      <c r="K32" s="64">
        <f t="shared" si="11"/>
        <v>0</v>
      </c>
      <c r="L32" s="64">
        <f t="shared" si="11"/>
        <v>0</v>
      </c>
      <c r="M32" s="64">
        <f t="shared" si="11"/>
        <v>0</v>
      </c>
      <c r="N32" s="64">
        <f t="shared" si="10"/>
        <v>0</v>
      </c>
      <c r="O32" s="64">
        <f t="shared" si="10"/>
        <v>0</v>
      </c>
      <c r="P32" s="64">
        <f t="shared" si="10"/>
        <v>0</v>
      </c>
      <c r="Q32" s="64">
        <f t="shared" si="10"/>
        <v>0</v>
      </c>
      <c r="R32" s="64">
        <f t="shared" si="10"/>
        <v>0</v>
      </c>
      <c r="S32" s="64">
        <f t="shared" si="10"/>
        <v>0</v>
      </c>
      <c r="T32" s="1106"/>
      <c r="U32" s="137"/>
      <c r="V32" s="418" t="str">
        <f t="shared" si="8"/>
        <v/>
      </c>
      <c r="W32" s="430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507"/>
      <c r="BF32" s="437"/>
    </row>
    <row r="33" spans="1:149" s="126" customFormat="1" ht="15" customHeight="1">
      <c r="A33" s="1109" t="s">
        <v>75</v>
      </c>
      <c r="B33" s="1110"/>
      <c r="C33" s="1110"/>
      <c r="D33" s="1111"/>
      <c r="E33" s="127">
        <f>SUM(E27:E31)</f>
        <v>3275</v>
      </c>
      <c r="F33" s="127">
        <f>SUM(F27:F31)-F32</f>
        <v>0</v>
      </c>
      <c r="G33" s="127">
        <f t="shared" ref="G33:M33" si="12">SUM(G27:G31)-G32</f>
        <v>0</v>
      </c>
      <c r="H33" s="127">
        <f t="shared" si="12"/>
        <v>0</v>
      </c>
      <c r="I33" s="127">
        <f t="shared" si="12"/>
        <v>0</v>
      </c>
      <c r="J33" s="127">
        <f t="shared" si="12"/>
        <v>0</v>
      </c>
      <c r="K33" s="127">
        <f t="shared" si="12"/>
        <v>0</v>
      </c>
      <c r="L33" s="127">
        <f t="shared" si="12"/>
        <v>0</v>
      </c>
      <c r="M33" s="127">
        <f t="shared" si="12"/>
        <v>3275</v>
      </c>
      <c r="N33" s="127">
        <f>+SUM(N28:N31)</f>
        <v>81875</v>
      </c>
      <c r="O33" s="1112">
        <f>SUM(O15:O26)</f>
        <v>161380</v>
      </c>
      <c r="P33" s="186"/>
      <c r="Q33" s="186"/>
      <c r="R33" s="1095">
        <f>SUM(R15:R26)</f>
        <v>17931.111111111109</v>
      </c>
      <c r="S33" s="1097" t="s">
        <v>76</v>
      </c>
      <c r="T33" s="1106"/>
      <c r="U33" s="1160"/>
      <c r="V33" s="418" t="str">
        <f t="shared" si="8"/>
        <v/>
      </c>
      <c r="W33" s="430"/>
      <c r="X33" s="278"/>
      <c r="Y33" s="278"/>
      <c r="Z33" s="278"/>
      <c r="AA33" s="278"/>
      <c r="AB33" s="278"/>
      <c r="AC33" s="278"/>
      <c r="AD33" s="278"/>
      <c r="AE33" s="278"/>
      <c r="AF33" s="278"/>
      <c r="AG33" s="278"/>
      <c r="AH33" s="278"/>
      <c r="AI33" s="278"/>
      <c r="AJ33" s="278"/>
      <c r="AK33" s="278"/>
      <c r="AL33" s="278"/>
      <c r="AM33" s="278"/>
      <c r="AN33" s="278"/>
      <c r="AO33" s="278"/>
      <c r="AP33" s="278"/>
      <c r="AQ33" s="278"/>
      <c r="AR33" s="278"/>
      <c r="AS33" s="278"/>
      <c r="AT33" s="278"/>
      <c r="AU33" s="278"/>
      <c r="AV33" s="278"/>
      <c r="AW33" s="278"/>
      <c r="AX33" s="278"/>
      <c r="AY33" s="278"/>
      <c r="AZ33" s="278"/>
      <c r="BA33" s="278"/>
      <c r="BB33" s="278"/>
      <c r="BC33" s="507"/>
      <c r="BD33" s="353"/>
      <c r="BE33" s="353"/>
      <c r="BF33" s="437"/>
      <c r="BG33" s="353"/>
      <c r="BH33" s="353"/>
      <c r="BI33" s="353"/>
      <c r="BJ33" s="353"/>
      <c r="BK33" s="353"/>
      <c r="BL33" s="353"/>
      <c r="BM33" s="353"/>
      <c r="BN33" s="353"/>
      <c r="BO33" s="353"/>
      <c r="BP33" s="353"/>
      <c r="BQ33" s="353"/>
      <c r="BR33" s="353"/>
      <c r="BS33" s="353"/>
      <c r="BT33" s="353"/>
      <c r="BU33" s="353"/>
      <c r="BV33" s="353"/>
      <c r="BW33" s="353"/>
      <c r="BX33" s="353"/>
      <c r="BY33" s="353"/>
      <c r="BZ33" s="353"/>
      <c r="CA33" s="353"/>
      <c r="CB33" s="353"/>
      <c r="CC33" s="353"/>
      <c r="CD33" s="353"/>
      <c r="CE33" s="353"/>
      <c r="CF33" s="353"/>
      <c r="CG33" s="353"/>
      <c r="CH33" s="353"/>
      <c r="CI33" s="353"/>
      <c r="CJ33" s="353"/>
      <c r="CK33" s="353"/>
      <c r="CL33" s="353"/>
      <c r="CM33" s="353"/>
      <c r="CN33" s="353"/>
      <c r="CO33" s="353"/>
      <c r="CP33" s="353"/>
      <c r="CQ33" s="353"/>
      <c r="CR33" s="353"/>
      <c r="CS33" s="353"/>
      <c r="CT33" s="353"/>
      <c r="CU33" s="353"/>
      <c r="CV33" s="353"/>
      <c r="CW33" s="353"/>
      <c r="CX33" s="353"/>
      <c r="CY33" s="353"/>
      <c r="CZ33" s="353"/>
      <c r="DA33" s="353"/>
      <c r="DB33" s="353"/>
      <c r="DC33" s="353"/>
      <c r="DD33" s="353"/>
      <c r="DE33" s="353"/>
      <c r="DF33" s="353"/>
      <c r="DG33" s="353"/>
      <c r="DH33" s="353"/>
      <c r="DI33" s="353"/>
      <c r="DJ33" s="353"/>
      <c r="DK33" s="353"/>
      <c r="DL33" s="353"/>
      <c r="DM33" s="353"/>
      <c r="DN33" s="353"/>
      <c r="DO33" s="353"/>
      <c r="DP33" s="353"/>
      <c r="DQ33" s="353"/>
      <c r="DR33" s="353"/>
      <c r="DS33" s="353"/>
      <c r="DT33" s="353"/>
      <c r="DU33" s="353"/>
      <c r="DV33" s="353"/>
      <c r="DW33" s="353"/>
      <c r="DX33" s="353"/>
      <c r="DY33" s="353"/>
      <c r="DZ33" s="353"/>
      <c r="EA33" s="353"/>
      <c r="EB33" s="353"/>
      <c r="EC33" s="353"/>
      <c r="ED33" s="353"/>
      <c r="EE33" s="353"/>
      <c r="EF33" s="353"/>
      <c r="EG33" s="353"/>
      <c r="EH33" s="353"/>
      <c r="EI33" s="353"/>
      <c r="EJ33" s="353"/>
      <c r="EK33" s="353"/>
      <c r="EL33" s="353"/>
      <c r="EM33" s="353"/>
      <c r="EN33" s="353"/>
      <c r="EO33" s="353"/>
      <c r="EP33" s="353"/>
      <c r="EQ33" s="353"/>
      <c r="ER33" s="353"/>
      <c r="ES33" s="353"/>
    </row>
    <row r="34" spans="1:149" s="86" customFormat="1" ht="15" customHeight="1">
      <c r="A34" s="1099" t="s">
        <v>77</v>
      </c>
      <c r="B34" s="1100"/>
      <c r="C34" s="1100"/>
      <c r="D34" s="1101"/>
      <c r="E34" s="121">
        <f>E28*10+E29*25+E30*25+E31*40+E32</f>
        <v>81875</v>
      </c>
      <c r="F34" s="121">
        <f t="shared" ref="F34:M34" si="13">F28*10+F29*25+F30*25+F31*40+F32</f>
        <v>0</v>
      </c>
      <c r="G34" s="121">
        <f t="shared" si="13"/>
        <v>0</v>
      </c>
      <c r="H34" s="121">
        <f t="shared" si="13"/>
        <v>0</v>
      </c>
      <c r="I34" s="121">
        <f t="shared" si="13"/>
        <v>0</v>
      </c>
      <c r="J34" s="121">
        <f>+J33</f>
        <v>0</v>
      </c>
      <c r="K34" s="121">
        <f t="shared" si="13"/>
        <v>0</v>
      </c>
      <c r="L34" s="121">
        <f t="shared" si="13"/>
        <v>0</v>
      </c>
      <c r="M34" s="121">
        <f t="shared" si="13"/>
        <v>81875</v>
      </c>
      <c r="N34" s="121">
        <f>+N33</f>
        <v>81875</v>
      </c>
      <c r="O34" s="1113"/>
      <c r="P34" s="187"/>
      <c r="Q34" s="187"/>
      <c r="R34" s="1096"/>
      <c r="S34" s="1098"/>
      <c r="T34" s="1107"/>
      <c r="U34" s="138"/>
      <c r="V34" s="418" t="str">
        <f t="shared" si="8"/>
        <v/>
      </c>
      <c r="W34" s="430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28"/>
      <c r="AO34" s="128"/>
      <c r="AP34" s="128"/>
      <c r="AQ34" s="128"/>
      <c r="AR34" s="128"/>
      <c r="AS34" s="128"/>
      <c r="AT34" s="128"/>
      <c r="AU34" s="128"/>
      <c r="AV34" s="128"/>
      <c r="AW34" s="128"/>
      <c r="AX34" s="128"/>
      <c r="AY34" s="128"/>
      <c r="AZ34" s="128"/>
      <c r="BA34" s="128"/>
      <c r="BB34" s="128"/>
      <c r="BC34" s="507"/>
      <c r="BF34" s="437"/>
    </row>
    <row r="35" spans="1:149" s="63" customFormat="1" ht="15" customHeight="1">
      <c r="A35" s="443"/>
      <c r="B35" s="443"/>
      <c r="C35" s="443"/>
      <c r="D35" s="443"/>
      <c r="E35" s="443"/>
      <c r="F35" s="443"/>
      <c r="G35" s="443"/>
      <c r="H35" s="443"/>
      <c r="I35" s="443"/>
      <c r="J35" s="443"/>
      <c r="K35" s="443"/>
      <c r="L35" s="443"/>
      <c r="M35" s="468"/>
      <c r="N35" s="443"/>
      <c r="O35" s="443"/>
      <c r="P35" s="443"/>
      <c r="Q35" s="443"/>
      <c r="R35" s="443"/>
      <c r="S35" s="443"/>
      <c r="T35" s="78"/>
      <c r="U35" s="139"/>
      <c r="V35" s="422" t="str">
        <f t="shared" si="8"/>
        <v/>
      </c>
      <c r="W35" s="432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3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C35" s="507"/>
      <c r="BF35" s="437"/>
    </row>
    <row r="36" spans="1:149" ht="15" customHeight="1">
      <c r="A36" s="443" t="s">
        <v>20</v>
      </c>
      <c r="B36" s="443"/>
      <c r="C36" s="443"/>
      <c r="D36" s="443"/>
      <c r="E36" s="443"/>
      <c r="F36" s="443"/>
      <c r="G36" s="443"/>
      <c r="H36" s="443"/>
      <c r="I36" s="443"/>
      <c r="J36" s="443"/>
      <c r="K36" s="443"/>
      <c r="L36" s="443"/>
      <c r="M36" s="468"/>
      <c r="N36" s="443"/>
      <c r="O36" s="443"/>
      <c r="P36" s="443"/>
      <c r="Q36" s="443"/>
      <c r="R36" s="443"/>
      <c r="S36" s="443"/>
      <c r="T36" s="78"/>
      <c r="U36" s="139"/>
      <c r="V36" s="422" t="str">
        <f>B36&amp;D36</f>
        <v/>
      </c>
      <c r="AB36" s="290"/>
    </row>
    <row r="37" spans="1:149" ht="15" customHeight="1">
      <c r="A37" s="444" t="s">
        <v>78</v>
      </c>
      <c r="B37" s="444"/>
      <c r="C37" s="444"/>
      <c r="D37" s="444"/>
      <c r="E37" s="444"/>
      <c r="F37" s="444"/>
      <c r="G37" s="444"/>
      <c r="H37" s="444"/>
      <c r="I37" s="444"/>
      <c r="J37" s="444"/>
      <c r="K37" s="444"/>
      <c r="L37" s="444"/>
      <c r="M37" s="469"/>
      <c r="N37" s="444"/>
      <c r="O37" s="444"/>
      <c r="P37" s="444"/>
      <c r="Q37" s="444"/>
      <c r="R37" s="444"/>
      <c r="S37" s="444"/>
      <c r="T37" s="407"/>
      <c r="U37" s="140"/>
      <c r="V37" s="422" t="str">
        <f>B37&amp;D37</f>
        <v/>
      </c>
    </row>
    <row r="38" spans="1:149" s="63" customFormat="1" ht="33" customHeight="1">
      <c r="A38" s="925" t="s">
        <v>22</v>
      </c>
      <c r="B38" s="916" t="s">
        <v>23</v>
      </c>
      <c r="C38" s="916" t="s">
        <v>24</v>
      </c>
      <c r="D38" s="928" t="s">
        <v>25</v>
      </c>
      <c r="E38" s="61" t="s">
        <v>26</v>
      </c>
      <c r="F38" s="931" t="s">
        <v>27</v>
      </c>
      <c r="G38" s="936"/>
      <c r="H38" s="932"/>
      <c r="I38" s="931" t="s">
        <v>28</v>
      </c>
      <c r="J38" s="936"/>
      <c r="K38" s="936"/>
      <c r="L38" s="936"/>
      <c r="M38" s="931" t="s">
        <v>29</v>
      </c>
      <c r="N38" s="932"/>
      <c r="O38" s="183" t="s">
        <v>30</v>
      </c>
      <c r="P38" s="183"/>
      <c r="Q38" s="183"/>
      <c r="R38" s="183" t="s">
        <v>31</v>
      </c>
      <c r="S38" s="928" t="s">
        <v>32</v>
      </c>
      <c r="T38" s="1049" t="s">
        <v>33</v>
      </c>
      <c r="U38" s="881" t="s">
        <v>34</v>
      </c>
      <c r="V38" s="416"/>
      <c r="W38" s="430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3"/>
      <c r="AY38" s="83"/>
      <c r="AZ38" s="83"/>
      <c r="BA38" s="83"/>
      <c r="BF38" s="437"/>
    </row>
    <row r="39" spans="1:149" s="63" customFormat="1" ht="57" customHeight="1">
      <c r="A39" s="926"/>
      <c r="B39" s="917"/>
      <c r="C39" s="917"/>
      <c r="D39" s="929" t="s">
        <v>35</v>
      </c>
      <c r="E39" s="64" t="s">
        <v>36</v>
      </c>
      <c r="F39" s="680" t="s">
        <v>37</v>
      </c>
      <c r="G39" s="512" t="s">
        <v>38</v>
      </c>
      <c r="H39" s="681" t="s">
        <v>39</v>
      </c>
      <c r="I39" s="931" t="s">
        <v>40</v>
      </c>
      <c r="J39" s="936"/>
      <c r="K39" s="512" t="s">
        <v>41</v>
      </c>
      <c r="L39" s="681" t="s">
        <v>42</v>
      </c>
      <c r="M39" s="931" t="s">
        <v>43</v>
      </c>
      <c r="N39" s="932"/>
      <c r="O39" s="683" t="s">
        <v>44</v>
      </c>
      <c r="P39" s="184"/>
      <c r="Q39" s="184"/>
      <c r="R39" s="683" t="s">
        <v>45</v>
      </c>
      <c r="S39" s="929"/>
      <c r="T39" s="1050"/>
      <c r="U39" s="882"/>
      <c r="V39" s="416" t="str">
        <f t="shared" ref="V39:V57" si="14">B39&amp;D39</f>
        <v>SIZE</v>
      </c>
      <c r="W39" s="430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3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F39" s="437"/>
    </row>
    <row r="40" spans="1:149" s="63" customFormat="1" ht="15" customHeight="1">
      <c r="A40" s="927"/>
      <c r="B40" s="918"/>
      <c r="C40" s="918"/>
      <c r="D40" s="930" t="s">
        <v>46</v>
      </c>
      <c r="E40" s="64" t="s">
        <v>47</v>
      </c>
      <c r="F40" s="64" t="s">
        <v>47</v>
      </c>
      <c r="G40" s="64" t="s">
        <v>47</v>
      </c>
      <c r="H40" s="64" t="s">
        <v>47</v>
      </c>
      <c r="I40" s="64" t="s">
        <v>47</v>
      </c>
      <c r="J40" s="64" t="s">
        <v>46</v>
      </c>
      <c r="K40" s="64" t="s">
        <v>47</v>
      </c>
      <c r="L40" s="64" t="s">
        <v>47</v>
      </c>
      <c r="M40" s="64" t="s">
        <v>47</v>
      </c>
      <c r="N40" s="64" t="s">
        <v>47</v>
      </c>
      <c r="O40" s="65" t="s">
        <v>46</v>
      </c>
      <c r="P40" s="185"/>
      <c r="Q40" s="185"/>
      <c r="R40" s="65" t="s">
        <v>48</v>
      </c>
      <c r="S40" s="930"/>
      <c r="T40" s="1051"/>
      <c r="U40" s="684" t="s">
        <v>47</v>
      </c>
      <c r="V40" s="419" t="str">
        <f t="shared" si="14"/>
        <v>(Kg)</v>
      </c>
      <c r="W40" s="430"/>
      <c r="X40" s="311">
        <v>1</v>
      </c>
      <c r="Y40" s="89">
        <v>2</v>
      </c>
      <c r="Z40" s="88">
        <v>3</v>
      </c>
      <c r="AA40" s="89">
        <v>4</v>
      </c>
      <c r="AB40" s="88">
        <v>5</v>
      </c>
      <c r="AC40" s="89">
        <v>6</v>
      </c>
      <c r="AD40" s="88">
        <v>7</v>
      </c>
      <c r="AE40" s="89">
        <v>8</v>
      </c>
      <c r="AF40" s="88">
        <v>9</v>
      </c>
      <c r="AG40" s="89">
        <v>10</v>
      </c>
      <c r="AH40" s="88">
        <v>11</v>
      </c>
      <c r="AI40" s="89">
        <v>12</v>
      </c>
      <c r="AJ40" s="88">
        <v>13</v>
      </c>
      <c r="AK40" s="89">
        <v>14</v>
      </c>
      <c r="AL40" s="88">
        <v>15</v>
      </c>
      <c r="AM40" s="89">
        <v>16</v>
      </c>
      <c r="AN40" s="88">
        <v>17</v>
      </c>
      <c r="AO40" s="89">
        <v>18</v>
      </c>
      <c r="AP40" s="88">
        <v>19</v>
      </c>
      <c r="AQ40" s="89">
        <v>20</v>
      </c>
      <c r="AR40" s="88">
        <v>21</v>
      </c>
      <c r="AS40" s="89">
        <v>22</v>
      </c>
      <c r="AT40" s="88">
        <v>23</v>
      </c>
      <c r="AU40" s="89">
        <v>24</v>
      </c>
      <c r="AV40" s="88">
        <v>25</v>
      </c>
      <c r="AW40" s="89">
        <v>26</v>
      </c>
      <c r="AX40" s="88">
        <v>27</v>
      </c>
      <c r="AY40" s="89">
        <v>28</v>
      </c>
      <c r="AZ40" s="88">
        <v>29</v>
      </c>
      <c r="BA40" s="89">
        <v>30</v>
      </c>
      <c r="BB40" s="89">
        <v>31</v>
      </c>
      <c r="BC40" s="66" t="s">
        <v>49</v>
      </c>
      <c r="BF40" s="437"/>
    </row>
    <row r="41" spans="1:149" s="63" customFormat="1" ht="15" customHeight="1">
      <c r="A41" s="68">
        <v>1</v>
      </c>
      <c r="B41" s="628">
        <v>6824</v>
      </c>
      <c r="C41" s="628" t="s">
        <v>79</v>
      </c>
      <c r="D41" s="629">
        <v>25</v>
      </c>
      <c r="E41" s="649">
        <v>0</v>
      </c>
      <c r="F41" s="100">
        <f>SUMIF(pro!$A:$A,$V:$V,pro!$N:$N)</f>
        <v>0</v>
      </c>
      <c r="G41" s="351"/>
      <c r="H41" s="100">
        <v>0</v>
      </c>
      <c r="I41" s="351">
        <f>SUMIF(data!$D:$D,$B41&amp;$D41,data!$J:$J)</f>
        <v>0</v>
      </c>
      <c r="J41" s="351">
        <f>SUMIF(data!$D:$D,$B41&amp;$D41,data!$K:$K)</f>
        <v>0</v>
      </c>
      <c r="K41" s="100">
        <f>SUMIF(AJOUT!$A:$A,'PRO-NASA'!$V:$V,AJOUT!$L:$L)</f>
        <v>0</v>
      </c>
      <c r="L41" s="100">
        <f>SUMIF(CBOUT!$A:$A,'PRO-NASA'!$V:$V,CBOUT!$G:$G)</f>
        <v>0</v>
      </c>
      <c r="M41" s="650">
        <f>E41+F41+H41-I41-L41+G41-K41</f>
        <v>0</v>
      </c>
      <c r="N41" s="351">
        <f>M41*D41</f>
        <v>0</v>
      </c>
      <c r="O41" s="1161">
        <f>SUM(X41:BB41)</f>
        <v>0</v>
      </c>
      <c r="P41" s="665"/>
      <c r="Q41" s="665"/>
      <c r="R41" s="804">
        <f>O41/INTGRATE!$N$293</f>
        <v>0</v>
      </c>
      <c r="S41" s="665">
        <f>IF(R41=0,0,N41/R41)</f>
        <v>0</v>
      </c>
      <c r="T41" s="402"/>
      <c r="U41" s="136"/>
      <c r="V41" s="420" t="str">
        <f t="shared" si="14"/>
        <v>682425</v>
      </c>
      <c r="W41" s="430">
        <v>127800</v>
      </c>
      <c r="X41" s="68"/>
      <c r="Y41" s="68">
        <v>0</v>
      </c>
      <c r="Z41" s="390">
        <v>0</v>
      </c>
      <c r="AA41" s="100">
        <v>0</v>
      </c>
      <c r="AB41" s="100">
        <v>0</v>
      </c>
      <c r="AC41" s="100">
        <v>0</v>
      </c>
      <c r="AD41" s="351">
        <v>0</v>
      </c>
      <c r="AE41" s="100">
        <v>0</v>
      </c>
      <c r="AF41" s="100">
        <v>0</v>
      </c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351"/>
      <c r="AX41" s="100"/>
      <c r="AY41" s="100"/>
      <c r="AZ41" s="100"/>
      <c r="BA41" s="100"/>
      <c r="BB41" s="100"/>
      <c r="BC41" s="275">
        <f t="shared" ref="BC41:BC57" si="15">SUM(X41:BB41)</f>
        <v>0</v>
      </c>
      <c r="BF41" s="437"/>
    </row>
    <row r="42" spans="1:149" s="63" customFormat="1" ht="15" customHeight="1">
      <c r="A42" s="68">
        <v>2</v>
      </c>
      <c r="B42" s="628">
        <v>6824</v>
      </c>
      <c r="C42" s="628" t="s">
        <v>79</v>
      </c>
      <c r="D42" s="629" t="s">
        <v>66</v>
      </c>
      <c r="E42" s="649">
        <v>0</v>
      </c>
      <c r="F42" s="100">
        <f>SUMIF(pro!$A:$A,$V:$V,pro!$N:$N)</f>
        <v>0</v>
      </c>
      <c r="G42" s="351"/>
      <c r="H42" s="100">
        <f>SUMIF(CBIN!$A:$A,'PRO-NASA'!$V:$V,CBIN!$G:$G)</f>
        <v>0</v>
      </c>
      <c r="I42" s="351">
        <f>SUMIF(data!$D:$D,$B42&amp;$D42,data!$J:$J)</f>
        <v>0</v>
      </c>
      <c r="J42" s="351">
        <f>SUMIF(data!$D:$D,$B42&amp;$D42,data!$K:$K)</f>
        <v>0</v>
      </c>
      <c r="K42" s="100"/>
      <c r="L42" s="100"/>
      <c r="M42" s="650">
        <v>0</v>
      </c>
      <c r="N42" s="351">
        <v>0</v>
      </c>
      <c r="O42" s="1161">
        <f>SUM(X42:BB42)</f>
        <v>0</v>
      </c>
      <c r="P42" s="665"/>
      <c r="Q42" s="665"/>
      <c r="R42" s="804">
        <f>O42/INTGRATE!$N$293</f>
        <v>0</v>
      </c>
      <c r="S42" s="665">
        <f>IF(R42=0,0,N42/R42)</f>
        <v>0</v>
      </c>
      <c r="T42" s="402"/>
      <c r="U42" s="136"/>
      <c r="V42" s="420" t="str">
        <f t="shared" si="14"/>
        <v>6824SILO</v>
      </c>
      <c r="W42" s="430">
        <v>127800</v>
      </c>
      <c r="X42" s="68"/>
      <c r="Y42" s="68">
        <v>0</v>
      </c>
      <c r="Z42" s="390">
        <v>0</v>
      </c>
      <c r="AA42" s="100">
        <v>0</v>
      </c>
      <c r="AB42" s="100">
        <v>0</v>
      </c>
      <c r="AC42" s="100">
        <v>0</v>
      </c>
      <c r="AD42" s="351">
        <v>0</v>
      </c>
      <c r="AE42" s="100">
        <v>0</v>
      </c>
      <c r="AF42" s="100">
        <v>0</v>
      </c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351"/>
      <c r="AX42" s="100"/>
      <c r="AY42" s="100"/>
      <c r="AZ42" s="100"/>
      <c r="BA42" s="100"/>
      <c r="BB42" s="100"/>
      <c r="BC42" s="275">
        <f t="shared" si="15"/>
        <v>0</v>
      </c>
      <c r="BF42" s="437"/>
    </row>
    <row r="43" spans="1:149" s="108" customFormat="1" ht="15" customHeight="1">
      <c r="A43" s="68">
        <v>3</v>
      </c>
      <c r="B43" s="175">
        <v>6911</v>
      </c>
      <c r="C43" s="175" t="s">
        <v>61</v>
      </c>
      <c r="D43" s="176">
        <v>25</v>
      </c>
      <c r="E43" s="649">
        <v>0</v>
      </c>
      <c r="F43" s="100">
        <f>SUMIF(pro!$A:$A,$V:$V,pro!$N:$N)</f>
        <v>0</v>
      </c>
      <c r="G43" s="351"/>
      <c r="H43" s="100"/>
      <c r="I43" s="351">
        <f>SUMIF(data!$D:$D,$B43&amp;$D43,data!$J:$J)</f>
        <v>0</v>
      </c>
      <c r="J43" s="351">
        <f>SUMIF(data!$D:$D,$B43&amp;$D43,data!$K:$K)</f>
        <v>0</v>
      </c>
      <c r="K43" s="100">
        <f>SUMIF(AJOUT!$A:$A,'PRO-NASA'!$V:$V,AJOUT!$L:$L)</f>
        <v>0</v>
      </c>
      <c r="L43" s="100">
        <f>SUMIF(CBOUT!$A:$A,'PRO-NASA'!$V:$V,CBOUT!$G:$G)</f>
        <v>0</v>
      </c>
      <c r="M43" s="650">
        <f>E43+F43+H43-I43-L43+G43-K43</f>
        <v>0</v>
      </c>
      <c r="N43" s="351">
        <f>M43*D43</f>
        <v>0</v>
      </c>
      <c r="O43" s="1161">
        <f>SUM(X43:BB43)</f>
        <v>0</v>
      </c>
      <c r="P43" s="665"/>
      <c r="Q43" s="665"/>
      <c r="R43" s="804">
        <f>O43/INTGRATE!$N$293</f>
        <v>0</v>
      </c>
      <c r="S43" s="665">
        <f>IF(R43=0,0,N43/R43)</f>
        <v>0</v>
      </c>
      <c r="T43" s="402"/>
      <c r="U43" s="136"/>
      <c r="V43" s="420" t="str">
        <f t="shared" si="14"/>
        <v>691125</v>
      </c>
      <c r="W43" s="432">
        <v>115701</v>
      </c>
      <c r="X43" s="68"/>
      <c r="Y43" s="68">
        <v>0</v>
      </c>
      <c r="Z43" s="390">
        <v>0</v>
      </c>
      <c r="AA43" s="100">
        <v>0</v>
      </c>
      <c r="AB43" s="100">
        <v>0</v>
      </c>
      <c r="AC43" s="100">
        <v>0</v>
      </c>
      <c r="AD43" s="351">
        <v>0</v>
      </c>
      <c r="AE43" s="100">
        <v>0</v>
      </c>
      <c r="AF43" s="100">
        <v>0</v>
      </c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351"/>
      <c r="AX43" s="100"/>
      <c r="AY43" s="100"/>
      <c r="AZ43" s="100"/>
      <c r="BA43" s="100"/>
      <c r="BB43" s="100"/>
      <c r="BC43" s="275">
        <f t="shared" si="15"/>
        <v>0</v>
      </c>
      <c r="BD43" s="58"/>
      <c r="BE43" s="58"/>
      <c r="BF43" s="438"/>
      <c r="BG43" s="58"/>
      <c r="BH43" s="58"/>
      <c r="BI43" s="58"/>
      <c r="BJ43" s="58"/>
      <c r="BK43" s="58"/>
      <c r="BL43" s="58"/>
      <c r="BM43" s="58"/>
      <c r="BN43" s="58"/>
      <c r="BO43" s="58"/>
      <c r="BP43" s="58"/>
      <c r="BQ43" s="58"/>
      <c r="BR43" s="58"/>
      <c r="BS43" s="58"/>
      <c r="BT43" s="58"/>
      <c r="BU43" s="58"/>
      <c r="BV43" s="58"/>
      <c r="BW43" s="58"/>
      <c r="BX43" s="58"/>
      <c r="BY43" s="58"/>
      <c r="BZ43" s="58"/>
      <c r="CA43" s="58"/>
      <c r="CB43" s="58"/>
      <c r="CC43" s="58"/>
      <c r="CD43" s="58"/>
      <c r="CE43" s="58"/>
      <c r="CF43" s="58"/>
      <c r="CG43" s="58"/>
      <c r="CH43" s="58"/>
      <c r="CI43" s="58"/>
      <c r="CJ43" s="58"/>
      <c r="CK43" s="58"/>
      <c r="CL43" s="58"/>
      <c r="CM43" s="58"/>
      <c r="CN43" s="58"/>
      <c r="CO43" s="58"/>
      <c r="CP43" s="58"/>
      <c r="CQ43" s="58"/>
      <c r="CR43" s="58"/>
      <c r="CS43" s="58"/>
      <c r="CT43" s="58"/>
      <c r="CU43" s="58"/>
      <c r="CV43" s="58"/>
      <c r="CW43" s="58"/>
      <c r="CX43" s="58"/>
      <c r="CY43" s="58"/>
      <c r="CZ43" s="58"/>
      <c r="DA43" s="58"/>
      <c r="DB43" s="58"/>
      <c r="DC43" s="58"/>
      <c r="DD43" s="58"/>
      <c r="DE43" s="58"/>
      <c r="DF43" s="58"/>
      <c r="DG43" s="58"/>
      <c r="DH43" s="58"/>
      <c r="DI43" s="58"/>
      <c r="DJ43" s="58"/>
      <c r="DK43" s="58"/>
      <c r="DL43" s="58"/>
      <c r="DM43" s="58"/>
      <c r="DN43" s="58"/>
      <c r="DO43" s="58"/>
      <c r="DP43" s="58"/>
      <c r="DQ43" s="58"/>
      <c r="DR43" s="58"/>
      <c r="DS43" s="58"/>
      <c r="DT43" s="58"/>
      <c r="DU43" s="58"/>
      <c r="DV43" s="58"/>
      <c r="DW43" s="58"/>
      <c r="DX43" s="58"/>
      <c r="DY43" s="58"/>
      <c r="DZ43" s="58"/>
      <c r="EA43" s="58"/>
      <c r="EB43" s="58"/>
      <c r="EC43" s="58"/>
      <c r="ED43" s="58"/>
      <c r="EE43" s="58"/>
      <c r="EF43" s="58"/>
      <c r="EG43" s="58"/>
      <c r="EH43" s="58"/>
      <c r="EI43" s="58"/>
      <c r="EJ43" s="58"/>
      <c r="EK43" s="58"/>
      <c r="EL43" s="58"/>
      <c r="EM43" s="58"/>
      <c r="EN43" s="58"/>
      <c r="EO43" s="58"/>
      <c r="EP43" s="58"/>
      <c r="EQ43" s="58"/>
      <c r="ER43" s="58"/>
      <c r="ES43" s="58"/>
    </row>
    <row r="44" spans="1:149" s="108" customFormat="1" ht="15" customHeight="1">
      <c r="A44" s="68">
        <v>4</v>
      </c>
      <c r="B44" s="630">
        <v>6924</v>
      </c>
      <c r="C44" s="630" t="s">
        <v>80</v>
      </c>
      <c r="D44" s="629">
        <v>25</v>
      </c>
      <c r="E44" s="649">
        <v>659</v>
      </c>
      <c r="F44" s="100">
        <f>SUMIF(pro!$A:$A,$V:$V,pro!$N:$N)</f>
        <v>0</v>
      </c>
      <c r="G44" s="351"/>
      <c r="H44" s="100"/>
      <c r="I44" s="351">
        <f>SUMIF(data!$D:$D,$B44&amp;$D44,data!$J:$J)</f>
        <v>0</v>
      </c>
      <c r="J44" s="351">
        <f>SUMIF(data!$D:$D,$B44&amp;$D44,data!$K:$K)</f>
        <v>0</v>
      </c>
      <c r="K44" s="100">
        <f>SUMIF(AJOUT!$A:$A,'PRO-NASA'!$V:$V,AJOUT!$L:$L)</f>
        <v>0</v>
      </c>
      <c r="L44" s="100">
        <f>SUMIF(CBOUT!$A:$A,'PRO-NASA'!$V:$V,CBOUT!$G:$G)</f>
        <v>0</v>
      </c>
      <c r="M44" s="650">
        <f t="shared" ref="M44:M57" si="16">E44+F44+H44-I44-L44+G44-K44</f>
        <v>659</v>
      </c>
      <c r="N44" s="351">
        <f t="shared" ref="N44:N57" si="17">M44*D44</f>
        <v>16475</v>
      </c>
      <c r="O44" s="1161">
        <f t="shared" ref="O44:O57" si="18">SUM(X44:BB44)</f>
        <v>13450</v>
      </c>
      <c r="P44" s="665"/>
      <c r="Q44" s="665"/>
      <c r="R44" s="804">
        <f>O44/INTGRATE!$N$293</f>
        <v>1494.4444444444443</v>
      </c>
      <c r="S44" s="665">
        <f t="shared" ref="S44:S57" si="19">IF(R44=0,0,N44/R44)</f>
        <v>11.024163568773234</v>
      </c>
      <c r="T44" s="592"/>
      <c r="U44" s="136"/>
      <c r="V44" s="420" t="str">
        <f t="shared" si="14"/>
        <v>692425</v>
      </c>
      <c r="W44" s="432">
        <v>127801</v>
      </c>
      <c r="X44" s="68"/>
      <c r="Y44" s="68">
        <v>1625</v>
      </c>
      <c r="Z44" s="390">
        <v>0</v>
      </c>
      <c r="AA44" s="100">
        <v>2100</v>
      </c>
      <c r="AB44" s="100">
        <v>0</v>
      </c>
      <c r="AC44" s="100">
        <v>3475</v>
      </c>
      <c r="AD44" s="351">
        <v>0</v>
      </c>
      <c r="AE44" s="100">
        <v>0</v>
      </c>
      <c r="AF44" s="100">
        <v>6250</v>
      </c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351"/>
      <c r="AX44" s="100"/>
      <c r="AY44" s="100"/>
      <c r="AZ44" s="100"/>
      <c r="BA44" s="100"/>
      <c r="BB44" s="100"/>
      <c r="BC44" s="275">
        <f t="shared" si="15"/>
        <v>13450</v>
      </c>
      <c r="BD44" s="58"/>
      <c r="BE44" s="58"/>
      <c r="BF44" s="438"/>
      <c r="BG44" s="58"/>
      <c r="BH44" s="58"/>
      <c r="BI44" s="58"/>
      <c r="BJ44" s="58"/>
      <c r="BK44" s="58"/>
      <c r="BL44" s="58"/>
      <c r="BM44" s="58"/>
      <c r="BN44" s="58"/>
      <c r="BO44" s="58"/>
      <c r="BP44" s="58"/>
      <c r="BQ44" s="58"/>
      <c r="BR44" s="58"/>
      <c r="BS44" s="58"/>
      <c r="BT44" s="58"/>
      <c r="BU44" s="58"/>
      <c r="BV44" s="58"/>
      <c r="BW44" s="58"/>
      <c r="BX44" s="58"/>
      <c r="BY44" s="58"/>
      <c r="BZ44" s="58"/>
      <c r="CA44" s="58"/>
      <c r="CB44" s="58"/>
      <c r="CC44" s="58"/>
      <c r="CD44" s="58"/>
      <c r="CE44" s="58"/>
      <c r="CF44" s="58"/>
      <c r="CG44" s="58"/>
      <c r="CH44" s="58"/>
      <c r="CI44" s="58"/>
      <c r="CJ44" s="58"/>
      <c r="CK44" s="58"/>
      <c r="CL44" s="58"/>
      <c r="CM44" s="58"/>
      <c r="CN44" s="58"/>
      <c r="CO44" s="58"/>
      <c r="CP44" s="58"/>
      <c r="CQ44" s="58"/>
      <c r="CR44" s="58"/>
      <c r="CS44" s="58"/>
      <c r="CT44" s="58"/>
      <c r="CU44" s="58"/>
      <c r="CV44" s="58"/>
      <c r="CW44" s="58"/>
      <c r="CX44" s="58"/>
      <c r="CY44" s="58"/>
      <c r="CZ44" s="58"/>
      <c r="DA44" s="58"/>
      <c r="DB44" s="58"/>
      <c r="DC44" s="58"/>
      <c r="DD44" s="58"/>
      <c r="DE44" s="58"/>
      <c r="DF44" s="58"/>
      <c r="DG44" s="58"/>
      <c r="DH44" s="58"/>
      <c r="DI44" s="58"/>
      <c r="DJ44" s="58"/>
      <c r="DK44" s="58"/>
      <c r="DL44" s="58"/>
      <c r="DM44" s="58"/>
      <c r="DN44" s="58"/>
      <c r="DO44" s="58"/>
      <c r="DP44" s="58"/>
      <c r="DQ44" s="58"/>
      <c r="DR44" s="58"/>
      <c r="DS44" s="58"/>
      <c r="DT44" s="58"/>
      <c r="DU44" s="58"/>
      <c r="DV44" s="58"/>
      <c r="DW44" s="58"/>
      <c r="DX44" s="58"/>
      <c r="DY44" s="58"/>
      <c r="DZ44" s="58"/>
      <c r="EA44" s="58"/>
      <c r="EB44" s="58"/>
      <c r="EC44" s="58"/>
      <c r="ED44" s="58"/>
      <c r="EE44" s="58"/>
      <c r="EF44" s="58"/>
      <c r="EG44" s="58"/>
      <c r="EH44" s="58"/>
      <c r="EI44" s="58"/>
      <c r="EJ44" s="58"/>
      <c r="EK44" s="58"/>
      <c r="EL44" s="58"/>
      <c r="EM44" s="58"/>
      <c r="EN44" s="58"/>
      <c r="EO44" s="58"/>
      <c r="EP44" s="58"/>
      <c r="EQ44" s="58"/>
      <c r="ER44" s="58"/>
      <c r="ES44" s="58"/>
    </row>
    <row r="45" spans="1:149" s="108" customFormat="1" ht="15" customHeight="1">
      <c r="A45" s="68">
        <v>5</v>
      </c>
      <c r="B45" s="630" t="s">
        <v>81</v>
      </c>
      <c r="C45" s="630" t="s">
        <v>80</v>
      </c>
      <c r="D45" s="629">
        <v>25</v>
      </c>
      <c r="E45" s="649">
        <v>0</v>
      </c>
      <c r="F45" s="100">
        <f>SUMIF(pro!$A:$A,$V:$V,pro!$N:$N)</f>
        <v>0</v>
      </c>
      <c r="G45" s="351"/>
      <c r="H45" s="100"/>
      <c r="I45" s="351">
        <f>SUMIF(data!$D:$D,$B45&amp;$D45,data!$J:$J)</f>
        <v>0</v>
      </c>
      <c r="J45" s="351">
        <f>SUMIF(data!$D:$D,$B45&amp;$D45,data!$K:$K)</f>
        <v>0</v>
      </c>
      <c r="K45" s="100">
        <f>SUMIF(AJOUT!$A:$A,'PRO-NASA'!$V:$V,AJOUT!$L:$L)</f>
        <v>0</v>
      </c>
      <c r="L45" s="100">
        <f>SUMIF(CBOUT!$A:$A,'PRO-NASA'!$V:$V,CBOUT!$G:$G)</f>
        <v>0</v>
      </c>
      <c r="M45" s="650">
        <f>E45+F45+H45-I45-L45+G45-K45</f>
        <v>0</v>
      </c>
      <c r="N45" s="351">
        <f>M45*D45</f>
        <v>0</v>
      </c>
      <c r="O45" s="1161">
        <f>SUM(X45:BB45)</f>
        <v>0</v>
      </c>
      <c r="P45" s="665"/>
      <c r="Q45" s="665"/>
      <c r="R45" s="804">
        <f>O45/INTGRATE!$N$293</f>
        <v>0</v>
      </c>
      <c r="S45" s="665">
        <f>IF(R45=0,0,N45/R45)</f>
        <v>0</v>
      </c>
      <c r="T45" s="592"/>
      <c r="U45" s="136"/>
      <c r="V45" s="420" t="str">
        <f>B45&amp;D45</f>
        <v>6924P25</v>
      </c>
      <c r="W45" s="432">
        <v>127808</v>
      </c>
      <c r="X45" s="68"/>
      <c r="Y45" s="68">
        <v>0</v>
      </c>
      <c r="Z45" s="390">
        <v>0</v>
      </c>
      <c r="AA45" s="100">
        <v>0</v>
      </c>
      <c r="AB45" s="100">
        <v>0</v>
      </c>
      <c r="AC45" s="100">
        <v>0</v>
      </c>
      <c r="AD45" s="351">
        <v>0</v>
      </c>
      <c r="AE45" s="100">
        <v>0</v>
      </c>
      <c r="AF45" s="100">
        <v>0</v>
      </c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351"/>
      <c r="AX45" s="100"/>
      <c r="AY45" s="100"/>
      <c r="AZ45" s="100"/>
      <c r="BA45" s="100"/>
      <c r="BB45" s="100"/>
      <c r="BC45" s="275">
        <f t="shared" si="15"/>
        <v>0</v>
      </c>
      <c r="BD45" s="58"/>
      <c r="BE45" s="58"/>
      <c r="BF45" s="438"/>
      <c r="BG45" s="58"/>
      <c r="BH45" s="58"/>
      <c r="BI45" s="58"/>
      <c r="BJ45" s="58"/>
      <c r="BK45" s="58"/>
      <c r="BL45" s="58"/>
      <c r="BM45" s="58"/>
      <c r="BN45" s="58"/>
      <c r="BO45" s="58"/>
      <c r="BP45" s="58"/>
      <c r="BQ45" s="58"/>
      <c r="BR45" s="58"/>
      <c r="BS45" s="58"/>
      <c r="BT45" s="58"/>
      <c r="BU45" s="58"/>
      <c r="BV45" s="58"/>
      <c r="BW45" s="58"/>
      <c r="BX45" s="58"/>
      <c r="BY45" s="58"/>
      <c r="BZ45" s="58"/>
      <c r="CA45" s="58"/>
      <c r="CB45" s="58"/>
      <c r="CC45" s="58"/>
      <c r="CD45" s="58"/>
      <c r="CE45" s="58"/>
      <c r="CF45" s="58"/>
      <c r="CG45" s="58"/>
      <c r="CH45" s="58"/>
      <c r="CI45" s="58"/>
      <c r="CJ45" s="58"/>
      <c r="CK45" s="58"/>
      <c r="CL45" s="58"/>
      <c r="CM45" s="58"/>
      <c r="CN45" s="58"/>
      <c r="CO45" s="58"/>
      <c r="CP45" s="58"/>
      <c r="CQ45" s="58"/>
      <c r="CR45" s="58"/>
      <c r="CS45" s="58"/>
      <c r="CT45" s="58"/>
      <c r="CU45" s="58"/>
      <c r="CV45" s="58"/>
      <c r="CW45" s="58"/>
      <c r="CX45" s="58"/>
      <c r="CY45" s="58"/>
      <c r="CZ45" s="58"/>
      <c r="DA45" s="58"/>
      <c r="DB45" s="58"/>
      <c r="DC45" s="58"/>
      <c r="DD45" s="58"/>
      <c r="DE45" s="58"/>
      <c r="DF45" s="58"/>
      <c r="DG45" s="58"/>
      <c r="DH45" s="58"/>
      <c r="DI45" s="58"/>
      <c r="DJ45" s="58"/>
      <c r="DK45" s="58"/>
      <c r="DL45" s="58"/>
      <c r="DM45" s="58"/>
      <c r="DN45" s="58"/>
      <c r="DO45" s="58"/>
      <c r="DP45" s="58"/>
      <c r="DQ45" s="58"/>
      <c r="DR45" s="58"/>
      <c r="DS45" s="58"/>
      <c r="DT45" s="58"/>
      <c r="DU45" s="58"/>
      <c r="DV45" s="58"/>
      <c r="DW45" s="58"/>
      <c r="DX45" s="58"/>
      <c r="DY45" s="58"/>
      <c r="DZ45" s="58"/>
      <c r="EA45" s="58"/>
      <c r="EB45" s="58"/>
      <c r="EC45" s="58"/>
      <c r="ED45" s="58"/>
      <c r="EE45" s="58"/>
      <c r="EF45" s="58"/>
      <c r="EG45" s="58"/>
      <c r="EH45" s="58"/>
      <c r="EI45" s="58"/>
      <c r="EJ45" s="58"/>
      <c r="EK45" s="58"/>
      <c r="EL45" s="58"/>
      <c r="EM45" s="58"/>
      <c r="EN45" s="58"/>
      <c r="EO45" s="58"/>
      <c r="EP45" s="58"/>
      <c r="EQ45" s="58"/>
      <c r="ER45" s="58"/>
      <c r="ES45" s="58"/>
    </row>
    <row r="46" spans="1:149" s="116" customFormat="1" ht="15" customHeight="1">
      <c r="A46" s="68">
        <v>6</v>
      </c>
      <c r="B46" s="349">
        <v>6948</v>
      </c>
      <c r="C46" s="349" t="s">
        <v>55</v>
      </c>
      <c r="D46" s="660">
        <v>25</v>
      </c>
      <c r="E46" s="649">
        <v>0</v>
      </c>
      <c r="F46" s="100">
        <f>SUMIF(pro!$A:$A,$V:$V,pro!$N:$N)</f>
        <v>0</v>
      </c>
      <c r="G46" s="351"/>
      <c r="H46" s="100"/>
      <c r="I46" s="351">
        <f>SUMIF(data!$D:$D,$B46&amp;$D46,data!$J:$J)</f>
        <v>0</v>
      </c>
      <c r="J46" s="351">
        <f>SUMIF(data!$D:$D,$B46&amp;$D46,data!$K:$K)</f>
        <v>0</v>
      </c>
      <c r="K46" s="100">
        <f>SUMIF(AJOUT!$A:$A,'PRO-NASA'!$V:$V,AJOUT!$L:$L)</f>
        <v>0</v>
      </c>
      <c r="L46" s="100">
        <f>SUMIF(CBOUT!$A:$A,'PRO-NASA'!$V:$V,CBOUT!$G:$G)</f>
        <v>0</v>
      </c>
      <c r="M46" s="650">
        <f t="shared" si="16"/>
        <v>0</v>
      </c>
      <c r="N46" s="351">
        <f t="shared" si="17"/>
        <v>0</v>
      </c>
      <c r="O46" s="1161">
        <f t="shared" si="18"/>
        <v>0</v>
      </c>
      <c r="P46" s="665"/>
      <c r="Q46" s="665"/>
      <c r="R46" s="804">
        <f>O46/INTGRATE!$N$293</f>
        <v>0</v>
      </c>
      <c r="S46" s="665">
        <f t="shared" si="19"/>
        <v>0</v>
      </c>
      <c r="T46" s="401"/>
      <c r="U46" s="136"/>
      <c r="V46" s="420" t="str">
        <f t="shared" si="14"/>
        <v>694825</v>
      </c>
      <c r="W46" s="432">
        <v>201101</v>
      </c>
      <c r="X46" s="68"/>
      <c r="Y46" s="68">
        <v>0</v>
      </c>
      <c r="Z46" s="390">
        <v>0</v>
      </c>
      <c r="AA46" s="100">
        <v>0</v>
      </c>
      <c r="AB46" s="100">
        <v>0</v>
      </c>
      <c r="AC46" s="100">
        <v>0</v>
      </c>
      <c r="AD46" s="351">
        <v>0</v>
      </c>
      <c r="AE46" s="100">
        <v>0</v>
      </c>
      <c r="AF46" s="100">
        <v>0</v>
      </c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351"/>
      <c r="AX46" s="100"/>
      <c r="AY46" s="100"/>
      <c r="AZ46" s="100"/>
      <c r="BA46" s="100"/>
      <c r="BB46" s="100"/>
      <c r="BC46" s="275">
        <f t="shared" si="15"/>
        <v>0</v>
      </c>
      <c r="BD46" s="58"/>
      <c r="BE46" s="58"/>
      <c r="BF46" s="438"/>
      <c r="BG46" s="58"/>
      <c r="BH46" s="58"/>
      <c r="BI46" s="58"/>
      <c r="BJ46" s="58"/>
      <c r="BK46" s="58"/>
      <c r="BL46" s="58"/>
      <c r="BM46" s="58"/>
      <c r="BN46" s="58"/>
      <c r="BO46" s="58"/>
      <c r="BP46" s="58"/>
      <c r="BQ46" s="58"/>
      <c r="BR46" s="58"/>
      <c r="BS46" s="58"/>
      <c r="BT46" s="58"/>
      <c r="BU46" s="58"/>
      <c r="BV46" s="58"/>
      <c r="BW46" s="58"/>
      <c r="BX46" s="58"/>
      <c r="BY46" s="58"/>
      <c r="BZ46" s="58"/>
      <c r="CA46" s="58"/>
      <c r="CB46" s="58"/>
      <c r="CC46" s="58"/>
      <c r="CD46" s="58"/>
      <c r="CE46" s="58"/>
      <c r="CF46" s="58"/>
      <c r="CG46" s="58"/>
      <c r="CH46" s="58"/>
      <c r="CI46" s="58"/>
      <c r="CJ46" s="58"/>
      <c r="CK46" s="58"/>
      <c r="CL46" s="58"/>
      <c r="CM46" s="58"/>
      <c r="CN46" s="58"/>
      <c r="CO46" s="58"/>
      <c r="CP46" s="58"/>
      <c r="CQ46" s="58"/>
      <c r="CR46" s="58"/>
      <c r="CS46" s="58"/>
      <c r="CT46" s="58"/>
      <c r="CU46" s="58"/>
      <c r="CV46" s="58"/>
      <c r="CW46" s="58"/>
      <c r="CX46" s="58"/>
      <c r="CY46" s="58"/>
      <c r="CZ46" s="58"/>
      <c r="DA46" s="58"/>
      <c r="DB46" s="58"/>
      <c r="DC46" s="58"/>
      <c r="DD46" s="58"/>
      <c r="DE46" s="58"/>
      <c r="DF46" s="58"/>
      <c r="DG46" s="58"/>
      <c r="DH46" s="58"/>
      <c r="DI46" s="58"/>
      <c r="DJ46" s="58"/>
      <c r="DK46" s="58"/>
      <c r="DL46" s="58"/>
      <c r="DM46" s="58"/>
      <c r="DN46" s="58"/>
      <c r="DO46" s="58"/>
      <c r="DP46" s="58"/>
      <c r="DQ46" s="58"/>
      <c r="DR46" s="58"/>
      <c r="DS46" s="58"/>
      <c r="DT46" s="58"/>
      <c r="DU46" s="58"/>
      <c r="DV46" s="58"/>
      <c r="DW46" s="58"/>
      <c r="DX46" s="58"/>
      <c r="DY46" s="58"/>
      <c r="DZ46" s="58"/>
      <c r="EA46" s="58"/>
      <c r="EB46" s="58"/>
      <c r="EC46" s="58"/>
      <c r="ED46" s="58"/>
      <c r="EE46" s="58"/>
      <c r="EF46" s="58"/>
      <c r="EG46" s="58"/>
      <c r="EH46" s="58"/>
      <c r="EI46" s="58"/>
      <c r="EJ46" s="58"/>
      <c r="EK46" s="58"/>
      <c r="EL46" s="58"/>
      <c r="EM46" s="58"/>
      <c r="EN46" s="58"/>
      <c r="EO46" s="58"/>
      <c r="EP46" s="58"/>
      <c r="EQ46" s="58"/>
      <c r="ER46" s="58"/>
      <c r="ES46" s="58"/>
    </row>
    <row r="47" spans="1:149" s="116" customFormat="1" ht="15" customHeight="1">
      <c r="A47" s="68">
        <v>7</v>
      </c>
      <c r="B47" s="349">
        <v>6949</v>
      </c>
      <c r="C47" s="349" t="s">
        <v>64</v>
      </c>
      <c r="D47" s="660">
        <v>25</v>
      </c>
      <c r="E47" s="649">
        <v>732</v>
      </c>
      <c r="F47" s="100">
        <f>SUMIF(pro!$A:$A,$V:$V,pro!$N:$N)</f>
        <v>0</v>
      </c>
      <c r="G47" s="351"/>
      <c r="H47" s="100"/>
      <c r="I47" s="351">
        <f>SUMIF(data!$D:$D,$B47&amp;$D47,data!$J:$J)</f>
        <v>0</v>
      </c>
      <c r="J47" s="351">
        <f>SUMIF(data!$D:$D,$B47&amp;$D47,data!$K:$K)</f>
        <v>0</v>
      </c>
      <c r="K47" s="100">
        <f>SUMIF(AJOUT!$A:$A,'PRO-NASA'!$V:$V,AJOUT!$L:$L)</f>
        <v>0</v>
      </c>
      <c r="L47" s="100">
        <f>SUMIF(CBOUT!$A:$A,'PRO-NASA'!$V:$V,CBOUT!$G:$G)</f>
        <v>0</v>
      </c>
      <c r="M47" s="650">
        <f t="shared" si="16"/>
        <v>732</v>
      </c>
      <c r="N47" s="351">
        <f t="shared" si="17"/>
        <v>18300</v>
      </c>
      <c r="O47" s="1161">
        <f t="shared" si="18"/>
        <v>11425</v>
      </c>
      <c r="P47" s="665"/>
      <c r="Q47" s="665"/>
      <c r="R47" s="804">
        <f>O47/INTGRATE!$N$293</f>
        <v>1269.4444444444443</v>
      </c>
      <c r="S47" s="665">
        <f t="shared" si="19"/>
        <v>14.415754923413568</v>
      </c>
      <c r="T47" s="592"/>
      <c r="U47" s="136"/>
      <c r="V47" s="420" t="str">
        <f t="shared" si="14"/>
        <v>694925</v>
      </c>
      <c r="W47" s="432">
        <v>203701</v>
      </c>
      <c r="X47" s="68"/>
      <c r="Y47" s="68">
        <v>1250</v>
      </c>
      <c r="Z47" s="390">
        <v>0</v>
      </c>
      <c r="AA47" s="100">
        <v>2925</v>
      </c>
      <c r="AB47" s="100">
        <v>7125</v>
      </c>
      <c r="AC47" s="100">
        <v>0</v>
      </c>
      <c r="AD47" s="1162">
        <v>0</v>
      </c>
      <c r="AE47" s="100">
        <v>0</v>
      </c>
      <c r="AF47" s="100">
        <v>125</v>
      </c>
      <c r="AG47" s="100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351"/>
      <c r="AX47" s="100"/>
      <c r="AY47" s="100"/>
      <c r="AZ47" s="100"/>
      <c r="BA47" s="100"/>
      <c r="BB47" s="100"/>
      <c r="BC47" s="275">
        <f t="shared" si="15"/>
        <v>11425</v>
      </c>
      <c r="BD47" s="58"/>
      <c r="BE47" s="58"/>
      <c r="BF47" s="438"/>
      <c r="BG47" s="58"/>
      <c r="BH47" s="58"/>
      <c r="BI47" s="58"/>
      <c r="BJ47" s="58"/>
      <c r="BK47" s="58"/>
      <c r="BL47" s="58"/>
      <c r="BM47" s="58"/>
      <c r="BN47" s="58"/>
      <c r="BO47" s="58"/>
      <c r="BP47" s="58"/>
      <c r="BQ47" s="58"/>
      <c r="BR47" s="58"/>
      <c r="BS47" s="58"/>
      <c r="BT47" s="58"/>
      <c r="BU47" s="58"/>
      <c r="BV47" s="58"/>
      <c r="BW47" s="58"/>
      <c r="BX47" s="58"/>
      <c r="BY47" s="58"/>
      <c r="BZ47" s="58"/>
      <c r="CA47" s="58"/>
      <c r="CB47" s="58"/>
      <c r="CC47" s="58"/>
      <c r="CD47" s="58"/>
      <c r="CE47" s="58"/>
      <c r="CF47" s="58"/>
      <c r="CG47" s="58"/>
      <c r="CH47" s="58"/>
      <c r="CI47" s="58"/>
      <c r="CJ47" s="58"/>
      <c r="CK47" s="58"/>
      <c r="CL47" s="58"/>
      <c r="CM47" s="58"/>
      <c r="CN47" s="58"/>
      <c r="CO47" s="58"/>
      <c r="CP47" s="58"/>
      <c r="CQ47" s="58"/>
      <c r="CR47" s="58"/>
      <c r="CS47" s="58"/>
      <c r="CT47" s="58"/>
      <c r="CU47" s="58"/>
      <c r="CV47" s="58"/>
      <c r="CW47" s="58"/>
      <c r="CX47" s="58"/>
      <c r="CY47" s="58"/>
      <c r="CZ47" s="58"/>
      <c r="DA47" s="58"/>
      <c r="DB47" s="58"/>
      <c r="DC47" s="58"/>
      <c r="DD47" s="58"/>
      <c r="DE47" s="58"/>
      <c r="DF47" s="58"/>
      <c r="DG47" s="58"/>
      <c r="DH47" s="58"/>
      <c r="DI47" s="58"/>
      <c r="DJ47" s="58"/>
      <c r="DK47" s="58"/>
      <c r="DL47" s="58"/>
      <c r="DM47" s="58"/>
      <c r="DN47" s="58"/>
      <c r="DO47" s="58"/>
      <c r="DP47" s="58"/>
      <c r="DQ47" s="58"/>
      <c r="DR47" s="58"/>
      <c r="DS47" s="58"/>
      <c r="DT47" s="58"/>
      <c r="DU47" s="58"/>
      <c r="DV47" s="58"/>
      <c r="DW47" s="58"/>
      <c r="DX47" s="58"/>
      <c r="DY47" s="58"/>
      <c r="DZ47" s="58"/>
      <c r="EA47" s="58"/>
      <c r="EB47" s="58"/>
      <c r="EC47" s="58"/>
      <c r="ED47" s="58"/>
      <c r="EE47" s="58"/>
      <c r="EF47" s="58"/>
      <c r="EG47" s="58"/>
      <c r="EH47" s="58"/>
      <c r="EI47" s="58"/>
      <c r="EJ47" s="58"/>
      <c r="EK47" s="58"/>
      <c r="EL47" s="58"/>
      <c r="EM47" s="58"/>
      <c r="EN47" s="58"/>
      <c r="EO47" s="58"/>
      <c r="EP47" s="58"/>
      <c r="EQ47" s="58"/>
      <c r="ER47" s="58"/>
      <c r="ES47" s="58"/>
    </row>
    <row r="48" spans="1:149" s="116" customFormat="1" ht="15" customHeight="1">
      <c r="A48" s="68">
        <v>8</v>
      </c>
      <c r="B48" s="162">
        <v>6951</v>
      </c>
      <c r="C48" s="772" t="s">
        <v>61</v>
      </c>
      <c r="D48" s="177">
        <v>25</v>
      </c>
      <c r="E48" s="649">
        <v>599</v>
      </c>
      <c r="F48" s="100">
        <f>SUMIF(pro!$A:$A,$V:$V,pro!$N:$N)</f>
        <v>0</v>
      </c>
      <c r="G48" s="351"/>
      <c r="H48" s="100"/>
      <c r="I48" s="351">
        <f>SUMIF(data!$D:$D,$B48&amp;$D48,data!$J:$J)</f>
        <v>0</v>
      </c>
      <c r="J48" s="351">
        <f>SUMIF(data!$D:$D,$B48&amp;$D48,data!$K:$K)</f>
        <v>0</v>
      </c>
      <c r="K48" s="100">
        <f>SUMIF(AJOUT!$A:$A,'PRO-NASA'!$V:$V,AJOUT!$L:$L)</f>
        <v>0</v>
      </c>
      <c r="L48" s="100">
        <f>SUMIF(CBOUT!$A:$A,'PRO-NASA'!$V:$V,CBOUT!$G:$G)</f>
        <v>0</v>
      </c>
      <c r="M48" s="650">
        <f t="shared" ref="M48:M50" si="20">E48+F48+H48-I48-L48+G48-K48</f>
        <v>599</v>
      </c>
      <c r="N48" s="351">
        <f t="shared" ref="N48:N50" si="21">M48*D48</f>
        <v>14975</v>
      </c>
      <c r="O48" s="1161">
        <f t="shared" ref="O48:O50" si="22">SUM(X48:BB48)</f>
        <v>12175</v>
      </c>
      <c r="P48" s="665"/>
      <c r="Q48" s="665"/>
      <c r="R48" s="804">
        <f>O48/INTGRATE!$N$293</f>
        <v>1352.7777777777778</v>
      </c>
      <c r="S48" s="665">
        <f t="shared" ref="S48:S50" si="23">IF(R48=0,0,N48/R48)</f>
        <v>11.069815195071868</v>
      </c>
      <c r="T48" s="401"/>
      <c r="U48" s="136"/>
      <c r="V48" s="420" t="str">
        <f t="shared" si="14"/>
        <v>695125</v>
      </c>
      <c r="W48" s="432">
        <v>314001</v>
      </c>
      <c r="X48" s="68"/>
      <c r="Y48" s="68">
        <v>250</v>
      </c>
      <c r="Z48" s="390">
        <v>1025</v>
      </c>
      <c r="AA48" s="100">
        <v>1500</v>
      </c>
      <c r="AB48" s="100">
        <v>1175</v>
      </c>
      <c r="AC48" s="100">
        <v>3350</v>
      </c>
      <c r="AD48" s="1162">
        <v>1875</v>
      </c>
      <c r="AE48" s="100">
        <v>250</v>
      </c>
      <c r="AF48" s="100">
        <v>2750</v>
      </c>
      <c r="AG48" s="100"/>
      <c r="AH48" s="100"/>
      <c r="AI48" s="100"/>
      <c r="AJ48" s="100"/>
      <c r="AK48" s="100"/>
      <c r="AL48" s="100"/>
      <c r="AM48" s="100"/>
      <c r="AN48" s="100"/>
      <c r="AO48" s="100"/>
      <c r="AP48" s="100"/>
      <c r="AQ48" s="100"/>
      <c r="AR48" s="100"/>
      <c r="AS48" s="100"/>
      <c r="AT48" s="100"/>
      <c r="AU48" s="100"/>
      <c r="AV48" s="100"/>
      <c r="AW48" s="351"/>
      <c r="AX48" s="100"/>
      <c r="AY48" s="100"/>
      <c r="AZ48" s="100"/>
      <c r="BA48" s="100"/>
      <c r="BB48" s="100"/>
      <c r="BC48" s="275">
        <f t="shared" si="15"/>
        <v>12175</v>
      </c>
      <c r="BD48" s="58"/>
      <c r="BE48" s="58"/>
      <c r="BF48" s="438"/>
      <c r="BG48" s="58"/>
      <c r="BH48" s="58"/>
      <c r="BI48" s="58"/>
      <c r="BJ48" s="58"/>
      <c r="BK48" s="58"/>
      <c r="BL48" s="58"/>
      <c r="BM48" s="58"/>
      <c r="BN48" s="58"/>
      <c r="BO48" s="58"/>
      <c r="BP48" s="58"/>
      <c r="BQ48" s="58"/>
      <c r="BR48" s="58"/>
      <c r="BS48" s="58"/>
      <c r="BT48" s="58"/>
      <c r="BU48" s="58"/>
      <c r="BV48" s="58"/>
      <c r="BW48" s="58"/>
      <c r="BX48" s="58"/>
      <c r="BY48" s="58"/>
      <c r="BZ48" s="58"/>
      <c r="CA48" s="58"/>
      <c r="CB48" s="58"/>
      <c r="CC48" s="58"/>
      <c r="CD48" s="58"/>
      <c r="CE48" s="58"/>
      <c r="CF48" s="58"/>
      <c r="CG48" s="58"/>
      <c r="CH48" s="58"/>
      <c r="CI48" s="58"/>
      <c r="CJ48" s="58"/>
      <c r="CK48" s="58"/>
      <c r="CL48" s="58"/>
      <c r="CM48" s="58"/>
      <c r="CN48" s="58"/>
      <c r="CO48" s="58"/>
      <c r="CP48" s="58"/>
      <c r="CQ48" s="58"/>
      <c r="CR48" s="58"/>
      <c r="CS48" s="58"/>
      <c r="CT48" s="58"/>
      <c r="CU48" s="58"/>
      <c r="CV48" s="58"/>
      <c r="CW48" s="58"/>
      <c r="CX48" s="58"/>
      <c r="CY48" s="58"/>
      <c r="CZ48" s="58"/>
      <c r="DA48" s="58"/>
      <c r="DB48" s="58"/>
      <c r="DC48" s="58"/>
      <c r="DD48" s="58"/>
      <c r="DE48" s="58"/>
      <c r="DF48" s="58"/>
      <c r="DG48" s="58"/>
      <c r="DH48" s="58"/>
      <c r="DI48" s="58"/>
      <c r="DJ48" s="58"/>
      <c r="DK48" s="58"/>
      <c r="DL48" s="58"/>
      <c r="DM48" s="58"/>
      <c r="DN48" s="58"/>
      <c r="DO48" s="58"/>
      <c r="DP48" s="58"/>
      <c r="DQ48" s="58"/>
      <c r="DR48" s="58"/>
      <c r="DS48" s="58"/>
      <c r="DT48" s="58"/>
      <c r="DU48" s="58"/>
      <c r="DV48" s="58"/>
      <c r="DW48" s="58"/>
      <c r="DX48" s="58"/>
      <c r="DY48" s="58"/>
      <c r="DZ48" s="58"/>
      <c r="EA48" s="58"/>
      <c r="EB48" s="58"/>
      <c r="EC48" s="58"/>
      <c r="ED48" s="58"/>
      <c r="EE48" s="58"/>
      <c r="EF48" s="58"/>
      <c r="EG48" s="58"/>
      <c r="EH48" s="58"/>
      <c r="EI48" s="58"/>
      <c r="EJ48" s="58"/>
      <c r="EK48" s="58"/>
      <c r="EL48" s="58"/>
      <c r="EM48" s="58"/>
      <c r="EN48" s="58"/>
      <c r="EO48" s="58"/>
      <c r="EP48" s="58"/>
      <c r="EQ48" s="58"/>
      <c r="ER48" s="58"/>
      <c r="ES48" s="58"/>
    </row>
    <row r="49" spans="1:149" s="116" customFormat="1" ht="15" customHeight="1">
      <c r="A49" s="68">
        <v>9</v>
      </c>
      <c r="B49" s="162" t="s">
        <v>82</v>
      </c>
      <c r="C49" s="772" t="s">
        <v>61</v>
      </c>
      <c r="D49" s="177">
        <v>25</v>
      </c>
      <c r="E49" s="649">
        <v>11</v>
      </c>
      <c r="F49" s="100">
        <f>SUMIF(pro!$A:$A,$V:$V,pro!$N:$N)</f>
        <v>0</v>
      </c>
      <c r="G49" s="351"/>
      <c r="H49" s="100"/>
      <c r="I49" s="351">
        <f>SUMIF(data!$D:$D,$B49&amp;$D49,data!$J:$J)</f>
        <v>0</v>
      </c>
      <c r="J49" s="351">
        <f>SUMIF(data!$D:$D,$B49&amp;$D49,data!$K:$K)</f>
        <v>0</v>
      </c>
      <c r="K49" s="100">
        <f>SUMIF(AJOUT!$A:$A,'PRO-NASA'!$V:$V,AJOUT!$L:$L)</f>
        <v>0</v>
      </c>
      <c r="L49" s="100">
        <f>SUMIF(CBOUT!$A:$A,'PRO-NASA'!$V:$V,CBOUT!$G:$G)</f>
        <v>0</v>
      </c>
      <c r="M49" s="650">
        <f t="shared" ref="M49" si="24">E49+F49+H49-I49-L49+G49-K49</f>
        <v>11</v>
      </c>
      <c r="N49" s="351">
        <f t="shared" ref="N49" si="25">M49*D49</f>
        <v>275</v>
      </c>
      <c r="O49" s="1161">
        <f t="shared" ref="O49" si="26">SUM(X49:BB49)</f>
        <v>0</v>
      </c>
      <c r="P49" s="665"/>
      <c r="Q49" s="665"/>
      <c r="R49" s="804">
        <f>O49/INTGRATE!$N$293</f>
        <v>0</v>
      </c>
      <c r="S49" s="665">
        <f t="shared" ref="S49" si="27">IF(R49=0,0,N49/R49)</f>
        <v>0</v>
      </c>
      <c r="T49" s="592"/>
      <c r="U49" s="136"/>
      <c r="V49" s="420" t="str">
        <f t="shared" si="14"/>
        <v>6951X25</v>
      </c>
      <c r="W49" s="432"/>
      <c r="X49" s="68"/>
      <c r="Y49" s="68">
        <v>0</v>
      </c>
      <c r="Z49" s="390">
        <v>0</v>
      </c>
      <c r="AA49" s="100">
        <v>0</v>
      </c>
      <c r="AB49" s="100">
        <v>0</v>
      </c>
      <c r="AC49" s="100">
        <v>0</v>
      </c>
      <c r="AD49" s="1162">
        <v>0</v>
      </c>
      <c r="AE49" s="100">
        <v>0</v>
      </c>
      <c r="AF49" s="100">
        <v>0</v>
      </c>
      <c r="AG49" s="100"/>
      <c r="AH49" s="100"/>
      <c r="AI49" s="100"/>
      <c r="AJ49" s="100"/>
      <c r="AK49" s="100"/>
      <c r="AL49" s="100"/>
      <c r="AM49" s="100"/>
      <c r="AN49" s="100"/>
      <c r="AO49" s="100"/>
      <c r="AP49" s="100"/>
      <c r="AQ49" s="100"/>
      <c r="AR49" s="100"/>
      <c r="AS49" s="100"/>
      <c r="AT49" s="100"/>
      <c r="AU49" s="100"/>
      <c r="AV49" s="100"/>
      <c r="AW49" s="351"/>
      <c r="AX49" s="100"/>
      <c r="AY49" s="100"/>
      <c r="AZ49" s="100"/>
      <c r="BA49" s="100"/>
      <c r="BB49" s="100"/>
      <c r="BC49" s="275"/>
      <c r="BD49" s="58"/>
      <c r="BE49" s="58"/>
      <c r="BF49" s="438"/>
      <c r="BG49" s="58"/>
      <c r="BH49" s="58"/>
      <c r="BI49" s="58"/>
      <c r="BJ49" s="58"/>
      <c r="BK49" s="58"/>
      <c r="BL49" s="58"/>
      <c r="BM49" s="58"/>
      <c r="BN49" s="58"/>
      <c r="BO49" s="58"/>
      <c r="BP49" s="58"/>
      <c r="BQ49" s="58"/>
      <c r="BR49" s="58"/>
      <c r="BS49" s="58"/>
      <c r="BT49" s="58"/>
      <c r="BU49" s="58"/>
      <c r="BV49" s="58"/>
      <c r="BW49" s="58"/>
      <c r="BX49" s="58"/>
      <c r="BY49" s="58"/>
      <c r="BZ49" s="58"/>
      <c r="CA49" s="58"/>
      <c r="CB49" s="58"/>
      <c r="CC49" s="58"/>
      <c r="CD49" s="58"/>
      <c r="CE49" s="58"/>
      <c r="CF49" s="58"/>
      <c r="CG49" s="58"/>
      <c r="CH49" s="58"/>
      <c r="CI49" s="58"/>
      <c r="CJ49" s="58"/>
      <c r="CK49" s="58"/>
      <c r="CL49" s="58"/>
      <c r="CM49" s="58"/>
      <c r="CN49" s="58"/>
      <c r="CO49" s="58"/>
      <c r="CP49" s="58"/>
      <c r="CQ49" s="58"/>
      <c r="CR49" s="58"/>
      <c r="CS49" s="58"/>
      <c r="CT49" s="58"/>
      <c r="CU49" s="58"/>
      <c r="CV49" s="58"/>
      <c r="CW49" s="58"/>
      <c r="CX49" s="58"/>
      <c r="CY49" s="58"/>
      <c r="CZ49" s="58"/>
      <c r="DA49" s="58"/>
      <c r="DB49" s="58"/>
      <c r="DC49" s="58"/>
      <c r="DD49" s="58"/>
      <c r="DE49" s="58"/>
      <c r="DF49" s="58"/>
      <c r="DG49" s="58"/>
      <c r="DH49" s="58"/>
      <c r="DI49" s="58"/>
      <c r="DJ49" s="58"/>
      <c r="DK49" s="58"/>
      <c r="DL49" s="58"/>
      <c r="DM49" s="58"/>
      <c r="DN49" s="58"/>
      <c r="DO49" s="58"/>
      <c r="DP49" s="58"/>
      <c r="DQ49" s="58"/>
      <c r="DR49" s="58"/>
      <c r="DS49" s="58"/>
      <c r="DT49" s="58"/>
      <c r="DU49" s="58"/>
      <c r="DV49" s="58"/>
      <c r="DW49" s="58"/>
      <c r="DX49" s="58"/>
      <c r="DY49" s="58"/>
      <c r="DZ49" s="58"/>
      <c r="EA49" s="58"/>
      <c r="EB49" s="58"/>
      <c r="EC49" s="58"/>
      <c r="ED49" s="58"/>
      <c r="EE49" s="58"/>
      <c r="EF49" s="58"/>
      <c r="EG49" s="58"/>
      <c r="EH49" s="58"/>
      <c r="EI49" s="58"/>
      <c r="EJ49" s="58"/>
      <c r="EK49" s="58"/>
      <c r="EL49" s="58"/>
      <c r="EM49" s="58"/>
      <c r="EN49" s="58"/>
      <c r="EO49" s="58"/>
      <c r="EP49" s="58"/>
      <c r="EQ49" s="58"/>
      <c r="ER49" s="58"/>
      <c r="ES49" s="58"/>
    </row>
    <row r="50" spans="1:149" ht="15" customHeight="1">
      <c r="A50" s="68">
        <v>10</v>
      </c>
      <c r="B50" s="77">
        <v>6952</v>
      </c>
      <c r="C50" s="77" t="s">
        <v>64</v>
      </c>
      <c r="D50" s="67">
        <v>25</v>
      </c>
      <c r="E50" s="649">
        <v>555</v>
      </c>
      <c r="F50" s="100">
        <f>SUMIF(pro!$A:$A,$V:$V,pro!$N:$N)</f>
        <v>0</v>
      </c>
      <c r="G50" s="351"/>
      <c r="H50" s="100"/>
      <c r="I50" s="351">
        <f>SUMIF(data!$D:$D,$B50&amp;$D50,data!$J:$J)</f>
        <v>0</v>
      </c>
      <c r="J50" s="351">
        <f>SUMIF(data!$D:$D,$B50&amp;$D50,data!$K:$K)</f>
        <v>0</v>
      </c>
      <c r="K50" s="100">
        <f>SUMIF(AJOUT!$A:$A,'PRO-NASA'!$V:$V,AJOUT!$L:$L)</f>
        <v>0</v>
      </c>
      <c r="L50" s="100">
        <f>SUMIF(CBOUT!$A:$A,'PRO-NASA'!$V:$V,CBOUT!$G:$G)</f>
        <v>0</v>
      </c>
      <c r="M50" s="650">
        <f t="shared" si="20"/>
        <v>555</v>
      </c>
      <c r="N50" s="351">
        <f t="shared" si="21"/>
        <v>13875</v>
      </c>
      <c r="O50" s="1161">
        <f t="shared" si="22"/>
        <v>12250</v>
      </c>
      <c r="P50" s="665"/>
      <c r="Q50" s="665"/>
      <c r="R50" s="804">
        <f>O50/INTGRATE!$N$293</f>
        <v>1361.1111111111111</v>
      </c>
      <c r="S50" s="665">
        <f t="shared" si="23"/>
        <v>10.193877551020408</v>
      </c>
      <c r="T50" s="409"/>
      <c r="U50" s="136"/>
      <c r="V50" s="420" t="str">
        <f t="shared" si="14"/>
        <v>695225</v>
      </c>
      <c r="W50" s="432">
        <v>321001</v>
      </c>
      <c r="X50" s="68"/>
      <c r="Y50" s="68">
        <v>1750</v>
      </c>
      <c r="Z50" s="390">
        <v>875</v>
      </c>
      <c r="AA50" s="100">
        <v>2250</v>
      </c>
      <c r="AB50" s="100">
        <v>875</v>
      </c>
      <c r="AC50" s="100">
        <v>4000</v>
      </c>
      <c r="AD50" s="1162">
        <v>1000</v>
      </c>
      <c r="AE50" s="100">
        <v>1000</v>
      </c>
      <c r="AF50" s="100">
        <v>500</v>
      </c>
      <c r="AG50" s="100"/>
      <c r="AH50" s="100"/>
      <c r="AI50" s="100"/>
      <c r="AJ50" s="100"/>
      <c r="AK50" s="100"/>
      <c r="AL50" s="100"/>
      <c r="AM50" s="100"/>
      <c r="AN50" s="100"/>
      <c r="AO50" s="100"/>
      <c r="AP50" s="100"/>
      <c r="AQ50" s="100"/>
      <c r="AR50" s="100"/>
      <c r="AS50" s="100"/>
      <c r="AT50" s="100"/>
      <c r="AU50" s="100"/>
      <c r="AV50" s="100"/>
      <c r="AW50" s="351"/>
      <c r="AX50" s="100"/>
      <c r="AY50" s="100"/>
      <c r="AZ50" s="100"/>
      <c r="BA50" s="100"/>
      <c r="BB50" s="100"/>
      <c r="BC50" s="275">
        <f t="shared" si="15"/>
        <v>12250</v>
      </c>
    </row>
    <row r="51" spans="1:149" ht="15" customHeight="1">
      <c r="A51" s="68">
        <v>11</v>
      </c>
      <c r="B51" s="77">
        <v>6953</v>
      </c>
      <c r="C51" s="77" t="s">
        <v>64</v>
      </c>
      <c r="D51" s="67">
        <v>25</v>
      </c>
      <c r="E51" s="649">
        <v>387</v>
      </c>
      <c r="F51" s="100">
        <f>SUMIF(pro!$A:$A,$V:$V,pro!$N:$N)</f>
        <v>0</v>
      </c>
      <c r="G51" s="351"/>
      <c r="H51" s="100"/>
      <c r="I51" s="351">
        <f>SUMIF(data!$D:$D,$B51&amp;$D51,data!$J:$J)</f>
        <v>0</v>
      </c>
      <c r="J51" s="351">
        <f>SUMIF(data!$D:$D,$B51&amp;$D51,data!$K:$K)</f>
        <v>0</v>
      </c>
      <c r="K51" s="100">
        <f>SUMIF(AJOUT!$A:$A,'PRO-NASA'!$V:$V,AJOUT!$L:$L)</f>
        <v>0</v>
      </c>
      <c r="L51" s="100">
        <f>SUMIF(CBOUT!$A:$A,'PRO-NASA'!$V:$V,CBOUT!$G:$G)</f>
        <v>0</v>
      </c>
      <c r="M51" s="650">
        <f t="shared" si="16"/>
        <v>387</v>
      </c>
      <c r="N51" s="351">
        <f t="shared" si="17"/>
        <v>9675</v>
      </c>
      <c r="O51" s="1161">
        <f t="shared" si="18"/>
        <v>8675</v>
      </c>
      <c r="P51" s="665"/>
      <c r="Q51" s="665"/>
      <c r="R51" s="804">
        <f>O51/INTGRATE!$N$293</f>
        <v>963.88888888888891</v>
      </c>
      <c r="S51" s="665">
        <f t="shared" si="19"/>
        <v>10.037463976945245</v>
      </c>
      <c r="T51" s="619"/>
      <c r="U51" s="136"/>
      <c r="V51" s="420" t="str">
        <f t="shared" si="14"/>
        <v>695325</v>
      </c>
      <c r="W51" s="432">
        <v>332301</v>
      </c>
      <c r="X51" s="68"/>
      <c r="Y51" s="68">
        <v>1000</v>
      </c>
      <c r="Z51" s="390">
        <v>500</v>
      </c>
      <c r="AA51" s="100">
        <v>375</v>
      </c>
      <c r="AB51" s="100">
        <v>200</v>
      </c>
      <c r="AC51" s="100">
        <v>1000</v>
      </c>
      <c r="AD51" s="1162">
        <v>4600</v>
      </c>
      <c r="AE51" s="100">
        <v>1000</v>
      </c>
      <c r="AF51" s="100">
        <v>0</v>
      </c>
      <c r="AG51" s="100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351"/>
      <c r="AX51" s="100"/>
      <c r="AY51" s="100"/>
      <c r="AZ51" s="100"/>
      <c r="BA51" s="100"/>
      <c r="BB51" s="100"/>
      <c r="BC51" s="275">
        <f t="shared" si="15"/>
        <v>8675</v>
      </c>
    </row>
    <row r="52" spans="1:149" ht="15" customHeight="1">
      <c r="A52" s="68">
        <v>12</v>
      </c>
      <c r="B52" s="77">
        <v>6954</v>
      </c>
      <c r="C52" s="77" t="s">
        <v>64</v>
      </c>
      <c r="D52" s="67">
        <v>25</v>
      </c>
      <c r="E52" s="649">
        <v>0</v>
      </c>
      <c r="F52" s="100">
        <f>SUMIF(pro!$A:$A,$V:$V,pro!$N:$N)</f>
        <v>0</v>
      </c>
      <c r="G52" s="351"/>
      <c r="H52" s="100"/>
      <c r="I52" s="351">
        <f>SUMIF(data!$D:$D,$B52&amp;$D52,data!$J:$J)</f>
        <v>0</v>
      </c>
      <c r="J52" s="351">
        <f>SUMIF(data!$D:$D,$B52&amp;$D52,data!$K:$K)</f>
        <v>0</v>
      </c>
      <c r="K52" s="100">
        <f>SUMIF(AJOUT!$A:$A,'PRO-NASA'!$V:$V,AJOUT!$L:$L)</f>
        <v>0</v>
      </c>
      <c r="L52" s="100">
        <f>SUMIF(CBOUT!$A:$A,'PRO-NASA'!$V:$V,CBOUT!$G:$G)</f>
        <v>0</v>
      </c>
      <c r="M52" s="650">
        <f t="shared" si="16"/>
        <v>0</v>
      </c>
      <c r="N52" s="351">
        <f t="shared" si="17"/>
        <v>0</v>
      </c>
      <c r="O52" s="1161">
        <f t="shared" si="18"/>
        <v>0</v>
      </c>
      <c r="P52" s="665"/>
      <c r="Q52" s="665"/>
      <c r="R52" s="804">
        <f>O52/INTGRATE!$N$293</f>
        <v>0</v>
      </c>
      <c r="S52" s="665">
        <f t="shared" si="19"/>
        <v>0</v>
      </c>
      <c r="T52" s="510"/>
      <c r="U52" s="136"/>
      <c r="V52" s="420" t="str">
        <f t="shared" si="14"/>
        <v>695425</v>
      </c>
      <c r="W52" s="432">
        <v>332341</v>
      </c>
      <c r="X52" s="68"/>
      <c r="Y52" s="68">
        <v>0</v>
      </c>
      <c r="Z52" s="390">
        <v>0</v>
      </c>
      <c r="AA52" s="100">
        <v>0</v>
      </c>
      <c r="AB52" s="100">
        <v>0</v>
      </c>
      <c r="AC52" s="100">
        <v>0</v>
      </c>
      <c r="AD52" s="351">
        <v>0</v>
      </c>
      <c r="AE52" s="100">
        <v>0</v>
      </c>
      <c r="AF52" s="100">
        <v>0</v>
      </c>
      <c r="AG52" s="100"/>
      <c r="AH52" s="100"/>
      <c r="AI52" s="100"/>
      <c r="AJ52" s="100"/>
      <c r="AK52" s="100"/>
      <c r="AL52" s="100"/>
      <c r="AM52" s="100"/>
      <c r="AN52" s="100"/>
      <c r="AO52" s="100"/>
      <c r="AP52" s="100"/>
      <c r="AQ52" s="100"/>
      <c r="AR52" s="100"/>
      <c r="AS52" s="100"/>
      <c r="AT52" s="100"/>
      <c r="AU52" s="100"/>
      <c r="AV52" s="100"/>
      <c r="AW52" s="351"/>
      <c r="AX52" s="100"/>
      <c r="AY52" s="100"/>
      <c r="AZ52" s="100"/>
      <c r="BA52" s="100"/>
      <c r="BB52" s="100"/>
      <c r="BC52" s="275">
        <f t="shared" si="15"/>
        <v>0</v>
      </c>
    </row>
    <row r="53" spans="1:149" ht="15" customHeight="1">
      <c r="A53" s="68">
        <v>13</v>
      </c>
      <c r="B53" s="410">
        <v>6895</v>
      </c>
      <c r="C53" s="410" t="s">
        <v>64</v>
      </c>
      <c r="D53" s="410">
        <v>25</v>
      </c>
      <c r="E53" s="649">
        <v>614</v>
      </c>
      <c r="F53" s="100">
        <f>SUMIF(pro!$A:$A,$V:$V,pro!$N:$N)</f>
        <v>0</v>
      </c>
      <c r="G53" s="351"/>
      <c r="H53" s="100"/>
      <c r="I53" s="351">
        <f>SUMIF(data!$D:$D,$B53&amp;$D53,data!$J:$J)</f>
        <v>0</v>
      </c>
      <c r="J53" s="351">
        <f>SUMIF(data!$D:$D,$B53&amp;$D53,data!$K:$K)</f>
        <v>0</v>
      </c>
      <c r="K53" s="100">
        <f>SUMIF(AJOUT!$A:$A,'PRO-NASA'!$V:$V,AJOUT!$L:$L)</f>
        <v>0</v>
      </c>
      <c r="L53" s="100">
        <f>SUMIF(CBOUT!$A:$A,'PRO-NASA'!$V:$V,CBOUT!$G:$G)</f>
        <v>0</v>
      </c>
      <c r="M53" s="650">
        <f t="shared" si="16"/>
        <v>614</v>
      </c>
      <c r="N53" s="351">
        <f t="shared" si="17"/>
        <v>15350</v>
      </c>
      <c r="O53" s="1161">
        <f t="shared" si="18"/>
        <v>10675</v>
      </c>
      <c r="P53" s="665"/>
      <c r="Q53" s="665"/>
      <c r="R53" s="804">
        <f>O53/INTGRATE!$N$293</f>
        <v>1186.1111111111111</v>
      </c>
      <c r="S53" s="665">
        <f t="shared" si="19"/>
        <v>12.941451990632318</v>
      </c>
      <c r="T53" s="627"/>
      <c r="U53" s="613"/>
      <c r="V53" s="420" t="str">
        <f t="shared" si="14"/>
        <v>689525</v>
      </c>
      <c r="W53" s="432">
        <v>423700</v>
      </c>
      <c r="X53" s="68"/>
      <c r="Y53" s="68">
        <v>675</v>
      </c>
      <c r="Z53" s="390">
        <v>500</v>
      </c>
      <c r="AA53" s="100">
        <v>6750</v>
      </c>
      <c r="AB53" s="100">
        <v>0</v>
      </c>
      <c r="AC53" s="100">
        <v>250</v>
      </c>
      <c r="AD53" s="351">
        <v>750</v>
      </c>
      <c r="AE53" s="100">
        <v>0</v>
      </c>
      <c r="AF53" s="100">
        <v>1750</v>
      </c>
      <c r="AG53" s="100"/>
      <c r="AH53" s="100"/>
      <c r="AI53" s="100"/>
      <c r="AJ53" s="100"/>
      <c r="AK53" s="100"/>
      <c r="AL53" s="100"/>
      <c r="AM53" s="100"/>
      <c r="AN53" s="100"/>
      <c r="AO53" s="100"/>
      <c r="AP53" s="100"/>
      <c r="AQ53" s="100"/>
      <c r="AR53" s="100"/>
      <c r="AS53" s="100"/>
      <c r="AT53" s="100"/>
      <c r="AU53" s="100"/>
      <c r="AV53" s="100"/>
      <c r="AW53" s="351"/>
      <c r="AX53" s="100"/>
      <c r="AY53" s="100"/>
      <c r="AZ53" s="100"/>
      <c r="BA53" s="100"/>
      <c r="BB53" s="100"/>
      <c r="BC53" s="275">
        <f t="shared" si="15"/>
        <v>10675</v>
      </c>
    </row>
    <row r="54" spans="1:149" ht="15" customHeight="1">
      <c r="A54" s="68">
        <v>14</v>
      </c>
      <c r="B54" s="410">
        <v>6884</v>
      </c>
      <c r="C54" s="410" t="s">
        <v>79</v>
      </c>
      <c r="D54" s="410">
        <v>25</v>
      </c>
      <c r="E54" s="649">
        <v>152</v>
      </c>
      <c r="F54" s="100">
        <f>SUMIF(pro!$A:$A,$V:$V,pro!$N:$N)</f>
        <v>0</v>
      </c>
      <c r="G54" s="351"/>
      <c r="H54" s="100"/>
      <c r="I54" s="351">
        <f>SUMIF(data!$D:$D,$B54&amp;$D54,data!$J:$J)</f>
        <v>0</v>
      </c>
      <c r="J54" s="351">
        <f>SUMIF(data!$D:$D,$B54&amp;$D54,data!$K:$K)</f>
        <v>0</v>
      </c>
      <c r="K54" s="100">
        <f>SUMIF(AJOUT!$A:$A,'PRO-NASA'!$V:$V,AJOUT!$L:$L)</f>
        <v>0</v>
      </c>
      <c r="L54" s="100">
        <f>SUMIF(CBOUT!$A:$A,'PRO-NASA'!$V:$V,CBOUT!$G:$G)</f>
        <v>0</v>
      </c>
      <c r="M54" s="650">
        <f>E54+F54+H54-I54-L54+G54-K54</f>
        <v>152</v>
      </c>
      <c r="N54" s="351">
        <f>M54*D54</f>
        <v>3800</v>
      </c>
      <c r="O54" s="1161">
        <f>SUM(X54:BB54)</f>
        <v>875</v>
      </c>
      <c r="P54" s="665"/>
      <c r="Q54" s="665"/>
      <c r="R54" s="804">
        <f>O54/INTGRATE!$N$293</f>
        <v>97.222222222222229</v>
      </c>
      <c r="S54" s="665">
        <f>IF(R54=0,0,N54/R54)</f>
        <v>39.085714285714282</v>
      </c>
      <c r="T54" s="627"/>
      <c r="U54" s="613"/>
      <c r="V54" s="420" t="str">
        <f t="shared" si="14"/>
        <v>688425</v>
      </c>
      <c r="W54" s="432">
        <v>433700</v>
      </c>
      <c r="X54" s="68"/>
      <c r="Y54" s="68">
        <v>0</v>
      </c>
      <c r="Z54" s="390">
        <v>0</v>
      </c>
      <c r="AA54" s="100">
        <v>0</v>
      </c>
      <c r="AB54" s="100">
        <v>0</v>
      </c>
      <c r="AC54" s="100">
        <v>250</v>
      </c>
      <c r="AD54" s="351">
        <v>500</v>
      </c>
      <c r="AE54" s="100">
        <v>0</v>
      </c>
      <c r="AF54" s="100">
        <v>125</v>
      </c>
      <c r="AG54" s="100"/>
      <c r="AH54" s="100"/>
      <c r="AI54" s="100"/>
      <c r="AJ54" s="100"/>
      <c r="AK54" s="100"/>
      <c r="AL54" s="100"/>
      <c r="AM54" s="100"/>
      <c r="AN54" s="100"/>
      <c r="AO54" s="100"/>
      <c r="AP54" s="100"/>
      <c r="AQ54" s="100"/>
      <c r="AR54" s="100"/>
      <c r="AS54" s="100"/>
      <c r="AT54" s="100"/>
      <c r="AU54" s="100"/>
      <c r="AV54" s="100"/>
      <c r="AW54" s="351"/>
      <c r="AX54" s="100"/>
      <c r="AY54" s="100"/>
      <c r="AZ54" s="100"/>
      <c r="BA54" s="100"/>
      <c r="BB54" s="100"/>
      <c r="BC54" s="275">
        <f t="shared" si="15"/>
        <v>875</v>
      </c>
    </row>
    <row r="55" spans="1:149" ht="15" customHeight="1">
      <c r="A55" s="68">
        <v>15</v>
      </c>
      <c r="B55" s="410">
        <v>6984</v>
      </c>
      <c r="C55" s="410" t="s">
        <v>64</v>
      </c>
      <c r="D55" s="410">
        <v>25</v>
      </c>
      <c r="E55" s="649">
        <v>0</v>
      </c>
      <c r="F55" s="100">
        <f>SUMIF(pro!$A:$A,$V:$V,pro!$N:$N)</f>
        <v>0</v>
      </c>
      <c r="G55" s="351"/>
      <c r="H55" s="100"/>
      <c r="I55" s="351">
        <f>SUMIF(data!$D:$D,$B55&amp;$D55,data!$J:$J)</f>
        <v>0</v>
      </c>
      <c r="J55" s="351">
        <f>SUMIF(data!$D:$D,$B55&amp;$D55,data!$K:$K)</f>
        <v>0</v>
      </c>
      <c r="K55" s="100">
        <f>SUMIF(AJOUT!$A:$A,'PRO-NASA'!$V:$V,AJOUT!$L:$L)</f>
        <v>0</v>
      </c>
      <c r="L55" s="100">
        <f>SUMIF(CBOUT!$A:$A,BRAN!$V:$V,CBOUT!$G:$G)</f>
        <v>0</v>
      </c>
      <c r="M55" s="650">
        <f>E55+F55+H55-I55-L55+G55-K55</f>
        <v>0</v>
      </c>
      <c r="N55" s="351">
        <f>M55*D55</f>
        <v>0</v>
      </c>
      <c r="O55" s="1161">
        <f>SUM(X55:BB55)</f>
        <v>0</v>
      </c>
      <c r="P55" s="665"/>
      <c r="Q55" s="665"/>
      <c r="R55" s="804">
        <f>O55/INTGRATE!$N$293</f>
        <v>0</v>
      </c>
      <c r="S55" s="665">
        <f>IF(R55=0,0,N55/R55)</f>
        <v>0</v>
      </c>
      <c r="T55" s="401"/>
      <c r="U55" s="136"/>
      <c r="V55" s="420" t="str">
        <f t="shared" si="14"/>
        <v>698425</v>
      </c>
      <c r="W55" s="432">
        <v>433701</v>
      </c>
      <c r="X55" s="68"/>
      <c r="Y55" s="68">
        <v>0</v>
      </c>
      <c r="Z55" s="390">
        <v>0</v>
      </c>
      <c r="AA55" s="100">
        <v>0</v>
      </c>
      <c r="AB55" s="100">
        <v>0</v>
      </c>
      <c r="AC55" s="100">
        <v>0</v>
      </c>
      <c r="AD55" s="351">
        <v>0</v>
      </c>
      <c r="AE55" s="100">
        <v>0</v>
      </c>
      <c r="AF55" s="100">
        <v>0</v>
      </c>
      <c r="AG55" s="100"/>
      <c r="AH55" s="100"/>
      <c r="AI55" s="100"/>
      <c r="AJ55" s="100"/>
      <c r="AK55" s="100"/>
      <c r="AL55" s="100"/>
      <c r="AM55" s="100"/>
      <c r="AN55" s="100"/>
      <c r="AO55" s="100"/>
      <c r="AP55" s="100"/>
      <c r="AQ55" s="351"/>
      <c r="AR55" s="100"/>
      <c r="AS55" s="100"/>
      <c r="AT55" s="100"/>
      <c r="AU55" s="100"/>
      <c r="AV55" s="100"/>
      <c r="AW55" s="351"/>
      <c r="AX55" s="100"/>
      <c r="AY55" s="100"/>
      <c r="AZ55" s="100"/>
      <c r="BA55" s="100"/>
      <c r="BB55" s="100"/>
      <c r="BC55" s="275">
        <f t="shared" si="15"/>
        <v>0</v>
      </c>
    </row>
    <row r="56" spans="1:149" ht="15" customHeight="1">
      <c r="A56" s="68">
        <v>16</v>
      </c>
      <c r="B56" s="410">
        <v>6995</v>
      </c>
      <c r="C56" s="410" t="s">
        <v>64</v>
      </c>
      <c r="D56" s="410">
        <v>25</v>
      </c>
      <c r="E56" s="649">
        <v>539</v>
      </c>
      <c r="F56" s="100">
        <f>SUMIF(pro!$A:$A,$V:$V,pro!$N:$N)</f>
        <v>0</v>
      </c>
      <c r="G56" s="351"/>
      <c r="H56" s="100"/>
      <c r="I56" s="351">
        <f>SUMIF(data!$D:$D,$B56&amp;$D56,data!$J:$J)</f>
        <v>0</v>
      </c>
      <c r="J56" s="351">
        <f>SUMIF(data!$D:$D,$B56&amp;$D56,data!$K:$K)</f>
        <v>0</v>
      </c>
      <c r="K56" s="100">
        <f>SUMIF(AJOUT!$A:$A,'PRO-NASA'!$V:$V,AJOUT!$L:$L)</f>
        <v>0</v>
      </c>
      <c r="L56" s="100">
        <v>0</v>
      </c>
      <c r="M56" s="650">
        <f t="shared" si="16"/>
        <v>539</v>
      </c>
      <c r="N56" s="351">
        <f t="shared" si="17"/>
        <v>13475</v>
      </c>
      <c r="O56" s="1161">
        <f t="shared" si="18"/>
        <v>12450</v>
      </c>
      <c r="P56" s="665"/>
      <c r="Q56" s="665"/>
      <c r="R56" s="804">
        <f>O56/INTGRATE!$N$293</f>
        <v>1383.3333333333333</v>
      </c>
      <c r="S56" s="665">
        <f t="shared" si="19"/>
        <v>9.740963855421688</v>
      </c>
      <c r="T56" s="627"/>
      <c r="U56" s="613"/>
      <c r="V56" s="420" t="str">
        <f t="shared" si="14"/>
        <v>699525</v>
      </c>
      <c r="W56" s="432">
        <v>423701</v>
      </c>
      <c r="X56" s="68"/>
      <c r="Y56" s="68">
        <v>1250</v>
      </c>
      <c r="Z56" s="390">
        <v>125</v>
      </c>
      <c r="AA56" s="100">
        <v>500</v>
      </c>
      <c r="AB56" s="100">
        <v>1750</v>
      </c>
      <c r="AC56" s="100">
        <v>1750</v>
      </c>
      <c r="AD56" s="351">
        <v>5500</v>
      </c>
      <c r="AE56" s="100">
        <v>250</v>
      </c>
      <c r="AF56" s="100">
        <v>1325</v>
      </c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351"/>
      <c r="AX56" s="100"/>
      <c r="AY56" s="100"/>
      <c r="AZ56" s="100"/>
      <c r="BA56" s="100"/>
      <c r="BB56" s="100"/>
      <c r="BC56" s="275">
        <f t="shared" si="15"/>
        <v>12450</v>
      </c>
    </row>
    <row r="57" spans="1:149" ht="15" customHeight="1">
      <c r="A57" s="68">
        <v>17</v>
      </c>
      <c r="B57" s="448">
        <v>6991</v>
      </c>
      <c r="C57" s="448" t="s">
        <v>64</v>
      </c>
      <c r="D57" s="448">
        <v>25</v>
      </c>
      <c r="E57" s="649">
        <v>85</v>
      </c>
      <c r="F57" s="100">
        <f>SUMIF(pro!$A:$A,$V:$V,pro!$N:$N)</f>
        <v>0</v>
      </c>
      <c r="G57" s="351"/>
      <c r="H57" s="100"/>
      <c r="I57" s="351">
        <f>SUMIF(data!$D:$D,$B57&amp;$D57,data!$J:$J)</f>
        <v>0</v>
      </c>
      <c r="J57" s="351">
        <f>SUMIF(data!$D:$D,$B57&amp;$D57,data!$K:$K)</f>
        <v>0</v>
      </c>
      <c r="K57" s="100">
        <f>SUMIF(AJOUT!$A:$A,'PRO-NASA'!$V:$V,AJOUT!$L:$L)</f>
        <v>0</v>
      </c>
      <c r="L57" s="100">
        <f>SUMIF(CBOUT!$A:$A,'PRO-NASA'!$V:$V,CBOUT!$G:$G)</f>
        <v>0</v>
      </c>
      <c r="M57" s="650">
        <f t="shared" si="16"/>
        <v>85</v>
      </c>
      <c r="N57" s="351">
        <f t="shared" si="17"/>
        <v>2125</v>
      </c>
      <c r="O57" s="1161">
        <f t="shared" si="18"/>
        <v>3375</v>
      </c>
      <c r="P57" s="665"/>
      <c r="Q57" s="665"/>
      <c r="R57" s="804">
        <f>O57/INTGRATE!$N$293</f>
        <v>375</v>
      </c>
      <c r="S57" s="665">
        <f t="shared" si="19"/>
        <v>5.666666666666667</v>
      </c>
      <c r="T57" s="592"/>
      <c r="U57" s="613"/>
      <c r="V57" s="420" t="str">
        <f t="shared" si="14"/>
        <v>699125</v>
      </c>
      <c r="W57" s="432">
        <v>513021</v>
      </c>
      <c r="X57" s="666"/>
      <c r="Y57" s="666">
        <v>1375</v>
      </c>
      <c r="Z57" s="667">
        <v>500</v>
      </c>
      <c r="AA57" s="157">
        <v>250</v>
      </c>
      <c r="AB57" s="157">
        <v>0</v>
      </c>
      <c r="AC57" s="157">
        <v>625</v>
      </c>
      <c r="AD57" s="1162">
        <v>0</v>
      </c>
      <c r="AE57" s="157">
        <v>500</v>
      </c>
      <c r="AF57" s="157">
        <v>125</v>
      </c>
      <c r="AG57" s="157"/>
      <c r="AH57" s="157"/>
      <c r="AI57" s="157"/>
      <c r="AJ57" s="157"/>
      <c r="AK57" s="157"/>
      <c r="AL57" s="157"/>
      <c r="AM57" s="157"/>
      <c r="AN57" s="157"/>
      <c r="AO57" s="157"/>
      <c r="AP57" s="157"/>
      <c r="AQ57" s="157"/>
      <c r="AR57" s="157"/>
      <c r="AS57" s="157"/>
      <c r="AT57" s="157"/>
      <c r="AU57" s="157"/>
      <c r="AV57" s="157"/>
      <c r="AW57" s="1162"/>
      <c r="AX57" s="157"/>
      <c r="AY57" s="157"/>
      <c r="AZ57" s="157"/>
      <c r="BA57" s="157"/>
      <c r="BB57" s="157"/>
      <c r="BC57" s="668">
        <f t="shared" si="15"/>
        <v>3375</v>
      </c>
    </row>
    <row r="58" spans="1:149" s="59" customFormat="1" ht="15" customHeight="1">
      <c r="A58" s="1114" t="s">
        <v>71</v>
      </c>
      <c r="B58" s="1115"/>
      <c r="C58" s="1115"/>
      <c r="D58" s="1116"/>
      <c r="E58" s="113"/>
      <c r="F58" s="113"/>
      <c r="G58" s="113"/>
      <c r="H58" s="113"/>
      <c r="I58" s="113"/>
      <c r="J58" s="113"/>
      <c r="K58" s="113"/>
      <c r="L58" s="113"/>
      <c r="M58" s="479"/>
      <c r="N58" s="113"/>
      <c r="O58" s="113"/>
      <c r="P58" s="113"/>
      <c r="Q58" s="113"/>
      <c r="R58" s="113"/>
      <c r="S58" s="114"/>
      <c r="T58" s="462"/>
      <c r="U58" s="155"/>
      <c r="V58" s="420"/>
      <c r="W58" s="432"/>
      <c r="X58" s="669">
        <f t="shared" ref="X58:BC58" si="28">SUM(X41:X57)</f>
        <v>0</v>
      </c>
      <c r="Y58" s="670">
        <f t="shared" si="28"/>
        <v>9175</v>
      </c>
      <c r="Z58" s="670">
        <f t="shared" si="28"/>
        <v>3525</v>
      </c>
      <c r="AA58" s="670">
        <f t="shared" si="28"/>
        <v>16650</v>
      </c>
      <c r="AB58" s="670">
        <f t="shared" si="28"/>
        <v>11125</v>
      </c>
      <c r="AC58" s="670">
        <f t="shared" si="28"/>
        <v>14700</v>
      </c>
      <c r="AD58" s="670">
        <f t="shared" si="28"/>
        <v>14225</v>
      </c>
      <c r="AE58" s="670">
        <f t="shared" si="28"/>
        <v>3000</v>
      </c>
      <c r="AF58" s="670">
        <f t="shared" si="28"/>
        <v>12950</v>
      </c>
      <c r="AG58" s="670">
        <f t="shared" si="28"/>
        <v>0</v>
      </c>
      <c r="AH58" s="670">
        <f t="shared" si="28"/>
        <v>0</v>
      </c>
      <c r="AI58" s="670">
        <f t="shared" si="28"/>
        <v>0</v>
      </c>
      <c r="AJ58" s="670">
        <f t="shared" si="28"/>
        <v>0</v>
      </c>
      <c r="AK58" s="670">
        <f t="shared" si="28"/>
        <v>0</v>
      </c>
      <c r="AL58" s="670">
        <f t="shared" si="28"/>
        <v>0</v>
      </c>
      <c r="AM58" s="670">
        <f t="shared" si="28"/>
        <v>0</v>
      </c>
      <c r="AN58" s="670">
        <f>SUM(AN41:AN57)</f>
        <v>0</v>
      </c>
      <c r="AO58" s="670">
        <f t="shared" si="28"/>
        <v>0</v>
      </c>
      <c r="AP58" s="670">
        <f t="shared" si="28"/>
        <v>0</v>
      </c>
      <c r="AQ58" s="670">
        <f t="shared" si="28"/>
        <v>0</v>
      </c>
      <c r="AR58" s="670">
        <f t="shared" si="28"/>
        <v>0</v>
      </c>
      <c r="AS58" s="670">
        <f t="shared" si="28"/>
        <v>0</v>
      </c>
      <c r="AT58" s="670">
        <f t="shared" si="28"/>
        <v>0</v>
      </c>
      <c r="AU58" s="670">
        <f t="shared" si="28"/>
        <v>0</v>
      </c>
      <c r="AV58" s="670">
        <f t="shared" si="28"/>
        <v>0</v>
      </c>
      <c r="AW58" s="670">
        <f t="shared" si="28"/>
        <v>0</v>
      </c>
      <c r="AX58" s="670">
        <f t="shared" si="28"/>
        <v>0</v>
      </c>
      <c r="AY58" s="670">
        <f t="shared" si="28"/>
        <v>0</v>
      </c>
      <c r="AZ58" s="670">
        <f t="shared" si="28"/>
        <v>0</v>
      </c>
      <c r="BA58" s="670">
        <f t="shared" si="28"/>
        <v>0</v>
      </c>
      <c r="BB58" s="670">
        <f t="shared" si="28"/>
        <v>0</v>
      </c>
      <c r="BC58" s="670">
        <f t="shared" si="28"/>
        <v>85350</v>
      </c>
      <c r="BF58" s="439"/>
    </row>
    <row r="59" spans="1:149" s="59" customFormat="1" ht="15" customHeight="1">
      <c r="A59" s="1114" t="s">
        <v>72</v>
      </c>
      <c r="B59" s="1115"/>
      <c r="C59" s="1115"/>
      <c r="D59" s="1116"/>
      <c r="E59" s="113">
        <f t="shared" ref="E59:S59" si="29">SUM(E41:E57)</f>
        <v>4333</v>
      </c>
      <c r="F59" s="113">
        <f t="shared" si="29"/>
        <v>0</v>
      </c>
      <c r="G59" s="113">
        <f t="shared" si="29"/>
        <v>0</v>
      </c>
      <c r="H59" s="113">
        <f t="shared" si="29"/>
        <v>0</v>
      </c>
      <c r="I59" s="113">
        <f t="shared" si="29"/>
        <v>0</v>
      </c>
      <c r="J59" s="113">
        <f t="shared" si="29"/>
        <v>0</v>
      </c>
      <c r="K59" s="113">
        <f t="shared" si="29"/>
        <v>0</v>
      </c>
      <c r="L59" s="113">
        <f t="shared" si="29"/>
        <v>0</v>
      </c>
      <c r="M59" s="113">
        <f t="shared" si="29"/>
        <v>4333</v>
      </c>
      <c r="N59" s="113">
        <f t="shared" si="29"/>
        <v>108325</v>
      </c>
      <c r="O59" s="113">
        <f t="shared" si="29"/>
        <v>85350</v>
      </c>
      <c r="P59" s="113">
        <f t="shared" si="29"/>
        <v>0</v>
      </c>
      <c r="Q59" s="113">
        <f t="shared" si="29"/>
        <v>0</v>
      </c>
      <c r="R59" s="113">
        <f t="shared" si="29"/>
        <v>9483.3333333333339</v>
      </c>
      <c r="S59" s="113">
        <f t="shared" si="29"/>
        <v>124.17587201365929</v>
      </c>
      <c r="T59" s="1105"/>
      <c r="U59" s="155">
        <f>SUM(U43:U43,U46:U52)*25</f>
        <v>0</v>
      </c>
      <c r="V59" s="420"/>
      <c r="W59" s="432"/>
      <c r="X59" s="112"/>
      <c r="Y59" s="112"/>
      <c r="Z59" s="112"/>
      <c r="AA59" s="112"/>
      <c r="AB59" s="112"/>
      <c r="AC59" s="112"/>
      <c r="AD59" s="112"/>
      <c r="AE59" s="112"/>
      <c r="AF59" s="112"/>
      <c r="AG59" s="112"/>
      <c r="AH59" s="112"/>
      <c r="AI59" s="75"/>
      <c r="AJ59" s="75"/>
      <c r="AK59" s="75"/>
      <c r="AL59" s="75"/>
      <c r="AM59" s="75"/>
      <c r="AN59" s="75"/>
      <c r="AO59" s="75"/>
      <c r="AP59" s="75"/>
      <c r="AQ59" s="75"/>
      <c r="AR59" s="75"/>
      <c r="AS59" s="75"/>
      <c r="AT59" s="75"/>
      <c r="AU59" s="75"/>
      <c r="AV59" s="75"/>
      <c r="AW59" s="75"/>
      <c r="AX59" s="75"/>
      <c r="AY59" s="75"/>
      <c r="BA59" s="112"/>
      <c r="BB59" s="112"/>
      <c r="BC59" s="329"/>
      <c r="BF59" s="439"/>
    </row>
    <row r="60" spans="1:149" s="59" customFormat="1" ht="15" customHeight="1">
      <c r="A60" s="1114" t="s">
        <v>73</v>
      </c>
      <c r="B60" s="1115"/>
      <c r="C60" s="1115"/>
      <c r="D60" s="1116"/>
      <c r="E60" s="113"/>
      <c r="F60" s="113"/>
      <c r="G60" s="113"/>
      <c r="H60" s="113"/>
      <c r="I60" s="113"/>
      <c r="J60" s="113"/>
      <c r="K60" s="113"/>
      <c r="L60" s="113"/>
      <c r="M60" s="479"/>
      <c r="N60" s="113"/>
      <c r="O60" s="113"/>
      <c r="P60" s="113"/>
      <c r="Q60" s="113"/>
      <c r="R60" s="113"/>
      <c r="S60" s="113"/>
      <c r="T60" s="1106"/>
      <c r="U60" s="155"/>
      <c r="V60" s="422"/>
      <c r="W60" s="432"/>
      <c r="X60" s="75"/>
      <c r="Y60" s="75"/>
      <c r="Z60" s="75"/>
      <c r="AA60" s="75"/>
      <c r="AB60" s="75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BA60" s="75"/>
      <c r="BB60" s="75"/>
      <c r="BC60" s="440"/>
      <c r="BF60" s="439"/>
    </row>
    <row r="61" spans="1:149" s="59" customFormat="1" ht="15" customHeight="1">
      <c r="A61" s="872" t="s">
        <v>74</v>
      </c>
      <c r="B61" s="873"/>
      <c r="C61" s="873"/>
      <c r="D61" s="874"/>
      <c r="E61" s="113"/>
      <c r="F61" s="113">
        <f>+F42</f>
        <v>0</v>
      </c>
      <c r="G61" s="113"/>
      <c r="H61" s="113"/>
      <c r="I61" s="113"/>
      <c r="J61" s="113"/>
      <c r="K61" s="113"/>
      <c r="L61" s="113"/>
      <c r="M61" s="479"/>
      <c r="N61" s="113"/>
      <c r="O61" s="188"/>
      <c r="P61" s="188"/>
      <c r="Q61" s="188"/>
      <c r="R61" s="188"/>
      <c r="S61" s="188"/>
      <c r="T61" s="1106"/>
      <c r="U61" s="155"/>
      <c r="V61" s="422"/>
      <c r="W61" s="432"/>
      <c r="X61" s="75"/>
      <c r="Y61" s="75"/>
      <c r="Z61" s="75"/>
      <c r="AA61" s="75"/>
      <c r="AB61" s="75"/>
      <c r="AC61" s="75"/>
      <c r="AD61" s="75"/>
      <c r="AE61" s="75"/>
      <c r="AF61" s="75"/>
      <c r="AG61" s="75"/>
      <c r="AH61" s="75"/>
      <c r="AI61" s="75"/>
      <c r="AJ61" s="75"/>
      <c r="AK61" s="75"/>
      <c r="AL61" s="75"/>
      <c r="AM61" s="75"/>
      <c r="AN61" s="75"/>
      <c r="AO61" s="75"/>
      <c r="AP61" s="75"/>
      <c r="AQ61" s="75"/>
      <c r="AR61" s="75"/>
      <c r="AS61" s="75"/>
      <c r="AT61" s="75"/>
      <c r="AU61" s="75"/>
      <c r="AV61" s="75"/>
      <c r="AW61" s="75"/>
      <c r="AX61" s="75"/>
      <c r="AY61" s="75"/>
      <c r="BA61" s="75"/>
      <c r="BB61" s="75"/>
      <c r="BC61" s="440"/>
      <c r="BF61" s="439"/>
    </row>
    <row r="62" spans="1:149" s="129" customFormat="1" ht="15" customHeight="1">
      <c r="A62" s="1119" t="s">
        <v>75</v>
      </c>
      <c r="B62" s="1120"/>
      <c r="C62" s="1120"/>
      <c r="D62" s="1121"/>
      <c r="E62" s="73">
        <f>SUM(E58:E60)</f>
        <v>4333</v>
      </c>
      <c r="F62" s="73">
        <f>SUM(F58:F60)-F61</f>
        <v>0</v>
      </c>
      <c r="G62" s="73">
        <f>SUM(G58:G60)</f>
        <v>0</v>
      </c>
      <c r="H62" s="73">
        <f t="shared" ref="H62:N62" si="30">SUM(H58:H60)</f>
        <v>0</v>
      </c>
      <c r="I62" s="73">
        <f>SUM(I58:I60)</f>
        <v>0</v>
      </c>
      <c r="J62" s="73">
        <f t="shared" si="30"/>
        <v>0</v>
      </c>
      <c r="K62" s="73">
        <f>SUM(K58:K60)</f>
        <v>0</v>
      </c>
      <c r="L62" s="73">
        <f t="shared" si="30"/>
        <v>0</v>
      </c>
      <c r="M62" s="478">
        <f t="shared" si="30"/>
        <v>4333</v>
      </c>
      <c r="N62" s="73">
        <f t="shared" si="30"/>
        <v>108325</v>
      </c>
      <c r="O62" s="1112">
        <f>SUM(O43:O57)</f>
        <v>85350</v>
      </c>
      <c r="P62" s="186"/>
      <c r="Q62" s="186"/>
      <c r="R62" s="1095">
        <f>SUM(R43:R57)</f>
        <v>9483.3333333333339</v>
      </c>
      <c r="S62" s="1095" t="s">
        <v>83</v>
      </c>
      <c r="T62" s="1117"/>
      <c r="U62" s="146">
        <f>SUM(U43:U52)</f>
        <v>0</v>
      </c>
      <c r="V62" s="422"/>
      <c r="W62" s="432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441"/>
      <c r="BD62" s="354"/>
      <c r="BE62" s="354"/>
      <c r="BF62" s="439"/>
      <c r="BG62" s="354"/>
      <c r="BH62" s="354"/>
      <c r="BI62" s="354"/>
      <c r="BJ62" s="354"/>
      <c r="BK62" s="354"/>
      <c r="BL62" s="354"/>
      <c r="BM62" s="354"/>
      <c r="BN62" s="354"/>
      <c r="BO62" s="354"/>
      <c r="BP62" s="354"/>
      <c r="BQ62" s="354"/>
      <c r="BR62" s="354"/>
      <c r="BS62" s="354"/>
      <c r="BT62" s="354"/>
      <c r="BU62" s="354"/>
      <c r="BV62" s="354"/>
      <c r="BW62" s="354"/>
      <c r="BX62" s="354"/>
      <c r="BY62" s="354"/>
      <c r="BZ62" s="354"/>
      <c r="CA62" s="354"/>
      <c r="CB62" s="354"/>
      <c r="CC62" s="354"/>
      <c r="CD62" s="354"/>
      <c r="CE62" s="354"/>
      <c r="CF62" s="354"/>
      <c r="CG62" s="354"/>
      <c r="CH62" s="354"/>
      <c r="CI62" s="354"/>
      <c r="CJ62" s="354"/>
      <c r="CK62" s="354"/>
      <c r="CL62" s="354"/>
      <c r="CM62" s="354"/>
      <c r="CN62" s="354"/>
      <c r="CO62" s="354"/>
      <c r="CP62" s="354"/>
      <c r="CQ62" s="354"/>
      <c r="CR62" s="354"/>
      <c r="CS62" s="354"/>
      <c r="CT62" s="354"/>
      <c r="CU62" s="354"/>
      <c r="CV62" s="354"/>
      <c r="CW62" s="354"/>
      <c r="CX62" s="354"/>
      <c r="CY62" s="354"/>
      <c r="CZ62" s="354"/>
      <c r="DA62" s="354"/>
      <c r="DB62" s="354"/>
      <c r="DC62" s="354"/>
      <c r="DD62" s="354"/>
      <c r="DE62" s="354"/>
      <c r="DF62" s="354"/>
      <c r="DG62" s="354"/>
      <c r="DH62" s="354"/>
      <c r="DI62" s="354"/>
      <c r="DJ62" s="354"/>
      <c r="DK62" s="354"/>
      <c r="DL62" s="354"/>
      <c r="DM62" s="354"/>
      <c r="DN62" s="354"/>
      <c r="DO62" s="354"/>
      <c r="DP62" s="354"/>
      <c r="DQ62" s="354"/>
      <c r="DR62" s="354"/>
      <c r="DS62" s="354"/>
      <c r="DT62" s="354"/>
      <c r="DU62" s="354"/>
      <c r="DV62" s="354"/>
      <c r="DW62" s="354"/>
      <c r="DX62" s="354"/>
      <c r="DY62" s="354"/>
      <c r="DZ62" s="354"/>
      <c r="EA62" s="354"/>
      <c r="EB62" s="354"/>
      <c r="EC62" s="354"/>
      <c r="ED62" s="354"/>
      <c r="EE62" s="354"/>
      <c r="EF62" s="354"/>
      <c r="EG62" s="354"/>
      <c r="EH62" s="354"/>
      <c r="EI62" s="354"/>
      <c r="EJ62" s="354"/>
      <c r="EK62" s="354"/>
      <c r="EL62" s="354"/>
      <c r="EM62" s="354"/>
      <c r="EN62" s="354"/>
      <c r="EO62" s="354"/>
      <c r="EP62" s="354"/>
      <c r="EQ62" s="354"/>
      <c r="ER62" s="354"/>
      <c r="ES62" s="354"/>
    </row>
    <row r="63" spans="1:149" s="71" customFormat="1" ht="15" customHeight="1">
      <c r="A63" s="1122" t="s">
        <v>77</v>
      </c>
      <c r="B63" s="1123"/>
      <c r="C63" s="1123"/>
      <c r="D63" s="1124"/>
      <c r="E63" s="70">
        <f>SUM(E58:E59)*25+E60*40</f>
        <v>108325</v>
      </c>
      <c r="F63" s="70">
        <f t="shared" ref="F63:M63" si="31">SUM(F58:F59)*25+F60*40</f>
        <v>0</v>
      </c>
      <c r="G63" s="70">
        <f>SUM(G58:G59)*25+G60*40</f>
        <v>0</v>
      </c>
      <c r="H63" s="70">
        <f t="shared" si="31"/>
        <v>0</v>
      </c>
      <c r="I63" s="70">
        <f>SUM(I58:I59)*25+I60*40</f>
        <v>0</v>
      </c>
      <c r="J63" s="70">
        <f>SUM(J58:J59)+J60</f>
        <v>0</v>
      </c>
      <c r="K63" s="70">
        <f>+K62*25</f>
        <v>0</v>
      </c>
      <c r="L63" s="70">
        <f t="shared" si="31"/>
        <v>0</v>
      </c>
      <c r="M63" s="480">
        <f t="shared" si="31"/>
        <v>108325</v>
      </c>
      <c r="N63" s="70">
        <f>SUM(N58:N59)+N60</f>
        <v>108325</v>
      </c>
      <c r="O63" s="1113"/>
      <c r="P63" s="187"/>
      <c r="Q63" s="187"/>
      <c r="R63" s="1096"/>
      <c r="S63" s="1096"/>
      <c r="T63" s="1118"/>
      <c r="U63" s="146">
        <f>SUM(U58:U60)</f>
        <v>0</v>
      </c>
      <c r="V63" s="422"/>
      <c r="W63" s="432"/>
      <c r="X63" s="79"/>
      <c r="Y63" s="79"/>
      <c r="Z63" s="79"/>
      <c r="AA63" s="79"/>
      <c r="AB63" s="79"/>
      <c r="AC63" s="79"/>
      <c r="AD63" s="79"/>
      <c r="AE63" s="79"/>
      <c r="AF63" s="79"/>
      <c r="AG63" s="79"/>
      <c r="AH63" s="79"/>
      <c r="AI63" s="79"/>
      <c r="AJ63" s="79"/>
      <c r="AK63" s="79"/>
      <c r="AL63" s="79"/>
      <c r="AM63" s="79"/>
      <c r="AN63" s="79"/>
      <c r="AO63" s="79"/>
      <c r="AP63" s="79"/>
      <c r="AQ63" s="79"/>
      <c r="AR63" s="79"/>
      <c r="AS63" s="79"/>
      <c r="AT63" s="79"/>
      <c r="AU63" s="79"/>
      <c r="AV63" s="79"/>
      <c r="AW63" s="79"/>
      <c r="AX63" s="79"/>
      <c r="AY63" s="79"/>
      <c r="AZ63" s="79"/>
      <c r="BA63" s="79"/>
      <c r="BB63" s="79"/>
      <c r="BF63" s="439"/>
    </row>
    <row r="64" spans="1:149" ht="15" customHeight="1">
      <c r="A64" s="286"/>
      <c r="B64" s="37"/>
      <c r="C64" s="37"/>
      <c r="D64" s="37"/>
      <c r="E64" s="130"/>
      <c r="F64" s="37"/>
      <c r="G64" s="37"/>
      <c r="H64" s="37"/>
      <c r="I64" s="37"/>
      <c r="J64" s="37"/>
      <c r="K64" s="37"/>
      <c r="L64" s="37"/>
      <c r="M64" s="472"/>
      <c r="N64" s="37"/>
      <c r="O64" s="37"/>
      <c r="P64" s="37"/>
      <c r="Q64" s="37"/>
      <c r="R64" s="37"/>
      <c r="S64" s="37"/>
      <c r="T64" s="458"/>
      <c r="U64" s="149"/>
      <c r="AZ64" s="58"/>
      <c r="BB64" s="72"/>
    </row>
    <row r="65" spans="1:54" ht="15" customHeight="1">
      <c r="A65" s="286"/>
      <c r="B65" s="38"/>
      <c r="C65" s="38"/>
      <c r="D65" s="38"/>
      <c r="E65" s="38"/>
      <c r="F65" s="38"/>
      <c r="G65" s="38"/>
      <c r="H65" s="38"/>
      <c r="I65" s="38"/>
      <c r="J65" s="38"/>
      <c r="K65" s="38"/>
      <c r="L65" s="38"/>
      <c r="M65" s="465"/>
      <c r="N65" s="38"/>
      <c r="O65" s="38"/>
      <c r="P65" s="38"/>
      <c r="Q65" s="38"/>
      <c r="R65" s="38"/>
      <c r="S65" s="38"/>
      <c r="T65" s="459"/>
      <c r="U65" s="131"/>
      <c r="V65" s="422"/>
      <c r="X65" s="112"/>
      <c r="Y65" s="112"/>
      <c r="Z65" s="112"/>
      <c r="AA65" s="112"/>
      <c r="AB65" s="112"/>
      <c r="AC65" s="112"/>
      <c r="AD65" s="112"/>
      <c r="AE65" s="112"/>
      <c r="AF65" s="112"/>
      <c r="AG65" s="112"/>
      <c r="AH65" s="112"/>
      <c r="AZ65" s="58"/>
      <c r="BA65" s="112"/>
      <c r="BB65" s="112"/>
    </row>
    <row r="66" spans="1:54" ht="15" customHeight="1">
      <c r="A66" s="286"/>
      <c r="B66" s="38"/>
      <c r="C66" s="38"/>
      <c r="D66" s="38"/>
      <c r="E66" s="38"/>
      <c r="F66" s="38"/>
      <c r="G66" s="38"/>
      <c r="H66" s="38"/>
      <c r="I66" s="38"/>
      <c r="J66" s="38"/>
      <c r="K66" s="38"/>
      <c r="L66" s="38"/>
      <c r="M66" s="465"/>
      <c r="N66" s="38"/>
      <c r="O66" s="38"/>
      <c r="P66" s="38"/>
      <c r="Q66" s="38"/>
      <c r="R66" s="38"/>
      <c r="S66" s="38"/>
      <c r="T66" s="459"/>
      <c r="AZ66" s="58"/>
      <c r="BB66" s="72"/>
    </row>
    <row r="67" spans="1:54">
      <c r="T67" s="463"/>
    </row>
    <row r="68" spans="1:54">
      <c r="F68" s="60"/>
      <c r="G68" s="60"/>
      <c r="H68" s="58" t="s">
        <v>17</v>
      </c>
    </row>
    <row r="71" spans="1:54">
      <c r="I71" s="60"/>
    </row>
    <row r="88" spans="13:48" s="58" customFormat="1" ht="15">
      <c r="M88" s="481"/>
      <c r="T88" s="72"/>
      <c r="AV88" s="68"/>
    </row>
  </sheetData>
  <mergeCells count="49">
    <mergeCell ref="T38:T40"/>
    <mergeCell ref="U38:U39"/>
    <mergeCell ref="A58:D58"/>
    <mergeCell ref="A59:D59"/>
    <mergeCell ref="T59:T63"/>
    <mergeCell ref="A60:D60"/>
    <mergeCell ref="A62:D62"/>
    <mergeCell ref="O62:O63"/>
    <mergeCell ref="M39:N39"/>
    <mergeCell ref="I38:L38"/>
    <mergeCell ref="R62:R63"/>
    <mergeCell ref="S62:S63"/>
    <mergeCell ref="A63:D63"/>
    <mergeCell ref="A61:D61"/>
    <mergeCell ref="I39:J39"/>
    <mergeCell ref="S38:S40"/>
    <mergeCell ref="A33:D33"/>
    <mergeCell ref="O33:O34"/>
    <mergeCell ref="A38:A40"/>
    <mergeCell ref="B38:B40"/>
    <mergeCell ref="C38:C40"/>
    <mergeCell ref="D38:D40"/>
    <mergeCell ref="F38:H38"/>
    <mergeCell ref="M38:N38"/>
    <mergeCell ref="A2:F2"/>
    <mergeCell ref="A3:F3"/>
    <mergeCell ref="R33:R34"/>
    <mergeCell ref="S9:S11"/>
    <mergeCell ref="T9:T11"/>
    <mergeCell ref="S33:S34"/>
    <mergeCell ref="A34:D34"/>
    <mergeCell ref="A27:D27"/>
    <mergeCell ref="T27:T34"/>
    <mergeCell ref="O3:T3"/>
    <mergeCell ref="A28:D28"/>
    <mergeCell ref="A29:D29"/>
    <mergeCell ref="F9:H9"/>
    <mergeCell ref="A30:D30"/>
    <mergeCell ref="A31:D31"/>
    <mergeCell ref="A32:D32"/>
    <mergeCell ref="A9:A11"/>
    <mergeCell ref="B9:B11"/>
    <mergeCell ref="C9:C11"/>
    <mergeCell ref="D9:D11"/>
    <mergeCell ref="U9:U10"/>
    <mergeCell ref="I10:J10"/>
    <mergeCell ref="I9:L9"/>
    <mergeCell ref="M9:N9"/>
    <mergeCell ref="M10:N10"/>
  </mergeCells>
  <phoneticPr fontId="76" type="noConversion"/>
  <conditionalFormatting sqref="S56:S57 S12:S26 S41:S54">
    <cfRule type="cellIs" dxfId="11" priority="12" stopIfTrue="1" operator="lessThan">
      <formula>1</formula>
    </cfRule>
  </conditionalFormatting>
  <conditionalFormatting sqref="S56:S57 S12:S26 S41:S54">
    <cfRule type="cellIs" dxfId="10" priority="11" stopIfTrue="1" operator="lessThan">
      <formula>2</formula>
    </cfRule>
  </conditionalFormatting>
  <conditionalFormatting sqref="S55">
    <cfRule type="cellIs" dxfId="9" priority="6" stopIfTrue="1" operator="lessThan">
      <formula>1</formula>
    </cfRule>
  </conditionalFormatting>
  <conditionalFormatting sqref="S55">
    <cfRule type="cellIs" dxfId="8" priority="5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05888" r:id="rId4" name="Button 1952">
              <controlPr defaultSize="0" print="0" autoFill="0" autoPict="0" macro="[0]!Module1.TaoBaoCaoTongHop_V3">
                <anchor moveWithCells="1" sizeWithCells="1">
                  <from>
                    <xdr:col>18</xdr:col>
                    <xdr:colOff>447675</xdr:colOff>
                    <xdr:row>0</xdr:row>
                    <xdr:rowOff>152400</xdr:rowOff>
                  </from>
                  <to>
                    <xdr:col>19</xdr:col>
                    <xdr:colOff>819150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66F30-99C3-4EAF-A201-0868F3B2D558}">
  <sheetPr codeName="Sheet8"/>
  <dimension ref="A1:EU361"/>
  <sheetViews>
    <sheetView zoomScale="80" zoomScaleNormal="80" workbookViewId="0">
      <pane xSplit="5" ySplit="12" topLeftCell="F19" activePane="bottomRight" state="frozen"/>
      <selection pane="bottomRight" activeCell="H34" sqref="H34:H38"/>
      <selection pane="bottomLeft" activeCell="D283" sqref="D283"/>
      <selection pane="topRight" activeCell="D283" sqref="D283"/>
    </sheetView>
  </sheetViews>
  <sheetFormatPr defaultRowHeight="15.75"/>
  <cols>
    <col min="1" max="1" width="6.42578125" style="58" customWidth="1"/>
    <col min="2" max="2" width="12.140625" style="58" customWidth="1"/>
    <col min="3" max="3" width="10.85546875" style="58" customWidth="1"/>
    <col min="4" max="4" width="9.42578125" style="58" customWidth="1"/>
    <col min="5" max="5" width="11.85546875" style="72" customWidth="1"/>
    <col min="6" max="6" width="12.7109375" style="58" customWidth="1"/>
    <col min="7" max="7" width="11" style="58" customWidth="1"/>
    <col min="8" max="8" width="11.28515625" style="58" customWidth="1"/>
    <col min="9" max="9" width="10.28515625" style="58" customWidth="1"/>
    <col min="10" max="10" width="11.5703125" style="58" customWidth="1"/>
    <col min="11" max="12" width="10.85546875" style="58" customWidth="1"/>
    <col min="13" max="13" width="11" style="481" customWidth="1"/>
    <col min="14" max="14" width="13.28515625" style="58" customWidth="1"/>
    <col min="15" max="15" width="14.7109375" style="60" customWidth="1"/>
    <col min="16" max="16" width="14.5703125" style="60" hidden="1" customWidth="1"/>
    <col min="17" max="17" width="12.5703125" style="60" hidden="1" customWidth="1"/>
    <col min="18" max="18" width="12.28515625" style="117" customWidth="1"/>
    <col min="19" max="19" width="14.28515625" style="60" customWidth="1"/>
    <col min="20" max="20" width="18.85546875" style="408" customWidth="1"/>
    <col min="21" max="21" width="12.5703125" style="150" customWidth="1"/>
    <col min="22" max="22" width="14.85546875" style="829" customWidth="1"/>
    <col min="23" max="23" width="16.85546875" style="823" customWidth="1"/>
    <col min="24" max="48" width="11.5703125" style="72" customWidth="1"/>
    <col min="49" max="49" width="12" style="72" customWidth="1"/>
    <col min="50" max="53" width="11.5703125" style="72" customWidth="1"/>
    <col min="54" max="54" width="11.5703125" style="58" customWidth="1"/>
    <col min="55" max="55" width="17.5703125" style="58" customWidth="1"/>
    <col min="56" max="57" width="11.85546875" style="58" customWidth="1"/>
    <col min="58" max="58" width="13.85546875" style="58" bestFit="1" customWidth="1"/>
    <col min="59" max="59" width="10.85546875" style="58" hidden="1" customWidth="1"/>
    <col min="60" max="60" width="12.140625" style="438" customWidth="1"/>
    <col min="61" max="61" width="14.28515625" style="58" customWidth="1"/>
    <col min="62" max="62" width="12.42578125" style="58" customWidth="1"/>
    <col min="63" max="16384" width="9.140625" style="58"/>
  </cols>
  <sheetData>
    <row r="1" spans="1:61" ht="8.25" customHeight="1"/>
    <row r="2" spans="1:61" s="38" customFormat="1" ht="15" customHeight="1">
      <c r="A2" s="1094" t="s">
        <v>13</v>
      </c>
      <c r="B2" s="1094"/>
      <c r="C2" s="1094"/>
      <c r="D2" s="1094"/>
      <c r="E2" s="1094"/>
      <c r="F2" s="1094"/>
      <c r="G2" s="291"/>
      <c r="J2" s="63"/>
      <c r="K2" s="63"/>
      <c r="M2" s="465"/>
      <c r="N2" s="63"/>
      <c r="O2" s="84"/>
      <c r="P2" s="84"/>
      <c r="Q2" s="84"/>
      <c r="R2" s="81"/>
      <c r="S2" s="84"/>
      <c r="T2" s="404"/>
      <c r="U2" s="132"/>
      <c r="V2" s="830"/>
      <c r="W2" s="831"/>
      <c r="X2" s="80"/>
      <c r="Y2" s="80"/>
      <c r="Z2" s="80"/>
      <c r="AA2" s="80"/>
      <c r="AB2" s="80"/>
      <c r="AC2" s="80"/>
      <c r="AD2" s="80"/>
      <c r="AE2" s="80"/>
      <c r="AF2" s="80"/>
      <c r="AG2" s="80"/>
      <c r="AH2" s="80"/>
      <c r="AI2" s="80"/>
      <c r="AJ2" s="80"/>
      <c r="AK2" s="80"/>
      <c r="AL2" s="80"/>
      <c r="AM2" s="80"/>
      <c r="AN2" s="80"/>
      <c r="AO2" s="80"/>
      <c r="AP2" s="80"/>
      <c r="AQ2" s="80"/>
      <c r="AR2" s="80"/>
      <c r="AS2" s="80"/>
      <c r="AT2" s="80"/>
      <c r="AU2" s="80"/>
      <c r="AV2" s="80"/>
      <c r="AW2" s="80"/>
      <c r="AX2" s="80"/>
      <c r="AY2" s="80"/>
      <c r="AZ2" s="80"/>
      <c r="BA2" s="80"/>
      <c r="BH2" s="436"/>
    </row>
    <row r="3" spans="1:61" s="38" customFormat="1" ht="15" customHeight="1">
      <c r="A3" s="1094" t="s">
        <v>14</v>
      </c>
      <c r="B3" s="1094"/>
      <c r="C3" s="1094"/>
      <c r="D3" s="1094"/>
      <c r="E3" s="1094"/>
      <c r="F3" s="1094"/>
      <c r="G3" s="291"/>
      <c r="J3" s="63"/>
      <c r="K3" s="63"/>
      <c r="M3" s="466"/>
      <c r="N3" s="718" t="s">
        <v>15</v>
      </c>
      <c r="O3" s="1108">
        <v>46152</v>
      </c>
      <c r="P3" s="1108"/>
      <c r="Q3" s="1108"/>
      <c r="R3" s="1108"/>
      <c r="S3" s="1108"/>
      <c r="T3" s="1108"/>
      <c r="U3" s="133"/>
      <c r="V3" s="832"/>
      <c r="W3" s="833"/>
      <c r="X3" s="80"/>
      <c r="Y3" s="80"/>
      <c r="Z3" s="80"/>
      <c r="AA3" s="80"/>
      <c r="AB3" s="80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AZ3" s="80"/>
      <c r="BA3" s="80"/>
      <c r="BH3" s="436"/>
    </row>
    <row r="4" spans="1:61" s="38" customFormat="1" ht="15" customHeight="1">
      <c r="A4" s="38" t="s">
        <v>16</v>
      </c>
      <c r="G4" s="291"/>
      <c r="J4" s="63"/>
      <c r="K4" s="63"/>
      <c r="M4" s="467"/>
      <c r="O4" s="86"/>
      <c r="P4" s="86"/>
      <c r="Q4" s="86"/>
      <c r="R4" s="81"/>
      <c r="S4" s="84"/>
      <c r="T4" s="404"/>
      <c r="U4" s="132"/>
      <c r="V4" s="830"/>
      <c r="W4" s="831"/>
      <c r="X4" s="80"/>
      <c r="Y4" s="80"/>
      <c r="Z4" s="80"/>
      <c r="AA4" s="80"/>
      <c r="AB4" s="80"/>
      <c r="AC4" s="80"/>
      <c r="AD4" s="80"/>
      <c r="AE4" s="80"/>
      <c r="AF4" s="80"/>
      <c r="AG4" s="80"/>
      <c r="AH4" s="80"/>
      <c r="AI4" s="80"/>
      <c r="AJ4" s="80"/>
      <c r="AK4" s="80"/>
      <c r="AL4" s="80"/>
      <c r="AM4" s="80"/>
      <c r="AN4" s="80"/>
      <c r="AO4" s="80"/>
      <c r="AP4" s="80"/>
      <c r="AQ4" s="80"/>
      <c r="AR4" s="80" t="s">
        <v>17</v>
      </c>
      <c r="AS4" s="80"/>
      <c r="AT4" s="80"/>
      <c r="AU4" s="80"/>
      <c r="AV4" s="80"/>
      <c r="AW4" s="80"/>
      <c r="AX4" s="80"/>
      <c r="AY4" s="80"/>
      <c r="AZ4" s="80"/>
      <c r="BA4" s="80"/>
      <c r="BH4" s="436"/>
    </row>
    <row r="5" spans="1:61" s="38" customFormat="1" ht="15" customHeight="1">
      <c r="A5" s="38" t="s">
        <v>18</v>
      </c>
      <c r="G5" s="291"/>
      <c r="H5" s="85"/>
      <c r="I5" s="85"/>
      <c r="J5" s="85"/>
      <c r="K5" s="85"/>
      <c r="L5" s="85"/>
      <c r="M5" s="465"/>
      <c r="O5" s="87"/>
      <c r="P5" s="87"/>
      <c r="Q5" s="87"/>
      <c r="R5" s="81"/>
      <c r="S5" s="84"/>
      <c r="T5" s="404"/>
      <c r="U5" s="132"/>
      <c r="V5" s="830"/>
      <c r="W5" s="831"/>
      <c r="X5" s="80"/>
      <c r="Y5" s="80"/>
      <c r="Z5" s="80"/>
      <c r="AA5" s="80"/>
      <c r="AB5" s="80"/>
      <c r="AC5" s="80"/>
      <c r="AD5" s="80"/>
      <c r="AE5" s="80"/>
      <c r="AF5" s="80"/>
      <c r="AG5" s="80"/>
      <c r="AH5" s="80"/>
      <c r="AI5" s="80"/>
      <c r="AJ5" s="80"/>
      <c r="AK5" s="80"/>
      <c r="AL5" s="80"/>
      <c r="AM5" s="80"/>
      <c r="AN5" s="80"/>
      <c r="AO5" s="80"/>
      <c r="AP5" s="80"/>
      <c r="AQ5" s="80"/>
      <c r="AR5" s="80"/>
      <c r="AS5" s="80"/>
      <c r="AT5" s="80"/>
      <c r="AU5" s="80"/>
      <c r="AV5" s="80"/>
      <c r="AW5" s="80"/>
      <c r="AX5" s="80"/>
      <c r="AY5" s="80"/>
      <c r="AZ5" s="80"/>
      <c r="BA5" s="80"/>
      <c r="BH5" s="436"/>
    </row>
    <row r="6" spans="1:61" s="38" customFormat="1" ht="15" customHeight="1">
      <c r="G6" s="291"/>
      <c r="H6" s="85"/>
      <c r="I6" s="85"/>
      <c r="J6" s="85"/>
      <c r="K6" s="85"/>
      <c r="L6" s="85"/>
      <c r="M6" s="467"/>
      <c r="O6" s="87"/>
      <c r="P6" s="87"/>
      <c r="Q6" s="87"/>
      <c r="R6" s="81"/>
      <c r="S6" s="84"/>
      <c r="T6" s="404"/>
      <c r="U6" s="132"/>
      <c r="V6" s="830"/>
      <c r="W6" s="831"/>
      <c r="X6" s="80"/>
      <c r="Y6" s="80"/>
      <c r="Z6" s="80"/>
      <c r="AA6" s="80"/>
      <c r="AB6" s="80"/>
      <c r="AC6" s="80"/>
      <c r="AD6" s="80"/>
      <c r="AE6" s="80"/>
      <c r="AF6" s="80"/>
      <c r="AG6" s="80"/>
      <c r="AH6" s="80"/>
      <c r="AI6" s="80"/>
      <c r="AJ6" s="80"/>
      <c r="AK6" s="80"/>
      <c r="AL6" s="80"/>
      <c r="AM6" s="80"/>
      <c r="AN6" s="80"/>
      <c r="AO6" s="80"/>
      <c r="AP6" s="80"/>
      <c r="AQ6" s="80"/>
      <c r="AR6" s="80"/>
      <c r="AS6" s="80"/>
      <c r="AT6" s="80"/>
      <c r="AU6" s="80"/>
      <c r="AV6" s="80"/>
      <c r="AW6" s="80"/>
      <c r="AX6" s="80"/>
      <c r="AY6" s="80"/>
      <c r="AZ6" s="80"/>
      <c r="BA6" s="80"/>
      <c r="BH6" s="436"/>
    </row>
    <row r="7" spans="1:61" s="38" customFormat="1" ht="15" customHeight="1">
      <c r="A7" s="38" t="s">
        <v>19</v>
      </c>
      <c r="G7" s="291"/>
      <c r="H7" s="85"/>
      <c r="I7" s="85"/>
      <c r="J7" s="85"/>
      <c r="K7" s="85"/>
      <c r="L7" s="85"/>
      <c r="M7" s="467"/>
      <c r="N7" s="85"/>
      <c r="O7" s="84"/>
      <c r="P7" s="84"/>
      <c r="Q7" s="84"/>
      <c r="R7" s="81"/>
      <c r="S7" s="84"/>
      <c r="T7" s="456"/>
      <c r="U7" s="134"/>
      <c r="V7" s="834"/>
      <c r="W7" s="831"/>
      <c r="X7" s="80"/>
      <c r="Y7" s="80"/>
      <c r="Z7" s="80"/>
      <c r="AA7" s="80"/>
      <c r="AB7" s="80"/>
      <c r="AC7" s="80"/>
      <c r="AD7" s="80"/>
      <c r="AE7" s="80"/>
      <c r="AF7" s="80"/>
      <c r="AG7" s="80"/>
      <c r="AH7" s="80"/>
      <c r="AI7" s="80"/>
      <c r="AJ7" s="80"/>
      <c r="AK7" s="80"/>
      <c r="AL7" s="80"/>
      <c r="AM7" s="80"/>
      <c r="AN7" s="80"/>
      <c r="AO7" s="80"/>
      <c r="AP7" s="80"/>
      <c r="AQ7" s="80"/>
      <c r="AR7" s="80"/>
      <c r="AS7" s="80"/>
      <c r="AT7" s="80"/>
      <c r="AU7" s="80"/>
      <c r="AV7" s="80"/>
      <c r="AW7" s="80"/>
      <c r="AX7" s="80"/>
      <c r="AY7" s="80"/>
      <c r="AZ7" s="80"/>
      <c r="BA7" s="80"/>
      <c r="BH7" s="436"/>
    </row>
    <row r="8" spans="1:61" s="38" customFormat="1" ht="15" customHeight="1">
      <c r="A8" s="443" t="s">
        <v>20</v>
      </c>
      <c r="B8" s="443"/>
      <c r="C8" s="443"/>
      <c r="D8" s="443"/>
      <c r="E8" s="443"/>
      <c r="F8" s="443"/>
      <c r="G8" s="443"/>
      <c r="H8" s="443"/>
      <c r="I8" s="443"/>
      <c r="J8" s="443"/>
      <c r="K8" s="443"/>
      <c r="L8" s="443"/>
      <c r="M8" s="468"/>
      <c r="N8" s="443"/>
      <c r="O8" s="443"/>
      <c r="P8" s="443"/>
      <c r="Q8" s="443"/>
      <c r="R8" s="443"/>
      <c r="S8" s="443"/>
      <c r="T8" s="78"/>
      <c r="U8" s="145"/>
      <c r="V8" s="834"/>
      <c r="W8" s="831"/>
      <c r="X8" s="80"/>
      <c r="Y8" s="80"/>
      <c r="Z8" s="80"/>
      <c r="AA8" s="80"/>
      <c r="AB8" s="8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Q8" s="80"/>
      <c r="AR8" s="80"/>
      <c r="AS8" s="80"/>
      <c r="AT8" s="80"/>
      <c r="AU8" s="80"/>
      <c r="AV8" s="80"/>
      <c r="AW8" s="80"/>
      <c r="AX8" s="80"/>
      <c r="AY8" s="80"/>
      <c r="AZ8" s="80"/>
      <c r="BA8" s="80"/>
      <c r="BH8" s="436"/>
    </row>
    <row r="9" spans="1:61" s="38" customFormat="1" ht="15" customHeight="1">
      <c r="A9" s="444" t="s">
        <v>21</v>
      </c>
      <c r="B9" s="444"/>
      <c r="C9" s="444"/>
      <c r="D9" s="444"/>
      <c r="E9" s="444"/>
      <c r="F9" s="444"/>
      <c r="G9" s="444"/>
      <c r="H9" s="444"/>
      <c r="I9" s="444"/>
      <c r="J9" s="444"/>
      <c r="K9" s="444"/>
      <c r="L9" s="444"/>
      <c r="M9" s="469"/>
      <c r="N9" s="444"/>
      <c r="O9" s="444"/>
      <c r="P9" s="444"/>
      <c r="Q9" s="444"/>
      <c r="R9" s="444"/>
      <c r="S9" s="444"/>
      <c r="T9" s="457"/>
      <c r="U9" s="134"/>
      <c r="V9" s="834"/>
      <c r="W9" s="831"/>
      <c r="X9" s="80"/>
      <c r="Y9" s="80"/>
      <c r="Z9" s="80"/>
      <c r="AA9" s="80"/>
      <c r="AB9" s="8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Q9" s="80"/>
      <c r="AR9" s="80"/>
      <c r="AS9" s="80"/>
      <c r="AT9" s="80"/>
      <c r="AU9" s="80"/>
      <c r="AV9" s="80"/>
      <c r="AW9" s="80"/>
      <c r="AX9" s="80"/>
      <c r="AY9" s="80"/>
      <c r="AZ9" s="80"/>
      <c r="BA9" s="80"/>
      <c r="BH9" s="436"/>
    </row>
    <row r="10" spans="1:61" s="63" customFormat="1" ht="30" customHeight="1">
      <c r="A10" s="925" t="s">
        <v>22</v>
      </c>
      <c r="B10" s="916" t="s">
        <v>23</v>
      </c>
      <c r="C10" s="916" t="s">
        <v>24</v>
      </c>
      <c r="D10" s="928" t="s">
        <v>25</v>
      </c>
      <c r="E10" s="61" t="s">
        <v>26</v>
      </c>
      <c r="F10" s="931" t="s">
        <v>27</v>
      </c>
      <c r="G10" s="936"/>
      <c r="H10" s="932"/>
      <c r="I10" s="931" t="s">
        <v>28</v>
      </c>
      <c r="J10" s="936"/>
      <c r="K10" s="936"/>
      <c r="L10" s="936"/>
      <c r="M10" s="931" t="s">
        <v>29</v>
      </c>
      <c r="N10" s="932"/>
      <c r="O10" s="183" t="s">
        <v>30</v>
      </c>
      <c r="P10" s="183"/>
      <c r="Q10" s="183"/>
      <c r="R10" s="183" t="s">
        <v>31</v>
      </c>
      <c r="S10" s="928" t="s">
        <v>32</v>
      </c>
      <c r="T10" s="1049" t="s">
        <v>33</v>
      </c>
      <c r="U10" s="881" t="s">
        <v>34</v>
      </c>
      <c r="V10" s="835"/>
      <c r="W10" s="831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H10" s="437"/>
    </row>
    <row r="11" spans="1:61" s="63" customFormat="1" ht="42" customHeight="1">
      <c r="A11" s="926"/>
      <c r="B11" s="917"/>
      <c r="C11" s="917"/>
      <c r="D11" s="929" t="s">
        <v>35</v>
      </c>
      <c r="E11" s="64" t="s">
        <v>36</v>
      </c>
      <c r="F11" s="680" t="s">
        <v>84</v>
      </c>
      <c r="G11" s="512" t="s">
        <v>38</v>
      </c>
      <c r="H11" s="681" t="s">
        <v>39</v>
      </c>
      <c r="I11" s="931" t="s">
        <v>40</v>
      </c>
      <c r="J11" s="936"/>
      <c r="K11" s="512" t="s">
        <v>41</v>
      </c>
      <c r="L11" s="681" t="s">
        <v>42</v>
      </c>
      <c r="M11" s="1074" t="s">
        <v>43</v>
      </c>
      <c r="N11" s="1125"/>
      <c r="O11" s="683" t="s">
        <v>44</v>
      </c>
      <c r="P11" s="184"/>
      <c r="Q11" s="184"/>
      <c r="R11" s="683" t="s">
        <v>45</v>
      </c>
      <c r="S11" s="929"/>
      <c r="T11" s="1050"/>
      <c r="U11" s="882"/>
      <c r="V11" s="835"/>
      <c r="W11" s="831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H11" s="437"/>
    </row>
    <row r="12" spans="1:61" s="63" customFormat="1" ht="18" customHeight="1">
      <c r="A12" s="927"/>
      <c r="B12" s="918"/>
      <c r="C12" s="918"/>
      <c r="D12" s="930" t="s">
        <v>46</v>
      </c>
      <c r="E12" s="64" t="s">
        <v>47</v>
      </c>
      <c r="F12" s="64" t="s">
        <v>47</v>
      </c>
      <c r="G12" s="64" t="s">
        <v>47</v>
      </c>
      <c r="H12" s="64" t="s">
        <v>47</v>
      </c>
      <c r="I12" s="64" t="s">
        <v>47</v>
      </c>
      <c r="J12" s="64" t="s">
        <v>46</v>
      </c>
      <c r="K12" s="64" t="s">
        <v>47</v>
      </c>
      <c r="L12" s="64" t="s">
        <v>47</v>
      </c>
      <c r="M12" s="64" t="s">
        <v>47</v>
      </c>
      <c r="N12" s="64" t="s">
        <v>46</v>
      </c>
      <c r="O12" s="65" t="s">
        <v>46</v>
      </c>
      <c r="P12" s="185"/>
      <c r="Q12" s="185"/>
      <c r="R12" s="65" t="s">
        <v>48</v>
      </c>
      <c r="S12" s="930"/>
      <c r="T12" s="1051"/>
      <c r="U12" s="684" t="s">
        <v>47</v>
      </c>
      <c r="V12" s="835"/>
      <c r="W12" s="831"/>
      <c r="X12" s="89">
        <v>1</v>
      </c>
      <c r="Y12" s="89">
        <v>2</v>
      </c>
      <c r="Z12" s="88">
        <v>3</v>
      </c>
      <c r="AA12" s="89">
        <v>4</v>
      </c>
      <c r="AB12" s="88">
        <v>5</v>
      </c>
      <c r="AC12" s="89">
        <v>6</v>
      </c>
      <c r="AD12" s="88">
        <v>7</v>
      </c>
      <c r="AE12" s="89">
        <v>8</v>
      </c>
      <c r="AF12" s="88">
        <v>9</v>
      </c>
      <c r="AG12" s="89">
        <v>10</v>
      </c>
      <c r="AH12" s="88">
        <v>11</v>
      </c>
      <c r="AI12" s="89">
        <v>12</v>
      </c>
      <c r="AJ12" s="88">
        <v>13</v>
      </c>
      <c r="AK12" s="89">
        <v>14</v>
      </c>
      <c r="AL12" s="88">
        <v>15</v>
      </c>
      <c r="AM12" s="89">
        <v>16</v>
      </c>
      <c r="AN12" s="88">
        <v>17</v>
      </c>
      <c r="AO12" s="89">
        <v>18</v>
      </c>
      <c r="AP12" s="88">
        <v>19</v>
      </c>
      <c r="AQ12" s="89">
        <v>20</v>
      </c>
      <c r="AR12" s="88">
        <v>21</v>
      </c>
      <c r="AS12" s="89">
        <v>22</v>
      </c>
      <c r="AT12" s="88">
        <v>23</v>
      </c>
      <c r="AU12" s="89">
        <v>24</v>
      </c>
      <c r="AV12" s="88">
        <v>25</v>
      </c>
      <c r="AW12" s="89">
        <v>26</v>
      </c>
      <c r="AX12" s="88">
        <v>27</v>
      </c>
      <c r="AY12" s="89">
        <v>28</v>
      </c>
      <c r="AZ12" s="88">
        <v>29</v>
      </c>
      <c r="BA12" s="89">
        <v>30</v>
      </c>
      <c r="BB12" s="89">
        <v>31</v>
      </c>
      <c r="BC12" s="90" t="s">
        <v>49</v>
      </c>
      <c r="BD12" s="785" t="s">
        <v>85</v>
      </c>
      <c r="BE12" s="785" t="s">
        <v>86</v>
      </c>
      <c r="BH12" s="437"/>
    </row>
    <row r="13" spans="1:61" s="38" customFormat="1" ht="15" customHeight="1">
      <c r="A13" s="91">
        <v>1</v>
      </c>
      <c r="B13" s="92" t="s">
        <v>87</v>
      </c>
      <c r="C13" s="92" t="s">
        <v>88</v>
      </c>
      <c r="D13" s="93">
        <v>25</v>
      </c>
      <c r="E13" s="717">
        <v>0</v>
      </c>
      <c r="F13" s="717">
        <f>SUMIF(pro!$A:$A,$V:$V,pro!$N:$N)</f>
        <v>0</v>
      </c>
      <c r="G13" s="717"/>
      <c r="H13" s="717">
        <v>0</v>
      </c>
      <c r="I13" s="717">
        <f>SUMIF(data!$D:$D,$B13&amp;$D13,data!$J:$J)</f>
        <v>0</v>
      </c>
      <c r="J13" s="100">
        <f>SUMIF(data!$D:$D,$B13&amp;$D13,data!$K:$K)</f>
        <v>0</v>
      </c>
      <c r="K13" s="100">
        <f>SUMIF(AJOUT!$A:$A,BRAN!$V:$V,AJOUT!$L:$L)</f>
        <v>0</v>
      </c>
      <c r="L13" s="100">
        <f>SUMIF(CBOUT!$A:$A,BRAN!$V:$V,CBOUT!$G:$G)</f>
        <v>0</v>
      </c>
      <c r="M13" s="1158">
        <f>E13+F13+H13-I13-L13+G13-K13</f>
        <v>0</v>
      </c>
      <c r="N13" s="652">
        <f>M13*25</f>
        <v>0</v>
      </c>
      <c r="O13" s="1159">
        <f>SUM(X13:BB13)</f>
        <v>0</v>
      </c>
      <c r="P13" s="804">
        <f>SUM(N13:N15,N23:N25)</f>
        <v>0</v>
      </c>
      <c r="Q13" s="804">
        <f>SUM(O13:O15,O23:O25)</f>
        <v>0</v>
      </c>
      <c r="R13" s="100">
        <f>O13/INTGRATE!$N$293</f>
        <v>0</v>
      </c>
      <c r="S13" s="665">
        <f t="shared" ref="S13:S49" si="0">IF(R13=0,0,N13/R13)</f>
        <v>0</v>
      </c>
      <c r="T13" s="403"/>
      <c r="U13" s="135"/>
      <c r="V13" s="836" t="str">
        <f t="shared" ref="V13:V50" si="1">B13&amp;D13</f>
        <v>150S (5*5)25</v>
      </c>
      <c r="W13" s="823">
        <v>300010</v>
      </c>
      <c r="X13" s="385"/>
      <c r="Y13" s="385">
        <v>0</v>
      </c>
      <c r="Z13" s="100">
        <v>0</v>
      </c>
      <c r="AA13" s="100">
        <v>0</v>
      </c>
      <c r="AB13" s="100">
        <v>0</v>
      </c>
      <c r="AC13" s="100">
        <v>0</v>
      </c>
      <c r="AD13" s="100">
        <v>0</v>
      </c>
      <c r="AE13" s="100">
        <v>0</v>
      </c>
      <c r="AF13" s="100">
        <v>0</v>
      </c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  <c r="AV13" s="100"/>
      <c r="AW13" s="100"/>
      <c r="AX13" s="230"/>
      <c r="AY13" s="100"/>
      <c r="AZ13" s="100"/>
      <c r="BA13" s="100"/>
      <c r="BB13" s="100"/>
      <c r="BC13" s="276">
        <f t="shared" ref="BC13:BC17" si="2">SUM(X13:BB13)</f>
        <v>0</v>
      </c>
      <c r="BD13" s="786">
        <f>COUNTIF(X13:BB13,"&gt;0")</f>
        <v>0</v>
      </c>
      <c r="BE13" s="786">
        <f>IFERROR(BC13/BD13,0)</f>
        <v>0</v>
      </c>
      <c r="BH13" s="436"/>
    </row>
    <row r="14" spans="1:61" s="38" customFormat="1" ht="15" customHeight="1">
      <c r="A14" s="91">
        <v>2</v>
      </c>
      <c r="B14" s="92" t="s">
        <v>89</v>
      </c>
      <c r="C14" s="92" t="s">
        <v>88</v>
      </c>
      <c r="D14" s="93">
        <v>25</v>
      </c>
      <c r="E14" s="100">
        <v>0</v>
      </c>
      <c r="F14" s="100">
        <f>SUMIF(pro!$A:$A,$V:$V,pro!$N:$N)</f>
        <v>0</v>
      </c>
      <c r="G14" s="100"/>
      <c r="H14" s="100">
        <f>SUMIF(CBIN!$A:$A,BRAN!$V:$V,CBIN!$G:$G)</f>
        <v>0</v>
      </c>
      <c r="I14" s="100">
        <f>SUMIF(data!$D:$D,$B14&amp;$D14,data!$J:$J)</f>
        <v>0</v>
      </c>
      <c r="J14" s="100">
        <f>SUMIF(data!$D:$D,$B14&amp;$D14,data!$K:$K)</f>
        <v>0</v>
      </c>
      <c r="K14" s="100">
        <f>SUMIF(AJOUT!$A:$A,BRAN!$V:$V,AJOUT!$L:$L)</f>
        <v>0</v>
      </c>
      <c r="L14" s="100">
        <f>SUMIF(CBOUT!$A:$A,BRAN!$V:$V,CBOUT!$G:$G)</f>
        <v>0</v>
      </c>
      <c r="M14" s="1158">
        <f>E14+F14+H14-I14-L14+G14-K14</f>
        <v>0</v>
      </c>
      <c r="N14" s="652">
        <f>M14*25</f>
        <v>0</v>
      </c>
      <c r="O14" s="1159">
        <f>SUM(X14:BB14)</f>
        <v>0</v>
      </c>
      <c r="P14" s="804">
        <f>SUM(N16,N26:N41)</f>
        <v>100435</v>
      </c>
      <c r="Q14" s="804">
        <f>SUM(O16,O26:O41)</f>
        <v>61295</v>
      </c>
      <c r="R14" s="100">
        <f>O14/INTGRATE!$N$293</f>
        <v>0</v>
      </c>
      <c r="S14" s="665">
        <f t="shared" si="0"/>
        <v>0</v>
      </c>
      <c r="T14" s="403"/>
      <c r="U14" s="136"/>
      <c r="V14" s="836" t="str">
        <f t="shared" si="1"/>
        <v>151 (5*5)25</v>
      </c>
      <c r="W14" s="823">
        <v>300400</v>
      </c>
      <c r="X14" s="386"/>
      <c r="Y14" s="386">
        <v>0</v>
      </c>
      <c r="Z14" s="100">
        <v>0</v>
      </c>
      <c r="AA14" s="100">
        <v>0</v>
      </c>
      <c r="AB14" s="100">
        <v>0</v>
      </c>
      <c r="AC14" s="100">
        <v>0</v>
      </c>
      <c r="AD14" s="100">
        <v>0</v>
      </c>
      <c r="AE14" s="100">
        <v>0</v>
      </c>
      <c r="AF14" s="100">
        <v>0</v>
      </c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  <c r="AV14" s="100"/>
      <c r="AW14" s="100"/>
      <c r="AX14" s="230"/>
      <c r="AY14" s="100"/>
      <c r="AZ14" s="100"/>
      <c r="BA14" s="100"/>
      <c r="BB14" s="100"/>
      <c r="BC14" s="276">
        <f t="shared" si="2"/>
        <v>0</v>
      </c>
      <c r="BD14" s="786">
        <f t="shared" ref="BD14:BD17" si="3">COUNTIF(X14:BB14,"&gt;0")</f>
        <v>0</v>
      </c>
      <c r="BE14" s="786">
        <f t="shared" ref="BE14:BE17" si="4">IFERROR(BC14/BD14,0)</f>
        <v>0</v>
      </c>
      <c r="BH14" s="436"/>
    </row>
    <row r="15" spans="1:61" s="38" customFormat="1" ht="15" customHeight="1">
      <c r="A15" s="91">
        <v>3</v>
      </c>
      <c r="B15" s="171" t="s">
        <v>90</v>
      </c>
      <c r="C15" s="171" t="s">
        <v>88</v>
      </c>
      <c r="D15" s="171">
        <v>25</v>
      </c>
      <c r="E15" s="100">
        <v>0</v>
      </c>
      <c r="F15" s="100">
        <f>SUMIF(pro!$A:$A,$V:$V,pro!$N:$N)</f>
        <v>0</v>
      </c>
      <c r="G15" s="100"/>
      <c r="H15" s="100">
        <f>SUMIF(CBIN!$A:$A,BRAN!$V:$V,CBIN!$G:$G)</f>
        <v>0</v>
      </c>
      <c r="I15" s="100">
        <f>SUMIF(data!$D:$D,$B15&amp;$D15,data!$J:$J)</f>
        <v>0</v>
      </c>
      <c r="J15" s="100">
        <f>SUMIF(data!$D:$D,$B15&amp;$D15,data!$K:$K)</f>
        <v>0</v>
      </c>
      <c r="K15" s="100">
        <f>SUMIF(AJOUT!$A:$A,BRAN!$V:$V,AJOUT!$L:$L)</f>
        <v>0</v>
      </c>
      <c r="L15" s="100">
        <f>SUMIF(CBOUT!$A:$A,BRAN!$V:$V,CBOUT!$G:$G)</f>
        <v>0</v>
      </c>
      <c r="M15" s="1158">
        <f t="shared" ref="M15:M34" si="5">E15+F15+H15-I15-L15+G15-K15</f>
        <v>0</v>
      </c>
      <c r="N15" s="652">
        <f t="shared" ref="N15:N85" si="6">M15*25</f>
        <v>0</v>
      </c>
      <c r="O15" s="1159">
        <f t="shared" ref="O15:O85" si="7">SUM(X15:BB15)</f>
        <v>0</v>
      </c>
      <c r="P15" s="804">
        <f>SUM(N18:N20,N55,N57:N58,N81:N81,N88:N95,N56,N82,N54)</f>
        <v>181925</v>
      </c>
      <c r="Q15" s="804">
        <f>SUM(O18:O20,O55,O57:O58,O81:O81,O88:O95,O56,O82,O54)</f>
        <v>423665</v>
      </c>
      <c r="R15" s="100">
        <f>O15/INTGRATE!$N$293</f>
        <v>0</v>
      </c>
      <c r="S15" s="665">
        <f t="shared" si="0"/>
        <v>0</v>
      </c>
      <c r="T15" s="403"/>
      <c r="U15" s="136"/>
      <c r="V15" s="836" t="str">
        <f t="shared" si="1"/>
        <v>157M (5*5)25</v>
      </c>
      <c r="W15" s="823">
        <v>300710</v>
      </c>
      <c r="X15" s="386"/>
      <c r="Y15" s="386">
        <v>0</v>
      </c>
      <c r="Z15" s="100">
        <v>0</v>
      </c>
      <c r="AA15" s="100">
        <v>0</v>
      </c>
      <c r="AB15" s="100">
        <v>0</v>
      </c>
      <c r="AC15" s="100">
        <v>0</v>
      </c>
      <c r="AD15" s="100">
        <v>0</v>
      </c>
      <c r="AE15" s="100">
        <v>0</v>
      </c>
      <c r="AF15" s="100">
        <v>0</v>
      </c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  <c r="AV15" s="100"/>
      <c r="AW15" s="100"/>
      <c r="AX15" s="230"/>
      <c r="AY15" s="100"/>
      <c r="AZ15" s="100"/>
      <c r="BA15" s="100"/>
      <c r="BB15" s="100"/>
      <c r="BC15" s="276">
        <f t="shared" si="2"/>
        <v>0</v>
      </c>
      <c r="BD15" s="786">
        <f t="shared" si="3"/>
        <v>0</v>
      </c>
      <c r="BE15" s="786">
        <f t="shared" si="4"/>
        <v>0</v>
      </c>
      <c r="BF15" s="85">
        <f>BC253+BC322+BC321+BC37+BC16+BC18+BC20+BC38+SUM(BC88:BC108)+SUM(BC176:BC176)+BC252+BC250+BC294+BC36+BC254+BC117+BC122+BC123+BC179+BC181+BC260+BC125+BC251+BC261+BC19+BC124</f>
        <v>454925</v>
      </c>
      <c r="BH15" s="436" t="s">
        <v>91</v>
      </c>
    </row>
    <row r="16" spans="1:61" s="268" customFormat="1" ht="15" customHeight="1">
      <c r="A16" s="91">
        <v>4</v>
      </c>
      <c r="B16" s="624" t="s">
        <v>92</v>
      </c>
      <c r="C16" s="624" t="s">
        <v>79</v>
      </c>
      <c r="D16" s="266">
        <v>25</v>
      </c>
      <c r="E16" s="100">
        <v>0</v>
      </c>
      <c r="F16" s="100">
        <f>SUMIF(pro!$A:$A,$V:$V,pro!$N:$N)</f>
        <v>0</v>
      </c>
      <c r="G16" s="100"/>
      <c r="H16" s="100">
        <f>SUMIF(CBIN!$A:$A,BRAN!$V:$V,CBIN!$G:$G)</f>
        <v>0</v>
      </c>
      <c r="I16" s="100">
        <f>SUMIF(data!$D:$D,$B16&amp;$D16,data!$J:$J)</f>
        <v>0</v>
      </c>
      <c r="J16" s="100">
        <f>SUMIF(data!$D:$D,$B16&amp;$D16,data!$K:$K)</f>
        <v>0</v>
      </c>
      <c r="K16" s="100">
        <f>SUMIF(AJOUT!$A:$A,BRAN!$V:$V,AJOUT!$L:$L)</f>
        <v>0</v>
      </c>
      <c r="L16" s="100">
        <f>SUMIF(CBOUT!$A:$A,BRAN!$V:$V,CBOUT!$G:$G)</f>
        <v>0</v>
      </c>
      <c r="M16" s="1158">
        <f t="shared" si="5"/>
        <v>0</v>
      </c>
      <c r="N16" s="652">
        <f t="shared" si="6"/>
        <v>0</v>
      </c>
      <c r="O16" s="1159">
        <f t="shared" si="7"/>
        <v>0</v>
      </c>
      <c r="P16" s="804">
        <f>SUM(N13:N149)-P13-P14-P15-P17-P18-P19</f>
        <v>558475</v>
      </c>
      <c r="Q16" s="804">
        <f>SUM(O13:O149)-Q13-Q14-Q15-Q17-Q18-Q19</f>
        <v>1142620</v>
      </c>
      <c r="R16" s="100">
        <f>O16/INTGRATE!$N$293</f>
        <v>0</v>
      </c>
      <c r="S16" s="665">
        <f t="shared" si="0"/>
        <v>0</v>
      </c>
      <c r="T16" s="403"/>
      <c r="U16" s="267"/>
      <c r="V16" s="836" t="str">
        <f t="shared" si="1"/>
        <v>351 (5*5)25</v>
      </c>
      <c r="W16" s="823">
        <v>314000</v>
      </c>
      <c r="X16" s="387"/>
      <c r="Y16" s="387">
        <v>0</v>
      </c>
      <c r="Z16" s="100">
        <v>0</v>
      </c>
      <c r="AA16" s="100">
        <v>0</v>
      </c>
      <c r="AB16" s="100">
        <v>0</v>
      </c>
      <c r="AC16" s="100">
        <v>0</v>
      </c>
      <c r="AD16" s="100">
        <v>0</v>
      </c>
      <c r="AE16" s="100">
        <v>0</v>
      </c>
      <c r="AF16" s="100">
        <v>0</v>
      </c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  <c r="AV16" s="100"/>
      <c r="AW16" s="100"/>
      <c r="AX16" s="230"/>
      <c r="AY16" s="100"/>
      <c r="AZ16" s="100"/>
      <c r="BA16" s="100"/>
      <c r="BB16" s="100"/>
      <c r="BC16" s="276">
        <f t="shared" si="2"/>
        <v>0</v>
      </c>
      <c r="BD16" s="786">
        <f t="shared" si="3"/>
        <v>0</v>
      </c>
      <c r="BE16" s="786">
        <f t="shared" si="4"/>
        <v>0</v>
      </c>
      <c r="BF16" s="1163">
        <f>+SUM(BC13:BC14)+SUM(BC23:BC24)+SUM(BC39:BC39)+SUM(BC109:BC131)+SUM(BC177:BC183)+SUM(BC255:BC264)+SUM(BC295:BC297)+SUM(BC323:BC325)-BC117-BC122-BC123-BC179-BC181-BC261-BC260-BC125-BC124</f>
        <v>1191190</v>
      </c>
      <c r="BG16" s="38"/>
      <c r="BH16" s="436" t="s">
        <v>93</v>
      </c>
      <c r="BI16" s="1163">
        <f>+BF15+BF16+BF17</f>
        <v>2181730</v>
      </c>
    </row>
    <row r="17" spans="1:151" s="268" customFormat="1" ht="15" customHeight="1">
      <c r="A17" s="91">
        <v>5</v>
      </c>
      <c r="B17" s="779" t="s">
        <v>94</v>
      </c>
      <c r="C17" s="779" t="s">
        <v>61</v>
      </c>
      <c r="D17" s="269">
        <v>25</v>
      </c>
      <c r="E17" s="100">
        <v>0</v>
      </c>
      <c r="F17" s="100">
        <f>SUMIF(pro!$A:$A,$V:$V,pro!$N:$N)</f>
        <v>0</v>
      </c>
      <c r="G17" s="100"/>
      <c r="H17" s="100">
        <f>SUMIF(CBIN!$A:$A,BRAN!$V:$V,CBIN!$G:$G)</f>
        <v>0</v>
      </c>
      <c r="I17" s="100">
        <f>SUMIF(data!$D:$D,$B17&amp;$D17,data!$J:$J)</f>
        <v>0</v>
      </c>
      <c r="J17" s="100">
        <f>SUMIF(data!$D:$D,$B17&amp;$D17,data!$K:$K)</f>
        <v>0</v>
      </c>
      <c r="K17" s="100">
        <f>SUMIF(AJOUT!$A:$A,BRAN!$V:$V,AJOUT!$L:$L)</f>
        <v>0</v>
      </c>
      <c r="L17" s="100">
        <f>SUMIF(CBOUT!$A:$A,BRAN!$V:$V,CBOUT!$G:$G)</f>
        <v>0</v>
      </c>
      <c r="M17" s="1158">
        <f t="shared" si="5"/>
        <v>0</v>
      </c>
      <c r="N17" s="652">
        <f t="shared" si="6"/>
        <v>0</v>
      </c>
      <c r="O17" s="1159">
        <f t="shared" si="7"/>
        <v>0</v>
      </c>
      <c r="P17" s="804">
        <f>+N17+SUM(N43:N46,N113:N125,N97:N102)-N114+SUM(N103:N108)</f>
        <v>315050</v>
      </c>
      <c r="Q17" s="804">
        <f>+O17+SUM(O43:O46,O113:O125,O97:O102)-O114+SUM(O103:O108)</f>
        <v>726410</v>
      </c>
      <c r="R17" s="100">
        <f>O17/INTGRATE!$N$293</f>
        <v>0</v>
      </c>
      <c r="S17" s="665">
        <f t="shared" si="0"/>
        <v>0</v>
      </c>
      <c r="T17" s="403"/>
      <c r="U17" s="267"/>
      <c r="V17" s="836" t="str">
        <f t="shared" si="1"/>
        <v>510M (5*5)25</v>
      </c>
      <c r="W17" s="823">
        <v>161201</v>
      </c>
      <c r="X17" s="387"/>
      <c r="Y17" s="387">
        <v>0</v>
      </c>
      <c r="Z17" s="100">
        <v>0</v>
      </c>
      <c r="AA17" s="100">
        <v>0</v>
      </c>
      <c r="AB17" s="100">
        <v>0</v>
      </c>
      <c r="AC17" s="100">
        <v>0</v>
      </c>
      <c r="AD17" s="100">
        <v>0</v>
      </c>
      <c r="AE17" s="100">
        <v>0</v>
      </c>
      <c r="AF17" s="100">
        <v>0</v>
      </c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230"/>
      <c r="AY17" s="100"/>
      <c r="AZ17" s="100"/>
      <c r="BA17" s="100"/>
      <c r="BB17" s="100"/>
      <c r="BC17" s="276">
        <f t="shared" si="2"/>
        <v>0</v>
      </c>
      <c r="BD17" s="786">
        <f t="shared" si="3"/>
        <v>0</v>
      </c>
      <c r="BE17" s="786">
        <f t="shared" si="4"/>
        <v>0</v>
      </c>
      <c r="BF17" s="1163">
        <f>+BC15+BC25+SUM(BC132:BC143)+SUM(BC184:BC186)+SUM(BC265:BC273)+SUM(BC298:BC299)</f>
        <v>535615</v>
      </c>
      <c r="BG17" s="38"/>
      <c r="BH17" s="436" t="s">
        <v>95</v>
      </c>
      <c r="BI17" s="1164"/>
      <c r="BJ17" s="1164"/>
      <c r="BK17" s="1164"/>
      <c r="BL17" s="1164"/>
      <c r="BM17" s="1164"/>
      <c r="BN17" s="1164"/>
      <c r="BO17" s="1164"/>
      <c r="BP17" s="1164"/>
      <c r="BQ17" s="1164"/>
      <c r="BR17" s="1164"/>
      <c r="BS17" s="1164"/>
      <c r="BT17" s="1164"/>
      <c r="BU17" s="1164"/>
      <c r="BV17" s="1164"/>
      <c r="BW17" s="1164"/>
      <c r="BX17" s="1164"/>
      <c r="BY17" s="1164"/>
      <c r="BZ17" s="1164"/>
      <c r="CA17" s="1164"/>
      <c r="CB17" s="1164"/>
      <c r="CC17" s="1164"/>
      <c r="CD17" s="1164"/>
      <c r="CE17" s="1164"/>
      <c r="CF17" s="1164"/>
      <c r="CG17" s="1164"/>
      <c r="CH17" s="1164"/>
      <c r="CI17" s="1164"/>
      <c r="CJ17" s="1164"/>
      <c r="CK17" s="1164"/>
      <c r="CL17" s="1164"/>
      <c r="CM17" s="1164"/>
      <c r="CN17" s="1164"/>
      <c r="CO17" s="1164"/>
      <c r="CP17" s="1164"/>
      <c r="CQ17" s="1164"/>
      <c r="CR17" s="1164"/>
      <c r="CS17" s="1164"/>
      <c r="CT17" s="1164"/>
      <c r="CU17" s="1164"/>
      <c r="CV17" s="1164"/>
      <c r="CW17" s="1164"/>
      <c r="CX17" s="1164"/>
      <c r="CY17" s="1164"/>
      <c r="CZ17" s="1164"/>
      <c r="DA17" s="1164"/>
      <c r="DB17" s="1164"/>
      <c r="DC17" s="1164"/>
      <c r="DD17" s="1164"/>
      <c r="DE17" s="1164"/>
      <c r="DF17" s="1164"/>
      <c r="DG17" s="1164"/>
      <c r="DH17" s="1164"/>
      <c r="DI17" s="1164"/>
      <c r="DJ17" s="1164"/>
      <c r="DK17" s="1164"/>
      <c r="DL17" s="1164"/>
      <c r="DM17" s="1164"/>
      <c r="DN17" s="1164"/>
      <c r="DO17" s="1164"/>
      <c r="DP17" s="1164"/>
      <c r="DQ17" s="1164"/>
      <c r="DR17" s="1164"/>
      <c r="DS17" s="1164"/>
      <c r="DT17" s="1164"/>
      <c r="DU17" s="1164"/>
      <c r="DV17" s="1164"/>
      <c r="DW17" s="1164"/>
      <c r="DX17" s="1164"/>
      <c r="DY17" s="1164"/>
      <c r="DZ17" s="1164"/>
      <c r="EA17" s="1164"/>
      <c r="EB17" s="1164"/>
      <c r="EC17" s="1164"/>
      <c r="ED17" s="1164"/>
      <c r="EE17" s="1164"/>
      <c r="EF17" s="1164"/>
      <c r="EG17" s="1164"/>
      <c r="EH17" s="1164"/>
      <c r="EI17" s="1164"/>
      <c r="EJ17" s="1164"/>
      <c r="EK17" s="1164"/>
      <c r="EL17" s="1164"/>
      <c r="EM17" s="1164"/>
      <c r="EN17" s="1164"/>
      <c r="EO17" s="1164"/>
      <c r="EP17" s="1164"/>
      <c r="EQ17" s="1164"/>
      <c r="ER17" s="1164"/>
      <c r="ES17" s="1164"/>
      <c r="ET17" s="1164"/>
      <c r="EU17" s="1164"/>
    </row>
    <row r="18" spans="1:151" s="268" customFormat="1" ht="15" customHeight="1">
      <c r="A18" s="91">
        <v>6</v>
      </c>
      <c r="B18" s="624" t="s">
        <v>96</v>
      </c>
      <c r="C18" s="624" t="s">
        <v>55</v>
      </c>
      <c r="D18" s="266">
        <v>25</v>
      </c>
      <c r="E18" s="100">
        <v>0</v>
      </c>
      <c r="F18" s="100">
        <f>SUMIF(pro!$A:$A,$V:$V,pro!$N:$N)</f>
        <v>0</v>
      </c>
      <c r="G18" s="100"/>
      <c r="H18" s="100">
        <f>SUMIF(CBIN!$A:$A,BRAN!$V:$V,CBIN!$G:$G)</f>
        <v>0</v>
      </c>
      <c r="I18" s="100">
        <f>SUMIF(data!$D:$D,$B18&amp;$D18,data!$J:$J)</f>
        <v>0</v>
      </c>
      <c r="J18" s="100">
        <f>SUMIF(data!$D:$D,$B18&amp;$D18,data!$K:$K)</f>
        <v>0</v>
      </c>
      <c r="K18" s="100">
        <f>SUMIF(AJOUT!$A:$A,BRAN!$V:$V,AJOUT!$L:$L)</f>
        <v>0</v>
      </c>
      <c r="L18" s="100">
        <f>SUMIF(CBOUT!$A:$A,BRAN!$V:$V,CBOUT!$G:$G)</f>
        <v>0</v>
      </c>
      <c r="M18" s="1158">
        <f>E18+F18+H18-I18-L18+G18-K18</f>
        <v>0</v>
      </c>
      <c r="N18" s="652">
        <f t="shared" si="6"/>
        <v>0</v>
      </c>
      <c r="O18" s="1159">
        <f t="shared" si="7"/>
        <v>0</v>
      </c>
      <c r="P18" s="804">
        <f>+SUM(N63:N74,N59:N60,N47:N52)</f>
        <v>40875</v>
      </c>
      <c r="Q18" s="804">
        <f>+SUM(O63:O74,O59:O60,O47:O52)</f>
        <v>171750</v>
      </c>
      <c r="R18" s="100">
        <f>O18/INTGRATE!$N$293</f>
        <v>0</v>
      </c>
      <c r="S18" s="665">
        <f t="shared" si="0"/>
        <v>0</v>
      </c>
      <c r="T18" s="403"/>
      <c r="U18" s="267"/>
      <c r="V18" s="836" t="str">
        <f t="shared" si="1"/>
        <v>550S (5*5)25</v>
      </c>
      <c r="W18" s="823">
        <v>312001</v>
      </c>
      <c r="X18" s="387"/>
      <c r="Y18" s="387">
        <v>0</v>
      </c>
      <c r="Z18" s="100">
        <v>0</v>
      </c>
      <c r="AA18" s="100">
        <v>0</v>
      </c>
      <c r="AB18" s="100">
        <v>0</v>
      </c>
      <c r="AC18" s="100">
        <v>0</v>
      </c>
      <c r="AD18" s="100">
        <v>0</v>
      </c>
      <c r="AE18" s="100">
        <v>0</v>
      </c>
      <c r="AF18" s="100">
        <v>0</v>
      </c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  <c r="AV18" s="100"/>
      <c r="AW18" s="100"/>
      <c r="AX18" s="230"/>
      <c r="AY18" s="100"/>
      <c r="AZ18" s="100"/>
      <c r="BA18" s="100"/>
      <c r="BB18" s="100"/>
      <c r="BC18" s="276">
        <f t="shared" ref="BC18:BC82" si="8">SUM(X18:BB18)</f>
        <v>0</v>
      </c>
      <c r="BD18" s="786">
        <f t="shared" ref="BD18:BD82" si="9">COUNTIF(X18:BB18,"&gt;0")</f>
        <v>0</v>
      </c>
      <c r="BE18" s="786">
        <f t="shared" ref="BE18:BE82" si="10">IFERROR(BC18/BD18,0)</f>
        <v>0</v>
      </c>
      <c r="BF18" s="1163">
        <f>BC226+BC225+BC50+BC219+BC220+BC49+BC46+BC53+BC45+BC231+BC229+BC42+BC47++BC48+BC51++BC52+BC55+BC56+BC60+BC168+BC316+BC169+BC221+BC228+BC223+BC217+BC222+BC218+BC227+BC224+BC54+BC230</f>
        <v>525970</v>
      </c>
      <c r="BG18" s="38"/>
      <c r="BH18" s="436" t="s">
        <v>97</v>
      </c>
      <c r="BI18" s="1164"/>
      <c r="BJ18" s="1164"/>
      <c r="BK18" s="1164"/>
      <c r="BL18" s="1164"/>
      <c r="BM18" s="1164"/>
      <c r="BN18" s="1164"/>
      <c r="BO18" s="1164"/>
      <c r="BP18" s="1164"/>
      <c r="BQ18" s="1164"/>
      <c r="BR18" s="1164"/>
      <c r="BS18" s="1164"/>
      <c r="BT18" s="1164"/>
      <c r="BU18" s="1164"/>
      <c r="BV18" s="1164"/>
      <c r="BW18" s="1164"/>
      <c r="BX18" s="1164"/>
      <c r="BY18" s="1164"/>
      <c r="BZ18" s="1164"/>
      <c r="CA18" s="1164"/>
      <c r="CB18" s="1164"/>
      <c r="CC18" s="1164"/>
      <c r="CD18" s="1164"/>
      <c r="CE18" s="1164"/>
      <c r="CF18" s="1164"/>
      <c r="CG18" s="1164"/>
      <c r="CH18" s="1164"/>
      <c r="CI18" s="1164"/>
      <c r="CJ18" s="1164"/>
      <c r="CK18" s="1164"/>
      <c r="CL18" s="1164"/>
      <c r="CM18" s="1164"/>
      <c r="CN18" s="1164"/>
      <c r="CO18" s="1164"/>
      <c r="CP18" s="1164"/>
      <c r="CQ18" s="1164"/>
      <c r="CR18" s="1164"/>
      <c r="CS18" s="1164"/>
      <c r="CT18" s="1164"/>
      <c r="CU18" s="1164"/>
      <c r="CV18" s="1164"/>
      <c r="CW18" s="1164"/>
      <c r="CX18" s="1164"/>
      <c r="CY18" s="1164"/>
      <c r="CZ18" s="1164"/>
      <c r="DA18" s="1164"/>
      <c r="DB18" s="1164"/>
      <c r="DC18" s="1164"/>
      <c r="DD18" s="1164"/>
      <c r="DE18" s="1164"/>
      <c r="DF18" s="1164"/>
      <c r="DG18" s="1164"/>
      <c r="DH18" s="1164"/>
      <c r="DI18" s="1164"/>
      <c r="DJ18" s="1164"/>
      <c r="DK18" s="1164"/>
      <c r="DL18" s="1164"/>
      <c r="DM18" s="1164"/>
      <c r="DN18" s="1164"/>
      <c r="DO18" s="1164"/>
      <c r="DP18" s="1164"/>
      <c r="DQ18" s="1164"/>
      <c r="DR18" s="1164"/>
      <c r="DS18" s="1164"/>
      <c r="DT18" s="1164"/>
      <c r="DU18" s="1164"/>
      <c r="DV18" s="1164"/>
      <c r="DW18" s="1164"/>
      <c r="DX18" s="1164"/>
      <c r="DY18" s="1164"/>
      <c r="DZ18" s="1164"/>
      <c r="EA18" s="1164"/>
      <c r="EB18" s="1164"/>
      <c r="EC18" s="1164"/>
      <c r="ED18" s="1164"/>
      <c r="EE18" s="1164"/>
      <c r="EF18" s="1164"/>
      <c r="EG18" s="1164"/>
      <c r="EH18" s="1164"/>
      <c r="EI18" s="1164"/>
      <c r="EJ18" s="1164"/>
      <c r="EK18" s="1164"/>
      <c r="EL18" s="1164"/>
      <c r="EM18" s="1164"/>
      <c r="EN18" s="1164"/>
      <c r="EO18" s="1164"/>
      <c r="EP18" s="1164"/>
      <c r="EQ18" s="1164"/>
      <c r="ER18" s="1164"/>
      <c r="ES18" s="1164"/>
      <c r="ET18" s="1164"/>
      <c r="EU18" s="1164"/>
    </row>
    <row r="19" spans="1:151" s="268" customFormat="1" ht="15" customHeight="1">
      <c r="A19" s="91">
        <v>7</v>
      </c>
      <c r="B19" s="624" t="s">
        <v>98</v>
      </c>
      <c r="C19" s="624" t="s">
        <v>55</v>
      </c>
      <c r="D19" s="266">
        <v>25</v>
      </c>
      <c r="E19" s="100">
        <v>0</v>
      </c>
      <c r="F19" s="100">
        <f>SUMIF(pro!$A:$A,$V:$V,pro!$N:$N)</f>
        <v>0</v>
      </c>
      <c r="G19" s="100"/>
      <c r="H19" s="100">
        <f>SUMIF(CBIN!$A:$A,BRAN!$V:$V,CBIN!$G:$G)</f>
        <v>0</v>
      </c>
      <c r="I19" s="100">
        <f>SUMIF(data!$D:$D,$B19&amp;$D19,data!$J:$J)</f>
        <v>0</v>
      </c>
      <c r="J19" s="100">
        <f>SUMIF(data!$D:$D,$B19&amp;$D19,data!$K:$K)</f>
        <v>0</v>
      </c>
      <c r="K19" s="100">
        <f>SUMIF(AJOUT!$A:$A,BRAN!$V:$V,AJOUT!$L:$L)</f>
        <v>0</v>
      </c>
      <c r="L19" s="100">
        <f>SUMIF(CBOUT!$A:$A,BRAN!$V:$V,CBOUT!$G:$G)</f>
        <v>0</v>
      </c>
      <c r="M19" s="1158">
        <f>E19+F19+H19-I19-L19+G19-K19</f>
        <v>0</v>
      </c>
      <c r="N19" s="652">
        <f t="shared" si="6"/>
        <v>0</v>
      </c>
      <c r="O19" s="1159">
        <f t="shared" si="7"/>
        <v>0</v>
      </c>
      <c r="P19" s="804">
        <f>+N42+N51+N52+N61+N62</f>
        <v>106075</v>
      </c>
      <c r="Q19" s="804">
        <f>+O42+O51+O52+O61+O62</f>
        <v>230645</v>
      </c>
      <c r="R19" s="100">
        <f>O19/INTGRATE!$N$293</f>
        <v>0</v>
      </c>
      <c r="S19" s="665">
        <f>IF(R19=0,0,N19/R19)</f>
        <v>0</v>
      </c>
      <c r="T19" s="403"/>
      <c r="U19" s="267"/>
      <c r="V19" s="836" t="str">
        <f t="shared" si="1"/>
        <v>550Pro (5*5)25</v>
      </c>
      <c r="W19" s="823">
        <v>312021</v>
      </c>
      <c r="X19" s="387"/>
      <c r="Y19" s="387">
        <v>0</v>
      </c>
      <c r="Z19" s="100">
        <v>0</v>
      </c>
      <c r="AA19" s="100">
        <v>0</v>
      </c>
      <c r="AB19" s="100">
        <v>0</v>
      </c>
      <c r="AC19" s="100">
        <v>0</v>
      </c>
      <c r="AD19" s="100">
        <v>0</v>
      </c>
      <c r="AE19" s="100">
        <v>0</v>
      </c>
      <c r="AF19" s="100">
        <v>0</v>
      </c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  <c r="AV19" s="100"/>
      <c r="AW19" s="100"/>
      <c r="AX19" s="230"/>
      <c r="AY19" s="100"/>
      <c r="AZ19" s="100"/>
      <c r="BA19" s="100"/>
      <c r="BB19" s="100"/>
      <c r="BC19" s="276">
        <f t="shared" si="8"/>
        <v>0</v>
      </c>
      <c r="BD19" s="786">
        <f t="shared" si="9"/>
        <v>0</v>
      </c>
      <c r="BE19" s="786">
        <f t="shared" si="10"/>
        <v>0</v>
      </c>
      <c r="BF19" s="1163"/>
      <c r="BG19" s="38"/>
      <c r="BH19" s="436"/>
      <c r="BI19" s="1164"/>
      <c r="BJ19" s="1164"/>
      <c r="BK19" s="1164"/>
      <c r="BL19" s="1164"/>
      <c r="BM19" s="1164"/>
      <c r="BN19" s="1164"/>
      <c r="BO19" s="1164"/>
      <c r="BP19" s="1164"/>
      <c r="BQ19" s="1164"/>
      <c r="BR19" s="1164"/>
      <c r="BS19" s="1164"/>
      <c r="BT19" s="1164"/>
      <c r="BU19" s="1164"/>
      <c r="BV19" s="1164"/>
      <c r="BW19" s="1164"/>
      <c r="BX19" s="1164"/>
      <c r="BY19" s="1164"/>
      <c r="BZ19" s="1164"/>
      <c r="CA19" s="1164"/>
      <c r="CB19" s="1164"/>
      <c r="CC19" s="1164"/>
      <c r="CD19" s="1164"/>
      <c r="CE19" s="1164"/>
      <c r="CF19" s="1164"/>
      <c r="CG19" s="1164"/>
      <c r="CH19" s="1164"/>
      <c r="CI19" s="1164"/>
      <c r="CJ19" s="1164"/>
      <c r="CK19" s="1164"/>
      <c r="CL19" s="1164"/>
      <c r="CM19" s="1164"/>
      <c r="CN19" s="1164"/>
      <c r="CO19" s="1164"/>
      <c r="CP19" s="1164"/>
      <c r="CQ19" s="1164"/>
      <c r="CR19" s="1164"/>
      <c r="CS19" s="1164"/>
      <c r="CT19" s="1164"/>
      <c r="CU19" s="1164"/>
      <c r="CV19" s="1164"/>
      <c r="CW19" s="1164"/>
      <c r="CX19" s="1164"/>
      <c r="CY19" s="1164"/>
      <c r="CZ19" s="1164"/>
      <c r="DA19" s="1164"/>
      <c r="DB19" s="1164"/>
      <c r="DC19" s="1164"/>
      <c r="DD19" s="1164"/>
      <c r="DE19" s="1164"/>
      <c r="DF19" s="1164"/>
      <c r="DG19" s="1164"/>
      <c r="DH19" s="1164"/>
      <c r="DI19" s="1164"/>
      <c r="DJ19" s="1164"/>
      <c r="DK19" s="1164"/>
      <c r="DL19" s="1164"/>
      <c r="DM19" s="1164"/>
      <c r="DN19" s="1164"/>
      <c r="DO19" s="1164"/>
      <c r="DP19" s="1164"/>
      <c r="DQ19" s="1164"/>
      <c r="DR19" s="1164"/>
      <c r="DS19" s="1164"/>
      <c r="DT19" s="1164"/>
      <c r="DU19" s="1164"/>
      <c r="DV19" s="1164"/>
      <c r="DW19" s="1164"/>
      <c r="DX19" s="1164"/>
      <c r="DY19" s="1164"/>
      <c r="DZ19" s="1164"/>
      <c r="EA19" s="1164"/>
      <c r="EB19" s="1164"/>
      <c r="EC19" s="1164"/>
      <c r="ED19" s="1164"/>
      <c r="EE19" s="1164"/>
      <c r="EF19" s="1164"/>
      <c r="EG19" s="1164"/>
      <c r="EH19" s="1164"/>
      <c r="EI19" s="1164"/>
      <c r="EJ19" s="1164"/>
      <c r="EK19" s="1164"/>
      <c r="EL19" s="1164"/>
      <c r="EM19" s="1164"/>
      <c r="EN19" s="1164"/>
      <c r="EO19" s="1164"/>
      <c r="EP19" s="1164"/>
      <c r="EQ19" s="1164"/>
      <c r="ER19" s="1164"/>
      <c r="ES19" s="1164"/>
      <c r="ET19" s="1164"/>
      <c r="EU19" s="1164"/>
    </row>
    <row r="20" spans="1:151" s="268" customFormat="1" ht="15" customHeight="1">
      <c r="A20" s="91">
        <v>8</v>
      </c>
      <c r="B20" s="624" t="s">
        <v>99</v>
      </c>
      <c r="C20" s="624" t="s">
        <v>55</v>
      </c>
      <c r="D20" s="266">
        <v>25</v>
      </c>
      <c r="E20" s="100">
        <v>40</v>
      </c>
      <c r="F20" s="100">
        <f>SUMIF(pro!$A:$A,$V:$V,pro!$N:$N)</f>
        <v>0</v>
      </c>
      <c r="G20" s="100"/>
      <c r="H20" s="100">
        <f>SUMIF(CBIN!$A:$A,BRAN!$V:$V,CBIN!$G:$G)</f>
        <v>0</v>
      </c>
      <c r="I20" s="100">
        <f>SUMIF(data!$D:$D,$B20&amp;$D20,data!$J:$J)</f>
        <v>0</v>
      </c>
      <c r="J20" s="100">
        <f>SUMIF(data!$D:$D,$B20&amp;$D20,data!$K:$K)</f>
        <v>0</v>
      </c>
      <c r="K20" s="100">
        <f>SUMIF(AJOUT!$A:$A,BRAN!$V:$V,AJOUT!$L:$L)</f>
        <v>0</v>
      </c>
      <c r="L20" s="100">
        <f>SUMIF(CBOUT!$A:$A,BRAN!$V:$V,CBOUT!$G:$G)</f>
        <v>0</v>
      </c>
      <c r="M20" s="1158">
        <f>E20+F20+H20-I20-L20+G20-K20</f>
        <v>40</v>
      </c>
      <c r="N20" s="652">
        <f t="shared" si="6"/>
        <v>1000</v>
      </c>
      <c r="O20" s="1159">
        <f t="shared" si="7"/>
        <v>2950</v>
      </c>
      <c r="P20" s="804"/>
      <c r="Q20" s="804"/>
      <c r="R20" s="100">
        <f>O20/INTGRATE!$N$293</f>
        <v>327.77777777777777</v>
      </c>
      <c r="S20" s="665">
        <f t="shared" si="0"/>
        <v>3.0508474576271185</v>
      </c>
      <c r="T20" s="403"/>
      <c r="U20" s="267"/>
      <c r="V20" s="836" t="str">
        <f t="shared" si="1"/>
        <v>551 (5*5)25</v>
      </c>
      <c r="W20" s="823">
        <v>314001</v>
      </c>
      <c r="X20" s="387"/>
      <c r="Y20" s="387">
        <v>0</v>
      </c>
      <c r="Z20" s="100">
        <v>0</v>
      </c>
      <c r="AA20" s="100">
        <v>0</v>
      </c>
      <c r="AB20" s="100">
        <v>925</v>
      </c>
      <c r="AC20" s="100">
        <v>625</v>
      </c>
      <c r="AD20" s="100">
        <v>600</v>
      </c>
      <c r="AE20" s="100">
        <v>800</v>
      </c>
      <c r="AF20" s="100">
        <v>0</v>
      </c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  <c r="AV20" s="100"/>
      <c r="AW20" s="100"/>
      <c r="AX20" s="230"/>
      <c r="AY20" s="100"/>
      <c r="AZ20" s="100"/>
      <c r="BA20" s="100"/>
      <c r="BB20" s="100"/>
      <c r="BC20" s="276">
        <f t="shared" si="8"/>
        <v>2950</v>
      </c>
      <c r="BD20" s="786">
        <f t="shared" si="9"/>
        <v>4</v>
      </c>
      <c r="BE20" s="786">
        <f t="shared" si="10"/>
        <v>737.5</v>
      </c>
      <c r="BF20" s="1163">
        <f>BC70+BC213+BC215+BC318+BC212+BC214+BC71+BC207+BC65+BC66+BC292+BC30+BC33+BC63+BC64+BC67+BC72+BC73+BC74+BC34+BC35+BC68+BC206+BC32+BC216+BC314+BC317+BC315+BC210+BC208+BC69+BC290+BC211+BC293+BC31+BC291+BC209</f>
        <v>200025</v>
      </c>
      <c r="BG20" s="38" t="s">
        <v>100</v>
      </c>
      <c r="BH20" s="436" t="s">
        <v>101</v>
      </c>
      <c r="BI20" s="1163">
        <f>+BF18+BF20+BF21</f>
        <v>784345</v>
      </c>
      <c r="BJ20" s="1164"/>
      <c r="BK20" s="1164"/>
      <c r="BL20" s="1164"/>
      <c r="BM20" s="1164"/>
      <c r="BN20" s="1164"/>
      <c r="BO20" s="1164"/>
      <c r="BP20" s="1164"/>
      <c r="BQ20" s="1164"/>
      <c r="BR20" s="1164"/>
      <c r="BS20" s="1164"/>
      <c r="BT20" s="1164"/>
      <c r="BU20" s="1164"/>
      <c r="BV20" s="1164"/>
      <c r="BW20" s="1164"/>
      <c r="BX20" s="1164"/>
      <c r="BY20" s="1164"/>
      <c r="BZ20" s="1164"/>
      <c r="CA20" s="1164"/>
      <c r="CB20" s="1164"/>
      <c r="CC20" s="1164"/>
      <c r="CD20" s="1164"/>
      <c r="CE20" s="1164"/>
      <c r="CF20" s="1164"/>
      <c r="CG20" s="1164"/>
      <c r="CH20" s="1164"/>
      <c r="CI20" s="1164"/>
      <c r="CJ20" s="1164"/>
      <c r="CK20" s="1164"/>
      <c r="CL20" s="1164"/>
      <c r="CM20" s="1164"/>
      <c r="CN20" s="1164"/>
      <c r="CO20" s="1164"/>
      <c r="CP20" s="1164"/>
      <c r="CQ20" s="1164"/>
      <c r="CR20" s="1164"/>
      <c r="CS20" s="1164"/>
      <c r="CT20" s="1164"/>
      <c r="CU20" s="1164"/>
      <c r="CV20" s="1164"/>
      <c r="CW20" s="1164"/>
      <c r="CX20" s="1164"/>
      <c r="CY20" s="1164"/>
      <c r="CZ20" s="1164"/>
      <c r="DA20" s="1164"/>
      <c r="DB20" s="1164"/>
      <c r="DC20" s="1164"/>
      <c r="DD20" s="1164"/>
      <c r="DE20" s="1164"/>
      <c r="DF20" s="1164"/>
      <c r="DG20" s="1164"/>
      <c r="DH20" s="1164"/>
      <c r="DI20" s="1164"/>
      <c r="DJ20" s="1164"/>
      <c r="DK20" s="1164"/>
      <c r="DL20" s="1164"/>
      <c r="DM20" s="1164"/>
      <c r="DN20" s="1164"/>
      <c r="DO20" s="1164"/>
      <c r="DP20" s="1164"/>
      <c r="DQ20" s="1164"/>
      <c r="DR20" s="1164"/>
      <c r="DS20" s="1164"/>
      <c r="DT20" s="1164"/>
      <c r="DU20" s="1164"/>
      <c r="DV20" s="1164"/>
      <c r="DW20" s="1164"/>
      <c r="DX20" s="1164"/>
      <c r="DY20" s="1164"/>
      <c r="DZ20" s="1164"/>
      <c r="EA20" s="1164"/>
      <c r="EB20" s="1164"/>
      <c r="EC20" s="1164"/>
      <c r="ED20" s="1164"/>
      <c r="EE20" s="1164"/>
      <c r="EF20" s="1164"/>
      <c r="EG20" s="1164"/>
      <c r="EH20" s="1164"/>
      <c r="EI20" s="1164"/>
      <c r="EJ20" s="1164"/>
      <c r="EK20" s="1164"/>
      <c r="EL20" s="1164"/>
      <c r="EM20" s="1164"/>
      <c r="EN20" s="1164"/>
      <c r="EO20" s="1164"/>
      <c r="EP20" s="1164"/>
      <c r="EQ20" s="1164"/>
      <c r="ER20" s="1164"/>
      <c r="ES20" s="1164"/>
      <c r="ET20" s="1164"/>
      <c r="EU20" s="1164"/>
    </row>
    <row r="21" spans="1:151" s="270" customFormat="1" ht="15" customHeight="1">
      <c r="A21" s="91">
        <v>9</v>
      </c>
      <c r="B21" s="360" t="s">
        <v>102</v>
      </c>
      <c r="C21" s="360" t="s">
        <v>64</v>
      </c>
      <c r="D21" s="1165">
        <v>25</v>
      </c>
      <c r="E21" s="100">
        <v>0</v>
      </c>
      <c r="F21" s="100">
        <f>SUMIF(pro!$A:$A,$V:$V,pro!$N:$N)</f>
        <v>0</v>
      </c>
      <c r="G21" s="100"/>
      <c r="H21" s="100">
        <f>SUMIF(CBIN!$A:$A,BRAN!$V:$V,CBIN!$G:$G)</f>
        <v>0</v>
      </c>
      <c r="I21" s="100">
        <f>SUMIF(data!$D:$D,$B21&amp;$D21,data!$J:$J)</f>
        <v>0</v>
      </c>
      <c r="J21" s="100">
        <f>SUMIF(data!$D:$D,$B21&amp;$D21,data!$K:$K)</f>
        <v>0</v>
      </c>
      <c r="K21" s="100">
        <f>SUMIF(AJOUT!$A:$A,BRAN!$V:$V,AJOUT!$L:$L)</f>
        <v>0</v>
      </c>
      <c r="L21" s="100">
        <f>SUMIF(CBOUT!$A:$A,BRAN!$V:$V,CBOUT!$G:$G)</f>
        <v>0</v>
      </c>
      <c r="M21" s="1158">
        <f>E21+F21+H21-I21-L21+G21-K21</f>
        <v>0</v>
      </c>
      <c r="N21" s="652">
        <f t="shared" si="6"/>
        <v>0</v>
      </c>
      <c r="O21" s="1159">
        <f t="shared" si="7"/>
        <v>0</v>
      </c>
      <c r="P21" s="804"/>
      <c r="Q21" s="804"/>
      <c r="R21" s="100">
        <f>O21/INTGRATE!$N$293</f>
        <v>0</v>
      </c>
      <c r="S21" s="665">
        <f t="shared" si="0"/>
        <v>0</v>
      </c>
      <c r="T21" s="403"/>
      <c r="U21" s="1166"/>
      <c r="V21" s="836" t="str">
        <f t="shared" si="1"/>
        <v>571 (5*5)25</v>
      </c>
      <c r="W21" s="823">
        <v>411001</v>
      </c>
      <c r="X21" s="388"/>
      <c r="Y21" s="388">
        <v>0</v>
      </c>
      <c r="Z21" s="100">
        <v>0</v>
      </c>
      <c r="AA21" s="100">
        <v>0</v>
      </c>
      <c r="AB21" s="100">
        <v>0</v>
      </c>
      <c r="AC21" s="100">
        <v>0</v>
      </c>
      <c r="AD21" s="100">
        <v>0</v>
      </c>
      <c r="AE21" s="100">
        <v>0</v>
      </c>
      <c r="AF21" s="100">
        <v>0</v>
      </c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  <c r="AV21" s="100"/>
      <c r="AW21" s="100"/>
      <c r="AX21" s="230"/>
      <c r="AY21" s="100"/>
      <c r="AZ21" s="100"/>
      <c r="BA21" s="100"/>
      <c r="BB21" s="100"/>
      <c r="BC21" s="276">
        <f t="shared" si="8"/>
        <v>0</v>
      </c>
      <c r="BD21" s="786">
        <f t="shared" si="9"/>
        <v>0</v>
      </c>
      <c r="BE21" s="786">
        <f t="shared" si="10"/>
        <v>0</v>
      </c>
      <c r="BF21" s="1163">
        <f>+BC17+BC43+BC44+BC57+BC58+BC59</f>
        <v>58350</v>
      </c>
      <c r="BG21" s="38" t="s">
        <v>103</v>
      </c>
      <c r="BH21" s="436" t="s">
        <v>104</v>
      </c>
      <c r="BI21" s="436"/>
      <c r="BJ21" s="1167"/>
      <c r="BK21" s="1167"/>
      <c r="BL21" s="1167"/>
      <c r="BM21" s="1167"/>
      <c r="BN21" s="1167"/>
      <c r="BO21" s="1167"/>
      <c r="BP21" s="1167"/>
      <c r="BQ21" s="1167"/>
      <c r="BR21" s="1167"/>
      <c r="BS21" s="1167"/>
      <c r="BT21" s="1167"/>
      <c r="BU21" s="1167"/>
      <c r="BV21" s="1167"/>
      <c r="BW21" s="1167"/>
      <c r="BX21" s="1167"/>
      <c r="BY21" s="1167"/>
      <c r="BZ21" s="1167"/>
      <c r="CA21" s="1167"/>
      <c r="CB21" s="1167"/>
      <c r="CC21" s="1167"/>
      <c r="CD21" s="1167"/>
      <c r="CE21" s="1167"/>
      <c r="CF21" s="1167"/>
      <c r="CG21" s="1167"/>
      <c r="CH21" s="1167"/>
      <c r="CI21" s="1167"/>
      <c r="CJ21" s="1167"/>
      <c r="CK21" s="1167"/>
      <c r="CL21" s="1167"/>
      <c r="CM21" s="1167"/>
      <c r="CN21" s="1167"/>
      <c r="CO21" s="1167"/>
      <c r="CP21" s="1167"/>
      <c r="CQ21" s="1167"/>
      <c r="CR21" s="1167"/>
      <c r="CS21" s="1167"/>
      <c r="CT21" s="1167"/>
      <c r="CU21" s="1167"/>
      <c r="CV21" s="1167"/>
      <c r="CW21" s="1167"/>
      <c r="CX21" s="1167"/>
      <c r="CY21" s="1167"/>
      <c r="CZ21" s="1167"/>
      <c r="DA21" s="1167"/>
      <c r="DB21" s="1167"/>
      <c r="DC21" s="1167"/>
      <c r="DD21" s="1167"/>
      <c r="DE21" s="1167"/>
      <c r="DF21" s="1167"/>
      <c r="DG21" s="1167"/>
      <c r="DH21" s="1167"/>
      <c r="DI21" s="1167"/>
      <c r="DJ21" s="1167"/>
      <c r="DK21" s="1167"/>
      <c r="DL21" s="1167"/>
      <c r="DM21" s="1167"/>
      <c r="DN21" s="1167"/>
      <c r="DO21" s="1167"/>
      <c r="DP21" s="1167"/>
      <c r="DQ21" s="1167"/>
      <c r="DR21" s="1167"/>
      <c r="DS21" s="1167"/>
      <c r="DT21" s="1167"/>
      <c r="DU21" s="1167"/>
      <c r="DV21" s="1167"/>
      <c r="DW21" s="1167"/>
      <c r="DX21" s="1167"/>
      <c r="DY21" s="1167"/>
      <c r="DZ21" s="1167"/>
      <c r="EA21" s="1167"/>
      <c r="EB21" s="1167"/>
      <c r="EC21" s="1167"/>
      <c r="ED21" s="1167"/>
      <c r="EE21" s="1167"/>
      <c r="EF21" s="1167"/>
      <c r="EG21" s="1167"/>
      <c r="EH21" s="1167"/>
      <c r="EI21" s="1167"/>
      <c r="EJ21" s="1167"/>
      <c r="EK21" s="1167"/>
      <c r="EL21" s="1167"/>
      <c r="EM21" s="1167"/>
      <c r="EN21" s="1167"/>
      <c r="EO21" s="1167"/>
      <c r="EP21" s="1167"/>
      <c r="EQ21" s="1167"/>
      <c r="ER21" s="1167"/>
      <c r="ES21" s="1167"/>
      <c r="ET21" s="1167"/>
      <c r="EU21" s="1167"/>
    </row>
    <row r="22" spans="1:151" s="270" customFormat="1" ht="15" customHeight="1">
      <c r="A22" s="91">
        <v>10</v>
      </c>
      <c r="B22" s="360" t="s">
        <v>105</v>
      </c>
      <c r="C22" s="360" t="s">
        <v>64</v>
      </c>
      <c r="D22" s="1165">
        <v>25</v>
      </c>
      <c r="E22" s="100">
        <v>0</v>
      </c>
      <c r="F22" s="100">
        <f>SUMIF(pro!$A:$A,$V:$V,pro!$N:$N)</f>
        <v>0</v>
      </c>
      <c r="G22" s="100"/>
      <c r="H22" s="100">
        <f>SUMIF(CBIN!$A:$A,BRAN!$V:$V,CBIN!$G:$G)</f>
        <v>0</v>
      </c>
      <c r="I22" s="100">
        <f>SUMIF(data!$D:$D,$B22&amp;$D22,data!$J:$J)</f>
        <v>0</v>
      </c>
      <c r="J22" s="100">
        <f>SUMIF(data!$D:$D,$B22&amp;$D22,data!$K:$K)</f>
        <v>0</v>
      </c>
      <c r="K22" s="100">
        <f>SUMIF(AJOUT!$A:$A,BRAN!$V:$V,AJOUT!$L:$L)</f>
        <v>0</v>
      </c>
      <c r="L22" s="100">
        <f>SUMIF(CBOUT!$A:$A,BRAN!$V:$V,CBOUT!$G:$G)</f>
        <v>0</v>
      </c>
      <c r="M22" s="1158">
        <f t="shared" si="5"/>
        <v>0</v>
      </c>
      <c r="N22" s="652">
        <f t="shared" si="6"/>
        <v>0</v>
      </c>
      <c r="O22" s="1159">
        <f t="shared" si="7"/>
        <v>0</v>
      </c>
      <c r="P22" s="427" t="s">
        <v>106</v>
      </c>
      <c r="Q22" s="427" t="s">
        <v>107</v>
      </c>
      <c r="R22" s="100">
        <f>O22/INTGRATE!$N$293</f>
        <v>0</v>
      </c>
      <c r="S22" s="665">
        <f t="shared" si="0"/>
        <v>0</v>
      </c>
      <c r="T22" s="403"/>
      <c r="U22" s="1166"/>
      <c r="V22" s="836" t="str">
        <f t="shared" si="1"/>
        <v>572 (5*5)25</v>
      </c>
      <c r="W22" s="823">
        <v>412001</v>
      </c>
      <c r="X22" s="388"/>
      <c r="Y22" s="388">
        <v>0</v>
      </c>
      <c r="Z22" s="100">
        <v>0</v>
      </c>
      <c r="AA22" s="100">
        <v>0</v>
      </c>
      <c r="AB22" s="100">
        <v>0</v>
      </c>
      <c r="AC22" s="100">
        <v>0</v>
      </c>
      <c r="AD22" s="100">
        <v>0</v>
      </c>
      <c r="AE22" s="100">
        <v>0</v>
      </c>
      <c r="AF22" s="100">
        <v>0</v>
      </c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  <c r="AV22" s="100"/>
      <c r="AW22" s="100"/>
      <c r="AX22" s="230"/>
      <c r="AY22" s="100"/>
      <c r="AZ22" s="100"/>
      <c r="BA22" s="100"/>
      <c r="BB22" s="100"/>
      <c r="BC22" s="276">
        <f t="shared" si="8"/>
        <v>0</v>
      </c>
      <c r="BD22" s="786">
        <f t="shared" si="9"/>
        <v>0</v>
      </c>
      <c r="BE22" s="786">
        <f t="shared" si="10"/>
        <v>0</v>
      </c>
      <c r="BF22" s="1168">
        <f>+BC75+BC81+BC86+BC245+BC249+BC82+BC83+BC171+BC84+BC85+BC172+BC170+BC319+BC320+BC247+BC246+BC248</f>
        <v>260375</v>
      </c>
      <c r="BG22" s="598"/>
      <c r="BH22" s="599" t="s">
        <v>108</v>
      </c>
      <c r="BI22" s="85">
        <f>+BF22+BF23+BF27+BF29</f>
        <v>292975</v>
      </c>
      <c r="BJ22" s="1167"/>
      <c r="BK22" s="1167"/>
      <c r="BL22" s="1167"/>
      <c r="BM22" s="1167"/>
      <c r="BN22" s="1167"/>
      <c r="BO22" s="1167"/>
      <c r="BP22" s="1167"/>
      <c r="BQ22" s="1167"/>
      <c r="BR22" s="1167"/>
      <c r="BS22" s="1167"/>
      <c r="BT22" s="1167"/>
      <c r="BU22" s="1167"/>
      <c r="BV22" s="1167"/>
      <c r="BW22" s="1167"/>
      <c r="BX22" s="1167"/>
      <c r="BY22" s="1167"/>
      <c r="BZ22" s="1167"/>
      <c r="CA22" s="1167"/>
      <c r="CB22" s="1167"/>
      <c r="CC22" s="1167"/>
      <c r="CD22" s="1167"/>
      <c r="CE22" s="1167"/>
      <c r="CF22" s="1167"/>
      <c r="CG22" s="1167"/>
      <c r="CH22" s="1167"/>
      <c r="CI22" s="1167"/>
      <c r="CJ22" s="1167"/>
      <c r="CK22" s="1167"/>
      <c r="CL22" s="1167"/>
      <c r="CM22" s="1167"/>
      <c r="CN22" s="1167"/>
      <c r="CO22" s="1167"/>
      <c r="CP22" s="1167"/>
      <c r="CQ22" s="1167"/>
      <c r="CR22" s="1167"/>
      <c r="CS22" s="1167"/>
      <c r="CT22" s="1167"/>
      <c r="CU22" s="1167"/>
      <c r="CV22" s="1167"/>
      <c r="CW22" s="1167"/>
      <c r="CX22" s="1167"/>
      <c r="CY22" s="1167"/>
      <c r="CZ22" s="1167"/>
      <c r="DA22" s="1167"/>
      <c r="DB22" s="1167"/>
      <c r="DC22" s="1167"/>
      <c r="DD22" s="1167"/>
      <c r="DE22" s="1167"/>
      <c r="DF22" s="1167"/>
      <c r="DG22" s="1167"/>
      <c r="DH22" s="1167"/>
      <c r="DI22" s="1167"/>
      <c r="DJ22" s="1167"/>
      <c r="DK22" s="1167"/>
      <c r="DL22" s="1167"/>
      <c r="DM22" s="1167"/>
      <c r="DN22" s="1167"/>
      <c r="DO22" s="1167"/>
      <c r="DP22" s="1167"/>
      <c r="DQ22" s="1167"/>
      <c r="DR22" s="1167"/>
      <c r="DS22" s="1167"/>
      <c r="DT22" s="1167"/>
      <c r="DU22" s="1167"/>
      <c r="DV22" s="1167"/>
      <c r="DW22" s="1167"/>
      <c r="DX22" s="1167"/>
      <c r="DY22" s="1167"/>
      <c r="DZ22" s="1167"/>
      <c r="EA22" s="1167"/>
      <c r="EB22" s="1167"/>
      <c r="EC22" s="1167"/>
      <c r="ED22" s="1167"/>
      <c r="EE22" s="1167"/>
      <c r="EF22" s="1167"/>
      <c r="EG22" s="1167"/>
      <c r="EH22" s="1167"/>
      <c r="EI22" s="1167"/>
      <c r="EJ22" s="1167"/>
      <c r="EK22" s="1167"/>
      <c r="EL22" s="1167"/>
      <c r="EM22" s="1167"/>
      <c r="EN22" s="1167"/>
      <c r="EO22" s="1167"/>
      <c r="EP22" s="1167"/>
      <c r="EQ22" s="1167"/>
      <c r="ER22" s="1167"/>
      <c r="ES22" s="1167"/>
      <c r="ET22" s="1167"/>
      <c r="EU22" s="1167"/>
    </row>
    <row r="23" spans="1:151" s="38" customFormat="1" ht="15" customHeight="1">
      <c r="A23" s="91">
        <v>11</v>
      </c>
      <c r="B23" s="94" t="s">
        <v>109</v>
      </c>
      <c r="C23" s="94" t="s">
        <v>88</v>
      </c>
      <c r="D23" s="91">
        <v>25</v>
      </c>
      <c r="E23" s="100">
        <v>0</v>
      </c>
      <c r="F23" s="100">
        <f>SUMIF(pro!$A:$A,$V:$V,pro!$N:$N)</f>
        <v>0</v>
      </c>
      <c r="G23" s="100"/>
      <c r="H23" s="100">
        <f>SUMIF(CBIN!$A:$A,BRAN!$V:$V,CBIN!$G:$G)</f>
        <v>0</v>
      </c>
      <c r="I23" s="100">
        <f>SUMIF(data!$D:$D,$B23&amp;$D23,data!$J:$J)</f>
        <v>0</v>
      </c>
      <c r="J23" s="100">
        <f>SUMIF(data!$D:$D,$B23&amp;$D23,data!$K:$K)</f>
        <v>0</v>
      </c>
      <c r="K23" s="100">
        <f>SUMIF(AJOUT!$A:$A,BRAN!$V:$V,AJOUT!$L:$L)</f>
        <v>0</v>
      </c>
      <c r="L23" s="100">
        <f>SUMIF(CBOUT!$A:$A,BRAN!$V:$V,CBOUT!$G:$G)</f>
        <v>0</v>
      </c>
      <c r="M23" s="1158">
        <f t="shared" si="5"/>
        <v>0</v>
      </c>
      <c r="N23" s="652">
        <f t="shared" si="6"/>
        <v>0</v>
      </c>
      <c r="O23" s="1159">
        <f t="shared" si="7"/>
        <v>0</v>
      </c>
      <c r="P23" s="804">
        <f>P15+P168+P216+P295+P319</f>
        <v>198425</v>
      </c>
      <c r="Q23" s="804">
        <f>Q15+Q168+Q216+Q295+Q319</f>
        <v>453790</v>
      </c>
      <c r="R23" s="100">
        <f>O23/INTGRATE!$N$293</f>
        <v>0</v>
      </c>
      <c r="S23" s="665">
        <f t="shared" si="0"/>
        <v>0</v>
      </c>
      <c r="T23" s="403" t="s">
        <v>110</v>
      </c>
      <c r="U23" s="136"/>
      <c r="V23" s="836" t="str">
        <f t="shared" si="1"/>
        <v>150S25</v>
      </c>
      <c r="W23" s="823">
        <v>300010</v>
      </c>
      <c r="X23" s="386"/>
      <c r="Y23" s="386">
        <v>0</v>
      </c>
      <c r="Z23" s="100">
        <v>0</v>
      </c>
      <c r="AA23" s="100">
        <v>0</v>
      </c>
      <c r="AB23" s="100">
        <v>0</v>
      </c>
      <c r="AC23" s="100">
        <v>0</v>
      </c>
      <c r="AD23" s="100">
        <v>0</v>
      </c>
      <c r="AE23" s="100">
        <v>0</v>
      </c>
      <c r="AF23" s="100">
        <v>0</v>
      </c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  <c r="AV23" s="100"/>
      <c r="AW23" s="100"/>
      <c r="AX23" s="230"/>
      <c r="AY23" s="100"/>
      <c r="AZ23" s="100"/>
      <c r="BA23" s="100"/>
      <c r="BB23" s="100"/>
      <c r="BC23" s="276">
        <f t="shared" si="8"/>
        <v>0</v>
      </c>
      <c r="BD23" s="786">
        <f t="shared" si="9"/>
        <v>0</v>
      </c>
      <c r="BE23" s="786">
        <f t="shared" si="10"/>
        <v>0</v>
      </c>
      <c r="BF23" s="600">
        <f>+BC87</f>
        <v>0</v>
      </c>
      <c r="BG23" s="598"/>
      <c r="BH23" s="599" t="s">
        <v>111</v>
      </c>
      <c r="BI23" s="85"/>
    </row>
    <row r="24" spans="1:151" s="38" customFormat="1" ht="15" customHeight="1">
      <c r="A24" s="91">
        <v>12</v>
      </c>
      <c r="B24" s="94">
        <v>151</v>
      </c>
      <c r="C24" s="94" t="s">
        <v>88</v>
      </c>
      <c r="D24" s="91">
        <v>25</v>
      </c>
      <c r="E24" s="100">
        <v>0</v>
      </c>
      <c r="F24" s="100">
        <f>SUMIF(pro!$A:$A,$V:$V,pro!$N:$N)</f>
        <v>0</v>
      </c>
      <c r="G24" s="100"/>
      <c r="H24" s="100">
        <f>SUMIF(CBIN!$A:$A,BRAN!$V:$V,CBIN!$G:$G)</f>
        <v>0</v>
      </c>
      <c r="I24" s="100">
        <f>SUMIF(data!$D:$D,$B24&amp;$D24,data!$J:$J)</f>
        <v>0</v>
      </c>
      <c r="J24" s="100">
        <f>SUMIF(data!$D:$D,$B24&amp;$D24,data!$K:$K)</f>
        <v>0</v>
      </c>
      <c r="K24" s="100">
        <f>SUMIF(AJOUT!$A:$A,BRAN!$V:$V,AJOUT!$L:$L)</f>
        <v>0</v>
      </c>
      <c r="L24" s="100">
        <f>SUMIF(CBOUT!$A:$A,BRAN!$V:$V,CBOUT!$G:$G)</f>
        <v>0</v>
      </c>
      <c r="M24" s="1158">
        <f t="shared" si="5"/>
        <v>0</v>
      </c>
      <c r="N24" s="652">
        <f t="shared" si="6"/>
        <v>0</v>
      </c>
      <c r="O24" s="1159">
        <f t="shared" si="7"/>
        <v>0</v>
      </c>
      <c r="P24" s="427" t="s">
        <v>112</v>
      </c>
      <c r="Q24" s="427" t="s">
        <v>113</v>
      </c>
      <c r="R24" s="100">
        <f>O24/INTGRATE!$N$293</f>
        <v>0</v>
      </c>
      <c r="S24" s="665">
        <f t="shared" si="0"/>
        <v>0</v>
      </c>
      <c r="T24" s="403"/>
      <c r="U24" s="136"/>
      <c r="V24" s="836" t="str">
        <f t="shared" si="1"/>
        <v>15125</v>
      </c>
      <c r="W24" s="823">
        <v>300400</v>
      </c>
      <c r="X24" s="386"/>
      <c r="Y24" s="386">
        <v>0</v>
      </c>
      <c r="Z24" s="100">
        <v>0</v>
      </c>
      <c r="AA24" s="100">
        <v>0</v>
      </c>
      <c r="AB24" s="100">
        <v>0</v>
      </c>
      <c r="AC24" s="100">
        <v>0</v>
      </c>
      <c r="AD24" s="100">
        <v>0</v>
      </c>
      <c r="AE24" s="100">
        <v>0</v>
      </c>
      <c r="AF24" s="100">
        <v>0</v>
      </c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  <c r="AV24" s="100"/>
      <c r="AW24" s="100"/>
      <c r="AX24" s="230"/>
      <c r="AY24" s="100"/>
      <c r="AZ24" s="100"/>
      <c r="BA24" s="100"/>
      <c r="BB24" s="100"/>
      <c r="BC24" s="276">
        <f t="shared" si="8"/>
        <v>0</v>
      </c>
      <c r="BD24" s="786">
        <f t="shared" si="9"/>
        <v>0</v>
      </c>
      <c r="BE24" s="786">
        <f t="shared" si="10"/>
        <v>0</v>
      </c>
      <c r="BF24" s="85">
        <f>+BC26+BC29+BC27+BC232+BC61+BC62+BC28</f>
        <v>92420</v>
      </c>
      <c r="BH24" s="436" t="s">
        <v>114</v>
      </c>
    </row>
    <row r="25" spans="1:151" s="38" customFormat="1" ht="15" customHeight="1">
      <c r="A25" s="91">
        <v>13</v>
      </c>
      <c r="B25" s="171" t="s">
        <v>115</v>
      </c>
      <c r="C25" s="171" t="s">
        <v>88</v>
      </c>
      <c r="D25" s="171">
        <v>25</v>
      </c>
      <c r="E25" s="100">
        <v>0</v>
      </c>
      <c r="F25" s="100">
        <f>SUMIF(pro!$A:$A,$V:$V,pro!$N:$N)</f>
        <v>0</v>
      </c>
      <c r="G25" s="100"/>
      <c r="H25" s="100">
        <f>SUMIF(CBIN!$A:$A,BRAN!$V:$V,CBIN!$G:$G)</f>
        <v>0</v>
      </c>
      <c r="I25" s="100">
        <f>SUMIF(data!$D:$D,$B25&amp;$D25,data!$J:$J)</f>
        <v>0</v>
      </c>
      <c r="J25" s="100">
        <f>SUMIF(data!$D:$D,$B25&amp;$D25,data!$K:$K)</f>
        <v>0</v>
      </c>
      <c r="K25" s="100">
        <f>SUMIF(AJOUT!$A:$A,BRAN!$V:$V,AJOUT!$L:$L)</f>
        <v>0</v>
      </c>
      <c r="L25" s="100">
        <f>SUMIF(CBOUT!$A:$A,BRAN!$V:$V,CBOUT!$G:$G)</f>
        <v>0</v>
      </c>
      <c r="M25" s="1158">
        <f t="shared" si="5"/>
        <v>0</v>
      </c>
      <c r="N25" s="652">
        <f t="shared" si="6"/>
        <v>0</v>
      </c>
      <c r="O25" s="1159">
        <f t="shared" si="7"/>
        <v>0</v>
      </c>
      <c r="P25" s="804">
        <f>+P17+P170+P232+P296+P323</f>
        <v>376725</v>
      </c>
      <c r="Q25" s="804">
        <f>+Q17+Q170+Q232+Q296+Q323</f>
        <v>891585</v>
      </c>
      <c r="R25" s="100">
        <f>O25/INTGRATE!$N$293</f>
        <v>0</v>
      </c>
      <c r="S25" s="665">
        <f t="shared" si="0"/>
        <v>0</v>
      </c>
      <c r="T25" s="403"/>
      <c r="U25" s="136"/>
      <c r="V25" s="836" t="str">
        <f t="shared" si="1"/>
        <v>157M25</v>
      </c>
      <c r="W25" s="823">
        <v>300710</v>
      </c>
      <c r="X25" s="386"/>
      <c r="Y25" s="386">
        <v>0</v>
      </c>
      <c r="Z25" s="100">
        <v>0</v>
      </c>
      <c r="AA25" s="100">
        <v>0</v>
      </c>
      <c r="AB25" s="100">
        <v>0</v>
      </c>
      <c r="AC25" s="100">
        <v>0</v>
      </c>
      <c r="AD25" s="100">
        <v>0</v>
      </c>
      <c r="AE25" s="100">
        <v>0</v>
      </c>
      <c r="AF25" s="100">
        <v>0</v>
      </c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230"/>
      <c r="AY25" s="100"/>
      <c r="AZ25" s="100"/>
      <c r="BA25" s="100"/>
      <c r="BB25" s="100"/>
      <c r="BC25" s="276">
        <f t="shared" si="8"/>
        <v>0</v>
      </c>
      <c r="BD25" s="786">
        <f t="shared" si="9"/>
        <v>0</v>
      </c>
      <c r="BE25" s="786">
        <f t="shared" si="10"/>
        <v>0</v>
      </c>
      <c r="BF25" s="85">
        <f>BC237+BC241+BC242+BC243+BC238+BC239+BC240+BC235+BC236+BC244+BC233+BC21+BC22+BC40+BC144+BC149+BC166+BC167+BC192+BC187+BC189+BC41+BC146+BC147+BC188+BC148+BC326+BC329+BC327+BC328+BC234+BC145</f>
        <v>262545</v>
      </c>
      <c r="BH25" s="436" t="s">
        <v>116</v>
      </c>
      <c r="BI25" s="85">
        <f>+BF24+BF25+BF26-BF32</f>
        <v>335920</v>
      </c>
    </row>
    <row r="26" spans="1:151" s="95" customFormat="1" ht="15" customHeight="1">
      <c r="A26" s="91">
        <v>14</v>
      </c>
      <c r="B26" s="159">
        <v>301</v>
      </c>
      <c r="C26" s="159" t="s">
        <v>79</v>
      </c>
      <c r="D26" s="160">
        <v>25</v>
      </c>
      <c r="E26" s="100">
        <v>917</v>
      </c>
      <c r="F26" s="100">
        <f>SUMIF(pro!$A:$A,$V:$V,pro!$N:$N)</f>
        <v>0</v>
      </c>
      <c r="G26" s="100"/>
      <c r="H26" s="100">
        <f>SUMIF(CBIN!$A:$A,BRAN!$V:$V,CBIN!$G:$G)</f>
        <v>0</v>
      </c>
      <c r="I26" s="100">
        <f>SUMIF(data!$D:$D,$B26&amp;$D26,data!$J:$J)</f>
        <v>0</v>
      </c>
      <c r="J26" s="100">
        <f>SUMIF(data!$D:$D,$B26&amp;$D26,data!$K:$K)</f>
        <v>0</v>
      </c>
      <c r="K26" s="100">
        <f>SUMIF(AJOUT!$A:$A,BRAN!$V:$V,AJOUT!$L:$L)</f>
        <v>0</v>
      </c>
      <c r="L26" s="100">
        <f>SUMIF(CBOUT!$A:$A,BRAN!$V:$V,CBOUT!$G:$G)</f>
        <v>0</v>
      </c>
      <c r="M26" s="1158">
        <f t="shared" si="5"/>
        <v>917</v>
      </c>
      <c r="N26" s="652">
        <f t="shared" si="6"/>
        <v>22925</v>
      </c>
      <c r="O26" s="1159">
        <f t="shared" si="7"/>
        <v>31275</v>
      </c>
      <c r="P26" s="804"/>
      <c r="Q26" s="804"/>
      <c r="R26" s="100">
        <f>O26/INTGRATE!$N$293</f>
        <v>3475</v>
      </c>
      <c r="S26" s="665">
        <f t="shared" si="0"/>
        <v>6.5971223021582732</v>
      </c>
      <c r="T26" s="403"/>
      <c r="U26" s="136"/>
      <c r="V26" s="836" t="str">
        <f t="shared" si="1"/>
        <v>30125</v>
      </c>
      <c r="W26" s="823">
        <v>542000</v>
      </c>
      <c r="X26" s="386"/>
      <c r="Y26" s="386">
        <v>625</v>
      </c>
      <c r="Z26" s="100">
        <v>7250</v>
      </c>
      <c r="AA26" s="100">
        <v>11775</v>
      </c>
      <c r="AB26" s="100">
        <v>0</v>
      </c>
      <c r="AC26" s="100">
        <v>1125</v>
      </c>
      <c r="AD26" s="100">
        <v>7250</v>
      </c>
      <c r="AE26" s="100">
        <v>750</v>
      </c>
      <c r="AF26" s="100">
        <v>2500</v>
      </c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  <c r="AV26" s="100"/>
      <c r="AW26" s="100"/>
      <c r="AX26" s="230"/>
      <c r="AY26" s="100"/>
      <c r="AZ26" s="100"/>
      <c r="BA26" s="100"/>
      <c r="BB26" s="100"/>
      <c r="BC26" s="276">
        <f t="shared" si="8"/>
        <v>31275</v>
      </c>
      <c r="BD26" s="786">
        <f t="shared" si="9"/>
        <v>7</v>
      </c>
      <c r="BE26" s="786">
        <f t="shared" si="10"/>
        <v>4467.8571428571431</v>
      </c>
      <c r="BF26" s="85">
        <f>+BC190+BC191+BC330</f>
        <v>7725</v>
      </c>
      <c r="BG26" s="38"/>
      <c r="BH26" s="436" t="s">
        <v>117</v>
      </c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  <c r="BZ26" s="38"/>
      <c r="CA26" s="38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8"/>
      <c r="DK26" s="38"/>
      <c r="DL26" s="38"/>
      <c r="DM26" s="38"/>
      <c r="DN26" s="38"/>
      <c r="DO26" s="38"/>
      <c r="DP26" s="38"/>
      <c r="DQ26" s="38"/>
      <c r="DR26" s="38"/>
      <c r="DS26" s="38"/>
      <c r="DT26" s="38"/>
      <c r="DU26" s="38"/>
      <c r="DV26" s="38"/>
      <c r="DW26" s="38"/>
      <c r="DX26" s="38"/>
      <c r="DY26" s="38"/>
      <c r="DZ26" s="38"/>
      <c r="EA26" s="38"/>
      <c r="EB26" s="38"/>
      <c r="EC26" s="38"/>
      <c r="ED26" s="38"/>
      <c r="EE26" s="38"/>
      <c r="EF26" s="38"/>
      <c r="EG26" s="38"/>
      <c r="EH26" s="38"/>
      <c r="EI26" s="38"/>
      <c r="EJ26" s="38"/>
      <c r="EK26" s="38"/>
      <c r="EL26" s="38"/>
      <c r="EM26" s="38"/>
      <c r="EN26" s="38"/>
      <c r="EO26" s="38"/>
      <c r="EP26" s="38"/>
      <c r="EQ26" s="38"/>
      <c r="ER26" s="38"/>
      <c r="ES26" s="38"/>
      <c r="ET26" s="38"/>
      <c r="EU26" s="38"/>
    </row>
    <row r="27" spans="1:151" s="95" customFormat="1" ht="15" customHeight="1">
      <c r="A27" s="91">
        <v>15</v>
      </c>
      <c r="B27" s="159" t="s">
        <v>118</v>
      </c>
      <c r="C27" s="159" t="s">
        <v>79</v>
      </c>
      <c r="D27" s="160">
        <v>25</v>
      </c>
      <c r="E27" s="100">
        <v>0</v>
      </c>
      <c r="F27" s="100">
        <f>SUMIF(pro!$A:$A,$V:$V,pro!$N:$N)</f>
        <v>0</v>
      </c>
      <c r="G27" s="100"/>
      <c r="H27" s="100">
        <f>SUMIF(CBIN!$A:$A,BRAN!$V:$V,CBIN!$G:$G)</f>
        <v>0</v>
      </c>
      <c r="I27" s="100">
        <f>SUMIF(data!$D:$D,$B27&amp;$D27,data!$J:$J)</f>
        <v>0</v>
      </c>
      <c r="J27" s="100">
        <f>SUMIF(data!$D:$D,$B27&amp;$D27,data!$K:$K)</f>
        <v>0</v>
      </c>
      <c r="K27" s="100">
        <f>SUMIF(AJOUT!$A:$A,BRAN!$V:$V,AJOUT!$L:$L)</f>
        <v>0</v>
      </c>
      <c r="L27" s="100">
        <f>SUMIF(CBOUT!$A:$A,BRAN!$V:$V,CBOUT!$G:$G)</f>
        <v>0</v>
      </c>
      <c r="M27" s="1158">
        <f t="shared" si="5"/>
        <v>0</v>
      </c>
      <c r="N27" s="652">
        <f t="shared" si="6"/>
        <v>0</v>
      </c>
      <c r="O27" s="1159">
        <f t="shared" si="7"/>
        <v>0</v>
      </c>
      <c r="P27" s="804"/>
      <c r="Q27" s="804"/>
      <c r="R27" s="100">
        <f>O27/INTGRATE!$N$293</f>
        <v>0</v>
      </c>
      <c r="S27" s="665">
        <f t="shared" si="0"/>
        <v>0</v>
      </c>
      <c r="T27" s="403"/>
      <c r="U27" s="136"/>
      <c r="V27" s="836" t="str">
        <f t="shared" si="1"/>
        <v>301A25</v>
      </c>
      <c r="W27" s="823">
        <v>542001</v>
      </c>
      <c r="X27" s="386"/>
      <c r="Y27" s="386">
        <v>0</v>
      </c>
      <c r="Z27" s="100">
        <v>0</v>
      </c>
      <c r="AA27" s="100">
        <v>0</v>
      </c>
      <c r="AB27" s="100">
        <v>0</v>
      </c>
      <c r="AC27" s="100">
        <v>0</v>
      </c>
      <c r="AD27" s="100">
        <v>0</v>
      </c>
      <c r="AE27" s="100">
        <v>0</v>
      </c>
      <c r="AF27" s="100">
        <v>0</v>
      </c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  <c r="AV27" s="100"/>
      <c r="AW27" s="100"/>
      <c r="AX27" s="230"/>
      <c r="AY27" s="100"/>
      <c r="AZ27" s="100"/>
      <c r="BA27" s="100"/>
      <c r="BB27" s="100"/>
      <c r="BC27" s="276">
        <f t="shared" si="8"/>
        <v>0</v>
      </c>
      <c r="BD27" s="786">
        <f t="shared" si="9"/>
        <v>0</v>
      </c>
      <c r="BE27" s="786">
        <f t="shared" si="10"/>
        <v>0</v>
      </c>
      <c r="BF27" s="600">
        <f>+BC78+BC275+BC174+BC79+BC77+BC80+BC175+BC274+BC173</f>
        <v>32600</v>
      </c>
      <c r="BG27" s="598"/>
      <c r="BH27" s="599" t="s">
        <v>119</v>
      </c>
      <c r="BI27" s="85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8"/>
      <c r="BU27" s="38"/>
      <c r="BV27" s="38"/>
      <c r="BW27" s="38"/>
      <c r="BX27" s="38"/>
      <c r="BY27" s="38"/>
      <c r="BZ27" s="38"/>
      <c r="CA27" s="38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8"/>
      <c r="DK27" s="38"/>
      <c r="DL27" s="38"/>
      <c r="DM27" s="38"/>
      <c r="DN27" s="38"/>
      <c r="DO27" s="38"/>
      <c r="DP27" s="38"/>
      <c r="DQ27" s="38"/>
      <c r="DR27" s="38"/>
      <c r="DS27" s="38"/>
      <c r="DT27" s="38"/>
      <c r="DU27" s="38"/>
      <c r="DV27" s="38"/>
      <c r="DW27" s="38"/>
      <c r="DX27" s="38"/>
      <c r="DY27" s="38"/>
      <c r="DZ27" s="38"/>
      <c r="EA27" s="38"/>
      <c r="EB27" s="38"/>
      <c r="EC27" s="38"/>
      <c r="ED27" s="38"/>
      <c r="EE27" s="38"/>
      <c r="EF27" s="38"/>
      <c r="EG27" s="38"/>
      <c r="EH27" s="38"/>
      <c r="EI27" s="38"/>
      <c r="EJ27" s="38"/>
      <c r="EK27" s="38"/>
      <c r="EL27" s="38"/>
      <c r="EM27" s="38"/>
      <c r="EN27" s="38"/>
      <c r="EO27" s="38"/>
      <c r="EP27" s="38"/>
      <c r="EQ27" s="38"/>
      <c r="ER27" s="38"/>
      <c r="ES27" s="38"/>
      <c r="ET27" s="38"/>
      <c r="EU27" s="38"/>
    </row>
    <row r="28" spans="1:151" s="95" customFormat="1" ht="15" customHeight="1">
      <c r="A28" s="91">
        <v>16</v>
      </c>
      <c r="B28" s="159" t="s">
        <v>120</v>
      </c>
      <c r="C28" s="159" t="s">
        <v>79</v>
      </c>
      <c r="D28" s="160">
        <v>25</v>
      </c>
      <c r="E28" s="100">
        <v>0</v>
      </c>
      <c r="F28" s="100">
        <f>SUMIF(pro!$A:$A,$V:$V,pro!$N:$N)</f>
        <v>0</v>
      </c>
      <c r="G28" s="100"/>
      <c r="H28" s="100"/>
      <c r="I28" s="100">
        <f>SUMIF(data!$D:$D,$B28&amp;$D28,data!$J:$J)</f>
        <v>0</v>
      </c>
      <c r="J28" s="100">
        <f>SUMIF(data!$D:$D,$B28&amp;$D28,data!$K:$K)</f>
        <v>0</v>
      </c>
      <c r="K28" s="100">
        <f>SUMIF(AJOUT!$A:$A,BRAN!$V:$V,AJOUT!$L:$L)</f>
        <v>0</v>
      </c>
      <c r="L28" s="100">
        <f>SUMIF(CBOUT!$A:$A,BRAN!$V:$V,CBOUT!$G:$G)</f>
        <v>0</v>
      </c>
      <c r="M28" s="1158">
        <f t="shared" ref="M28" si="11">E28+F28+H28-I28-L28+G28-K28</f>
        <v>0</v>
      </c>
      <c r="N28" s="652">
        <f t="shared" ref="N28" si="12">M28*25</f>
        <v>0</v>
      </c>
      <c r="O28" s="1159">
        <f t="shared" ref="O28" si="13">SUM(X28:BB28)</f>
        <v>0</v>
      </c>
      <c r="P28" s="804"/>
      <c r="Q28" s="804"/>
      <c r="R28" s="100">
        <f>O28/INTGRATE!$N$293</f>
        <v>0</v>
      </c>
      <c r="S28" s="665">
        <f t="shared" ref="S28" si="14">IF(R28=0,0,N28/R28)</f>
        <v>0</v>
      </c>
      <c r="T28" s="403"/>
      <c r="U28" s="136"/>
      <c r="V28" s="836" t="str">
        <f t="shared" si="1"/>
        <v>302P25</v>
      </c>
      <c r="W28" s="823">
        <v>546008</v>
      </c>
      <c r="X28" s="386"/>
      <c r="Y28" s="386">
        <v>0</v>
      </c>
      <c r="Z28" s="100">
        <v>0</v>
      </c>
      <c r="AA28" s="100">
        <v>0</v>
      </c>
      <c r="AB28" s="100">
        <v>0</v>
      </c>
      <c r="AC28" s="100">
        <v>0</v>
      </c>
      <c r="AD28" s="100">
        <v>0</v>
      </c>
      <c r="AE28" s="100">
        <v>0</v>
      </c>
      <c r="AF28" s="100">
        <v>0</v>
      </c>
      <c r="AG28" s="100"/>
      <c r="AH28" s="100"/>
      <c r="AI28" s="100"/>
      <c r="AJ28" s="100"/>
      <c r="AK28" s="100"/>
      <c r="AL28" s="100"/>
      <c r="AM28" s="100"/>
      <c r="AN28" s="100"/>
      <c r="AO28" s="100"/>
      <c r="AP28" s="100"/>
      <c r="AQ28" s="100"/>
      <c r="AR28" s="100"/>
      <c r="AS28" s="100"/>
      <c r="AT28" s="100"/>
      <c r="AU28" s="100"/>
      <c r="AV28" s="100"/>
      <c r="AW28" s="100"/>
      <c r="AX28" s="230"/>
      <c r="AY28" s="100"/>
      <c r="AZ28" s="100"/>
      <c r="BA28" s="100"/>
      <c r="BB28" s="100"/>
      <c r="BC28" s="276">
        <f t="shared" ref="BC28" si="15">SUM(X28:BB28)</f>
        <v>0</v>
      </c>
      <c r="BD28" s="786">
        <f t="shared" ref="BD28" si="16">COUNTIF(X28:BB28,"&gt;0")</f>
        <v>0</v>
      </c>
      <c r="BE28" s="786">
        <f t="shared" ref="BE28" si="17">IFERROR(BC28/BD28,0)</f>
        <v>0</v>
      </c>
      <c r="BF28" s="600"/>
      <c r="BG28" s="598"/>
      <c r="BH28" s="599"/>
      <c r="BI28" s="85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8"/>
      <c r="BU28" s="38"/>
      <c r="BV28" s="38"/>
      <c r="BW28" s="38"/>
      <c r="BX28" s="38"/>
      <c r="BY28" s="38"/>
      <c r="BZ28" s="38"/>
      <c r="CA28" s="38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8"/>
      <c r="DK28" s="38"/>
      <c r="DL28" s="38"/>
      <c r="DM28" s="38"/>
      <c r="DN28" s="38"/>
      <c r="DO28" s="38"/>
      <c r="DP28" s="38"/>
      <c r="DQ28" s="38"/>
      <c r="DR28" s="38"/>
      <c r="DS28" s="38"/>
      <c r="DT28" s="38"/>
      <c r="DU28" s="38"/>
      <c r="DV28" s="38"/>
      <c r="DW28" s="38"/>
      <c r="DX28" s="38"/>
      <c r="DY28" s="38"/>
      <c r="DZ28" s="38"/>
      <c r="EA28" s="38"/>
      <c r="EB28" s="38"/>
      <c r="EC28" s="38"/>
      <c r="ED28" s="38"/>
      <c r="EE28" s="38"/>
      <c r="EF28" s="38"/>
      <c r="EG28" s="38"/>
      <c r="EH28" s="38"/>
      <c r="EI28" s="38"/>
      <c r="EJ28" s="38"/>
      <c r="EK28" s="38"/>
      <c r="EL28" s="38"/>
      <c r="EM28" s="38"/>
      <c r="EN28" s="38"/>
      <c r="EO28" s="38"/>
      <c r="EP28" s="38"/>
      <c r="EQ28" s="38"/>
      <c r="ER28" s="38"/>
      <c r="ES28" s="38"/>
      <c r="ET28" s="38"/>
      <c r="EU28" s="38"/>
    </row>
    <row r="29" spans="1:151" s="95" customFormat="1" ht="15" customHeight="1">
      <c r="A29" s="91">
        <v>17</v>
      </c>
      <c r="B29" s="159">
        <v>302</v>
      </c>
      <c r="C29" s="159" t="s">
        <v>79</v>
      </c>
      <c r="D29" s="160">
        <v>25</v>
      </c>
      <c r="E29" s="100">
        <v>272</v>
      </c>
      <c r="F29" s="100">
        <f>SUMIF(pro!$A:$A,$V:$V,pro!$N:$N)</f>
        <v>1009</v>
      </c>
      <c r="G29" s="100"/>
      <c r="H29" s="100">
        <f>SUMIF(CBIN!$A:$A,BRAN!$V:$V,CBIN!$G:$G)</f>
        <v>0</v>
      </c>
      <c r="I29" s="100">
        <f>SUMIF(data!$D:$D,$B29&amp;$D29,data!$J:$J)</f>
        <v>0</v>
      </c>
      <c r="J29" s="100">
        <f>SUMIF(data!$D:$D,$B29&amp;$D29,data!$K:$K)</f>
        <v>0</v>
      </c>
      <c r="K29" s="100">
        <f>SUMIF(AJOUT!$A:$A,BRAN!$V:$V,AJOUT!$L:$L)</f>
        <v>0</v>
      </c>
      <c r="L29" s="100">
        <f>SUMIF(CBOUT!$A:$A,BRAN!$V:$V,CBOUT!$G:$G)</f>
        <v>0</v>
      </c>
      <c r="M29" s="1158">
        <f t="shared" si="5"/>
        <v>1281</v>
      </c>
      <c r="N29" s="652">
        <f t="shared" si="6"/>
        <v>32025</v>
      </c>
      <c r="O29" s="1159">
        <f t="shared" si="7"/>
        <v>12125</v>
      </c>
      <c r="P29" s="804"/>
      <c r="Q29" s="804"/>
      <c r="R29" s="100">
        <f>O29/INTGRATE!$N$293</f>
        <v>1347.2222222222222</v>
      </c>
      <c r="S29" s="665">
        <f t="shared" si="0"/>
        <v>23.771134020618558</v>
      </c>
      <c r="T29" s="403"/>
      <c r="U29" s="136"/>
      <c r="V29" s="836" t="str">
        <f t="shared" si="1"/>
        <v>30225</v>
      </c>
      <c r="W29" s="823">
        <v>546000</v>
      </c>
      <c r="X29" s="386"/>
      <c r="Y29" s="386">
        <v>2500</v>
      </c>
      <c r="Z29" s="100">
        <v>0</v>
      </c>
      <c r="AA29" s="100">
        <v>1500</v>
      </c>
      <c r="AB29" s="100">
        <v>0</v>
      </c>
      <c r="AC29" s="100">
        <v>200</v>
      </c>
      <c r="AD29" s="100">
        <v>375</v>
      </c>
      <c r="AE29" s="100">
        <v>6250</v>
      </c>
      <c r="AF29" s="100">
        <v>1300</v>
      </c>
      <c r="AG29" s="100"/>
      <c r="AH29" s="100"/>
      <c r="AI29" s="100"/>
      <c r="AJ29" s="100"/>
      <c r="AK29" s="100"/>
      <c r="AL29" s="100"/>
      <c r="AM29" s="100"/>
      <c r="AN29" s="100"/>
      <c r="AO29" s="100"/>
      <c r="AP29" s="100"/>
      <c r="AQ29" s="100"/>
      <c r="AR29" s="100"/>
      <c r="AS29" s="100"/>
      <c r="AT29" s="100"/>
      <c r="AU29" s="100"/>
      <c r="AV29" s="100"/>
      <c r="AW29" s="100"/>
      <c r="AX29" s="230"/>
      <c r="AY29" s="100"/>
      <c r="AZ29" s="100"/>
      <c r="BA29" s="100"/>
      <c r="BB29" s="100"/>
      <c r="BC29" s="276">
        <f t="shared" si="8"/>
        <v>12125</v>
      </c>
      <c r="BD29" s="786">
        <f t="shared" si="9"/>
        <v>6</v>
      </c>
      <c r="BE29" s="786">
        <f t="shared" si="10"/>
        <v>2020.8333333333333</v>
      </c>
      <c r="BF29" s="85"/>
      <c r="BG29" s="38"/>
      <c r="BH29" s="436"/>
      <c r="BI29" s="85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  <c r="BZ29" s="38"/>
      <c r="CA29" s="38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8"/>
      <c r="DK29" s="38"/>
      <c r="DL29" s="38"/>
      <c r="DM29" s="38"/>
      <c r="DN29" s="38"/>
      <c r="DO29" s="38"/>
      <c r="DP29" s="38"/>
      <c r="DQ29" s="38"/>
      <c r="DR29" s="38"/>
      <c r="DS29" s="38"/>
      <c r="DT29" s="38"/>
      <c r="DU29" s="38"/>
      <c r="DV29" s="38"/>
      <c r="DW29" s="38"/>
      <c r="DX29" s="38"/>
      <c r="DY29" s="38"/>
      <c r="DZ29" s="38"/>
      <c r="EA29" s="38"/>
      <c r="EB29" s="38"/>
      <c r="EC29" s="38"/>
      <c r="ED29" s="38"/>
      <c r="EE29" s="38"/>
      <c r="EF29" s="38"/>
      <c r="EG29" s="38"/>
      <c r="EH29" s="38"/>
      <c r="EI29" s="38"/>
      <c r="EJ29" s="38"/>
      <c r="EK29" s="38"/>
      <c r="EL29" s="38"/>
      <c r="EM29" s="38"/>
      <c r="EN29" s="38"/>
      <c r="EO29" s="38"/>
      <c r="EP29" s="38"/>
      <c r="EQ29" s="38"/>
      <c r="ER29" s="38"/>
      <c r="ES29" s="38"/>
      <c r="ET29" s="38"/>
      <c r="EU29" s="38"/>
    </row>
    <row r="30" spans="1:151" s="95" customFormat="1" ht="15" customHeight="1">
      <c r="A30" s="91">
        <v>18</v>
      </c>
      <c r="B30" s="346">
        <v>322</v>
      </c>
      <c r="C30" s="346" t="s">
        <v>79</v>
      </c>
      <c r="D30" s="526">
        <v>25</v>
      </c>
      <c r="E30" s="100">
        <v>0</v>
      </c>
      <c r="F30" s="100">
        <f>SUMIF(pro!$A:$A,$V:$V,pro!$N:$N)</f>
        <v>0</v>
      </c>
      <c r="G30" s="100"/>
      <c r="H30" s="100">
        <f>SUMIF(CBIN!$A:$A,BRAN!$V:$V,CBIN!$G:$G)</f>
        <v>0</v>
      </c>
      <c r="I30" s="100">
        <f>SUMIF(data!$D:$D,$B30&amp;$D30,data!$J:$J)</f>
        <v>0</v>
      </c>
      <c r="J30" s="100">
        <f>SUMIF(data!$D:$D,$B30&amp;$D30,data!$K:$K)</f>
        <v>0</v>
      </c>
      <c r="K30" s="100">
        <f>SUMIF(AJOUT!$A:$A,BRAN!$V:$V,AJOUT!$L:$L)</f>
        <v>0</v>
      </c>
      <c r="L30" s="100">
        <f>SUMIF(CBOUT!$A:$A,BRAN!$V:$V,CBOUT!$G:$G)</f>
        <v>0</v>
      </c>
      <c r="M30" s="1158">
        <f t="shared" si="5"/>
        <v>0</v>
      </c>
      <c r="N30" s="652">
        <f t="shared" si="6"/>
        <v>0</v>
      </c>
      <c r="O30" s="1159">
        <f t="shared" si="7"/>
        <v>0</v>
      </c>
      <c r="P30" s="804"/>
      <c r="Q30" s="804"/>
      <c r="R30" s="100">
        <f>O30/INTGRATE!$N$293</f>
        <v>0</v>
      </c>
      <c r="S30" s="665">
        <f t="shared" si="0"/>
        <v>0</v>
      </c>
      <c r="T30" s="403"/>
      <c r="U30" s="136"/>
      <c r="V30" s="836" t="str">
        <f t="shared" si="1"/>
        <v>32225</v>
      </c>
      <c r="W30" s="823">
        <v>123001</v>
      </c>
      <c r="X30" s="386"/>
      <c r="Y30" s="386">
        <v>0</v>
      </c>
      <c r="Z30" s="100">
        <v>0</v>
      </c>
      <c r="AA30" s="100">
        <v>0</v>
      </c>
      <c r="AB30" s="100">
        <v>0</v>
      </c>
      <c r="AC30" s="100">
        <v>0</v>
      </c>
      <c r="AD30" s="100">
        <v>0</v>
      </c>
      <c r="AE30" s="100">
        <v>0</v>
      </c>
      <c r="AF30" s="100">
        <v>0</v>
      </c>
      <c r="AG30" s="100"/>
      <c r="AH30" s="100"/>
      <c r="AI30" s="100"/>
      <c r="AJ30" s="100"/>
      <c r="AK30" s="100"/>
      <c r="AL30" s="100"/>
      <c r="AM30" s="100"/>
      <c r="AN30" s="100"/>
      <c r="AO30" s="100"/>
      <c r="AP30" s="100"/>
      <c r="AQ30" s="100"/>
      <c r="AR30" s="100"/>
      <c r="AS30" s="100"/>
      <c r="AT30" s="100"/>
      <c r="AU30" s="100"/>
      <c r="AV30" s="100"/>
      <c r="AW30" s="100"/>
      <c r="AX30" s="230"/>
      <c r="AY30" s="100"/>
      <c r="AZ30" s="100"/>
      <c r="BA30" s="100"/>
      <c r="BB30" s="100"/>
      <c r="BC30" s="276">
        <f t="shared" si="8"/>
        <v>0</v>
      </c>
      <c r="BD30" s="786">
        <f t="shared" si="9"/>
        <v>0</v>
      </c>
      <c r="BE30" s="786">
        <f t="shared" si="10"/>
        <v>0</v>
      </c>
      <c r="BF30" s="85">
        <f>BC253+BC96+BC92+BC115+BC135+BC139+BC142+BC89+BC102+BC107+BC136+BC141+BC112+BC118+BC127+BC128+BC134+BC123+BC120+BC270+BC266+BC256+BC261+BC251+BC267+BC263+BC271+BC105+BC110+BC130+BC94+BC259+BC124+BC101+BC272+BC114+BC98</f>
        <v>489860</v>
      </c>
      <c r="BG30" s="38"/>
      <c r="BH30" s="436" t="s">
        <v>121</v>
      </c>
      <c r="BI30" s="85">
        <f>+BI16-BF30</f>
        <v>1691870</v>
      </c>
      <c r="BJ30" s="38"/>
      <c r="BK30" s="38"/>
      <c r="BL30" s="38"/>
      <c r="BM30" s="38"/>
      <c r="BN30" s="38"/>
      <c r="BO30" s="38"/>
      <c r="BP30" s="38"/>
      <c r="BQ30" s="38"/>
      <c r="BR30" s="38"/>
      <c r="BS30" s="38"/>
      <c r="BT30" s="38"/>
      <c r="BU30" s="38"/>
      <c r="BV30" s="38"/>
      <c r="BW30" s="38"/>
      <c r="BX30" s="38"/>
      <c r="BY30" s="38"/>
      <c r="BZ30" s="38"/>
      <c r="CA30" s="38"/>
      <c r="CB30" s="38"/>
      <c r="CC30" s="38"/>
      <c r="CD30" s="38"/>
      <c r="CE30" s="38"/>
      <c r="CF30" s="38"/>
      <c r="CG30" s="38"/>
      <c r="CH30" s="38"/>
      <c r="CI30" s="38"/>
      <c r="CJ30" s="38"/>
      <c r="CK30" s="38"/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  <c r="DI30" s="38"/>
      <c r="DJ30" s="38"/>
      <c r="DK30" s="38"/>
      <c r="DL30" s="38"/>
      <c r="DM30" s="38"/>
      <c r="DN30" s="38"/>
      <c r="DO30" s="38"/>
      <c r="DP30" s="38"/>
      <c r="DQ30" s="38"/>
      <c r="DR30" s="38"/>
      <c r="DS30" s="38"/>
      <c r="DT30" s="38"/>
      <c r="DU30" s="38"/>
      <c r="DV30" s="38"/>
      <c r="DW30" s="38"/>
      <c r="DX30" s="38"/>
      <c r="DY30" s="38"/>
      <c r="DZ30" s="38"/>
      <c r="EA30" s="38"/>
      <c r="EB30" s="38"/>
      <c r="EC30" s="38"/>
      <c r="ED30" s="38"/>
      <c r="EE30" s="38"/>
      <c r="EF30" s="38"/>
      <c r="EG30" s="38"/>
      <c r="EH30" s="38"/>
      <c r="EI30" s="38"/>
      <c r="EJ30" s="38"/>
      <c r="EK30" s="38"/>
      <c r="EL30" s="38"/>
      <c r="EM30" s="38"/>
      <c r="EN30" s="38"/>
      <c r="EO30" s="38"/>
      <c r="EP30" s="38"/>
      <c r="EQ30" s="38"/>
      <c r="ER30" s="38"/>
      <c r="ES30" s="38"/>
      <c r="ET30" s="38"/>
      <c r="EU30" s="38"/>
    </row>
    <row r="31" spans="1:151" s="95" customFormat="1" ht="15" customHeight="1">
      <c r="A31" s="91">
        <v>19</v>
      </c>
      <c r="B31" s="346">
        <v>322</v>
      </c>
      <c r="C31" s="346" t="s">
        <v>79</v>
      </c>
      <c r="D31" s="526" t="s">
        <v>58</v>
      </c>
      <c r="E31" s="100"/>
      <c r="F31" s="425">
        <f>+J31</f>
        <v>0</v>
      </c>
      <c r="G31" s="425"/>
      <c r="H31" s="100">
        <f>SUMIF(CBIN!$A:$A,BRAN!$V:$V,CBIN!$G:$G)</f>
        <v>0</v>
      </c>
      <c r="I31" s="425">
        <f>SUMIF(data!$D:$D,$B31&amp;$D31,data!$J:$J)</f>
        <v>0</v>
      </c>
      <c r="J31" s="425">
        <f>SUMIF(data!$D:$D,$B31&amp;$D31,data!$K:$K)</f>
        <v>0</v>
      </c>
      <c r="K31" s="100"/>
      <c r="L31" s="100"/>
      <c r="M31" s="1158"/>
      <c r="N31" s="652">
        <f t="shared" si="6"/>
        <v>0</v>
      </c>
      <c r="O31" s="1159">
        <f t="shared" si="7"/>
        <v>0</v>
      </c>
      <c r="P31" s="804"/>
      <c r="Q31" s="804"/>
      <c r="R31" s="100">
        <f>O31/INTGRATE!$N$293</f>
        <v>0</v>
      </c>
      <c r="S31" s="665">
        <f>IF(R31=0,0,N31/R31)</f>
        <v>0</v>
      </c>
      <c r="T31" s="403"/>
      <c r="U31" s="136"/>
      <c r="V31" s="836" t="str">
        <f>B31&amp;D31</f>
        <v>322silo</v>
      </c>
      <c r="W31" s="823">
        <v>123002</v>
      </c>
      <c r="X31" s="386"/>
      <c r="Y31" s="386">
        <v>0</v>
      </c>
      <c r="Z31" s="100">
        <v>0</v>
      </c>
      <c r="AA31" s="100">
        <v>0</v>
      </c>
      <c r="AB31" s="100">
        <v>0</v>
      </c>
      <c r="AC31" s="100">
        <v>0</v>
      </c>
      <c r="AD31" s="100">
        <v>0</v>
      </c>
      <c r="AE31" s="100">
        <v>0</v>
      </c>
      <c r="AF31" s="100">
        <v>0</v>
      </c>
      <c r="AG31" s="100"/>
      <c r="AH31" s="100"/>
      <c r="AI31" s="100"/>
      <c r="AJ31" s="100"/>
      <c r="AK31" s="100"/>
      <c r="AL31" s="100"/>
      <c r="AM31" s="100"/>
      <c r="AN31" s="100"/>
      <c r="AO31" s="100"/>
      <c r="AP31" s="100"/>
      <c r="AQ31" s="100"/>
      <c r="AR31" s="100"/>
      <c r="AS31" s="100"/>
      <c r="AT31" s="100"/>
      <c r="AU31" s="100"/>
      <c r="AV31" s="100"/>
      <c r="AW31" s="100"/>
      <c r="AX31" s="230"/>
      <c r="AY31" s="100"/>
      <c r="AZ31" s="100"/>
      <c r="BA31" s="100"/>
      <c r="BB31" s="100"/>
      <c r="BC31" s="276">
        <f t="shared" si="8"/>
        <v>0</v>
      </c>
      <c r="BD31" s="786">
        <f t="shared" si="9"/>
        <v>0</v>
      </c>
      <c r="BE31" s="786">
        <f t="shared" si="10"/>
        <v>0</v>
      </c>
      <c r="BF31" s="85"/>
      <c r="BG31" s="38"/>
      <c r="BH31" s="436"/>
      <c r="BI31" s="85"/>
      <c r="BJ31" s="38"/>
      <c r="BK31" s="38"/>
      <c r="BL31" s="38"/>
      <c r="BM31" s="38"/>
      <c r="BN31" s="38"/>
      <c r="BO31" s="38"/>
      <c r="BP31" s="38"/>
      <c r="BQ31" s="38"/>
      <c r="BR31" s="38"/>
      <c r="BS31" s="38"/>
      <c r="BT31" s="38"/>
      <c r="BU31" s="38"/>
      <c r="BV31" s="38"/>
      <c r="BW31" s="38"/>
      <c r="BX31" s="38"/>
      <c r="BY31" s="38"/>
      <c r="BZ31" s="38"/>
      <c r="CA31" s="38"/>
      <c r="CB31" s="38"/>
      <c r="CC31" s="38"/>
      <c r="CD31" s="38"/>
      <c r="CE31" s="38"/>
      <c r="CF31" s="38"/>
      <c r="CG31" s="38"/>
      <c r="CH31" s="38"/>
      <c r="CI31" s="38"/>
      <c r="CJ31" s="38"/>
      <c r="CK31" s="38"/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  <c r="DI31" s="38"/>
      <c r="DJ31" s="38"/>
      <c r="DK31" s="38"/>
      <c r="DL31" s="38"/>
      <c r="DM31" s="38"/>
      <c r="DN31" s="38"/>
      <c r="DO31" s="38"/>
      <c r="DP31" s="38"/>
      <c r="DQ31" s="38"/>
      <c r="DR31" s="38"/>
      <c r="DS31" s="38"/>
      <c r="DT31" s="38"/>
      <c r="DU31" s="38"/>
      <c r="DV31" s="38"/>
      <c r="DW31" s="38"/>
      <c r="DX31" s="38"/>
      <c r="DY31" s="38"/>
      <c r="DZ31" s="38"/>
      <c r="EA31" s="38"/>
      <c r="EB31" s="38"/>
      <c r="EC31" s="38"/>
      <c r="ED31" s="38"/>
      <c r="EE31" s="38"/>
      <c r="EF31" s="38"/>
      <c r="EG31" s="38"/>
      <c r="EH31" s="38"/>
      <c r="EI31" s="38"/>
      <c r="EJ31" s="38"/>
      <c r="EK31" s="38"/>
      <c r="EL31" s="38"/>
      <c r="EM31" s="38"/>
      <c r="EN31" s="38"/>
      <c r="EO31" s="38"/>
      <c r="EP31" s="38"/>
      <c r="EQ31" s="38"/>
      <c r="ER31" s="38"/>
      <c r="ES31" s="38"/>
      <c r="ET31" s="38"/>
      <c r="EU31" s="38"/>
    </row>
    <row r="32" spans="1:151" s="95" customFormat="1" ht="15" customHeight="1">
      <c r="A32" s="91">
        <v>20</v>
      </c>
      <c r="B32" s="346">
        <v>325</v>
      </c>
      <c r="C32" s="346" t="s">
        <v>79</v>
      </c>
      <c r="D32" s="526">
        <v>25</v>
      </c>
      <c r="E32" s="100">
        <v>0</v>
      </c>
      <c r="F32" s="100">
        <f>SUMIF(pro!$A:$A,$V:$V,pro!$N:$N)</f>
        <v>0</v>
      </c>
      <c r="G32" s="100"/>
      <c r="H32" s="100">
        <f>SUMIF(CBIN!$A:$A,BRAN!$V:$V,CBIN!$G:$G)</f>
        <v>0</v>
      </c>
      <c r="I32" s="100">
        <f>SUMIF(data!$D:$D,$B32&amp;$D32,data!$J:$J)</f>
        <v>0</v>
      </c>
      <c r="J32" s="100">
        <f>SUMIF(data!$D:$D,$B32&amp;$D32,data!$K:$K)</f>
        <v>0</v>
      </c>
      <c r="K32" s="100">
        <f>SUMIF(AJOUT!$A:$A,BRAN!$V:$V,AJOUT!$L:$L)</f>
        <v>0</v>
      </c>
      <c r="L32" s="100">
        <f>SUMIF(CBOUT!$A:$A,BRAN!$V:$V,CBOUT!$G:$G)</f>
        <v>0</v>
      </c>
      <c r="M32" s="1158">
        <f>E32+F32+H32-I32-L32+G32-K32</f>
        <v>0</v>
      </c>
      <c r="N32" s="652">
        <f t="shared" si="6"/>
        <v>0</v>
      </c>
      <c r="O32" s="1159">
        <f t="shared" si="7"/>
        <v>0</v>
      </c>
      <c r="P32" s="804"/>
      <c r="Q32" s="804"/>
      <c r="R32" s="100">
        <f>O32/INTGRATE!$N$293</f>
        <v>0</v>
      </c>
      <c r="S32" s="665">
        <f t="shared" si="0"/>
        <v>0</v>
      </c>
      <c r="T32" s="403"/>
      <c r="U32" s="136"/>
      <c r="V32" s="836" t="str">
        <f t="shared" si="1"/>
        <v>32525</v>
      </c>
      <c r="W32" s="823">
        <v>128000</v>
      </c>
      <c r="X32" s="386"/>
      <c r="Y32" s="386">
        <v>0</v>
      </c>
      <c r="Z32" s="100">
        <v>0</v>
      </c>
      <c r="AA32" s="100">
        <v>0</v>
      </c>
      <c r="AB32" s="100">
        <v>0</v>
      </c>
      <c r="AC32" s="100">
        <v>0</v>
      </c>
      <c r="AD32" s="100">
        <v>0</v>
      </c>
      <c r="AE32" s="100">
        <v>0</v>
      </c>
      <c r="AF32" s="100">
        <v>0</v>
      </c>
      <c r="AG32" s="100"/>
      <c r="AH32" s="100"/>
      <c r="AI32" s="100"/>
      <c r="AJ32" s="100"/>
      <c r="AK32" s="100"/>
      <c r="AL32" s="100"/>
      <c r="AM32" s="100"/>
      <c r="AN32" s="100"/>
      <c r="AO32" s="100"/>
      <c r="AP32" s="100"/>
      <c r="AQ32" s="100"/>
      <c r="AR32" s="100"/>
      <c r="AS32" s="100"/>
      <c r="AT32" s="100"/>
      <c r="AU32" s="100"/>
      <c r="AV32" s="100"/>
      <c r="AW32" s="100"/>
      <c r="AX32" s="230"/>
      <c r="AY32" s="100"/>
      <c r="AZ32" s="100"/>
      <c r="BA32" s="100"/>
      <c r="BB32" s="100"/>
      <c r="BC32" s="276">
        <f t="shared" si="8"/>
        <v>0</v>
      </c>
      <c r="BD32" s="786">
        <f t="shared" si="9"/>
        <v>0</v>
      </c>
      <c r="BE32" s="786">
        <f t="shared" si="10"/>
        <v>0</v>
      </c>
      <c r="BF32" s="85">
        <f>+BC62</f>
        <v>26770</v>
      </c>
      <c r="BG32" s="38"/>
      <c r="BH32" s="436" t="s">
        <v>122</v>
      </c>
      <c r="BI32" s="85">
        <f>BF24-BF32</f>
        <v>65650</v>
      </c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  <c r="BZ32" s="38"/>
      <c r="CA32" s="38"/>
      <c r="CB32" s="38"/>
      <c r="CC32" s="38"/>
      <c r="CD32" s="38"/>
      <c r="CE32" s="38"/>
      <c r="CF32" s="38"/>
      <c r="CG32" s="38"/>
      <c r="CH32" s="38"/>
      <c r="CI32" s="38"/>
      <c r="CJ32" s="38"/>
      <c r="CK32" s="38"/>
      <c r="CL32" s="38"/>
      <c r="CM32" s="38"/>
      <c r="CN32" s="38"/>
      <c r="CO32" s="38"/>
      <c r="CP32" s="38"/>
      <c r="CQ32" s="38"/>
      <c r="CR32" s="38"/>
      <c r="CS32" s="38"/>
      <c r="CT32" s="38"/>
      <c r="CU32" s="38"/>
      <c r="CV32" s="38"/>
      <c r="CW32" s="38"/>
      <c r="CX32" s="38"/>
      <c r="CY32" s="38"/>
      <c r="CZ32" s="38"/>
      <c r="DA32" s="38"/>
      <c r="DB32" s="38"/>
      <c r="DC32" s="38"/>
      <c r="DD32" s="38"/>
      <c r="DE32" s="38"/>
      <c r="DF32" s="38"/>
      <c r="DG32" s="38"/>
      <c r="DH32" s="38"/>
      <c r="DI32" s="38"/>
      <c r="DJ32" s="38"/>
      <c r="DK32" s="38"/>
      <c r="DL32" s="38"/>
      <c r="DM32" s="38"/>
      <c r="DN32" s="38"/>
      <c r="DO32" s="38"/>
      <c r="DP32" s="38"/>
      <c r="DQ32" s="38"/>
      <c r="DR32" s="38"/>
      <c r="DS32" s="38"/>
      <c r="DT32" s="38"/>
      <c r="DU32" s="38"/>
      <c r="DV32" s="38"/>
      <c r="DW32" s="38"/>
      <c r="DX32" s="38"/>
      <c r="DY32" s="38"/>
      <c r="DZ32" s="38"/>
      <c r="EA32" s="38"/>
      <c r="EB32" s="38"/>
      <c r="EC32" s="38"/>
      <c r="ED32" s="38"/>
      <c r="EE32" s="38"/>
      <c r="EF32" s="38"/>
      <c r="EG32" s="38"/>
      <c r="EH32" s="38"/>
      <c r="EI32" s="38"/>
      <c r="EJ32" s="38"/>
      <c r="EK32" s="38"/>
      <c r="EL32" s="38"/>
      <c r="EM32" s="38"/>
      <c r="EN32" s="38"/>
      <c r="EO32" s="38"/>
      <c r="EP32" s="38"/>
      <c r="EQ32" s="38"/>
      <c r="ER32" s="38"/>
      <c r="ES32" s="38"/>
      <c r="ET32" s="38"/>
      <c r="EU32" s="38"/>
    </row>
    <row r="33" spans="1:151" s="95" customFormat="1" ht="15" customHeight="1">
      <c r="A33" s="91">
        <v>21</v>
      </c>
      <c r="B33" s="346">
        <v>324</v>
      </c>
      <c r="C33" s="346" t="s">
        <v>79</v>
      </c>
      <c r="D33" s="526">
        <v>25</v>
      </c>
      <c r="E33" s="100">
        <v>0</v>
      </c>
      <c r="F33" s="100">
        <f>SUMIF(pro!$A:$A,$V:$V,pro!$N:$N)</f>
        <v>0</v>
      </c>
      <c r="G33" s="100"/>
      <c r="H33" s="100">
        <f>SUMIF(CBIN!$A:$A,BRAN!$V:$V,CBIN!$G:$G)</f>
        <v>0</v>
      </c>
      <c r="I33" s="100">
        <f>SUMIF(data!$D:$D,$B33&amp;$D33,data!$J:$J)</f>
        <v>0</v>
      </c>
      <c r="J33" s="100">
        <f>SUMIF(data!$D:$D,$B33&amp;$D33,data!$K:$K)</f>
        <v>0</v>
      </c>
      <c r="K33" s="100">
        <f>SUMIF(AJOUT!$A:$A,BRAN!$V:$V,AJOUT!$L:$L)</f>
        <v>0</v>
      </c>
      <c r="L33" s="100">
        <f>SUMIF(CBOUT!$A:$A,BRAN!$V:$V,CBOUT!$G:$G)</f>
        <v>0</v>
      </c>
      <c r="M33" s="1158">
        <f t="shared" si="5"/>
        <v>0</v>
      </c>
      <c r="N33" s="652">
        <f t="shared" si="6"/>
        <v>0</v>
      </c>
      <c r="O33" s="1159">
        <f t="shared" si="7"/>
        <v>0</v>
      </c>
      <c r="P33" s="804"/>
      <c r="Q33" s="804"/>
      <c r="R33" s="100">
        <f>O33/INTGRATE!$N$293</f>
        <v>0</v>
      </c>
      <c r="S33" s="665">
        <f t="shared" si="0"/>
        <v>0</v>
      </c>
      <c r="T33" s="403"/>
      <c r="U33" s="136"/>
      <c r="V33" s="836" t="str">
        <f t="shared" si="1"/>
        <v>32425</v>
      </c>
      <c r="W33" s="823">
        <v>127000</v>
      </c>
      <c r="X33" s="386"/>
      <c r="Y33" s="386">
        <v>0</v>
      </c>
      <c r="Z33" s="100">
        <v>0</v>
      </c>
      <c r="AA33" s="100">
        <v>0</v>
      </c>
      <c r="AB33" s="100">
        <v>0</v>
      </c>
      <c r="AC33" s="100">
        <v>0</v>
      </c>
      <c r="AD33" s="100">
        <v>0</v>
      </c>
      <c r="AE33" s="100">
        <v>0</v>
      </c>
      <c r="AF33" s="100">
        <v>0</v>
      </c>
      <c r="AG33" s="100"/>
      <c r="AH33" s="100"/>
      <c r="AI33" s="100"/>
      <c r="AJ33" s="100"/>
      <c r="AK33" s="100"/>
      <c r="AL33" s="100"/>
      <c r="AM33" s="100"/>
      <c r="AN33" s="100"/>
      <c r="AO33" s="100"/>
      <c r="AP33" s="100"/>
      <c r="AQ33" s="100"/>
      <c r="AR33" s="100"/>
      <c r="AS33" s="100"/>
      <c r="AT33" s="100"/>
      <c r="AU33" s="100"/>
      <c r="AV33" s="100"/>
      <c r="AW33" s="100"/>
      <c r="AX33" s="230"/>
      <c r="AY33" s="100"/>
      <c r="AZ33" s="100"/>
      <c r="BA33" s="100"/>
      <c r="BB33" s="100"/>
      <c r="BC33" s="276">
        <f t="shared" si="8"/>
        <v>0</v>
      </c>
      <c r="BD33" s="786">
        <f t="shared" si="9"/>
        <v>0</v>
      </c>
      <c r="BE33" s="786">
        <f t="shared" si="10"/>
        <v>0</v>
      </c>
      <c r="BF33" s="85">
        <f>BC70+BC213+BC50+BC212+BC219+BC34+BC64+BC67+BC73+BC48+BC52+BC35+BC216+BC315+BC210+BC208+BC290+BC31+BC291+BC292+BC209+BC207+BC222+BC218+BC227+BC224+BC231</f>
        <v>41970</v>
      </c>
      <c r="BG33" s="38"/>
      <c r="BH33" s="436" t="s">
        <v>123</v>
      </c>
      <c r="BI33" s="85">
        <f>+BI20-BF33</f>
        <v>742375</v>
      </c>
      <c r="BJ33" s="38"/>
      <c r="BK33" s="38"/>
      <c r="BL33" s="38"/>
      <c r="BM33" s="38"/>
      <c r="BN33" s="38"/>
      <c r="BO33" s="38"/>
      <c r="BP33" s="38"/>
      <c r="BQ33" s="38"/>
      <c r="BR33" s="38"/>
      <c r="BS33" s="38"/>
      <c r="BT33" s="38"/>
      <c r="BU33" s="38"/>
      <c r="BV33" s="38"/>
      <c r="BW33" s="38"/>
      <c r="BX33" s="38"/>
      <c r="BY33" s="38"/>
      <c r="BZ33" s="38"/>
      <c r="CA33" s="38"/>
      <c r="CB33" s="38"/>
      <c r="CC33" s="38"/>
      <c r="CD33" s="38"/>
      <c r="CE33" s="38"/>
      <c r="CF33" s="38"/>
      <c r="CG33" s="38"/>
      <c r="CH33" s="38"/>
      <c r="CI33" s="38"/>
      <c r="CJ33" s="38"/>
      <c r="CK33" s="38"/>
      <c r="CL33" s="38"/>
      <c r="CM33" s="38"/>
      <c r="CN33" s="38"/>
      <c r="CO33" s="38"/>
      <c r="CP33" s="38"/>
      <c r="CQ33" s="38"/>
      <c r="CR33" s="38"/>
      <c r="CS33" s="38"/>
      <c r="CT33" s="38"/>
      <c r="CU33" s="38"/>
      <c r="CV33" s="38"/>
      <c r="CW33" s="38"/>
      <c r="CX33" s="38"/>
      <c r="CY33" s="38"/>
      <c r="CZ33" s="38"/>
      <c r="DA33" s="38"/>
      <c r="DB33" s="38"/>
      <c r="DC33" s="38"/>
      <c r="DD33" s="38"/>
      <c r="DE33" s="38"/>
      <c r="DF33" s="38"/>
      <c r="DG33" s="38"/>
      <c r="DH33" s="38"/>
      <c r="DI33" s="38"/>
      <c r="DJ33" s="38"/>
      <c r="DK33" s="38"/>
      <c r="DL33" s="38"/>
      <c r="DM33" s="38"/>
      <c r="DN33" s="38"/>
      <c r="DO33" s="38"/>
      <c r="DP33" s="38"/>
      <c r="DQ33" s="38"/>
      <c r="DR33" s="38"/>
      <c r="DS33" s="38"/>
      <c r="DT33" s="38"/>
      <c r="DU33" s="38"/>
      <c r="DV33" s="38"/>
      <c r="DW33" s="38"/>
      <c r="DX33" s="38"/>
      <c r="DY33" s="38"/>
      <c r="DZ33" s="38"/>
      <c r="EA33" s="38"/>
      <c r="EB33" s="38"/>
      <c r="EC33" s="38"/>
      <c r="ED33" s="38"/>
      <c r="EE33" s="38"/>
      <c r="EF33" s="38"/>
      <c r="EG33" s="38"/>
      <c r="EH33" s="38"/>
      <c r="EI33" s="38"/>
      <c r="EJ33" s="38"/>
      <c r="EK33" s="38"/>
      <c r="EL33" s="38"/>
      <c r="EM33" s="38"/>
      <c r="EN33" s="38"/>
      <c r="EO33" s="38"/>
      <c r="EP33" s="38"/>
      <c r="EQ33" s="38"/>
      <c r="ER33" s="38"/>
      <c r="ES33" s="38"/>
      <c r="ET33" s="38"/>
      <c r="EU33" s="38"/>
    </row>
    <row r="34" spans="1:151" s="95" customFormat="1" ht="15" customHeight="1">
      <c r="A34" s="91">
        <v>22</v>
      </c>
      <c r="B34" s="346">
        <v>324</v>
      </c>
      <c r="C34" s="346" t="s">
        <v>79</v>
      </c>
      <c r="D34" s="526" t="s">
        <v>66</v>
      </c>
      <c r="E34" s="425">
        <v>0</v>
      </c>
      <c r="F34" s="425">
        <f>+J34</f>
        <v>0</v>
      </c>
      <c r="G34" s="425"/>
      <c r="H34" s="100">
        <f>SUMIF(CBIN!$A:$A,BRAN!$V:$V,CBIN!$G:$G)</f>
        <v>0</v>
      </c>
      <c r="I34" s="425">
        <f>SUMIF(data!$D:$D,$B34&amp;$D34,data!$J:$J)</f>
        <v>0</v>
      </c>
      <c r="J34" s="425">
        <f>SUMIF(data!$D:$D,$B34&amp;$D34,data!$K:$K)</f>
        <v>0</v>
      </c>
      <c r="K34" s="100">
        <f>SUMIF(AJOUT!$A:$A,BRAN!$V:$V,AJOUT!$L:$L)</f>
        <v>0</v>
      </c>
      <c r="L34" s="100">
        <f>SUMIF(CBOUT!$A:$A,BRAN!$V:$V,CBOUT!$G:$G)</f>
        <v>0</v>
      </c>
      <c r="M34" s="1158">
        <f t="shared" si="5"/>
        <v>0</v>
      </c>
      <c r="N34" s="652">
        <f t="shared" si="6"/>
        <v>0</v>
      </c>
      <c r="O34" s="1159">
        <f t="shared" si="7"/>
        <v>0</v>
      </c>
      <c r="P34" s="427"/>
      <c r="Q34" s="427"/>
      <c r="R34" s="425">
        <f>O34/INTGRATE!$N$293</f>
        <v>0</v>
      </c>
      <c r="S34" s="665">
        <f t="shared" si="0"/>
        <v>0</v>
      </c>
      <c r="T34" s="403"/>
      <c r="U34" s="136"/>
      <c r="V34" s="836" t="str">
        <f t="shared" si="1"/>
        <v>324SILO</v>
      </c>
      <c r="W34" s="823">
        <v>127000</v>
      </c>
      <c r="X34" s="386"/>
      <c r="Y34" s="386">
        <v>0</v>
      </c>
      <c r="Z34" s="100">
        <v>0</v>
      </c>
      <c r="AA34" s="100">
        <v>0</v>
      </c>
      <c r="AB34" s="100">
        <v>0</v>
      </c>
      <c r="AC34" s="100">
        <v>0</v>
      </c>
      <c r="AD34" s="100">
        <v>0</v>
      </c>
      <c r="AE34" s="100">
        <v>0</v>
      </c>
      <c r="AF34" s="100">
        <v>0</v>
      </c>
      <c r="AG34" s="100"/>
      <c r="AH34" s="425"/>
      <c r="AI34" s="100"/>
      <c r="AJ34" s="100"/>
      <c r="AK34" s="100"/>
      <c r="AL34" s="100"/>
      <c r="AM34" s="100"/>
      <c r="AN34" s="100"/>
      <c r="AO34" s="425"/>
      <c r="AP34" s="100"/>
      <c r="AQ34" s="425"/>
      <c r="AR34" s="100"/>
      <c r="AS34" s="100"/>
      <c r="AT34" s="100"/>
      <c r="AU34" s="100"/>
      <c r="AV34" s="100"/>
      <c r="AW34" s="100"/>
      <c r="AX34" s="230"/>
      <c r="AY34" s="100"/>
      <c r="AZ34" s="100"/>
      <c r="BA34" s="100"/>
      <c r="BB34" s="100"/>
      <c r="BC34" s="276">
        <f t="shared" si="8"/>
        <v>0</v>
      </c>
      <c r="BD34" s="786">
        <f t="shared" si="9"/>
        <v>0</v>
      </c>
      <c r="BE34" s="786">
        <f t="shared" si="10"/>
        <v>0</v>
      </c>
      <c r="BF34" s="85">
        <f>BC84+BC85+BC247+BC246</f>
        <v>0</v>
      </c>
      <c r="BG34" s="38"/>
      <c r="BH34" s="436" t="s">
        <v>124</v>
      </c>
      <c r="BI34" s="85">
        <f>+BI22-BF34</f>
        <v>292975</v>
      </c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  <c r="CV34" s="38"/>
      <c r="CW34" s="38"/>
      <c r="CX34" s="38"/>
      <c r="CY34" s="38"/>
      <c r="CZ34" s="38"/>
      <c r="DA34" s="38"/>
      <c r="DB34" s="38"/>
      <c r="DC34" s="38"/>
      <c r="DD34" s="38"/>
      <c r="DE34" s="38"/>
      <c r="DF34" s="38"/>
      <c r="DG34" s="38"/>
      <c r="DH34" s="38"/>
      <c r="DI34" s="38"/>
      <c r="DJ34" s="38"/>
      <c r="DK34" s="38"/>
      <c r="DL34" s="38"/>
      <c r="DM34" s="38"/>
      <c r="DN34" s="38"/>
      <c r="DO34" s="38"/>
      <c r="DP34" s="38"/>
      <c r="DQ34" s="38"/>
      <c r="DR34" s="38"/>
      <c r="DS34" s="38"/>
      <c r="DT34" s="38"/>
      <c r="DU34" s="38"/>
      <c r="DV34" s="38"/>
      <c r="DW34" s="38"/>
      <c r="DX34" s="38"/>
      <c r="DY34" s="38"/>
      <c r="DZ34" s="38"/>
      <c r="EA34" s="38"/>
      <c r="EB34" s="38"/>
      <c r="EC34" s="38"/>
      <c r="ED34" s="38"/>
      <c r="EE34" s="38"/>
      <c r="EF34" s="38"/>
      <c r="EG34" s="38"/>
      <c r="EH34" s="38"/>
      <c r="EI34" s="38"/>
      <c r="EJ34" s="38"/>
      <c r="EK34" s="38"/>
      <c r="EL34" s="38"/>
      <c r="EM34" s="38"/>
      <c r="EN34" s="38"/>
      <c r="EO34" s="38"/>
      <c r="EP34" s="38"/>
      <c r="EQ34" s="38"/>
      <c r="ER34" s="38"/>
      <c r="ES34" s="38"/>
      <c r="ET34" s="38"/>
      <c r="EU34" s="38"/>
    </row>
    <row r="35" spans="1:151" s="95" customFormat="1" ht="15" customHeight="1">
      <c r="A35" s="91">
        <v>23</v>
      </c>
      <c r="B35" s="346" t="s">
        <v>125</v>
      </c>
      <c r="C35" s="346" t="s">
        <v>79</v>
      </c>
      <c r="D35" s="526" t="s">
        <v>66</v>
      </c>
      <c r="E35" s="425"/>
      <c r="F35" s="425">
        <f>+J35</f>
        <v>0</v>
      </c>
      <c r="G35" s="425"/>
      <c r="H35" s="100">
        <f>SUMIF(CBIN!$A:$A,BRAN!$V:$V,CBIN!$G:$G)</f>
        <v>0</v>
      </c>
      <c r="I35" s="425">
        <f>SUMIF(data!$D:$D,$B35&amp;$D35,data!$J:$J)</f>
        <v>0</v>
      </c>
      <c r="J35" s="425">
        <f>SUMIF(data!$D:$D,$B35&amp;$D35,data!$K:$K)</f>
        <v>0</v>
      </c>
      <c r="K35" s="100">
        <f>SUMIF(AJOUT!$A:$A,BRAN!$V:$V,AJOUT!$L:$L)</f>
        <v>0</v>
      </c>
      <c r="L35" s="100">
        <f>SUMIF(CBOUT!$A:$A,BRAN!$V:$V,CBOUT!$G:$G)</f>
        <v>0</v>
      </c>
      <c r="M35" s="528"/>
      <c r="N35" s="652">
        <f t="shared" si="6"/>
        <v>0</v>
      </c>
      <c r="O35" s="1159">
        <f t="shared" si="7"/>
        <v>0</v>
      </c>
      <c r="P35" s="427"/>
      <c r="Q35" s="427"/>
      <c r="R35" s="425">
        <f>O35/INTGRATE!$N$293</f>
        <v>0</v>
      </c>
      <c r="S35" s="665">
        <f t="shared" si="0"/>
        <v>0</v>
      </c>
      <c r="T35" s="403"/>
      <c r="U35" s="136"/>
      <c r="V35" s="836" t="str">
        <f t="shared" si="1"/>
        <v>324ASILO</v>
      </c>
      <c r="W35" s="823">
        <v>127060</v>
      </c>
      <c r="X35" s="386"/>
      <c r="Y35" s="386">
        <v>0</v>
      </c>
      <c r="Z35" s="100">
        <v>0</v>
      </c>
      <c r="AA35" s="100">
        <v>0</v>
      </c>
      <c r="AB35" s="100">
        <v>0</v>
      </c>
      <c r="AC35" s="100">
        <v>0</v>
      </c>
      <c r="AD35" s="100">
        <v>0</v>
      </c>
      <c r="AE35" s="100">
        <v>0</v>
      </c>
      <c r="AF35" s="100">
        <v>0</v>
      </c>
      <c r="AG35" s="100"/>
      <c r="AH35" s="425"/>
      <c r="AI35" s="100"/>
      <c r="AJ35" s="100"/>
      <c r="AK35" s="100"/>
      <c r="AL35" s="100"/>
      <c r="AM35" s="100"/>
      <c r="AN35" s="100"/>
      <c r="AO35" s="425"/>
      <c r="AP35" s="100"/>
      <c r="AQ35" s="425"/>
      <c r="AR35" s="100"/>
      <c r="AS35" s="100"/>
      <c r="AT35" s="100"/>
      <c r="AU35" s="100"/>
      <c r="AV35" s="100"/>
      <c r="AW35" s="100"/>
      <c r="AX35" s="230"/>
      <c r="AY35" s="100"/>
      <c r="AZ35" s="100"/>
      <c r="BA35" s="100"/>
      <c r="BB35" s="100"/>
      <c r="BC35" s="276">
        <f t="shared" si="8"/>
        <v>0</v>
      </c>
      <c r="BD35" s="786">
        <f t="shared" si="9"/>
        <v>0</v>
      </c>
      <c r="BE35" s="786">
        <f t="shared" si="10"/>
        <v>0</v>
      </c>
      <c r="BF35" s="85">
        <f>+BC239+BC238+BC242</f>
        <v>83970</v>
      </c>
      <c r="BG35" s="38"/>
      <c r="BH35" s="436" t="s">
        <v>126</v>
      </c>
      <c r="BI35" s="85">
        <f>+BF25-BF35</f>
        <v>178575</v>
      </c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  <c r="CV35" s="38"/>
      <c r="CW35" s="38"/>
      <c r="CX35" s="38"/>
      <c r="CY35" s="38"/>
      <c r="CZ35" s="38"/>
      <c r="DA35" s="38"/>
      <c r="DB35" s="38"/>
      <c r="DC35" s="38"/>
      <c r="DD35" s="38"/>
      <c r="DE35" s="38"/>
      <c r="DF35" s="38"/>
      <c r="DG35" s="38"/>
      <c r="DH35" s="38"/>
      <c r="DI35" s="38"/>
      <c r="DJ35" s="38"/>
      <c r="DK35" s="38"/>
      <c r="DL35" s="38"/>
      <c r="DM35" s="38"/>
      <c r="DN35" s="38"/>
      <c r="DO35" s="38"/>
      <c r="DP35" s="38"/>
      <c r="DQ35" s="38"/>
      <c r="DR35" s="38"/>
      <c r="DS35" s="38"/>
      <c r="DT35" s="38"/>
      <c r="DU35" s="38"/>
      <c r="DV35" s="38"/>
      <c r="DW35" s="38"/>
      <c r="DX35" s="38"/>
      <c r="DY35" s="38"/>
      <c r="DZ35" s="38"/>
      <c r="EA35" s="38"/>
      <c r="EB35" s="38"/>
      <c r="EC35" s="38"/>
      <c r="ED35" s="38"/>
      <c r="EE35" s="38"/>
      <c r="EF35" s="38"/>
      <c r="EG35" s="38"/>
      <c r="EH35" s="38"/>
      <c r="EI35" s="38"/>
      <c r="EJ35" s="38"/>
      <c r="EK35" s="38"/>
      <c r="EL35" s="38"/>
      <c r="EM35" s="38"/>
      <c r="EN35" s="38"/>
      <c r="EO35" s="38"/>
      <c r="EP35" s="38"/>
      <c r="EQ35" s="38"/>
      <c r="ER35" s="38"/>
      <c r="ES35" s="38"/>
      <c r="ET35" s="38"/>
      <c r="EU35" s="38"/>
    </row>
    <row r="36" spans="1:151" s="95" customFormat="1" ht="15" customHeight="1">
      <c r="A36" s="91">
        <v>24</v>
      </c>
      <c r="B36" s="170" t="s">
        <v>127</v>
      </c>
      <c r="C36" s="170" t="s">
        <v>79</v>
      </c>
      <c r="D36" s="164">
        <v>10</v>
      </c>
      <c r="E36" s="100">
        <v>116</v>
      </c>
      <c r="F36" s="100">
        <f>SUMIF(pro!$A:$A,$V:$V,pro!$N:$N)</f>
        <v>0</v>
      </c>
      <c r="G36" s="100"/>
      <c r="H36" s="100">
        <f>SUMIF(CBIN!$A:$A,BRAN!$V:$V,CBIN!$G:$G)</f>
        <v>0</v>
      </c>
      <c r="I36" s="100">
        <f>SUMIF(data!$D:$D,$B36&amp;$D36,data!$J:$J)</f>
        <v>0</v>
      </c>
      <c r="J36" s="100">
        <f>SUMIF(data!$D:$D,$B36&amp;$D36,data!$K:$K)</f>
        <v>0</v>
      </c>
      <c r="K36" s="100">
        <f>SUMIF(AJOUT!$A:$A,BRAN!$V:$V,AJOUT!$L:$L)</f>
        <v>0</v>
      </c>
      <c r="L36" s="100">
        <f>SUMIF(CBOUT!$A:$A,BRAN!$V:$V,CBOUT!$G:$G)</f>
        <v>0</v>
      </c>
      <c r="M36" s="1158">
        <f t="shared" ref="M36:M63" si="18">E36+F36+H36-I36-L36+G36-K36</f>
        <v>116</v>
      </c>
      <c r="N36" s="652">
        <f>+M36*D36</f>
        <v>1160</v>
      </c>
      <c r="O36" s="1159">
        <f t="shared" si="7"/>
        <v>1120</v>
      </c>
      <c r="P36" s="804"/>
      <c r="Q36" s="804"/>
      <c r="R36" s="100">
        <f>O36/INTGRATE!$N$293</f>
        <v>124.44444444444444</v>
      </c>
      <c r="S36" s="665">
        <f t="shared" si="0"/>
        <v>9.3214285714285712</v>
      </c>
      <c r="T36" s="403" t="s">
        <v>128</v>
      </c>
      <c r="U36" s="136"/>
      <c r="V36" s="836" t="str">
        <f t="shared" si="1"/>
        <v>550P10</v>
      </c>
      <c r="W36" s="823"/>
      <c r="X36" s="386"/>
      <c r="Y36" s="386">
        <v>300</v>
      </c>
      <c r="Z36" s="100">
        <v>0</v>
      </c>
      <c r="AA36" s="100">
        <v>280</v>
      </c>
      <c r="AB36" s="100">
        <v>0</v>
      </c>
      <c r="AC36" s="100">
        <v>0</v>
      </c>
      <c r="AD36" s="100">
        <v>490</v>
      </c>
      <c r="AE36" s="100">
        <v>0</v>
      </c>
      <c r="AF36" s="100">
        <v>50</v>
      </c>
      <c r="AG36" s="100"/>
      <c r="AH36" s="100"/>
      <c r="AI36" s="100"/>
      <c r="AJ36" s="100"/>
      <c r="AK36" s="100"/>
      <c r="AL36" s="100"/>
      <c r="AM36" s="100"/>
      <c r="AN36" s="100"/>
      <c r="AO36" s="100"/>
      <c r="AP36" s="100"/>
      <c r="AQ36" s="100"/>
      <c r="AR36" s="100"/>
      <c r="AS36" s="100"/>
      <c r="AT36" s="100"/>
      <c r="AU36" s="100"/>
      <c r="AV36" s="100"/>
      <c r="AW36" s="100"/>
      <c r="AX36" s="230"/>
      <c r="AY36" s="100"/>
      <c r="AZ36" s="100"/>
      <c r="BA36" s="100"/>
      <c r="BB36" s="100"/>
      <c r="BC36" s="276">
        <f t="shared" si="8"/>
        <v>1120</v>
      </c>
      <c r="BD36" s="786">
        <f t="shared" si="9"/>
        <v>4</v>
      </c>
      <c r="BE36" s="786">
        <f t="shared" si="10"/>
        <v>280</v>
      </c>
      <c r="BF36" s="38"/>
      <c r="BG36" s="38"/>
      <c r="BH36" s="436"/>
      <c r="BI36" s="38"/>
      <c r="BJ36" s="85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  <c r="CV36" s="38"/>
      <c r="CW36" s="38"/>
      <c r="CX36" s="38"/>
      <c r="CY36" s="38"/>
      <c r="CZ36" s="38"/>
      <c r="DA36" s="38"/>
      <c r="DB36" s="38"/>
      <c r="DC36" s="38"/>
      <c r="DD36" s="38"/>
      <c r="DE36" s="38"/>
      <c r="DF36" s="38"/>
      <c r="DG36" s="38"/>
      <c r="DH36" s="38"/>
      <c r="DI36" s="38"/>
      <c r="DJ36" s="38"/>
      <c r="DK36" s="38"/>
      <c r="DL36" s="38"/>
      <c r="DM36" s="38"/>
      <c r="DN36" s="38"/>
      <c r="DO36" s="38"/>
      <c r="DP36" s="38"/>
      <c r="DQ36" s="38"/>
      <c r="DR36" s="38"/>
      <c r="DS36" s="38"/>
      <c r="DT36" s="38"/>
      <c r="DU36" s="38"/>
      <c r="DV36" s="38"/>
      <c r="DW36" s="38"/>
      <c r="DX36" s="38"/>
      <c r="DY36" s="38"/>
      <c r="DZ36" s="38"/>
      <c r="EA36" s="38"/>
      <c r="EB36" s="38"/>
      <c r="EC36" s="38"/>
      <c r="ED36" s="38"/>
      <c r="EE36" s="38"/>
      <c r="EF36" s="38"/>
      <c r="EG36" s="38"/>
      <c r="EH36" s="38"/>
      <c r="EI36" s="38"/>
      <c r="EJ36" s="38"/>
      <c r="EK36" s="38"/>
      <c r="EL36" s="38"/>
      <c r="EM36" s="38"/>
      <c r="EN36" s="38"/>
      <c r="EO36" s="38"/>
      <c r="EP36" s="38"/>
      <c r="EQ36" s="38"/>
      <c r="ER36" s="38"/>
      <c r="ES36" s="38"/>
      <c r="ET36" s="38"/>
      <c r="EU36" s="38"/>
    </row>
    <row r="37" spans="1:151" s="95" customFormat="1" ht="15" customHeight="1">
      <c r="A37" s="91">
        <v>25</v>
      </c>
      <c r="B37" s="170" t="s">
        <v>129</v>
      </c>
      <c r="C37" s="170" t="s">
        <v>79</v>
      </c>
      <c r="D37" s="164">
        <v>25</v>
      </c>
      <c r="E37" s="100">
        <v>0</v>
      </c>
      <c r="F37" s="100">
        <f>SUMIF(pro!$A:$A,$V:$V,pro!$N:$N)</f>
        <v>0</v>
      </c>
      <c r="G37" s="100"/>
      <c r="H37" s="100">
        <f>SUMIF(CBIN!$A:$A,BRAN!$V:$V,CBIN!$G:$G)</f>
        <v>0</v>
      </c>
      <c r="I37" s="100">
        <f>SUMIF(data!$D:$D,$B37&amp;$D37,data!$J:$J)</f>
        <v>0</v>
      </c>
      <c r="J37" s="100">
        <f>SUMIF(data!$D:$D,$B37&amp;$D37,data!$K:$K)</f>
        <v>0</v>
      </c>
      <c r="K37" s="100">
        <f>SUMIF(AJOUT!$A:$A,BRAN!$V:$V,AJOUT!$L:$L)</f>
        <v>0</v>
      </c>
      <c r="L37" s="100">
        <f>SUMIF(CBOUT!$A:$A,BRAN!$V:$V,CBOUT!$G:$G)</f>
        <v>0</v>
      </c>
      <c r="M37" s="1158">
        <f t="shared" si="18"/>
        <v>0</v>
      </c>
      <c r="N37" s="652">
        <f t="shared" si="6"/>
        <v>0</v>
      </c>
      <c r="O37" s="1159">
        <f t="shared" si="7"/>
        <v>0</v>
      </c>
      <c r="P37" s="804"/>
      <c r="Q37" s="804"/>
      <c r="R37" s="100">
        <f>O37/INTGRATE!$N$293</f>
        <v>0</v>
      </c>
      <c r="S37" s="665">
        <f t="shared" si="0"/>
        <v>0</v>
      </c>
      <c r="T37" s="403" t="s">
        <v>128</v>
      </c>
      <c r="U37" s="136"/>
      <c r="V37" s="836" t="str">
        <f t="shared" si="1"/>
        <v>350P BOX25</v>
      </c>
      <c r="W37" s="823"/>
      <c r="X37" s="386"/>
      <c r="Y37" s="386">
        <v>0</v>
      </c>
      <c r="Z37" s="100">
        <v>0</v>
      </c>
      <c r="AA37" s="100">
        <v>0</v>
      </c>
      <c r="AB37" s="100">
        <v>0</v>
      </c>
      <c r="AC37" s="100">
        <v>0</v>
      </c>
      <c r="AD37" s="100">
        <v>0</v>
      </c>
      <c r="AE37" s="100">
        <v>0</v>
      </c>
      <c r="AF37" s="100">
        <v>0</v>
      </c>
      <c r="AG37" s="100"/>
      <c r="AH37" s="100"/>
      <c r="AI37" s="100"/>
      <c r="AJ37" s="100"/>
      <c r="AK37" s="100"/>
      <c r="AL37" s="100"/>
      <c r="AM37" s="100"/>
      <c r="AN37" s="100"/>
      <c r="AO37" s="100"/>
      <c r="AP37" s="100"/>
      <c r="AQ37" s="100"/>
      <c r="AR37" s="100"/>
      <c r="AS37" s="100"/>
      <c r="AT37" s="100"/>
      <c r="AU37" s="100"/>
      <c r="AV37" s="100"/>
      <c r="AW37" s="100"/>
      <c r="AX37" s="230"/>
      <c r="AY37" s="100"/>
      <c r="AZ37" s="100"/>
      <c r="BA37" s="100"/>
      <c r="BB37" s="100"/>
      <c r="BC37" s="276">
        <f t="shared" si="8"/>
        <v>0</v>
      </c>
      <c r="BD37" s="786">
        <f t="shared" si="9"/>
        <v>0</v>
      </c>
      <c r="BE37" s="786">
        <f t="shared" si="10"/>
        <v>0</v>
      </c>
      <c r="BF37" s="38"/>
      <c r="BG37" s="38"/>
      <c r="BH37" s="618">
        <f>+BF33+BF30+BI30+BI33+BI34+BI25+BF34+BF32</f>
        <v>3621740</v>
      </c>
      <c r="BI37" s="85">
        <f>+BH37-BJ37</f>
        <v>2979170</v>
      </c>
      <c r="BJ37" s="85">
        <f>BF34+BF33+BF32+BF30+BF35</f>
        <v>642570</v>
      </c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  <c r="CV37" s="38"/>
      <c r="CW37" s="38"/>
      <c r="CX37" s="38"/>
      <c r="CY37" s="38"/>
      <c r="CZ37" s="38"/>
      <c r="DA37" s="38"/>
      <c r="DB37" s="38"/>
      <c r="DC37" s="38"/>
      <c r="DD37" s="38"/>
      <c r="DE37" s="38"/>
      <c r="DF37" s="38"/>
      <c r="DG37" s="38"/>
      <c r="DH37" s="38"/>
      <c r="DI37" s="38"/>
      <c r="DJ37" s="38"/>
      <c r="DK37" s="38"/>
      <c r="DL37" s="38"/>
      <c r="DM37" s="38"/>
      <c r="DN37" s="38"/>
      <c r="DO37" s="38"/>
      <c r="DP37" s="38"/>
      <c r="DQ37" s="38"/>
      <c r="DR37" s="38"/>
      <c r="DS37" s="38"/>
      <c r="DT37" s="38"/>
      <c r="DU37" s="38"/>
      <c r="DV37" s="38"/>
      <c r="DW37" s="38"/>
      <c r="DX37" s="38"/>
      <c r="DY37" s="38"/>
      <c r="DZ37" s="38"/>
      <c r="EA37" s="38"/>
      <c r="EB37" s="38"/>
      <c r="EC37" s="38"/>
      <c r="ED37" s="38"/>
      <c r="EE37" s="38"/>
      <c r="EF37" s="38"/>
      <c r="EG37" s="38"/>
      <c r="EH37" s="38"/>
      <c r="EI37" s="38"/>
      <c r="EJ37" s="38"/>
      <c r="EK37" s="38"/>
      <c r="EL37" s="38"/>
      <c r="EM37" s="38"/>
      <c r="EN37" s="38"/>
      <c r="EO37" s="38"/>
      <c r="EP37" s="38"/>
      <c r="EQ37" s="38"/>
      <c r="ER37" s="38"/>
      <c r="ES37" s="38"/>
      <c r="ET37" s="38"/>
      <c r="EU37" s="38"/>
    </row>
    <row r="38" spans="1:151" s="38" customFormat="1" ht="15" customHeight="1">
      <c r="A38" s="91">
        <v>26</v>
      </c>
      <c r="B38" s="170">
        <v>351</v>
      </c>
      <c r="C38" s="170" t="s">
        <v>79</v>
      </c>
      <c r="D38" s="164">
        <v>25</v>
      </c>
      <c r="E38" s="100">
        <v>0</v>
      </c>
      <c r="F38" s="100">
        <f>SUMIF(pro!$A:$A,$V:$V,pro!$N:$N)</f>
        <v>0</v>
      </c>
      <c r="G38" s="100"/>
      <c r="H38" s="100">
        <f>SUMIF(CBIN!$A:$A,BRAN!$V:$V,CBIN!$G:$G)</f>
        <v>0</v>
      </c>
      <c r="I38" s="100">
        <f>SUMIF(data!$D:$D,$B38&amp;$D38,data!$J:$J)</f>
        <v>0</v>
      </c>
      <c r="J38" s="100">
        <f>SUMIF(data!$D:$D,$B38&amp;$D38,data!$K:$K)</f>
        <v>0</v>
      </c>
      <c r="K38" s="100">
        <f>SUMIF(AJOUT!$A:$A,BRAN!$V:$V,AJOUT!$L:$L)</f>
        <v>0</v>
      </c>
      <c r="L38" s="100">
        <f>SUMIF(CBOUT!$A:$A,BRAN!$V:$V,CBOUT!$G:$G)</f>
        <v>0</v>
      </c>
      <c r="M38" s="1158">
        <f t="shared" si="18"/>
        <v>0</v>
      </c>
      <c r="N38" s="652">
        <f t="shared" si="6"/>
        <v>0</v>
      </c>
      <c r="O38" s="1159">
        <f t="shared" si="7"/>
        <v>0</v>
      </c>
      <c r="P38" s="804"/>
      <c r="Q38" s="804"/>
      <c r="R38" s="100">
        <f>O38/INTGRATE!$N$293</f>
        <v>0</v>
      </c>
      <c r="S38" s="665">
        <f t="shared" si="0"/>
        <v>0</v>
      </c>
      <c r="T38" s="403"/>
      <c r="U38" s="136"/>
      <c r="V38" s="836" t="str">
        <f t="shared" si="1"/>
        <v>35125</v>
      </c>
      <c r="W38" s="823">
        <v>314000</v>
      </c>
      <c r="X38" s="386"/>
      <c r="Y38" s="386">
        <v>0</v>
      </c>
      <c r="Z38" s="100">
        <v>0</v>
      </c>
      <c r="AA38" s="100">
        <v>0</v>
      </c>
      <c r="AB38" s="100">
        <v>0</v>
      </c>
      <c r="AC38" s="100">
        <v>0</v>
      </c>
      <c r="AD38" s="100">
        <v>0</v>
      </c>
      <c r="AE38" s="100">
        <v>0</v>
      </c>
      <c r="AF38" s="100">
        <v>0</v>
      </c>
      <c r="AG38" s="100"/>
      <c r="AH38" s="100"/>
      <c r="AI38" s="100"/>
      <c r="AJ38" s="100"/>
      <c r="AK38" s="100"/>
      <c r="AL38" s="100"/>
      <c r="AM38" s="100"/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230"/>
      <c r="AY38" s="100"/>
      <c r="AZ38" s="100"/>
      <c r="BA38" s="100"/>
      <c r="BB38" s="100"/>
      <c r="BC38" s="276">
        <f t="shared" si="8"/>
        <v>0</v>
      </c>
      <c r="BD38" s="786">
        <f t="shared" si="9"/>
        <v>0</v>
      </c>
      <c r="BE38" s="786">
        <f t="shared" si="10"/>
        <v>0</v>
      </c>
      <c r="BH38" s="618">
        <f>+BH37-BC332</f>
        <v>0</v>
      </c>
      <c r="BI38" s="80" t="s">
        <v>130</v>
      </c>
      <c r="BJ38" s="80" t="s">
        <v>58</v>
      </c>
    </row>
    <row r="39" spans="1:151" s="38" customFormat="1">
      <c r="A39" s="91">
        <v>27</v>
      </c>
      <c r="B39" s="94">
        <v>352</v>
      </c>
      <c r="C39" s="94" t="s">
        <v>79</v>
      </c>
      <c r="D39" s="91">
        <v>25</v>
      </c>
      <c r="E39" s="100">
        <v>253</v>
      </c>
      <c r="F39" s="100">
        <f>SUMIF(pro!$A:$A,$V:$V,pro!$N:$N)</f>
        <v>0</v>
      </c>
      <c r="G39" s="100"/>
      <c r="H39" s="100">
        <f>SUMIF(CBIN!$A:$A,BRAN!$V:$V,CBIN!$G:$G)</f>
        <v>0</v>
      </c>
      <c r="I39" s="100">
        <f>SUMIF(data!$D:$D,$B39&amp;$D39,data!$J:$J)</f>
        <v>0</v>
      </c>
      <c r="J39" s="100">
        <f>SUMIF(data!$D:$D,$B39&amp;$D39,data!$K:$K)</f>
        <v>0</v>
      </c>
      <c r="K39" s="100">
        <f>SUMIF(AJOUT!$A:$A,BRAN!$V:$V,AJOUT!$L:$L)</f>
        <v>0</v>
      </c>
      <c r="L39" s="100">
        <f>SUMIF(CBOUT!$A:$A,BRAN!$V:$V,CBOUT!$G:$G)</f>
        <v>0</v>
      </c>
      <c r="M39" s="1158">
        <f t="shared" si="18"/>
        <v>253</v>
      </c>
      <c r="N39" s="652">
        <f t="shared" si="6"/>
        <v>6325</v>
      </c>
      <c r="O39" s="1159">
        <f t="shared" si="7"/>
        <v>2150</v>
      </c>
      <c r="P39" s="804"/>
      <c r="Q39" s="804"/>
      <c r="R39" s="100">
        <f>O39/INTGRATE!$N$293</f>
        <v>238.88888888888889</v>
      </c>
      <c r="S39" s="665">
        <f t="shared" si="0"/>
        <v>26.476744186046513</v>
      </c>
      <c r="T39" s="403"/>
      <c r="U39" s="136"/>
      <c r="V39" s="836" t="str">
        <f t="shared" si="1"/>
        <v>35225</v>
      </c>
      <c r="W39" s="823">
        <v>321000</v>
      </c>
      <c r="X39" s="386"/>
      <c r="Y39" s="386">
        <v>750</v>
      </c>
      <c r="Z39" s="100">
        <v>0</v>
      </c>
      <c r="AA39" s="100">
        <v>125</v>
      </c>
      <c r="AB39" s="100">
        <v>0</v>
      </c>
      <c r="AC39" s="100">
        <v>1175</v>
      </c>
      <c r="AD39" s="100">
        <v>0</v>
      </c>
      <c r="AE39" s="100">
        <v>100</v>
      </c>
      <c r="AF39" s="100">
        <v>0</v>
      </c>
      <c r="AG39" s="100"/>
      <c r="AH39" s="100"/>
      <c r="AI39" s="100"/>
      <c r="AJ39" s="100"/>
      <c r="AK39" s="100"/>
      <c r="AL39" s="100"/>
      <c r="AM39" s="100"/>
      <c r="AN39" s="100"/>
      <c r="AO39" s="100"/>
      <c r="AP39" s="100"/>
      <c r="AQ39" s="100"/>
      <c r="AR39" s="100"/>
      <c r="AS39" s="100"/>
      <c r="AT39" s="100"/>
      <c r="AU39" s="100"/>
      <c r="AV39" s="100"/>
      <c r="AW39" s="100"/>
      <c r="AX39" s="230"/>
      <c r="AY39" s="100"/>
      <c r="AZ39" s="100"/>
      <c r="BA39" s="100"/>
      <c r="BB39" s="100"/>
      <c r="BC39" s="276">
        <f t="shared" si="8"/>
        <v>2150</v>
      </c>
      <c r="BD39" s="786">
        <f t="shared" si="9"/>
        <v>4</v>
      </c>
      <c r="BE39" s="786">
        <f t="shared" si="10"/>
        <v>537.5</v>
      </c>
      <c r="BH39" s="436"/>
      <c r="BK39" s="85"/>
    </row>
    <row r="40" spans="1:151" s="38" customFormat="1" ht="15" customHeight="1">
      <c r="A40" s="91">
        <v>28</v>
      </c>
      <c r="B40" s="360">
        <v>384</v>
      </c>
      <c r="C40" s="360" t="s">
        <v>79</v>
      </c>
      <c r="D40" s="1169">
        <v>25</v>
      </c>
      <c r="E40" s="100">
        <v>1206</v>
      </c>
      <c r="F40" s="100">
        <f>SUMIF(pro!$A:$A,$V:$V,pro!$N:$N)</f>
        <v>0</v>
      </c>
      <c r="G40" s="100"/>
      <c r="H40" s="100">
        <f>SUMIF(CBIN!$A:$A,BRAN!$V:$V,CBIN!$G:$G)</f>
        <v>0</v>
      </c>
      <c r="I40" s="100">
        <f>SUMIF(data!$D:$D,$B40&amp;$D40,data!$J:$J)</f>
        <v>0</v>
      </c>
      <c r="J40" s="100">
        <f>SUMIF(data!$D:$D,$B40&amp;$D40,data!$K:$K)</f>
        <v>0</v>
      </c>
      <c r="K40" s="100">
        <f>SUMIF(AJOUT!$A:$A,BRAN!$V:$V,AJOUT!$L:$L)</f>
        <v>0</v>
      </c>
      <c r="L40" s="100">
        <f>SUMIF(CBOUT!$A:$A,BRAN!$V:$V,CBOUT!$G:$G)</f>
        <v>0</v>
      </c>
      <c r="M40" s="1158">
        <f t="shared" si="18"/>
        <v>1206</v>
      </c>
      <c r="N40" s="652">
        <f t="shared" si="6"/>
        <v>30150</v>
      </c>
      <c r="O40" s="1159">
        <f t="shared" si="7"/>
        <v>14625</v>
      </c>
      <c r="P40" s="804"/>
      <c r="Q40" s="804"/>
      <c r="R40" s="100">
        <f>O40/INTGRATE!$N$293</f>
        <v>1625</v>
      </c>
      <c r="S40" s="665">
        <f t="shared" si="0"/>
        <v>18.553846153846155</v>
      </c>
      <c r="T40" s="511"/>
      <c r="U40" s="136"/>
      <c r="V40" s="836" t="str">
        <f t="shared" si="1"/>
        <v>38425</v>
      </c>
      <c r="W40" s="823">
        <v>433000</v>
      </c>
      <c r="X40" s="386"/>
      <c r="Y40" s="386">
        <v>0</v>
      </c>
      <c r="Z40" s="100">
        <v>5000</v>
      </c>
      <c r="AA40" s="100">
        <v>2000</v>
      </c>
      <c r="AB40" s="100">
        <v>2875</v>
      </c>
      <c r="AC40" s="100">
        <v>3000</v>
      </c>
      <c r="AD40" s="100">
        <v>0</v>
      </c>
      <c r="AE40" s="100">
        <v>1750</v>
      </c>
      <c r="AF40" s="100">
        <v>0</v>
      </c>
      <c r="AG40" s="100"/>
      <c r="AH40" s="100"/>
      <c r="AI40" s="100"/>
      <c r="AJ40" s="100"/>
      <c r="AK40" s="100"/>
      <c r="AL40" s="100"/>
      <c r="AM40" s="100"/>
      <c r="AN40" s="100"/>
      <c r="AO40" s="100"/>
      <c r="AP40" s="100"/>
      <c r="AQ40" s="100"/>
      <c r="AR40" s="100"/>
      <c r="AS40" s="100"/>
      <c r="AT40" s="100"/>
      <c r="AU40" s="100"/>
      <c r="AV40" s="100"/>
      <c r="AW40" s="100"/>
      <c r="AX40" s="230"/>
      <c r="AY40" s="100"/>
      <c r="AZ40" s="100"/>
      <c r="BA40" s="100"/>
      <c r="BB40" s="100"/>
      <c r="BC40" s="276">
        <f t="shared" si="8"/>
        <v>14625</v>
      </c>
      <c r="BD40" s="786">
        <f t="shared" si="9"/>
        <v>5</v>
      </c>
      <c r="BE40" s="786">
        <f t="shared" si="10"/>
        <v>2925</v>
      </c>
      <c r="BH40" s="436"/>
    </row>
    <row r="41" spans="1:151" s="38" customFormat="1" ht="15" customHeight="1">
      <c r="A41" s="91">
        <v>29</v>
      </c>
      <c r="B41" s="360" t="s">
        <v>131</v>
      </c>
      <c r="C41" s="360" t="s">
        <v>79</v>
      </c>
      <c r="D41" s="1169">
        <v>25</v>
      </c>
      <c r="E41" s="100">
        <v>314</v>
      </c>
      <c r="F41" s="100">
        <f>SUMIF(pro!$A:$A,$V:$V,pro!$N:$N)</f>
        <v>0</v>
      </c>
      <c r="G41" s="100"/>
      <c r="H41" s="100">
        <f>SUMIF(CBIN!$A:$A,BRAN!$V:$V,CBIN!$G:$G)</f>
        <v>0</v>
      </c>
      <c r="I41" s="100">
        <f>SUMIF(data!$D:$D,$B41&amp;$D41,data!$J:$J)</f>
        <v>0</v>
      </c>
      <c r="J41" s="100">
        <f>SUMIF(data!$D:$D,$B41&amp;$D41,data!$K:$K)</f>
        <v>0</v>
      </c>
      <c r="K41" s="100">
        <f>SUMIF(AJOUT!$A:$A,BRAN!$V:$V,AJOUT!$L:$L)</f>
        <v>0</v>
      </c>
      <c r="L41" s="100">
        <f>SUMIF(CBOUT!$A:$A,BRAN!$V:$V,CBOUT!$G:$G)</f>
        <v>0</v>
      </c>
      <c r="M41" s="1158">
        <f t="shared" si="18"/>
        <v>314</v>
      </c>
      <c r="N41" s="652">
        <f t="shared" si="6"/>
        <v>7850</v>
      </c>
      <c r="O41" s="1159">
        <f t="shared" si="7"/>
        <v>0</v>
      </c>
      <c r="P41" s="804"/>
      <c r="Q41" s="804"/>
      <c r="R41" s="100">
        <f>O41/INTGRATE!$N$293</f>
        <v>0</v>
      </c>
      <c r="S41" s="665">
        <f t="shared" si="0"/>
        <v>0</v>
      </c>
      <c r="T41" s="505"/>
      <c r="U41" s="136"/>
      <c r="V41" s="836" t="str">
        <f t="shared" si="1"/>
        <v>385S25</v>
      </c>
      <c r="W41" s="823">
        <v>433010</v>
      </c>
      <c r="X41" s="386"/>
      <c r="Y41" s="386">
        <v>0</v>
      </c>
      <c r="Z41" s="100">
        <v>0</v>
      </c>
      <c r="AA41" s="100">
        <v>0</v>
      </c>
      <c r="AB41" s="100">
        <v>0</v>
      </c>
      <c r="AC41" s="100">
        <v>0</v>
      </c>
      <c r="AD41" s="100">
        <v>0</v>
      </c>
      <c r="AE41" s="100">
        <v>0</v>
      </c>
      <c r="AF41" s="100">
        <v>0</v>
      </c>
      <c r="AG41" s="100"/>
      <c r="AH41" s="100"/>
      <c r="AI41" s="100"/>
      <c r="AJ41" s="100"/>
      <c r="AK41" s="100"/>
      <c r="AL41" s="100"/>
      <c r="AM41" s="100"/>
      <c r="AN41" s="100"/>
      <c r="AO41" s="100"/>
      <c r="AP41" s="100"/>
      <c r="AQ41" s="100"/>
      <c r="AR41" s="100"/>
      <c r="AS41" s="100"/>
      <c r="AT41" s="100"/>
      <c r="AU41" s="100"/>
      <c r="AV41" s="100"/>
      <c r="AW41" s="100"/>
      <c r="AX41" s="230"/>
      <c r="AY41" s="100"/>
      <c r="AZ41" s="100"/>
      <c r="BA41" s="100"/>
      <c r="BB41" s="100"/>
      <c r="BC41" s="276">
        <f t="shared" si="8"/>
        <v>0</v>
      </c>
      <c r="BD41" s="786">
        <f t="shared" si="9"/>
        <v>0</v>
      </c>
      <c r="BE41" s="786">
        <f t="shared" si="10"/>
        <v>0</v>
      </c>
      <c r="BH41" s="436"/>
    </row>
    <row r="42" spans="1:151" s="95" customFormat="1" ht="15" customHeight="1">
      <c r="A42" s="91">
        <v>30</v>
      </c>
      <c r="B42" s="168">
        <v>510</v>
      </c>
      <c r="C42" s="168" t="s">
        <v>132</v>
      </c>
      <c r="D42" s="169">
        <v>25</v>
      </c>
      <c r="E42" s="100">
        <v>2361</v>
      </c>
      <c r="F42" s="100">
        <f>SUMIF(pro!$A:$A,$V:$V,pro!$N:$N)</f>
        <v>1756</v>
      </c>
      <c r="G42" s="100"/>
      <c r="H42" s="100">
        <f>SUMIF(CBIN!$A:$A,BRAN!$V:$V,CBIN!$G:$G)</f>
        <v>0</v>
      </c>
      <c r="I42" s="100">
        <f>SUMIF(data!$D:$D,$B42&amp;$D42,data!$J:$J)</f>
        <v>0</v>
      </c>
      <c r="J42" s="100">
        <f>SUMIF(data!$D:$D,$B42&amp;$D42,data!$K:$K)</f>
        <v>0</v>
      </c>
      <c r="K42" s="100">
        <f>SUMIF(AJOUT!$A:$A,BRAN!$V:$V,AJOUT!$L:$L)</f>
        <v>0</v>
      </c>
      <c r="L42" s="100">
        <f>SUMIF(CBOUT!$A:$A,BRAN!$V:$V,CBOUT!$G:$G)</f>
        <v>0</v>
      </c>
      <c r="M42" s="1158">
        <f t="shared" si="18"/>
        <v>4117</v>
      </c>
      <c r="N42" s="652">
        <f t="shared" si="6"/>
        <v>102925</v>
      </c>
      <c r="O42" s="1159">
        <f t="shared" si="7"/>
        <v>181625</v>
      </c>
      <c r="P42" s="804"/>
      <c r="Q42" s="804"/>
      <c r="R42" s="100">
        <f>O42/INTGRATE!$N$293</f>
        <v>20180.555555555555</v>
      </c>
      <c r="S42" s="665">
        <f t="shared" si="0"/>
        <v>5.1002064693737097</v>
      </c>
      <c r="T42" s="505"/>
      <c r="U42" s="136"/>
      <c r="V42" s="836" t="str">
        <f t="shared" si="1"/>
        <v>51025</v>
      </c>
      <c r="W42" s="823">
        <v>112001</v>
      </c>
      <c r="X42" s="386"/>
      <c r="Y42" s="386">
        <v>31525</v>
      </c>
      <c r="Z42" s="100">
        <v>9925</v>
      </c>
      <c r="AA42" s="100">
        <v>23850</v>
      </c>
      <c r="AB42" s="100">
        <v>24450</v>
      </c>
      <c r="AC42" s="100">
        <v>17475</v>
      </c>
      <c r="AD42" s="100">
        <v>37825</v>
      </c>
      <c r="AE42" s="100">
        <v>25675</v>
      </c>
      <c r="AF42" s="100">
        <v>10900</v>
      </c>
      <c r="AG42" s="100"/>
      <c r="AH42" s="100"/>
      <c r="AI42" s="100"/>
      <c r="AJ42" s="100"/>
      <c r="AK42" s="100"/>
      <c r="AL42" s="100"/>
      <c r="AM42" s="100"/>
      <c r="AN42" s="100"/>
      <c r="AO42" s="100"/>
      <c r="AP42" s="100"/>
      <c r="AQ42" s="100"/>
      <c r="AR42" s="100"/>
      <c r="AS42" s="100"/>
      <c r="AT42" s="100"/>
      <c r="AU42" s="100"/>
      <c r="AV42" s="100"/>
      <c r="AW42" s="100"/>
      <c r="AX42" s="230"/>
      <c r="AY42" s="100"/>
      <c r="AZ42" s="100"/>
      <c r="BA42" s="100"/>
      <c r="BB42" s="100"/>
      <c r="BC42" s="276">
        <f t="shared" si="8"/>
        <v>181625</v>
      </c>
      <c r="BD42" s="786">
        <f t="shared" si="9"/>
        <v>8</v>
      </c>
      <c r="BE42" s="786">
        <f t="shared" si="10"/>
        <v>22703.125</v>
      </c>
      <c r="BF42" s="38"/>
      <c r="BG42" s="38"/>
      <c r="BH42" s="436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  <c r="CV42" s="38"/>
      <c r="CW42" s="38"/>
      <c r="CX42" s="38"/>
      <c r="CY42" s="38"/>
      <c r="CZ42" s="38"/>
      <c r="DA42" s="38"/>
      <c r="DB42" s="38"/>
      <c r="DC42" s="38"/>
      <c r="DD42" s="38"/>
      <c r="DE42" s="38"/>
      <c r="DF42" s="38"/>
      <c r="DG42" s="38"/>
      <c r="DH42" s="38"/>
      <c r="DI42" s="38"/>
      <c r="DJ42" s="38"/>
      <c r="DK42" s="38"/>
      <c r="DL42" s="38"/>
      <c r="DM42" s="38"/>
      <c r="DN42" s="38"/>
      <c r="DO42" s="38"/>
      <c r="DP42" s="38"/>
      <c r="DQ42" s="38"/>
      <c r="DR42" s="38"/>
      <c r="DS42" s="38"/>
      <c r="DT42" s="38"/>
      <c r="DU42" s="38"/>
      <c r="DV42" s="38"/>
      <c r="DW42" s="38"/>
      <c r="DX42" s="38"/>
      <c r="DY42" s="38"/>
      <c r="DZ42" s="38"/>
      <c r="EA42" s="38"/>
      <c r="EB42" s="38"/>
      <c r="EC42" s="38"/>
      <c r="ED42" s="38"/>
      <c r="EE42" s="38"/>
      <c r="EF42" s="38"/>
      <c r="EG42" s="38"/>
      <c r="EH42" s="38"/>
      <c r="EI42" s="38"/>
      <c r="EJ42" s="38"/>
      <c r="EK42" s="38"/>
      <c r="EL42" s="38"/>
      <c r="EM42" s="38"/>
      <c r="EN42" s="38"/>
      <c r="EO42" s="38"/>
      <c r="EP42" s="38"/>
      <c r="EQ42" s="38"/>
      <c r="ER42" s="38"/>
      <c r="ES42" s="38"/>
      <c r="ET42" s="38"/>
      <c r="EU42" s="38"/>
    </row>
    <row r="43" spans="1:151" s="95" customFormat="1" ht="12.75" customHeight="1">
      <c r="A43" s="91">
        <v>31</v>
      </c>
      <c r="B43" s="168" t="s">
        <v>133</v>
      </c>
      <c r="C43" s="168" t="s">
        <v>61</v>
      </c>
      <c r="D43" s="169">
        <v>25</v>
      </c>
      <c r="E43" s="100">
        <v>0</v>
      </c>
      <c r="F43" s="100">
        <f>SUMIF(pro!$A:$A,$V:$V,pro!$N:$N)</f>
        <v>0</v>
      </c>
      <c r="G43" s="100"/>
      <c r="H43" s="100">
        <f>SUMIF(CBIN!$A:$A,BRAN!$V:$V,CBIN!$G:$G)</f>
        <v>0</v>
      </c>
      <c r="I43" s="100">
        <f>SUMIF(data!$D:$D,$B43&amp;$D43,data!$J:$J)</f>
        <v>0</v>
      </c>
      <c r="J43" s="100">
        <f>SUMIF(data!$D:$D,$B43&amp;$D43,data!$K:$K)</f>
        <v>0</v>
      </c>
      <c r="K43" s="100">
        <f>SUMIF(AJOUT!$A:$A,BRAN!$V:$V,AJOUT!$L:$L)</f>
        <v>0</v>
      </c>
      <c r="L43" s="100">
        <f>SUMIF(CBOUT!$A:$A,BRAN!$V:$V,CBOUT!$G:$G)</f>
        <v>0</v>
      </c>
      <c r="M43" s="1158">
        <f t="shared" si="18"/>
        <v>0</v>
      </c>
      <c r="N43" s="652">
        <f t="shared" si="6"/>
        <v>0</v>
      </c>
      <c r="O43" s="1159">
        <f t="shared" si="7"/>
        <v>0</v>
      </c>
      <c r="P43" s="804"/>
      <c r="Q43" s="804"/>
      <c r="R43" s="100">
        <f>O43/INTGRATE!$N$293</f>
        <v>0</v>
      </c>
      <c r="S43" s="665">
        <f t="shared" si="0"/>
        <v>0</v>
      </c>
      <c r="T43" s="403"/>
      <c r="U43" s="136"/>
      <c r="V43" s="836" t="str">
        <f t="shared" si="1"/>
        <v>510L25</v>
      </c>
      <c r="W43" s="823">
        <v>161001</v>
      </c>
      <c r="X43" s="386"/>
      <c r="Y43" s="386">
        <v>0</v>
      </c>
      <c r="Z43" s="100">
        <v>0</v>
      </c>
      <c r="AA43" s="100">
        <v>0</v>
      </c>
      <c r="AB43" s="100">
        <v>0</v>
      </c>
      <c r="AC43" s="100">
        <v>0</v>
      </c>
      <c r="AD43" s="100">
        <v>0</v>
      </c>
      <c r="AE43" s="100">
        <v>0</v>
      </c>
      <c r="AF43" s="100">
        <v>0</v>
      </c>
      <c r="AG43" s="100"/>
      <c r="AH43" s="100"/>
      <c r="AI43" s="100"/>
      <c r="AJ43" s="100"/>
      <c r="AK43" s="100"/>
      <c r="AL43" s="100"/>
      <c r="AM43" s="100"/>
      <c r="AN43" s="100"/>
      <c r="AO43" s="100"/>
      <c r="AP43" s="100"/>
      <c r="AQ43" s="100"/>
      <c r="AR43" s="100"/>
      <c r="AS43" s="100"/>
      <c r="AT43" s="100"/>
      <c r="AU43" s="100"/>
      <c r="AV43" s="100"/>
      <c r="AW43" s="100"/>
      <c r="AX43" s="230"/>
      <c r="AY43" s="100"/>
      <c r="AZ43" s="100"/>
      <c r="BA43" s="100"/>
      <c r="BB43" s="100"/>
      <c r="BC43" s="276">
        <f t="shared" si="8"/>
        <v>0</v>
      </c>
      <c r="BD43" s="786">
        <f t="shared" si="9"/>
        <v>0</v>
      </c>
      <c r="BE43" s="786">
        <f t="shared" si="10"/>
        <v>0</v>
      </c>
      <c r="BF43" s="38"/>
      <c r="BG43" s="38"/>
      <c r="BH43" s="436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  <c r="CV43" s="38"/>
      <c r="CW43" s="38"/>
      <c r="CX43" s="38"/>
      <c r="CY43" s="38"/>
      <c r="CZ43" s="38"/>
      <c r="DA43" s="38"/>
      <c r="DB43" s="38"/>
      <c r="DC43" s="38"/>
      <c r="DD43" s="38"/>
      <c r="DE43" s="38"/>
      <c r="DF43" s="38"/>
      <c r="DG43" s="38"/>
      <c r="DH43" s="38"/>
      <c r="DI43" s="38"/>
      <c r="DJ43" s="38"/>
      <c r="DK43" s="38"/>
      <c r="DL43" s="38"/>
      <c r="DM43" s="38"/>
      <c r="DN43" s="38"/>
      <c r="DO43" s="38"/>
      <c r="DP43" s="38"/>
      <c r="DQ43" s="38"/>
      <c r="DR43" s="38"/>
      <c r="DS43" s="38"/>
      <c r="DT43" s="38"/>
      <c r="DU43" s="38"/>
      <c r="DV43" s="38"/>
      <c r="DW43" s="38"/>
      <c r="DX43" s="38"/>
      <c r="DY43" s="38"/>
      <c r="DZ43" s="38"/>
      <c r="EA43" s="38"/>
      <c r="EB43" s="38"/>
      <c r="EC43" s="38"/>
      <c r="ED43" s="38"/>
      <c r="EE43" s="38"/>
      <c r="EF43" s="38"/>
      <c r="EG43" s="38"/>
      <c r="EH43" s="38"/>
      <c r="EI43" s="38"/>
      <c r="EJ43" s="38"/>
      <c r="EK43" s="38"/>
      <c r="EL43" s="38"/>
      <c r="EM43" s="38"/>
      <c r="EN43" s="38"/>
      <c r="EO43" s="38"/>
      <c r="EP43" s="38"/>
      <c r="EQ43" s="38"/>
      <c r="ER43" s="38"/>
      <c r="ES43" s="38"/>
      <c r="ET43" s="38"/>
      <c r="EU43" s="38"/>
    </row>
    <row r="44" spans="1:151" s="95" customFormat="1" ht="15" customHeight="1">
      <c r="A44" s="91">
        <v>32</v>
      </c>
      <c r="B44" s="168" t="s">
        <v>134</v>
      </c>
      <c r="C44" s="168" t="s">
        <v>61</v>
      </c>
      <c r="D44" s="169">
        <v>25</v>
      </c>
      <c r="E44" s="100">
        <v>500</v>
      </c>
      <c r="F44" s="100">
        <f>SUMIF(pro!$A:$A,$V:$V,pro!$N:$N)</f>
        <v>0</v>
      </c>
      <c r="G44" s="100"/>
      <c r="H44" s="100">
        <f>SUMIF(CBIN!$A:$A,BRAN!$V:$V,CBIN!$G:$G)</f>
        <v>0</v>
      </c>
      <c r="I44" s="100">
        <f>SUMIF(data!$D:$D,$B44&amp;$D44,data!$J:$J)</f>
        <v>0</v>
      </c>
      <c r="J44" s="100">
        <f>SUMIF(data!$D:$D,$B44&amp;$D44,data!$K:$K)</f>
        <v>0</v>
      </c>
      <c r="K44" s="100">
        <f>SUMIF(AJOUT!$A:$A,BRAN!$V:$V,AJOUT!$L:$L)</f>
        <v>0</v>
      </c>
      <c r="L44" s="100">
        <f>SUMIF(CBOUT!$A:$A,BRAN!$V:$V,CBOUT!$G:$G)</f>
        <v>0</v>
      </c>
      <c r="M44" s="1158">
        <f t="shared" si="18"/>
        <v>500</v>
      </c>
      <c r="N44" s="652">
        <f t="shared" si="6"/>
        <v>12500</v>
      </c>
      <c r="O44" s="1159">
        <f t="shared" si="7"/>
        <v>18375</v>
      </c>
      <c r="P44" s="804"/>
      <c r="Q44" s="804"/>
      <c r="R44" s="100">
        <f>O44/INTGRATE!$N$293</f>
        <v>2041.6666666666667</v>
      </c>
      <c r="S44" s="665">
        <f t="shared" si="0"/>
        <v>6.1224489795918364</v>
      </c>
      <c r="T44" s="403"/>
      <c r="U44" s="136"/>
      <c r="V44" s="836" t="str">
        <f t="shared" si="1"/>
        <v>510M25</v>
      </c>
      <c r="W44" s="823">
        <v>161201</v>
      </c>
      <c r="X44" s="386"/>
      <c r="Y44" s="386">
        <v>2125</v>
      </c>
      <c r="Z44" s="100">
        <v>1875</v>
      </c>
      <c r="AA44" s="100">
        <v>7000</v>
      </c>
      <c r="AB44" s="100">
        <v>625</v>
      </c>
      <c r="AC44" s="100">
        <v>2250</v>
      </c>
      <c r="AD44" s="100">
        <v>875</v>
      </c>
      <c r="AE44" s="100">
        <v>2875</v>
      </c>
      <c r="AF44" s="100">
        <v>750</v>
      </c>
      <c r="AG44" s="100"/>
      <c r="AH44" s="100"/>
      <c r="AI44" s="100"/>
      <c r="AJ44" s="100"/>
      <c r="AK44" s="100"/>
      <c r="AL44" s="100"/>
      <c r="AM44" s="100"/>
      <c r="AN44" s="100"/>
      <c r="AO44" s="100"/>
      <c r="AP44" s="100"/>
      <c r="AQ44" s="100"/>
      <c r="AR44" s="100"/>
      <c r="AS44" s="100"/>
      <c r="AT44" s="100"/>
      <c r="AU44" s="100"/>
      <c r="AV44" s="100"/>
      <c r="AW44" s="100"/>
      <c r="AX44" s="230"/>
      <c r="AY44" s="100"/>
      <c r="AZ44" s="100"/>
      <c r="BA44" s="100"/>
      <c r="BB44" s="100"/>
      <c r="BC44" s="276">
        <f t="shared" si="8"/>
        <v>18375</v>
      </c>
      <c r="BD44" s="786">
        <f t="shared" si="9"/>
        <v>8</v>
      </c>
      <c r="BE44" s="786">
        <f t="shared" si="10"/>
        <v>2296.875</v>
      </c>
      <c r="BF44" s="38"/>
      <c r="BG44" s="38"/>
      <c r="BH44" s="436"/>
      <c r="BI44" s="38"/>
      <c r="BJ44" s="38"/>
      <c r="BK44" s="38"/>
      <c r="BL44" s="38"/>
      <c r="BM44" s="38"/>
      <c r="BN44" s="38"/>
      <c r="BO44" s="38"/>
      <c r="BP44" s="38"/>
      <c r="BQ44" s="38"/>
      <c r="BR44" s="38"/>
      <c r="BS44" s="38"/>
      <c r="BT44" s="38"/>
      <c r="BU44" s="38"/>
      <c r="BV44" s="38"/>
      <c r="BW44" s="38"/>
      <c r="BX44" s="38"/>
      <c r="BY44" s="38"/>
      <c r="BZ44" s="38"/>
      <c r="CA44" s="38"/>
      <c r="CB44" s="38"/>
      <c r="CC44" s="38"/>
      <c r="CD44" s="38"/>
      <c r="CE44" s="38"/>
      <c r="CF44" s="38"/>
      <c r="CG44" s="38"/>
      <c r="CH44" s="38"/>
      <c r="CI44" s="38"/>
      <c r="CJ44" s="38"/>
      <c r="CK44" s="38"/>
      <c r="CL44" s="38"/>
      <c r="CM44" s="38"/>
      <c r="CN44" s="38"/>
      <c r="CO44" s="38"/>
      <c r="CP44" s="38"/>
      <c r="CQ44" s="38"/>
      <c r="CR44" s="38"/>
      <c r="CS44" s="38"/>
      <c r="CT44" s="38"/>
      <c r="CU44" s="38"/>
      <c r="CV44" s="38"/>
      <c r="CW44" s="38"/>
      <c r="CX44" s="38"/>
      <c r="CY44" s="38"/>
      <c r="CZ44" s="38"/>
      <c r="DA44" s="38"/>
      <c r="DB44" s="38"/>
      <c r="DC44" s="38"/>
      <c r="DD44" s="38"/>
      <c r="DE44" s="38"/>
      <c r="DF44" s="38"/>
      <c r="DG44" s="38"/>
      <c r="DH44" s="38"/>
      <c r="DI44" s="38"/>
      <c r="DJ44" s="38"/>
      <c r="DK44" s="38"/>
      <c r="DL44" s="38"/>
      <c r="DM44" s="38"/>
      <c r="DN44" s="38"/>
      <c r="DO44" s="38"/>
      <c r="DP44" s="38"/>
      <c r="DQ44" s="38"/>
      <c r="DR44" s="38"/>
      <c r="DS44" s="38"/>
      <c r="DT44" s="38"/>
      <c r="DU44" s="38"/>
      <c r="DV44" s="38"/>
      <c r="DW44" s="38"/>
      <c r="DX44" s="38"/>
      <c r="DY44" s="38"/>
      <c r="DZ44" s="38"/>
      <c r="EA44" s="38"/>
      <c r="EB44" s="38"/>
      <c r="EC44" s="38"/>
      <c r="ED44" s="38"/>
      <c r="EE44" s="38"/>
      <c r="EF44" s="38"/>
      <c r="EG44" s="38"/>
      <c r="EH44" s="38"/>
      <c r="EI44" s="38"/>
      <c r="EJ44" s="38"/>
      <c r="EK44" s="38"/>
      <c r="EL44" s="38"/>
      <c r="EM44" s="38"/>
      <c r="EN44" s="38"/>
      <c r="EO44" s="38"/>
      <c r="EP44" s="38"/>
      <c r="EQ44" s="38"/>
      <c r="ER44" s="38"/>
      <c r="ES44" s="38"/>
      <c r="ET44" s="38"/>
      <c r="EU44" s="38"/>
    </row>
    <row r="45" spans="1:151" s="95" customFormat="1" ht="15" customHeight="1">
      <c r="A45" s="91">
        <v>33</v>
      </c>
      <c r="B45" s="168" t="s">
        <v>135</v>
      </c>
      <c r="C45" s="168" t="s">
        <v>61</v>
      </c>
      <c r="D45" s="169">
        <v>25</v>
      </c>
      <c r="E45" s="100">
        <v>587</v>
      </c>
      <c r="F45" s="100">
        <f>SUMIF(pro!$A:$A,$V:$V,pro!$N:$N)</f>
        <v>0</v>
      </c>
      <c r="G45" s="100"/>
      <c r="H45" s="100">
        <f>SUMIF(CBIN!$A:$A,BRAN!$V:$V,CBIN!$G:$G)</f>
        <v>0</v>
      </c>
      <c r="I45" s="100">
        <f>SUMIF(data!$D:$D,$B45&amp;$D45,data!$J:$J)</f>
        <v>0</v>
      </c>
      <c r="J45" s="100">
        <f>SUMIF(data!$D:$D,$B45&amp;$D45,data!$K:$K)</f>
        <v>0</v>
      </c>
      <c r="K45" s="100">
        <f>SUMIF(AJOUT!$A:$A,BRAN!$V:$V,AJOUT!$L:$L)</f>
        <v>0</v>
      </c>
      <c r="L45" s="100">
        <f>SUMIF(CBOUT!$A:$A,BRAN!$V:$V,CBOUT!$G:$G)</f>
        <v>0</v>
      </c>
      <c r="M45" s="1158">
        <f t="shared" si="18"/>
        <v>587</v>
      </c>
      <c r="N45" s="652">
        <f t="shared" si="6"/>
        <v>14675</v>
      </c>
      <c r="O45" s="1159">
        <f t="shared" si="7"/>
        <v>8725</v>
      </c>
      <c r="P45" s="804"/>
      <c r="Q45" s="804"/>
      <c r="R45" s="100">
        <f>O45/INTGRATE!$N$293</f>
        <v>969.44444444444446</v>
      </c>
      <c r="S45" s="665">
        <f t="shared" si="0"/>
        <v>15.137535816618911</v>
      </c>
      <c r="T45" s="403"/>
      <c r="U45" s="136"/>
      <c r="V45" s="836" t="str">
        <f>B45&amp;D45</f>
        <v>510S25</v>
      </c>
      <c r="W45" s="823">
        <v>112301</v>
      </c>
      <c r="X45" s="386"/>
      <c r="Y45" s="386">
        <v>0</v>
      </c>
      <c r="Z45" s="100">
        <v>0</v>
      </c>
      <c r="AA45" s="100">
        <v>0</v>
      </c>
      <c r="AB45" s="100">
        <v>0</v>
      </c>
      <c r="AC45" s="100">
        <v>8500</v>
      </c>
      <c r="AD45" s="100">
        <v>225</v>
      </c>
      <c r="AE45" s="100">
        <v>0</v>
      </c>
      <c r="AF45" s="100">
        <v>0</v>
      </c>
      <c r="AG45" s="100"/>
      <c r="AH45" s="100"/>
      <c r="AI45" s="100"/>
      <c r="AJ45" s="100"/>
      <c r="AK45" s="100"/>
      <c r="AL45" s="100"/>
      <c r="AM45" s="100"/>
      <c r="AN45" s="100"/>
      <c r="AO45" s="100"/>
      <c r="AP45" s="100"/>
      <c r="AQ45" s="100"/>
      <c r="AR45" s="100"/>
      <c r="AS45" s="100"/>
      <c r="AT45" s="100"/>
      <c r="AU45" s="100"/>
      <c r="AV45" s="100"/>
      <c r="AW45" s="100"/>
      <c r="AX45" s="230"/>
      <c r="AY45" s="100"/>
      <c r="AZ45" s="100"/>
      <c r="BA45" s="100"/>
      <c r="BB45" s="100"/>
      <c r="BC45" s="276">
        <f t="shared" si="8"/>
        <v>8725</v>
      </c>
      <c r="BD45" s="786">
        <f t="shared" si="9"/>
        <v>2</v>
      </c>
      <c r="BE45" s="786">
        <f t="shared" si="10"/>
        <v>4362.5</v>
      </c>
      <c r="BF45" s="38"/>
      <c r="BG45" s="38"/>
      <c r="BH45" s="436"/>
      <c r="BI45" s="38"/>
      <c r="BJ45" s="38"/>
      <c r="BK45" s="38"/>
      <c r="BL45" s="38"/>
      <c r="BM45" s="38"/>
      <c r="BN45" s="38"/>
      <c r="BO45" s="38"/>
      <c r="BP45" s="38"/>
      <c r="BQ45" s="38"/>
      <c r="BR45" s="38"/>
      <c r="BS45" s="38"/>
      <c r="BT45" s="38"/>
      <c r="BU45" s="38"/>
      <c r="BV45" s="38"/>
      <c r="BW45" s="38"/>
      <c r="BX45" s="38"/>
      <c r="BY45" s="38"/>
      <c r="BZ45" s="38"/>
      <c r="CA45" s="38"/>
      <c r="CB45" s="38"/>
      <c r="CC45" s="38"/>
      <c r="CD45" s="38"/>
      <c r="CE45" s="38"/>
      <c r="CF45" s="38"/>
      <c r="CG45" s="38"/>
      <c r="CH45" s="38"/>
      <c r="CI45" s="38"/>
      <c r="CJ45" s="38"/>
      <c r="CK45" s="38"/>
      <c r="CL45" s="38"/>
      <c r="CM45" s="38"/>
      <c r="CN45" s="38"/>
      <c r="CO45" s="38"/>
      <c r="CP45" s="38"/>
      <c r="CQ45" s="38"/>
      <c r="CR45" s="38"/>
      <c r="CS45" s="38"/>
      <c r="CT45" s="38"/>
      <c r="CU45" s="38"/>
      <c r="CV45" s="38"/>
      <c r="CW45" s="38"/>
      <c r="CX45" s="38"/>
      <c r="CY45" s="38"/>
      <c r="CZ45" s="38"/>
      <c r="DA45" s="38"/>
      <c r="DB45" s="38"/>
      <c r="DC45" s="38"/>
      <c r="DD45" s="38"/>
      <c r="DE45" s="38"/>
      <c r="DF45" s="38"/>
      <c r="DG45" s="38"/>
      <c r="DH45" s="38"/>
      <c r="DI45" s="38"/>
      <c r="DJ45" s="38"/>
      <c r="DK45" s="38"/>
      <c r="DL45" s="38"/>
      <c r="DM45" s="38"/>
      <c r="DN45" s="38"/>
      <c r="DO45" s="38"/>
      <c r="DP45" s="38"/>
      <c r="DQ45" s="38"/>
      <c r="DR45" s="38"/>
      <c r="DS45" s="38"/>
      <c r="DT45" s="38"/>
      <c r="DU45" s="38"/>
      <c r="DV45" s="38"/>
      <c r="DW45" s="38"/>
      <c r="DX45" s="38"/>
      <c r="DY45" s="38"/>
      <c r="DZ45" s="38"/>
      <c r="EA45" s="38"/>
      <c r="EB45" s="38"/>
      <c r="EC45" s="38"/>
      <c r="ED45" s="38"/>
      <c r="EE45" s="38"/>
      <c r="EF45" s="38"/>
      <c r="EG45" s="38"/>
      <c r="EH45" s="38"/>
      <c r="EI45" s="38"/>
      <c r="EJ45" s="38"/>
      <c r="EK45" s="38"/>
      <c r="EL45" s="38"/>
      <c r="EM45" s="38"/>
      <c r="EN45" s="38"/>
      <c r="EO45" s="38"/>
      <c r="EP45" s="38"/>
      <c r="EQ45" s="38"/>
      <c r="ER45" s="38"/>
      <c r="ES45" s="38"/>
      <c r="ET45" s="38"/>
      <c r="EU45" s="38"/>
    </row>
    <row r="46" spans="1:151" s="95" customFormat="1" ht="15" customHeight="1">
      <c r="A46" s="91">
        <v>34</v>
      </c>
      <c r="B46" s="168" t="s">
        <v>135</v>
      </c>
      <c r="C46" s="168" t="s">
        <v>61</v>
      </c>
      <c r="D46" s="169" t="s">
        <v>66</v>
      </c>
      <c r="E46" s="100"/>
      <c r="F46" s="100">
        <f>+J46</f>
        <v>0</v>
      </c>
      <c r="G46" s="100"/>
      <c r="H46" s="100">
        <f>SUMIF(CBIN!$A:$A,BRAN!$V:$V,CBIN!$G:$G)</f>
        <v>0</v>
      </c>
      <c r="I46" s="100"/>
      <c r="J46" s="100">
        <f>SUMIF(data!$D:$D,$B46&amp;$D46,data!$K:$K)</f>
        <v>0</v>
      </c>
      <c r="K46" s="100"/>
      <c r="L46" s="100"/>
      <c r="M46" s="1158"/>
      <c r="N46" s="652"/>
      <c r="O46" s="1159">
        <f>SUM(X46:BB46)</f>
        <v>0</v>
      </c>
      <c r="P46" s="804"/>
      <c r="Q46" s="804"/>
      <c r="R46" s="100">
        <f>O46/INTGRATE!$N$293</f>
        <v>0</v>
      </c>
      <c r="S46" s="665">
        <f>IF(R46=0,0,N46/R46)</f>
        <v>0</v>
      </c>
      <c r="T46" s="403"/>
      <c r="U46" s="136"/>
      <c r="V46" s="836" t="str">
        <f>B46&amp;D46</f>
        <v>510SSILO</v>
      </c>
      <c r="W46" s="823">
        <v>112301</v>
      </c>
      <c r="X46" s="386"/>
      <c r="Y46" s="386">
        <v>0</v>
      </c>
      <c r="Z46" s="100">
        <v>0</v>
      </c>
      <c r="AA46" s="100">
        <v>0</v>
      </c>
      <c r="AB46" s="100">
        <v>0</v>
      </c>
      <c r="AC46" s="100">
        <v>0</v>
      </c>
      <c r="AD46" s="100">
        <v>0</v>
      </c>
      <c r="AE46" s="100">
        <v>0</v>
      </c>
      <c r="AF46" s="100">
        <v>0</v>
      </c>
      <c r="AG46" s="100"/>
      <c r="AH46" s="100"/>
      <c r="AI46" s="100"/>
      <c r="AJ46" s="100"/>
      <c r="AK46" s="100"/>
      <c r="AL46" s="100"/>
      <c r="AM46" s="100"/>
      <c r="AN46" s="100"/>
      <c r="AO46" s="100"/>
      <c r="AP46" s="100"/>
      <c r="AQ46" s="100"/>
      <c r="AR46" s="100"/>
      <c r="AS46" s="100"/>
      <c r="AT46" s="100"/>
      <c r="AU46" s="100"/>
      <c r="AV46" s="100"/>
      <c r="AW46" s="100"/>
      <c r="AX46" s="230"/>
      <c r="AY46" s="100"/>
      <c r="AZ46" s="100"/>
      <c r="BA46" s="100"/>
      <c r="BB46" s="100"/>
      <c r="BC46" s="276">
        <f t="shared" si="8"/>
        <v>0</v>
      </c>
      <c r="BD46" s="786">
        <f t="shared" si="9"/>
        <v>0</v>
      </c>
      <c r="BE46" s="786">
        <f t="shared" si="10"/>
        <v>0</v>
      </c>
      <c r="BF46" s="38"/>
      <c r="BG46" s="38"/>
      <c r="BH46" s="436"/>
      <c r="BI46" s="38"/>
      <c r="BJ46" s="38"/>
      <c r="BK46" s="38"/>
      <c r="BL46" s="38"/>
      <c r="BM46" s="38"/>
      <c r="BN46" s="38"/>
      <c r="BO46" s="38"/>
      <c r="BP46" s="38"/>
      <c r="BQ46" s="38"/>
      <c r="BR46" s="38"/>
      <c r="BS46" s="38"/>
      <c r="BT46" s="38"/>
      <c r="BU46" s="38"/>
      <c r="BV46" s="38"/>
      <c r="BW46" s="38"/>
      <c r="BX46" s="38"/>
      <c r="BY46" s="38"/>
      <c r="BZ46" s="38"/>
      <c r="CA46" s="38"/>
      <c r="CB46" s="38"/>
      <c r="CC46" s="38"/>
      <c r="CD46" s="38"/>
      <c r="CE46" s="38"/>
      <c r="CF46" s="38"/>
      <c r="CG46" s="38"/>
      <c r="CH46" s="38"/>
      <c r="CI46" s="38"/>
      <c r="CJ46" s="38"/>
      <c r="CK46" s="38"/>
      <c r="CL46" s="38"/>
      <c r="CM46" s="38"/>
      <c r="CN46" s="38"/>
      <c r="CO46" s="38"/>
      <c r="CP46" s="38"/>
      <c r="CQ46" s="38"/>
      <c r="CR46" s="38"/>
      <c r="CS46" s="38"/>
      <c r="CT46" s="38"/>
      <c r="CU46" s="38"/>
      <c r="CV46" s="38"/>
      <c r="CW46" s="38"/>
      <c r="CX46" s="38"/>
      <c r="CY46" s="38"/>
      <c r="CZ46" s="38"/>
      <c r="DA46" s="38"/>
      <c r="DB46" s="38"/>
      <c r="DC46" s="38"/>
      <c r="DD46" s="38"/>
      <c r="DE46" s="38"/>
      <c r="DF46" s="38"/>
      <c r="DG46" s="38"/>
      <c r="DH46" s="38"/>
      <c r="DI46" s="38"/>
      <c r="DJ46" s="38"/>
      <c r="DK46" s="38"/>
      <c r="DL46" s="38"/>
      <c r="DM46" s="38"/>
      <c r="DN46" s="38"/>
      <c r="DO46" s="38"/>
      <c r="DP46" s="38"/>
      <c r="DQ46" s="38"/>
      <c r="DR46" s="38"/>
      <c r="DS46" s="38"/>
      <c r="DT46" s="38"/>
      <c r="DU46" s="38"/>
      <c r="DV46" s="38"/>
      <c r="DW46" s="38"/>
      <c r="DX46" s="38"/>
      <c r="DY46" s="38"/>
      <c r="DZ46" s="38"/>
      <c r="EA46" s="38"/>
      <c r="EB46" s="38"/>
      <c r="EC46" s="38"/>
      <c r="ED46" s="38"/>
      <c r="EE46" s="38"/>
      <c r="EF46" s="38"/>
      <c r="EG46" s="38"/>
      <c r="EH46" s="38"/>
      <c r="EI46" s="38"/>
      <c r="EJ46" s="38"/>
      <c r="EK46" s="38"/>
      <c r="EL46" s="38"/>
      <c r="EM46" s="38"/>
      <c r="EN46" s="38"/>
      <c r="EO46" s="38"/>
      <c r="EP46" s="38"/>
      <c r="EQ46" s="38"/>
      <c r="ER46" s="38"/>
      <c r="ES46" s="38"/>
      <c r="ET46" s="38"/>
      <c r="EU46" s="38"/>
    </row>
    <row r="47" spans="1:151" s="95" customFormat="1" ht="15" customHeight="1">
      <c r="A47" s="91">
        <v>35</v>
      </c>
      <c r="B47" s="168">
        <v>511</v>
      </c>
      <c r="C47" s="168" t="s">
        <v>51</v>
      </c>
      <c r="D47" s="169">
        <v>25</v>
      </c>
      <c r="E47" s="100">
        <v>120</v>
      </c>
      <c r="F47" s="100">
        <f>SUMIF(pro!$A:$A,$V:$V,pro!$N:$N)</f>
        <v>0</v>
      </c>
      <c r="G47" s="100"/>
      <c r="H47" s="100">
        <f>SUMIF(CBIN!$A:$A,BRAN!$V:$V,CBIN!$G:$G)</f>
        <v>0</v>
      </c>
      <c r="I47" s="100">
        <f>SUMIF(data!$D:$D,$B47&amp;$D47,data!$J:$J)</f>
        <v>0</v>
      </c>
      <c r="J47" s="100">
        <f>SUMIF(data!$D:$D,$B47&amp;$D47,data!$K:$K)</f>
        <v>0</v>
      </c>
      <c r="K47" s="100">
        <f>SUMIF(AJOUT!$A:$A,BRAN!$V:$V,AJOUT!$L:$L)</f>
        <v>0</v>
      </c>
      <c r="L47" s="100">
        <f>SUMIF(CBOUT!$A:$A,BRAN!$V:$V,CBOUT!$G:$G)</f>
        <v>0</v>
      </c>
      <c r="M47" s="1158">
        <f t="shared" si="18"/>
        <v>120</v>
      </c>
      <c r="N47" s="652">
        <f t="shared" si="6"/>
        <v>3000</v>
      </c>
      <c r="O47" s="1159">
        <f t="shared" si="7"/>
        <v>20325</v>
      </c>
      <c r="P47" s="804"/>
      <c r="Q47" s="804"/>
      <c r="R47" s="100">
        <f>O47/INTGRATE!$N$293</f>
        <v>2258.3333333333335</v>
      </c>
      <c r="S47" s="665">
        <f t="shared" si="0"/>
        <v>1.3284132841328413</v>
      </c>
      <c r="T47" s="403"/>
      <c r="U47" s="136"/>
      <c r="V47" s="836" t="str">
        <f t="shared" si="1"/>
        <v>51125</v>
      </c>
      <c r="W47" s="823">
        <v>114001</v>
      </c>
      <c r="X47" s="386"/>
      <c r="Y47" s="386">
        <v>1250</v>
      </c>
      <c r="Z47" s="100">
        <v>0</v>
      </c>
      <c r="AA47" s="100">
        <v>1500</v>
      </c>
      <c r="AB47" s="100">
        <v>375</v>
      </c>
      <c r="AC47" s="100">
        <v>15750</v>
      </c>
      <c r="AD47" s="100">
        <v>325</v>
      </c>
      <c r="AE47" s="100">
        <v>375</v>
      </c>
      <c r="AF47" s="100">
        <v>750</v>
      </c>
      <c r="AG47" s="100"/>
      <c r="AH47" s="100"/>
      <c r="AI47" s="100"/>
      <c r="AJ47" s="100"/>
      <c r="AK47" s="100"/>
      <c r="AL47" s="100"/>
      <c r="AM47" s="100"/>
      <c r="AN47" s="100"/>
      <c r="AO47" s="100"/>
      <c r="AP47" s="100"/>
      <c r="AQ47" s="100"/>
      <c r="AR47" s="100"/>
      <c r="AS47" s="100"/>
      <c r="AT47" s="100"/>
      <c r="AU47" s="100"/>
      <c r="AV47" s="100"/>
      <c r="AW47" s="100"/>
      <c r="AX47" s="230"/>
      <c r="AY47" s="100"/>
      <c r="AZ47" s="100"/>
      <c r="BA47" s="100"/>
      <c r="BB47" s="100"/>
      <c r="BC47" s="276">
        <f t="shared" si="8"/>
        <v>20325</v>
      </c>
      <c r="BD47" s="786">
        <f t="shared" si="9"/>
        <v>7</v>
      </c>
      <c r="BE47" s="786">
        <f t="shared" si="10"/>
        <v>2903.5714285714284</v>
      </c>
      <c r="BF47" s="38"/>
      <c r="BG47" s="38"/>
      <c r="BH47" s="436"/>
      <c r="BI47" s="38"/>
      <c r="BJ47" s="38"/>
      <c r="BK47" s="38"/>
      <c r="BL47" s="38"/>
      <c r="BM47" s="38"/>
      <c r="BN47" s="38"/>
      <c r="BO47" s="38"/>
      <c r="BP47" s="38"/>
      <c r="BQ47" s="38"/>
      <c r="BR47" s="38"/>
      <c r="BS47" s="38"/>
      <c r="BT47" s="38"/>
      <c r="BU47" s="38"/>
      <c r="BV47" s="38"/>
      <c r="BW47" s="38"/>
      <c r="BX47" s="38"/>
      <c r="BY47" s="38"/>
      <c r="BZ47" s="38"/>
      <c r="CA47" s="38"/>
      <c r="CB47" s="38"/>
      <c r="CC47" s="38"/>
      <c r="CD47" s="38"/>
      <c r="CE47" s="38"/>
      <c r="CF47" s="38"/>
      <c r="CG47" s="38"/>
      <c r="CH47" s="38"/>
      <c r="CI47" s="38"/>
      <c r="CJ47" s="38"/>
      <c r="CK47" s="38"/>
      <c r="CL47" s="38"/>
      <c r="CM47" s="38"/>
      <c r="CN47" s="38"/>
      <c r="CO47" s="38"/>
      <c r="CP47" s="38"/>
      <c r="CQ47" s="38"/>
      <c r="CR47" s="38"/>
      <c r="CS47" s="38"/>
      <c r="CT47" s="38"/>
      <c r="CU47" s="38"/>
      <c r="CV47" s="38"/>
      <c r="CW47" s="38"/>
      <c r="CX47" s="38"/>
      <c r="CY47" s="38"/>
      <c r="CZ47" s="38"/>
      <c r="DA47" s="38"/>
      <c r="DB47" s="38"/>
      <c r="DC47" s="38"/>
      <c r="DD47" s="38"/>
      <c r="DE47" s="38"/>
      <c r="DF47" s="38"/>
      <c r="DG47" s="38"/>
      <c r="DH47" s="38"/>
      <c r="DI47" s="38"/>
      <c r="DJ47" s="38"/>
      <c r="DK47" s="38"/>
      <c r="DL47" s="38"/>
      <c r="DM47" s="38"/>
      <c r="DN47" s="38"/>
      <c r="DO47" s="38"/>
      <c r="DP47" s="38"/>
      <c r="DQ47" s="38"/>
      <c r="DR47" s="38"/>
      <c r="DS47" s="38"/>
      <c r="DT47" s="38"/>
      <c r="DU47" s="38"/>
      <c r="DV47" s="38"/>
      <c r="DW47" s="38"/>
      <c r="DX47" s="38"/>
      <c r="DY47" s="38"/>
      <c r="DZ47" s="38"/>
      <c r="EA47" s="38"/>
      <c r="EB47" s="38"/>
      <c r="EC47" s="38"/>
      <c r="ED47" s="38"/>
      <c r="EE47" s="38"/>
      <c r="EF47" s="38"/>
      <c r="EG47" s="38"/>
      <c r="EH47" s="38"/>
      <c r="EI47" s="38"/>
      <c r="EJ47" s="38"/>
      <c r="EK47" s="38"/>
      <c r="EL47" s="38"/>
      <c r="EM47" s="38"/>
      <c r="EN47" s="38"/>
      <c r="EO47" s="38"/>
      <c r="EP47" s="38"/>
      <c r="EQ47" s="38"/>
      <c r="ER47" s="38"/>
      <c r="ES47" s="38"/>
      <c r="ET47" s="38"/>
      <c r="EU47" s="38"/>
    </row>
    <row r="48" spans="1:151" s="95" customFormat="1" ht="15" customHeight="1">
      <c r="A48" s="91">
        <v>36</v>
      </c>
      <c r="B48" s="168">
        <v>511</v>
      </c>
      <c r="C48" s="168" t="s">
        <v>51</v>
      </c>
      <c r="D48" s="169" t="s">
        <v>66</v>
      </c>
      <c r="E48" s="425">
        <v>0</v>
      </c>
      <c r="F48" s="425">
        <f>SUMIF(pro!$A:$A,$V:$V,pro!$N:$N)</f>
        <v>0</v>
      </c>
      <c r="G48" s="425"/>
      <c r="H48" s="100">
        <f>SUMIF(CBIN!$A:$A,BRAN!$V:$V,CBIN!$G:$G)</f>
        <v>0</v>
      </c>
      <c r="I48" s="100">
        <f>SUMIF(data!$D:$D,$B48&amp;$D48,data!$J:$J)</f>
        <v>0</v>
      </c>
      <c r="J48" s="100">
        <f>SUMIF(data!$D:$D,$B48&amp;$D48,data!$K:$K)</f>
        <v>0</v>
      </c>
      <c r="K48" s="100">
        <f>SUMIF(AJOUT!$A:$A,BRAN!$V:$V,AJOUT!$L:$L)</f>
        <v>0</v>
      </c>
      <c r="L48" s="100">
        <f>SUMIF(CBOUT!$A:$A,BRAN!$V:$V,CBOUT!$G:$G)</f>
        <v>0</v>
      </c>
      <c r="M48" s="528">
        <f t="shared" si="18"/>
        <v>0</v>
      </c>
      <c r="N48" s="652">
        <f t="shared" si="6"/>
        <v>0</v>
      </c>
      <c r="O48" s="1159">
        <f t="shared" si="7"/>
        <v>0</v>
      </c>
      <c r="P48" s="427"/>
      <c r="Q48" s="427"/>
      <c r="R48" s="425">
        <f>O48/INTGRATE!$N$293</f>
        <v>0</v>
      </c>
      <c r="S48" s="665">
        <f t="shared" si="0"/>
        <v>0</v>
      </c>
      <c r="T48" s="403"/>
      <c r="U48" s="136"/>
      <c r="V48" s="836" t="str">
        <f t="shared" si="1"/>
        <v>511SILO</v>
      </c>
      <c r="W48" s="823">
        <v>114001</v>
      </c>
      <c r="X48" s="386"/>
      <c r="Y48" s="386">
        <v>0</v>
      </c>
      <c r="Z48" s="100">
        <v>0</v>
      </c>
      <c r="AA48" s="100">
        <v>0</v>
      </c>
      <c r="AB48" s="100">
        <v>0</v>
      </c>
      <c r="AC48" s="100">
        <v>0</v>
      </c>
      <c r="AD48" s="100">
        <v>0</v>
      </c>
      <c r="AE48" s="100">
        <v>0</v>
      </c>
      <c r="AF48" s="100">
        <v>0</v>
      </c>
      <c r="AG48" s="100"/>
      <c r="AH48" s="425"/>
      <c r="AI48" s="100"/>
      <c r="AJ48" s="100"/>
      <c r="AK48" s="100"/>
      <c r="AL48" s="100"/>
      <c r="AM48" s="100"/>
      <c r="AN48" s="100"/>
      <c r="AO48" s="425"/>
      <c r="AP48" s="100"/>
      <c r="AQ48" s="425"/>
      <c r="AR48" s="100"/>
      <c r="AS48" s="100"/>
      <c r="AT48" s="100"/>
      <c r="AU48" s="100"/>
      <c r="AV48" s="100"/>
      <c r="AW48" s="100"/>
      <c r="AX48" s="230"/>
      <c r="AY48" s="100"/>
      <c r="AZ48" s="100"/>
      <c r="BA48" s="100"/>
      <c r="BB48" s="100"/>
      <c r="BC48" s="276">
        <f t="shared" si="8"/>
        <v>0</v>
      </c>
      <c r="BD48" s="786">
        <f t="shared" si="9"/>
        <v>0</v>
      </c>
      <c r="BE48" s="786">
        <f t="shared" si="10"/>
        <v>0</v>
      </c>
      <c r="BF48" s="38"/>
      <c r="BG48" s="38"/>
      <c r="BH48" s="436"/>
      <c r="BI48" s="38"/>
      <c r="BJ48" s="38"/>
      <c r="BK48" s="38"/>
      <c r="BL48" s="38"/>
      <c r="BM48" s="38"/>
      <c r="BN48" s="38"/>
      <c r="BO48" s="38"/>
      <c r="BP48" s="38"/>
      <c r="BQ48" s="38"/>
      <c r="BR48" s="38"/>
      <c r="BS48" s="38"/>
      <c r="BT48" s="38"/>
      <c r="BU48" s="38"/>
      <c r="BV48" s="38"/>
      <c r="BW48" s="38"/>
      <c r="BX48" s="38"/>
      <c r="BY48" s="38"/>
      <c r="BZ48" s="38"/>
      <c r="CA48" s="38"/>
      <c r="CB48" s="38"/>
      <c r="CC48" s="38"/>
      <c r="CD48" s="38"/>
      <c r="CE48" s="38"/>
      <c r="CF48" s="38"/>
      <c r="CG48" s="38"/>
      <c r="CH48" s="38"/>
      <c r="CI48" s="38"/>
      <c r="CJ48" s="38"/>
      <c r="CK48" s="38"/>
      <c r="CL48" s="38"/>
      <c r="CM48" s="38"/>
      <c r="CN48" s="38"/>
      <c r="CO48" s="38"/>
      <c r="CP48" s="38"/>
      <c r="CQ48" s="38"/>
      <c r="CR48" s="38"/>
      <c r="CS48" s="38"/>
      <c r="CT48" s="38"/>
      <c r="CU48" s="38"/>
      <c r="CV48" s="38"/>
      <c r="CW48" s="38"/>
      <c r="CX48" s="38"/>
      <c r="CY48" s="38"/>
      <c r="CZ48" s="38"/>
      <c r="DA48" s="38"/>
      <c r="DB48" s="38"/>
      <c r="DC48" s="38"/>
      <c r="DD48" s="38"/>
      <c r="DE48" s="38"/>
      <c r="DF48" s="38"/>
      <c r="DG48" s="38"/>
      <c r="DH48" s="38"/>
      <c r="DI48" s="38"/>
      <c r="DJ48" s="38"/>
      <c r="DK48" s="38"/>
      <c r="DL48" s="38"/>
      <c r="DM48" s="38"/>
      <c r="DN48" s="38"/>
      <c r="DO48" s="38"/>
      <c r="DP48" s="38"/>
      <c r="DQ48" s="38"/>
      <c r="DR48" s="38"/>
      <c r="DS48" s="38"/>
      <c r="DT48" s="38"/>
      <c r="DU48" s="38"/>
      <c r="DV48" s="38"/>
      <c r="DW48" s="38"/>
      <c r="DX48" s="38"/>
      <c r="DY48" s="38"/>
      <c r="DZ48" s="38"/>
      <c r="EA48" s="38"/>
      <c r="EB48" s="38"/>
      <c r="EC48" s="38"/>
      <c r="ED48" s="38"/>
      <c r="EE48" s="38"/>
      <c r="EF48" s="38"/>
      <c r="EG48" s="38"/>
      <c r="EH48" s="38"/>
      <c r="EI48" s="38"/>
      <c r="EJ48" s="38"/>
      <c r="EK48" s="38"/>
      <c r="EL48" s="38"/>
      <c r="EM48" s="38"/>
      <c r="EN48" s="38"/>
      <c r="EO48" s="38"/>
      <c r="EP48" s="38"/>
      <c r="EQ48" s="38"/>
      <c r="ER48" s="38"/>
      <c r="ES48" s="38"/>
      <c r="ET48" s="38"/>
      <c r="EU48" s="38"/>
    </row>
    <row r="49" spans="1:151" s="95" customFormat="1" ht="15" customHeight="1">
      <c r="A49" s="91">
        <v>37</v>
      </c>
      <c r="B49" s="168" t="s">
        <v>136</v>
      </c>
      <c r="C49" s="168" t="s">
        <v>51</v>
      </c>
      <c r="D49" s="169">
        <v>25</v>
      </c>
      <c r="E49" s="561">
        <v>288</v>
      </c>
      <c r="F49" s="100">
        <f>SUMIF(pro!$A:$A,$V:$V,pro!$N:$N)</f>
        <v>0</v>
      </c>
      <c r="G49" s="425"/>
      <c r="H49" s="100">
        <f>SUMIF(CBIN!$A:$A,BRAN!$V:$V,CBIN!$G:$G)</f>
        <v>0</v>
      </c>
      <c r="I49" s="100">
        <f>SUMIF(data!$D:$D,$B49&amp;$D49,data!$J:$J)</f>
        <v>0</v>
      </c>
      <c r="J49" s="100">
        <f>SUMIF(data!$D:$D,$B49&amp;$D49,data!$K:$K)</f>
        <v>0</v>
      </c>
      <c r="K49" s="100">
        <f>SUMIF(AJOUT!$A:$A,BRAN!$V:$V,AJOUT!$L:$L)</f>
        <v>0</v>
      </c>
      <c r="L49" s="100">
        <f>SUMIF(CBOUT!$A:$A,BRAN!$V:$V,CBOUT!$G:$G)</f>
        <v>0</v>
      </c>
      <c r="M49" s="1158">
        <f>E49+F49+H49-I49-L49+G49-K49</f>
        <v>288</v>
      </c>
      <c r="N49" s="652">
        <f>M49*25</f>
        <v>7200</v>
      </c>
      <c r="O49" s="1159">
        <f>SUM(X49:BB49)</f>
        <v>18000</v>
      </c>
      <c r="P49" s="804"/>
      <c r="Q49" s="804"/>
      <c r="R49" s="100">
        <f>O49/INTGRATE!$N$293</f>
        <v>2000</v>
      </c>
      <c r="S49" s="665">
        <f t="shared" si="0"/>
        <v>3.6</v>
      </c>
      <c r="T49" s="403"/>
      <c r="U49" s="136"/>
      <c r="V49" s="836" t="str">
        <f t="shared" si="1"/>
        <v>511S25</v>
      </c>
      <c r="W49" s="823">
        <v>114301</v>
      </c>
      <c r="X49" s="386"/>
      <c r="Y49" s="386">
        <v>0</v>
      </c>
      <c r="Z49" s="100">
        <v>0</v>
      </c>
      <c r="AA49" s="100">
        <v>6000</v>
      </c>
      <c r="AB49" s="100">
        <v>0</v>
      </c>
      <c r="AC49" s="100">
        <v>0</v>
      </c>
      <c r="AD49" s="100">
        <v>6000</v>
      </c>
      <c r="AE49" s="100">
        <v>0</v>
      </c>
      <c r="AF49" s="100">
        <v>6000</v>
      </c>
      <c r="AG49" s="100"/>
      <c r="AH49" s="425"/>
      <c r="AI49" s="100"/>
      <c r="AJ49" s="100"/>
      <c r="AK49" s="100"/>
      <c r="AL49" s="100"/>
      <c r="AM49" s="100"/>
      <c r="AN49" s="100"/>
      <c r="AO49" s="425"/>
      <c r="AP49" s="100"/>
      <c r="AQ49" s="425"/>
      <c r="AR49" s="100"/>
      <c r="AS49" s="100"/>
      <c r="AT49" s="100"/>
      <c r="AU49" s="100"/>
      <c r="AV49" s="100"/>
      <c r="AW49" s="100"/>
      <c r="AX49" s="230"/>
      <c r="AY49" s="100"/>
      <c r="AZ49" s="100"/>
      <c r="BA49" s="100"/>
      <c r="BB49" s="100"/>
      <c r="BC49" s="276">
        <f t="shared" si="8"/>
        <v>18000</v>
      </c>
      <c r="BD49" s="786">
        <f t="shared" si="9"/>
        <v>3</v>
      </c>
      <c r="BE49" s="786">
        <f t="shared" si="10"/>
        <v>6000</v>
      </c>
      <c r="BF49" s="38"/>
      <c r="BG49" s="38"/>
      <c r="BH49" s="436"/>
      <c r="BI49" s="38"/>
      <c r="BJ49" s="38"/>
      <c r="BK49" s="38"/>
      <c r="BL49" s="38"/>
      <c r="BM49" s="38"/>
      <c r="BN49" s="38"/>
      <c r="BO49" s="38"/>
      <c r="BP49" s="38"/>
      <c r="BQ49" s="38"/>
      <c r="BR49" s="38"/>
      <c r="BS49" s="38"/>
      <c r="BT49" s="38"/>
      <c r="BU49" s="38"/>
      <c r="BV49" s="38"/>
      <c r="BW49" s="38"/>
      <c r="BX49" s="38"/>
      <c r="BY49" s="38"/>
      <c r="BZ49" s="38"/>
      <c r="CA49" s="38"/>
      <c r="CB49" s="38"/>
      <c r="CC49" s="38"/>
      <c r="CD49" s="38"/>
      <c r="CE49" s="38"/>
      <c r="CF49" s="38"/>
      <c r="CG49" s="38"/>
      <c r="CH49" s="38"/>
      <c r="CI49" s="38"/>
      <c r="CJ49" s="38"/>
      <c r="CK49" s="38"/>
      <c r="CL49" s="38"/>
      <c r="CM49" s="38"/>
      <c r="CN49" s="38"/>
      <c r="CO49" s="38"/>
      <c r="CP49" s="38"/>
      <c r="CQ49" s="38"/>
      <c r="CR49" s="38"/>
      <c r="CS49" s="38"/>
      <c r="CT49" s="38"/>
      <c r="CU49" s="38"/>
      <c r="CV49" s="38"/>
      <c r="CW49" s="38"/>
      <c r="CX49" s="38"/>
      <c r="CY49" s="38"/>
      <c r="CZ49" s="38"/>
      <c r="DA49" s="38"/>
      <c r="DB49" s="38"/>
      <c r="DC49" s="38"/>
      <c r="DD49" s="38"/>
      <c r="DE49" s="38"/>
      <c r="DF49" s="38"/>
      <c r="DG49" s="38"/>
      <c r="DH49" s="38"/>
      <c r="DI49" s="38"/>
      <c r="DJ49" s="38"/>
      <c r="DK49" s="38"/>
      <c r="DL49" s="38"/>
      <c r="DM49" s="38"/>
      <c r="DN49" s="38"/>
      <c r="DO49" s="38"/>
      <c r="DP49" s="38"/>
      <c r="DQ49" s="38"/>
      <c r="DR49" s="38"/>
      <c r="DS49" s="38"/>
      <c r="DT49" s="38"/>
      <c r="DU49" s="38"/>
      <c r="DV49" s="38"/>
      <c r="DW49" s="38"/>
      <c r="DX49" s="38"/>
      <c r="DY49" s="38"/>
      <c r="DZ49" s="38"/>
      <c r="EA49" s="38"/>
      <c r="EB49" s="38"/>
      <c r="EC49" s="38"/>
      <c r="ED49" s="38"/>
      <c r="EE49" s="38"/>
      <c r="EF49" s="38"/>
      <c r="EG49" s="38"/>
      <c r="EH49" s="38"/>
      <c r="EI49" s="38"/>
      <c r="EJ49" s="38"/>
      <c r="EK49" s="38"/>
      <c r="EL49" s="38"/>
      <c r="EM49" s="38"/>
      <c r="EN49" s="38"/>
      <c r="EO49" s="38"/>
      <c r="EP49" s="38"/>
      <c r="EQ49" s="38"/>
      <c r="ER49" s="38"/>
      <c r="ES49" s="38"/>
      <c r="ET49" s="38"/>
      <c r="EU49" s="38"/>
    </row>
    <row r="50" spans="1:151" s="95" customFormat="1" ht="15" customHeight="1">
      <c r="A50" s="91">
        <v>38</v>
      </c>
      <c r="B50" s="168" t="s">
        <v>136</v>
      </c>
      <c r="C50" s="168" t="s">
        <v>51</v>
      </c>
      <c r="D50" s="169" t="s">
        <v>66</v>
      </c>
      <c r="E50" s="561">
        <v>0</v>
      </c>
      <c r="F50" s="425">
        <f>J50</f>
        <v>0</v>
      </c>
      <c r="G50" s="425"/>
      <c r="H50" s="100"/>
      <c r="I50" s="100"/>
      <c r="J50" s="100">
        <f>SUMIF(data!$D:$D,$B50&amp;$D50,data!$K:$K)</f>
        <v>0</v>
      </c>
      <c r="K50" s="100">
        <f>SUMIF(AJOUT!$A:$A,BRAN!$V:$V,AJOUT!$L:$L)</f>
        <v>0</v>
      </c>
      <c r="L50" s="100"/>
      <c r="M50" s="1158">
        <v>0</v>
      </c>
      <c r="N50" s="652">
        <f>M50*25</f>
        <v>0</v>
      </c>
      <c r="O50" s="1159">
        <f>SUM(X50:BB50)</f>
        <v>0</v>
      </c>
      <c r="P50" s="804"/>
      <c r="Q50" s="804"/>
      <c r="R50" s="100">
        <f>O50/INTGRATE!$N$293</f>
        <v>0</v>
      </c>
      <c r="S50" s="665">
        <f>IF(R50=0,0,N50/R50)</f>
        <v>0</v>
      </c>
      <c r="T50" s="403"/>
      <c r="U50" s="136"/>
      <c r="V50" s="836" t="str">
        <f t="shared" si="1"/>
        <v>511SSILO</v>
      </c>
      <c r="W50" s="823">
        <v>114301</v>
      </c>
      <c r="X50" s="386"/>
      <c r="Y50" s="386">
        <v>0</v>
      </c>
      <c r="Z50" s="100">
        <v>0</v>
      </c>
      <c r="AA50" s="100">
        <v>0</v>
      </c>
      <c r="AB50" s="100">
        <v>0</v>
      </c>
      <c r="AC50" s="100">
        <v>0</v>
      </c>
      <c r="AD50" s="100">
        <v>0</v>
      </c>
      <c r="AE50" s="100">
        <v>0</v>
      </c>
      <c r="AF50" s="100">
        <v>0</v>
      </c>
      <c r="AG50" s="100"/>
      <c r="AH50" s="425"/>
      <c r="AI50" s="100"/>
      <c r="AJ50" s="100"/>
      <c r="AK50" s="100"/>
      <c r="AL50" s="100"/>
      <c r="AM50" s="100"/>
      <c r="AN50" s="100"/>
      <c r="AO50" s="425"/>
      <c r="AP50" s="100"/>
      <c r="AQ50" s="425"/>
      <c r="AR50" s="100"/>
      <c r="AS50" s="100"/>
      <c r="AT50" s="100"/>
      <c r="AU50" s="100"/>
      <c r="AV50" s="100"/>
      <c r="AW50" s="100"/>
      <c r="AX50" s="230"/>
      <c r="AY50" s="100"/>
      <c r="AZ50" s="100"/>
      <c r="BA50" s="100"/>
      <c r="BB50" s="100"/>
      <c r="BC50" s="276">
        <f t="shared" si="8"/>
        <v>0</v>
      </c>
      <c r="BD50" s="786">
        <f t="shared" si="9"/>
        <v>0</v>
      </c>
      <c r="BE50" s="786">
        <f t="shared" si="10"/>
        <v>0</v>
      </c>
      <c r="BF50" s="38"/>
      <c r="BG50" s="38"/>
      <c r="BH50" s="436"/>
      <c r="BI50" s="38"/>
      <c r="BJ50" s="38"/>
      <c r="BK50" s="38"/>
      <c r="BL50" s="38"/>
      <c r="BM50" s="38"/>
      <c r="BN50" s="38"/>
      <c r="BO50" s="38"/>
      <c r="BP50" s="38"/>
      <c r="BQ50" s="38"/>
      <c r="BR50" s="38"/>
      <c r="BS50" s="38"/>
      <c r="BT50" s="38"/>
      <c r="BU50" s="38"/>
      <c r="BV50" s="38"/>
      <c r="BW50" s="38"/>
      <c r="BX50" s="38"/>
      <c r="BY50" s="38"/>
      <c r="BZ50" s="38"/>
      <c r="CA50" s="38"/>
      <c r="CB50" s="38"/>
      <c r="CC50" s="38"/>
      <c r="CD50" s="38"/>
      <c r="CE50" s="38"/>
      <c r="CF50" s="38"/>
      <c r="CG50" s="38"/>
      <c r="CH50" s="38"/>
      <c r="CI50" s="38"/>
      <c r="CJ50" s="38"/>
      <c r="CK50" s="38"/>
      <c r="CL50" s="38"/>
      <c r="CM50" s="38"/>
      <c r="CN50" s="38"/>
      <c r="CO50" s="38"/>
      <c r="CP50" s="38"/>
      <c r="CQ50" s="38"/>
      <c r="CR50" s="38"/>
      <c r="CS50" s="38"/>
      <c r="CT50" s="38"/>
      <c r="CU50" s="38"/>
      <c r="CV50" s="38"/>
      <c r="CW50" s="38"/>
      <c r="CX50" s="38"/>
      <c r="CY50" s="38"/>
      <c r="CZ50" s="38"/>
      <c r="DA50" s="38"/>
      <c r="DB50" s="38"/>
      <c r="DC50" s="38"/>
      <c r="DD50" s="38"/>
      <c r="DE50" s="38"/>
      <c r="DF50" s="38"/>
      <c r="DG50" s="38"/>
      <c r="DH50" s="38"/>
      <c r="DI50" s="38"/>
      <c r="DJ50" s="38"/>
      <c r="DK50" s="38"/>
      <c r="DL50" s="38"/>
      <c r="DM50" s="38"/>
      <c r="DN50" s="38"/>
      <c r="DO50" s="38"/>
      <c r="DP50" s="38"/>
      <c r="DQ50" s="38"/>
      <c r="DR50" s="38"/>
      <c r="DS50" s="38"/>
      <c r="DT50" s="38"/>
      <c r="DU50" s="38"/>
      <c r="DV50" s="38"/>
      <c r="DW50" s="38"/>
      <c r="DX50" s="38"/>
      <c r="DY50" s="38"/>
      <c r="DZ50" s="38"/>
      <c r="EA50" s="38"/>
      <c r="EB50" s="38"/>
      <c r="EC50" s="38"/>
      <c r="ED50" s="38"/>
      <c r="EE50" s="38"/>
      <c r="EF50" s="38"/>
      <c r="EG50" s="38"/>
      <c r="EH50" s="38"/>
      <c r="EI50" s="38"/>
      <c r="EJ50" s="38"/>
      <c r="EK50" s="38"/>
      <c r="EL50" s="38"/>
      <c r="EM50" s="38"/>
      <c r="EN50" s="38"/>
      <c r="EO50" s="38"/>
      <c r="EP50" s="38"/>
      <c r="EQ50" s="38"/>
      <c r="ER50" s="38"/>
      <c r="ES50" s="38"/>
      <c r="ET50" s="38"/>
      <c r="EU50" s="38"/>
    </row>
    <row r="51" spans="1:151" s="95" customFormat="1" ht="15" customHeight="1">
      <c r="A51" s="91">
        <v>39</v>
      </c>
      <c r="B51" s="168" t="s">
        <v>137</v>
      </c>
      <c r="C51" s="168" t="s">
        <v>132</v>
      </c>
      <c r="D51" s="169">
        <v>25</v>
      </c>
      <c r="E51" s="100">
        <v>0</v>
      </c>
      <c r="F51" s="100">
        <f>SUMIF(pro!$A:$A,$V:$V,pro!$N:$N)</f>
        <v>0</v>
      </c>
      <c r="G51" s="100"/>
      <c r="H51" s="100">
        <f>SUMIF(CBIN!$A:$A,BRAN!$V:$V,CBIN!$G:$G)</f>
        <v>0</v>
      </c>
      <c r="I51" s="100">
        <f>SUMIF(data!$D:$D,$B51&amp;$D51,data!$J:$J)</f>
        <v>0</v>
      </c>
      <c r="J51" s="100">
        <f>SUMIF(data!$D:$D,$B51&amp;$D51,data!$K:$K)</f>
        <v>0</v>
      </c>
      <c r="K51" s="100">
        <f>SUMIF(AJOUT!$A:$A,BRAN!$V:$V,AJOUT!$L:$L)</f>
        <v>0</v>
      </c>
      <c r="L51" s="100">
        <f>SUMIF(CBOUT!$A:$A,BRAN!$V:$V,CBOUT!$G:$G)</f>
        <v>0</v>
      </c>
      <c r="M51" s="1158">
        <f t="shared" si="18"/>
        <v>0</v>
      </c>
      <c r="N51" s="652">
        <f t="shared" si="6"/>
        <v>0</v>
      </c>
      <c r="O51" s="1159">
        <f t="shared" si="7"/>
        <v>0</v>
      </c>
      <c r="P51" s="804"/>
      <c r="Q51" s="804"/>
      <c r="R51" s="100">
        <f>O51/INTGRATE!$N$293</f>
        <v>0</v>
      </c>
      <c r="S51" s="665">
        <f t="shared" ref="S51:S105" si="19">IF(R51=0,0,N51/R51)</f>
        <v>0</v>
      </c>
      <c r="T51" s="505"/>
      <c r="U51" s="136"/>
      <c r="V51" s="836" t="str">
        <f t="shared" ref="V51:V106" si="20">B51&amp;D51</f>
        <v>511A25</v>
      </c>
      <c r="W51" s="823">
        <v>113001</v>
      </c>
      <c r="X51" s="386"/>
      <c r="Y51" s="386">
        <v>0</v>
      </c>
      <c r="Z51" s="100">
        <v>0</v>
      </c>
      <c r="AA51" s="100">
        <v>0</v>
      </c>
      <c r="AB51" s="100">
        <v>0</v>
      </c>
      <c r="AC51" s="100">
        <v>0</v>
      </c>
      <c r="AD51" s="100">
        <v>0</v>
      </c>
      <c r="AE51" s="100">
        <v>0</v>
      </c>
      <c r="AF51" s="100">
        <v>0</v>
      </c>
      <c r="AG51" s="100"/>
      <c r="AH51" s="100"/>
      <c r="AI51" s="100"/>
      <c r="AJ51" s="100"/>
      <c r="AK51" s="100"/>
      <c r="AL51" s="100"/>
      <c r="AM51" s="100"/>
      <c r="AN51" s="100"/>
      <c r="AO51" s="100"/>
      <c r="AP51" s="100"/>
      <c r="AQ51" s="100"/>
      <c r="AR51" s="100"/>
      <c r="AS51" s="100"/>
      <c r="AT51" s="100"/>
      <c r="AU51" s="100"/>
      <c r="AV51" s="100"/>
      <c r="AW51" s="100"/>
      <c r="AX51" s="230"/>
      <c r="AY51" s="100"/>
      <c r="AZ51" s="100"/>
      <c r="BA51" s="100"/>
      <c r="BB51" s="100"/>
      <c r="BC51" s="276">
        <f t="shared" si="8"/>
        <v>0</v>
      </c>
      <c r="BD51" s="786">
        <f t="shared" si="9"/>
        <v>0</v>
      </c>
      <c r="BE51" s="786">
        <f t="shared" si="10"/>
        <v>0</v>
      </c>
      <c r="BF51" s="38"/>
      <c r="BG51" s="38"/>
      <c r="BH51" s="436"/>
      <c r="BI51" s="38"/>
      <c r="BJ51" s="38"/>
      <c r="BK51" s="38"/>
      <c r="BL51" s="38"/>
      <c r="BM51" s="38"/>
      <c r="BN51" s="38"/>
      <c r="BO51" s="38"/>
      <c r="BP51" s="38"/>
      <c r="BQ51" s="38"/>
      <c r="BR51" s="38"/>
      <c r="BS51" s="38"/>
      <c r="BT51" s="38"/>
      <c r="BU51" s="38"/>
      <c r="BV51" s="38"/>
      <c r="BW51" s="38"/>
      <c r="BX51" s="38"/>
      <c r="BY51" s="38"/>
      <c r="BZ51" s="38"/>
      <c r="CA51" s="38"/>
      <c r="CB51" s="38"/>
      <c r="CC51" s="38"/>
      <c r="CD51" s="38"/>
      <c r="CE51" s="38"/>
      <c r="CF51" s="38"/>
      <c r="CG51" s="38"/>
      <c r="CH51" s="38"/>
      <c r="CI51" s="38"/>
      <c r="CJ51" s="38"/>
      <c r="CK51" s="38"/>
      <c r="CL51" s="38"/>
      <c r="CM51" s="38"/>
      <c r="CN51" s="38"/>
      <c r="CO51" s="38"/>
      <c r="CP51" s="38"/>
      <c r="CQ51" s="38"/>
      <c r="CR51" s="38"/>
      <c r="CS51" s="38"/>
      <c r="CT51" s="38"/>
      <c r="CU51" s="38"/>
      <c r="CV51" s="38"/>
      <c r="CW51" s="38"/>
      <c r="CX51" s="38"/>
      <c r="CY51" s="38"/>
      <c r="CZ51" s="38"/>
      <c r="DA51" s="38"/>
      <c r="DB51" s="38"/>
      <c r="DC51" s="38"/>
      <c r="DD51" s="38"/>
      <c r="DE51" s="38"/>
      <c r="DF51" s="38"/>
      <c r="DG51" s="38"/>
      <c r="DH51" s="38"/>
      <c r="DI51" s="38"/>
      <c r="DJ51" s="38"/>
      <c r="DK51" s="38"/>
      <c r="DL51" s="38"/>
      <c r="DM51" s="38"/>
      <c r="DN51" s="38"/>
      <c r="DO51" s="38"/>
      <c r="DP51" s="38"/>
      <c r="DQ51" s="38"/>
      <c r="DR51" s="38"/>
      <c r="DS51" s="38"/>
      <c r="DT51" s="38"/>
      <c r="DU51" s="38"/>
      <c r="DV51" s="38"/>
      <c r="DW51" s="38"/>
      <c r="DX51" s="38"/>
      <c r="DY51" s="38"/>
      <c r="DZ51" s="38"/>
      <c r="EA51" s="38"/>
      <c r="EB51" s="38"/>
      <c r="EC51" s="38"/>
      <c r="ED51" s="38"/>
      <c r="EE51" s="38"/>
      <c r="EF51" s="38"/>
      <c r="EG51" s="38"/>
      <c r="EH51" s="38"/>
      <c r="EI51" s="38"/>
      <c r="EJ51" s="38"/>
      <c r="EK51" s="38"/>
      <c r="EL51" s="38"/>
      <c r="EM51" s="38"/>
      <c r="EN51" s="38"/>
      <c r="EO51" s="38"/>
      <c r="EP51" s="38"/>
      <c r="EQ51" s="38"/>
      <c r="ER51" s="38"/>
      <c r="ES51" s="38"/>
      <c r="ET51" s="38"/>
      <c r="EU51" s="38"/>
    </row>
    <row r="52" spans="1:151" s="95" customFormat="1" ht="15" customHeight="1">
      <c r="A52" s="91">
        <v>40</v>
      </c>
      <c r="B52" s="168" t="s">
        <v>137</v>
      </c>
      <c r="C52" s="168" t="s">
        <v>132</v>
      </c>
      <c r="D52" s="169" t="s">
        <v>66</v>
      </c>
      <c r="E52" s="425">
        <v>0</v>
      </c>
      <c r="F52" s="425">
        <f>SUMIF(pro!$A:$A,$V:$V,pro!$N:$N)</f>
        <v>0</v>
      </c>
      <c r="G52" s="425"/>
      <c r="H52" s="100">
        <f>SUMIF(CBIN!$A:$A,BRAN!$V:$V,CBIN!$G:$G)</f>
        <v>0</v>
      </c>
      <c r="I52" s="100">
        <f>SUMIF(data!$D:$D,$B52&amp;$D52,data!$J:$J)</f>
        <v>0</v>
      </c>
      <c r="J52" s="100">
        <f>SUMIF(data!$D:$D,$B52&amp;$D52,data!$K:$K)</f>
        <v>0</v>
      </c>
      <c r="K52" s="100">
        <f>SUMIF(AJOUT!$A:$A,BRAN!$V:$V,AJOUT!$L:$L)</f>
        <v>0</v>
      </c>
      <c r="L52" s="100">
        <f>SUMIF(CBOUT!$A:$A,BRAN!$V:$V,CBOUT!$G:$G)</f>
        <v>0</v>
      </c>
      <c r="M52" s="528">
        <f t="shared" si="18"/>
        <v>0</v>
      </c>
      <c r="N52" s="652">
        <f t="shared" si="6"/>
        <v>0</v>
      </c>
      <c r="O52" s="1159">
        <f t="shared" si="7"/>
        <v>0</v>
      </c>
      <c r="P52" s="427"/>
      <c r="Q52" s="427"/>
      <c r="R52" s="425">
        <f>O52/INTGRATE!$N$293</f>
        <v>0</v>
      </c>
      <c r="S52" s="665">
        <f t="shared" si="19"/>
        <v>0</v>
      </c>
      <c r="T52" s="549"/>
      <c r="U52" s="136"/>
      <c r="V52" s="836" t="str">
        <f t="shared" si="20"/>
        <v>511ASILO</v>
      </c>
      <c r="W52" s="823">
        <v>113001</v>
      </c>
      <c r="X52" s="386"/>
      <c r="Y52" s="386">
        <v>0</v>
      </c>
      <c r="Z52" s="100">
        <v>0</v>
      </c>
      <c r="AA52" s="100">
        <v>0</v>
      </c>
      <c r="AB52" s="100">
        <v>0</v>
      </c>
      <c r="AC52" s="100">
        <v>0</v>
      </c>
      <c r="AD52" s="100">
        <v>0</v>
      </c>
      <c r="AE52" s="100">
        <v>0</v>
      </c>
      <c r="AF52" s="100">
        <v>0</v>
      </c>
      <c r="AG52" s="100"/>
      <c r="AH52" s="425"/>
      <c r="AI52" s="100"/>
      <c r="AJ52" s="100"/>
      <c r="AK52" s="100"/>
      <c r="AL52" s="100"/>
      <c r="AM52" s="100"/>
      <c r="AN52" s="100"/>
      <c r="AO52" s="425"/>
      <c r="AP52" s="100"/>
      <c r="AQ52" s="425"/>
      <c r="AR52" s="100"/>
      <c r="AS52" s="100"/>
      <c r="AT52" s="100"/>
      <c r="AU52" s="100"/>
      <c r="AV52" s="100"/>
      <c r="AW52" s="100"/>
      <c r="AX52" s="230"/>
      <c r="AY52" s="100"/>
      <c r="AZ52" s="100"/>
      <c r="BA52" s="100"/>
      <c r="BB52" s="100"/>
      <c r="BC52" s="276">
        <f t="shared" si="8"/>
        <v>0</v>
      </c>
      <c r="BD52" s="786">
        <f t="shared" si="9"/>
        <v>0</v>
      </c>
      <c r="BE52" s="786">
        <f t="shared" si="10"/>
        <v>0</v>
      </c>
      <c r="BF52" s="38"/>
      <c r="BG52" s="38"/>
      <c r="BH52" s="436"/>
      <c r="BI52" s="38"/>
      <c r="BJ52" s="38"/>
      <c r="BK52" s="38"/>
      <c r="BL52" s="38"/>
      <c r="BM52" s="38"/>
      <c r="BN52" s="38"/>
      <c r="BO52" s="38"/>
      <c r="BP52" s="38"/>
      <c r="BQ52" s="38"/>
      <c r="BR52" s="38"/>
      <c r="BS52" s="38"/>
      <c r="BT52" s="38"/>
      <c r="BU52" s="38"/>
      <c r="BV52" s="38"/>
      <c r="BW52" s="38"/>
      <c r="BX52" s="38"/>
      <c r="BY52" s="38"/>
      <c r="BZ52" s="38"/>
      <c r="CA52" s="38"/>
      <c r="CB52" s="38"/>
      <c r="CC52" s="38"/>
      <c r="CD52" s="38"/>
      <c r="CE52" s="38"/>
      <c r="CF52" s="38"/>
      <c r="CG52" s="38"/>
      <c r="CH52" s="38"/>
      <c r="CI52" s="38"/>
      <c r="CJ52" s="38"/>
      <c r="CK52" s="38"/>
      <c r="CL52" s="38"/>
      <c r="CM52" s="38"/>
      <c r="CN52" s="38"/>
      <c r="CO52" s="38"/>
      <c r="CP52" s="38"/>
      <c r="CQ52" s="38"/>
      <c r="CR52" s="38"/>
      <c r="CS52" s="38"/>
      <c r="CT52" s="38"/>
      <c r="CU52" s="38"/>
      <c r="CV52" s="38"/>
      <c r="CW52" s="38"/>
      <c r="CX52" s="38"/>
      <c r="CY52" s="38"/>
      <c r="CZ52" s="38"/>
      <c r="DA52" s="38"/>
      <c r="DB52" s="38"/>
      <c r="DC52" s="38"/>
      <c r="DD52" s="38"/>
      <c r="DE52" s="38"/>
      <c r="DF52" s="38"/>
      <c r="DG52" s="38"/>
      <c r="DH52" s="38"/>
      <c r="DI52" s="38"/>
      <c r="DJ52" s="38"/>
      <c r="DK52" s="38"/>
      <c r="DL52" s="38"/>
      <c r="DM52" s="38"/>
      <c r="DN52" s="38"/>
      <c r="DO52" s="38"/>
      <c r="DP52" s="38"/>
      <c r="DQ52" s="38"/>
      <c r="DR52" s="38"/>
      <c r="DS52" s="38"/>
      <c r="DT52" s="38"/>
      <c r="DU52" s="38"/>
      <c r="DV52" s="38"/>
      <c r="DW52" s="38"/>
      <c r="DX52" s="38"/>
      <c r="DY52" s="38"/>
      <c r="DZ52" s="38"/>
      <c r="EA52" s="38"/>
      <c r="EB52" s="38"/>
      <c r="EC52" s="38"/>
      <c r="ED52" s="38"/>
      <c r="EE52" s="38"/>
      <c r="EF52" s="38"/>
      <c r="EG52" s="38"/>
      <c r="EH52" s="38"/>
      <c r="EI52" s="38"/>
      <c r="EJ52" s="38"/>
      <c r="EK52" s="38"/>
      <c r="EL52" s="38"/>
      <c r="EM52" s="38"/>
      <c r="EN52" s="38"/>
      <c r="EO52" s="38"/>
      <c r="EP52" s="38"/>
      <c r="EQ52" s="38"/>
      <c r="ER52" s="38"/>
      <c r="ES52" s="38"/>
      <c r="ET52" s="38"/>
      <c r="EU52" s="38"/>
    </row>
    <row r="53" spans="1:151" s="95" customFormat="1" ht="15" customHeight="1">
      <c r="A53" s="91">
        <v>41</v>
      </c>
      <c r="B53" s="168" t="s">
        <v>138</v>
      </c>
      <c r="C53" s="168" t="s">
        <v>55</v>
      </c>
      <c r="D53" s="169" t="s">
        <v>66</v>
      </c>
      <c r="E53" s="425">
        <v>0</v>
      </c>
      <c r="F53" s="425">
        <f>+J53</f>
        <v>0</v>
      </c>
      <c r="G53" s="425"/>
      <c r="H53" s="100">
        <f>SUMIF(CBIN!$A:$A,BRAN!$V:$V,CBIN!$G:$G)</f>
        <v>0</v>
      </c>
      <c r="I53" s="100"/>
      <c r="J53" s="100">
        <f>SUMIF(data!$D:$D,$B53&amp;$D53,data!$K:$K)</f>
        <v>0</v>
      </c>
      <c r="K53" s="100"/>
      <c r="L53" s="100"/>
      <c r="M53" s="528">
        <v>0</v>
      </c>
      <c r="N53" s="652">
        <f>M53*25</f>
        <v>0</v>
      </c>
      <c r="O53" s="1159">
        <f>SUM(X53:BB53)</f>
        <v>0</v>
      </c>
      <c r="P53" s="427"/>
      <c r="Q53" s="427"/>
      <c r="R53" s="425">
        <f>O53/INTGRATE!$N$293</f>
        <v>0</v>
      </c>
      <c r="S53" s="665">
        <f>IF(R53=0,0,N53/R53)</f>
        <v>0</v>
      </c>
      <c r="T53" s="549"/>
      <c r="U53" s="136"/>
      <c r="V53" s="836" t="str">
        <f t="shared" si="20"/>
        <v>511ASSILO</v>
      </c>
      <c r="W53" s="823">
        <v>113301</v>
      </c>
      <c r="X53" s="386"/>
      <c r="Y53" s="386">
        <v>0</v>
      </c>
      <c r="Z53" s="100">
        <v>0</v>
      </c>
      <c r="AA53" s="100">
        <v>0</v>
      </c>
      <c r="AB53" s="100">
        <v>0</v>
      </c>
      <c r="AC53" s="100">
        <v>0</v>
      </c>
      <c r="AD53" s="100">
        <v>0</v>
      </c>
      <c r="AE53" s="100">
        <v>0</v>
      </c>
      <c r="AF53" s="100">
        <v>0</v>
      </c>
      <c r="AG53" s="100"/>
      <c r="AH53" s="425"/>
      <c r="AI53" s="100"/>
      <c r="AJ53" s="100"/>
      <c r="AK53" s="100"/>
      <c r="AL53" s="100"/>
      <c r="AM53" s="100"/>
      <c r="AN53" s="100"/>
      <c r="AO53" s="425"/>
      <c r="AP53" s="100"/>
      <c r="AQ53" s="425"/>
      <c r="AR53" s="100"/>
      <c r="AS53" s="100"/>
      <c r="AT53" s="100"/>
      <c r="AU53" s="100"/>
      <c r="AV53" s="100"/>
      <c r="AW53" s="100"/>
      <c r="AX53" s="230"/>
      <c r="AY53" s="100"/>
      <c r="AZ53" s="100"/>
      <c r="BA53" s="100"/>
      <c r="BB53" s="100"/>
      <c r="BC53" s="276">
        <f t="shared" si="8"/>
        <v>0</v>
      </c>
      <c r="BD53" s="786">
        <f t="shared" si="9"/>
        <v>0</v>
      </c>
      <c r="BE53" s="786">
        <f t="shared" si="10"/>
        <v>0</v>
      </c>
      <c r="BF53" s="38"/>
      <c r="BG53" s="38"/>
      <c r="BH53" s="436"/>
      <c r="BI53" s="38"/>
      <c r="BJ53" s="38"/>
      <c r="BK53" s="38"/>
      <c r="BL53" s="38"/>
      <c r="BM53" s="38"/>
      <c r="BN53" s="38"/>
      <c r="BO53" s="38"/>
      <c r="BP53" s="38"/>
      <c r="BQ53" s="38"/>
      <c r="BR53" s="38"/>
      <c r="BS53" s="38"/>
      <c r="BT53" s="38"/>
      <c r="BU53" s="38"/>
      <c r="BV53" s="38"/>
      <c r="BW53" s="38"/>
      <c r="BX53" s="38"/>
      <c r="BY53" s="38"/>
      <c r="BZ53" s="38"/>
      <c r="CA53" s="38"/>
      <c r="CB53" s="38"/>
      <c r="CC53" s="38"/>
      <c r="CD53" s="38"/>
      <c r="CE53" s="38"/>
      <c r="CF53" s="38"/>
      <c r="CG53" s="38"/>
      <c r="CH53" s="38"/>
      <c r="CI53" s="38"/>
      <c r="CJ53" s="38"/>
      <c r="CK53" s="38"/>
      <c r="CL53" s="38"/>
      <c r="CM53" s="38"/>
      <c r="CN53" s="38"/>
      <c r="CO53" s="38"/>
      <c r="CP53" s="38"/>
      <c r="CQ53" s="38"/>
      <c r="CR53" s="38"/>
      <c r="CS53" s="38"/>
      <c r="CT53" s="38"/>
      <c r="CU53" s="38"/>
      <c r="CV53" s="38"/>
      <c r="CW53" s="38"/>
      <c r="CX53" s="38"/>
      <c r="CY53" s="38"/>
      <c r="CZ53" s="38"/>
      <c r="DA53" s="38"/>
      <c r="DB53" s="38"/>
      <c r="DC53" s="38"/>
      <c r="DD53" s="38"/>
      <c r="DE53" s="38"/>
      <c r="DF53" s="38"/>
      <c r="DG53" s="38"/>
      <c r="DH53" s="38"/>
      <c r="DI53" s="38"/>
      <c r="DJ53" s="38"/>
      <c r="DK53" s="38"/>
      <c r="DL53" s="38"/>
      <c r="DM53" s="38"/>
      <c r="DN53" s="38"/>
      <c r="DO53" s="38"/>
      <c r="DP53" s="38"/>
      <c r="DQ53" s="38"/>
      <c r="DR53" s="38"/>
      <c r="DS53" s="38"/>
      <c r="DT53" s="38"/>
      <c r="DU53" s="38"/>
      <c r="DV53" s="38"/>
      <c r="DW53" s="38"/>
      <c r="DX53" s="38"/>
      <c r="DY53" s="38"/>
      <c r="DZ53" s="38"/>
      <c r="EA53" s="38"/>
      <c r="EB53" s="38"/>
      <c r="EC53" s="38"/>
      <c r="ED53" s="38"/>
      <c r="EE53" s="38"/>
      <c r="EF53" s="38"/>
      <c r="EG53" s="38"/>
      <c r="EH53" s="38"/>
      <c r="EI53" s="38"/>
      <c r="EJ53" s="38"/>
      <c r="EK53" s="38"/>
      <c r="EL53" s="38"/>
      <c r="EM53" s="38"/>
      <c r="EN53" s="38"/>
      <c r="EO53" s="38"/>
      <c r="EP53" s="38"/>
      <c r="EQ53" s="38"/>
      <c r="ER53" s="38"/>
      <c r="ES53" s="38"/>
      <c r="ET53" s="38"/>
      <c r="EU53" s="38"/>
    </row>
    <row r="54" spans="1:151" s="95" customFormat="1" ht="15" customHeight="1">
      <c r="A54" s="91">
        <v>42</v>
      </c>
      <c r="B54" s="168" t="s">
        <v>138</v>
      </c>
      <c r="C54" s="168" t="s">
        <v>55</v>
      </c>
      <c r="D54" s="169">
        <v>25</v>
      </c>
      <c r="E54" s="91">
        <v>9</v>
      </c>
      <c r="F54" s="100">
        <f>SUMIF(pro!$A:$A,$V:$V,pro!$N:$N)</f>
        <v>0</v>
      </c>
      <c r="G54" s="100"/>
      <c r="H54" s="100">
        <f>SUMIF(CBIN!$A:$A,BRAN!$V:$V,CBIN!$G:$G)</f>
        <v>0</v>
      </c>
      <c r="I54" s="100">
        <f>SUMIF(data!$D:$D,$B54&amp;$D54,data!$J:$J)</f>
        <v>0</v>
      </c>
      <c r="J54" s="100">
        <f>SUMIF(data!$D:$D,$B54&amp;$D54,data!$K:$K)</f>
        <v>0</v>
      </c>
      <c r="K54" s="100">
        <f>SUMIF(AJOUT!$A:$A,BRAN!$V:$V,AJOUT!$L:$L)</f>
        <v>0</v>
      </c>
      <c r="L54" s="100">
        <f>SUMIF(CBOUT!$A:$A,BRAN!$V:$V,CBOUT!$G:$G)</f>
        <v>0</v>
      </c>
      <c r="M54" s="1158">
        <f>E54+F54+H54-I54-L54+G54-K54</f>
        <v>9</v>
      </c>
      <c r="N54" s="652">
        <f t="shared" si="6"/>
        <v>225</v>
      </c>
      <c r="O54" s="1159">
        <f t="shared" si="7"/>
        <v>46875</v>
      </c>
      <c r="P54" s="804"/>
      <c r="Q54" s="804"/>
      <c r="R54" s="100">
        <f>O54/INTGRATE!$N$293</f>
        <v>5208.333333333333</v>
      </c>
      <c r="S54" s="665">
        <f t="shared" si="19"/>
        <v>4.3200000000000002E-2</v>
      </c>
      <c r="T54" s="549"/>
      <c r="U54" s="136"/>
      <c r="V54" s="836" t="str">
        <f t="shared" si="20"/>
        <v>511AS25</v>
      </c>
      <c r="W54" s="823">
        <v>113301</v>
      </c>
      <c r="X54" s="386"/>
      <c r="Y54" s="386">
        <v>7325</v>
      </c>
      <c r="Z54" s="100">
        <v>0</v>
      </c>
      <c r="AA54" s="100">
        <v>7750</v>
      </c>
      <c r="AB54" s="100">
        <v>8500</v>
      </c>
      <c r="AC54" s="100">
        <v>0</v>
      </c>
      <c r="AD54" s="100">
        <v>0</v>
      </c>
      <c r="AE54" s="100">
        <v>16150</v>
      </c>
      <c r="AF54" s="100">
        <v>7150</v>
      </c>
      <c r="AG54" s="100"/>
      <c r="AH54" s="425"/>
      <c r="AI54" s="100"/>
      <c r="AJ54" s="100"/>
      <c r="AK54" s="100"/>
      <c r="AL54" s="100"/>
      <c r="AM54" s="100"/>
      <c r="AN54" s="100"/>
      <c r="AO54" s="425"/>
      <c r="AP54" s="100"/>
      <c r="AQ54" s="425"/>
      <c r="AR54" s="100"/>
      <c r="AS54" s="100"/>
      <c r="AT54" s="100"/>
      <c r="AU54" s="100"/>
      <c r="AV54" s="100"/>
      <c r="AW54" s="100"/>
      <c r="AX54" s="230"/>
      <c r="AY54" s="100"/>
      <c r="AZ54" s="100"/>
      <c r="BA54" s="100"/>
      <c r="BB54" s="100"/>
      <c r="BC54" s="276">
        <f t="shared" si="8"/>
        <v>46875</v>
      </c>
      <c r="BD54" s="786">
        <f t="shared" si="9"/>
        <v>5</v>
      </c>
      <c r="BE54" s="786">
        <f t="shared" si="10"/>
        <v>9375</v>
      </c>
      <c r="BF54" s="38"/>
      <c r="BG54" s="38"/>
      <c r="BH54" s="436"/>
      <c r="BI54" s="38"/>
      <c r="BJ54" s="38"/>
      <c r="BK54" s="38"/>
      <c r="BL54" s="38"/>
      <c r="BM54" s="38"/>
      <c r="BN54" s="38"/>
      <c r="BO54" s="38"/>
      <c r="BP54" s="38"/>
      <c r="BQ54" s="38"/>
      <c r="BR54" s="38"/>
      <c r="BS54" s="38"/>
      <c r="BT54" s="38"/>
      <c r="BU54" s="38"/>
      <c r="BV54" s="38"/>
      <c r="BW54" s="38"/>
      <c r="BX54" s="38"/>
      <c r="BY54" s="38"/>
      <c r="BZ54" s="38"/>
      <c r="CA54" s="38"/>
      <c r="CB54" s="38"/>
      <c r="CC54" s="38"/>
      <c r="CD54" s="38"/>
      <c r="CE54" s="38"/>
      <c r="CF54" s="38"/>
      <c r="CG54" s="38"/>
      <c r="CH54" s="38"/>
      <c r="CI54" s="38"/>
      <c r="CJ54" s="38"/>
      <c r="CK54" s="38"/>
      <c r="CL54" s="38"/>
      <c r="CM54" s="38"/>
      <c r="CN54" s="38"/>
      <c r="CO54" s="38"/>
      <c r="CP54" s="38"/>
      <c r="CQ54" s="38"/>
      <c r="CR54" s="38"/>
      <c r="CS54" s="38"/>
      <c r="CT54" s="38"/>
      <c r="CU54" s="38"/>
      <c r="CV54" s="38"/>
      <c r="CW54" s="38"/>
      <c r="CX54" s="38"/>
      <c r="CY54" s="38"/>
      <c r="CZ54" s="38"/>
      <c r="DA54" s="38"/>
      <c r="DB54" s="38"/>
      <c r="DC54" s="38"/>
      <c r="DD54" s="38"/>
      <c r="DE54" s="38"/>
      <c r="DF54" s="38"/>
      <c r="DG54" s="38"/>
      <c r="DH54" s="38"/>
      <c r="DI54" s="38"/>
      <c r="DJ54" s="38"/>
      <c r="DK54" s="38"/>
      <c r="DL54" s="38"/>
      <c r="DM54" s="38"/>
      <c r="DN54" s="38"/>
      <c r="DO54" s="38"/>
      <c r="DP54" s="38"/>
      <c r="DQ54" s="38"/>
      <c r="DR54" s="38"/>
      <c r="DS54" s="38"/>
      <c r="DT54" s="38"/>
      <c r="DU54" s="38"/>
      <c r="DV54" s="38"/>
      <c r="DW54" s="38"/>
      <c r="DX54" s="38"/>
      <c r="DY54" s="38"/>
      <c r="DZ54" s="38"/>
      <c r="EA54" s="38"/>
      <c r="EB54" s="38"/>
      <c r="EC54" s="38"/>
      <c r="ED54" s="38"/>
      <c r="EE54" s="38"/>
      <c r="EF54" s="38"/>
      <c r="EG54" s="38"/>
      <c r="EH54" s="38"/>
      <c r="EI54" s="38"/>
      <c r="EJ54" s="38"/>
      <c r="EK54" s="38"/>
      <c r="EL54" s="38"/>
      <c r="EM54" s="38"/>
      <c r="EN54" s="38"/>
      <c r="EO54" s="38"/>
      <c r="EP54" s="38"/>
      <c r="EQ54" s="38"/>
      <c r="ER54" s="38"/>
      <c r="ES54" s="38"/>
      <c r="ET54" s="38"/>
      <c r="EU54" s="38"/>
    </row>
    <row r="55" spans="1:151" s="95" customFormat="1" ht="15" customHeight="1">
      <c r="A55" s="91">
        <v>43</v>
      </c>
      <c r="B55" s="168" t="s">
        <v>139</v>
      </c>
      <c r="C55" s="1170" t="s">
        <v>55</v>
      </c>
      <c r="D55" s="169">
        <v>25</v>
      </c>
      <c r="E55" s="100">
        <v>4556</v>
      </c>
      <c r="F55" s="100">
        <f>SUMIF(pro!$A:$A,$V:$V,pro!$N:$N)</f>
        <v>0</v>
      </c>
      <c r="G55" s="100"/>
      <c r="H55" s="100">
        <f>SUMIF(CBIN!$A:$A,BRAN!$V:$V,CBIN!$G:$G)</f>
        <v>0</v>
      </c>
      <c r="I55" s="100">
        <f>SUMIF(data!$D:$D,$B55&amp;$D55,data!$J:$J)</f>
        <v>0</v>
      </c>
      <c r="J55" s="100">
        <f>SUMIF(data!$D:$D,$B55&amp;$D55,data!$K:$K)</f>
        <v>0</v>
      </c>
      <c r="K55" s="100">
        <f>SUMIF(AJOUT!$A:$A,BRAN!$V:$V,AJOUT!$L:$L)</f>
        <v>0</v>
      </c>
      <c r="L55" s="100">
        <f>SUMIF(CBOUT!$A:$A,BRAN!$V:$V,CBOUT!$G:$G)</f>
        <v>0</v>
      </c>
      <c r="M55" s="1158">
        <f t="shared" si="18"/>
        <v>4556</v>
      </c>
      <c r="N55" s="652">
        <f t="shared" si="6"/>
        <v>113900</v>
      </c>
      <c r="O55" s="1159">
        <f t="shared" si="7"/>
        <v>169875</v>
      </c>
      <c r="P55" s="804"/>
      <c r="Q55" s="804"/>
      <c r="R55" s="100">
        <f>O55/INTGRATE!$N$293</f>
        <v>18875</v>
      </c>
      <c r="S55" s="665">
        <f t="shared" si="19"/>
        <v>6.0344370860927157</v>
      </c>
      <c r="T55" s="505"/>
      <c r="U55" s="136"/>
      <c r="V55" s="836" t="str">
        <f t="shared" si="20"/>
        <v>511B25</v>
      </c>
      <c r="W55" s="823" t="s">
        <v>140</v>
      </c>
      <c r="X55" s="386"/>
      <c r="Y55" s="386">
        <v>31800</v>
      </c>
      <c r="Z55" s="100">
        <v>15125</v>
      </c>
      <c r="AA55" s="100">
        <v>23725</v>
      </c>
      <c r="AB55" s="100">
        <v>21025</v>
      </c>
      <c r="AC55" s="100">
        <v>20100</v>
      </c>
      <c r="AD55" s="100">
        <v>26200</v>
      </c>
      <c r="AE55" s="100">
        <v>18625</v>
      </c>
      <c r="AF55" s="100">
        <v>13275</v>
      </c>
      <c r="AG55" s="100"/>
      <c r="AH55" s="100"/>
      <c r="AI55" s="100"/>
      <c r="AJ55" s="100"/>
      <c r="AK55" s="100"/>
      <c r="AL55" s="100"/>
      <c r="AM55" s="100"/>
      <c r="AN55" s="100"/>
      <c r="AO55" s="100"/>
      <c r="AP55" s="100"/>
      <c r="AQ55" s="100"/>
      <c r="AR55" s="100"/>
      <c r="AS55" s="100"/>
      <c r="AT55" s="100"/>
      <c r="AU55" s="100"/>
      <c r="AV55" s="100"/>
      <c r="AW55" s="100"/>
      <c r="AX55" s="230"/>
      <c r="AY55" s="100"/>
      <c r="AZ55" s="100"/>
      <c r="BA55" s="100"/>
      <c r="BB55" s="100"/>
      <c r="BC55" s="276">
        <f t="shared" si="8"/>
        <v>169875</v>
      </c>
      <c r="BD55" s="786">
        <f t="shared" si="9"/>
        <v>8</v>
      </c>
      <c r="BE55" s="786">
        <f t="shared" si="10"/>
        <v>21234.375</v>
      </c>
      <c r="BF55" s="38"/>
      <c r="BG55" s="38"/>
      <c r="BH55" s="436"/>
      <c r="BI55" s="38"/>
      <c r="BJ55" s="38"/>
      <c r="BK55" s="38"/>
      <c r="BL55" s="38"/>
      <c r="BM55" s="38"/>
      <c r="BN55" s="38"/>
      <c r="BO55" s="38"/>
      <c r="BP55" s="38"/>
      <c r="BQ55" s="38"/>
      <c r="BR55" s="38"/>
      <c r="BS55" s="38"/>
      <c r="BT55" s="38"/>
      <c r="BU55" s="38"/>
      <c r="BV55" s="38"/>
      <c r="BW55" s="38"/>
      <c r="BX55" s="38"/>
      <c r="BY55" s="38"/>
      <c r="BZ55" s="38"/>
      <c r="CA55" s="38"/>
      <c r="CB55" s="38"/>
      <c r="CC55" s="38"/>
      <c r="CD55" s="38"/>
      <c r="CE55" s="38"/>
      <c r="CF55" s="38"/>
      <c r="CG55" s="38"/>
      <c r="CH55" s="38"/>
      <c r="CI55" s="38"/>
      <c r="CJ55" s="38"/>
      <c r="CK55" s="38"/>
      <c r="CL55" s="38"/>
      <c r="CM55" s="38"/>
      <c r="CN55" s="38"/>
      <c r="CO55" s="38"/>
      <c r="CP55" s="38"/>
      <c r="CQ55" s="38"/>
      <c r="CR55" s="38"/>
      <c r="CS55" s="38"/>
      <c r="CT55" s="38"/>
      <c r="CU55" s="38"/>
      <c r="CV55" s="38"/>
      <c r="CW55" s="38"/>
      <c r="CX55" s="38"/>
      <c r="CY55" s="38"/>
      <c r="CZ55" s="38"/>
      <c r="DA55" s="38"/>
      <c r="DB55" s="38"/>
      <c r="DC55" s="38"/>
      <c r="DD55" s="38"/>
      <c r="DE55" s="38"/>
      <c r="DF55" s="38"/>
      <c r="DG55" s="38"/>
      <c r="DH55" s="38"/>
      <c r="DI55" s="38"/>
      <c r="DJ55" s="38"/>
      <c r="DK55" s="38"/>
      <c r="DL55" s="38"/>
      <c r="DM55" s="38"/>
      <c r="DN55" s="38"/>
      <c r="DO55" s="38"/>
      <c r="DP55" s="38"/>
      <c r="DQ55" s="38"/>
      <c r="DR55" s="38"/>
      <c r="DS55" s="38"/>
      <c r="DT55" s="38"/>
      <c r="DU55" s="38"/>
      <c r="DV55" s="38"/>
      <c r="DW55" s="38"/>
      <c r="DX55" s="38"/>
      <c r="DY55" s="38"/>
      <c r="DZ55" s="38"/>
      <c r="EA55" s="38"/>
      <c r="EB55" s="38"/>
      <c r="EC55" s="38"/>
      <c r="ED55" s="38"/>
      <c r="EE55" s="38"/>
      <c r="EF55" s="38"/>
      <c r="EG55" s="38"/>
      <c r="EH55" s="38"/>
      <c r="EI55" s="38"/>
      <c r="EJ55" s="38"/>
      <c r="EK55" s="38"/>
      <c r="EL55" s="38"/>
      <c r="EM55" s="38"/>
      <c r="EN55" s="38"/>
      <c r="EO55" s="38"/>
      <c r="EP55" s="38"/>
      <c r="EQ55" s="38"/>
      <c r="ER55" s="38"/>
      <c r="ES55" s="38"/>
      <c r="ET55" s="38"/>
      <c r="EU55" s="38"/>
    </row>
    <row r="56" spans="1:151" s="95" customFormat="1" ht="15" customHeight="1">
      <c r="A56" s="91">
        <v>44</v>
      </c>
      <c r="B56" s="168" t="s">
        <v>141</v>
      </c>
      <c r="C56" s="168" t="s">
        <v>55</v>
      </c>
      <c r="D56" s="169">
        <v>25</v>
      </c>
      <c r="E56" s="100">
        <v>0</v>
      </c>
      <c r="F56" s="100">
        <f>SUMIF(pro!$A:$A,$V:$V,pro!$N:$N)</f>
        <v>0</v>
      </c>
      <c r="G56" s="100"/>
      <c r="H56" s="100">
        <f>SUMIF(CBIN!$A:$A,BRAN!$V:$V,CBIN!$G:$G)</f>
        <v>0</v>
      </c>
      <c r="I56" s="100">
        <f>SUMIF(data!$D:$D,$B56&amp;$D56,data!$J:$J)</f>
        <v>0</v>
      </c>
      <c r="J56" s="100">
        <f>SUMIF(data!$D:$D,$B56&amp;$D56,data!$K:$K)</f>
        <v>0</v>
      </c>
      <c r="K56" s="100">
        <f>SUMIF(AJOUT!$A:$A,BRAN!$V:$V,AJOUT!$L:$L)</f>
        <v>0</v>
      </c>
      <c r="L56" s="100">
        <f>SUMIF(CBOUT!$A:$A,BRAN!$V:$V,CBOUT!$G:$G)</f>
        <v>0</v>
      </c>
      <c r="M56" s="1158">
        <f t="shared" si="18"/>
        <v>0</v>
      </c>
      <c r="N56" s="652">
        <f t="shared" si="6"/>
        <v>0</v>
      </c>
      <c r="O56" s="1159">
        <f t="shared" si="7"/>
        <v>0</v>
      </c>
      <c r="P56" s="804"/>
      <c r="Q56" s="804"/>
      <c r="R56" s="100">
        <f>O56/INTGRATE!$N$293</f>
        <v>0</v>
      </c>
      <c r="S56" s="665">
        <f t="shared" si="19"/>
        <v>0</v>
      </c>
      <c r="T56" s="403"/>
      <c r="U56" s="136"/>
      <c r="V56" s="836" t="str">
        <f t="shared" si="20"/>
        <v>511C25</v>
      </c>
      <c r="W56" s="823">
        <v>114001</v>
      </c>
      <c r="X56" s="386"/>
      <c r="Y56" s="386">
        <v>0</v>
      </c>
      <c r="Z56" s="100">
        <v>0</v>
      </c>
      <c r="AA56" s="100">
        <v>0</v>
      </c>
      <c r="AB56" s="100">
        <v>0</v>
      </c>
      <c r="AC56" s="100">
        <v>0</v>
      </c>
      <c r="AD56" s="100">
        <v>0</v>
      </c>
      <c r="AE56" s="100">
        <v>0</v>
      </c>
      <c r="AF56" s="100">
        <v>0</v>
      </c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230"/>
      <c r="AY56" s="100"/>
      <c r="AZ56" s="100"/>
      <c r="BA56" s="100"/>
      <c r="BB56" s="100"/>
      <c r="BC56" s="276">
        <f t="shared" si="8"/>
        <v>0</v>
      </c>
      <c r="BD56" s="786">
        <f t="shared" si="9"/>
        <v>0</v>
      </c>
      <c r="BE56" s="786">
        <f t="shared" si="10"/>
        <v>0</v>
      </c>
      <c r="BF56" s="38"/>
      <c r="BG56" s="38"/>
      <c r="BH56" s="436"/>
      <c r="BI56" s="38"/>
      <c r="BJ56" s="38"/>
      <c r="BK56" s="38"/>
      <c r="BL56" s="38"/>
      <c r="BM56" s="38"/>
      <c r="BN56" s="38"/>
      <c r="BO56" s="38"/>
      <c r="BP56" s="38"/>
      <c r="BQ56" s="38"/>
      <c r="BR56" s="38"/>
      <c r="BS56" s="38"/>
      <c r="BT56" s="38"/>
      <c r="BU56" s="38"/>
      <c r="BV56" s="38"/>
      <c r="BW56" s="38"/>
      <c r="BX56" s="38"/>
      <c r="BY56" s="38"/>
      <c r="BZ56" s="38"/>
      <c r="CA56" s="38"/>
      <c r="CB56" s="38"/>
      <c r="CC56" s="38"/>
      <c r="CD56" s="38"/>
      <c r="CE56" s="38"/>
      <c r="CF56" s="38"/>
      <c r="CG56" s="38"/>
      <c r="CH56" s="38"/>
      <c r="CI56" s="38"/>
      <c r="CJ56" s="38"/>
      <c r="CK56" s="38"/>
      <c r="CL56" s="38"/>
      <c r="CM56" s="38"/>
      <c r="CN56" s="38"/>
      <c r="CO56" s="38"/>
      <c r="CP56" s="38"/>
      <c r="CQ56" s="38"/>
      <c r="CR56" s="38"/>
      <c r="CS56" s="38"/>
      <c r="CT56" s="38"/>
      <c r="CU56" s="38"/>
      <c r="CV56" s="38"/>
      <c r="CW56" s="38"/>
      <c r="CX56" s="38"/>
      <c r="CY56" s="38"/>
      <c r="CZ56" s="38"/>
      <c r="DA56" s="38"/>
      <c r="DB56" s="38"/>
      <c r="DC56" s="38"/>
      <c r="DD56" s="38"/>
      <c r="DE56" s="38"/>
      <c r="DF56" s="38"/>
      <c r="DG56" s="38"/>
      <c r="DH56" s="38"/>
      <c r="DI56" s="38"/>
      <c r="DJ56" s="38"/>
      <c r="DK56" s="38"/>
      <c r="DL56" s="38"/>
      <c r="DM56" s="38"/>
      <c r="DN56" s="38"/>
      <c r="DO56" s="38"/>
      <c r="DP56" s="38"/>
      <c r="DQ56" s="38"/>
      <c r="DR56" s="38"/>
      <c r="DS56" s="38"/>
      <c r="DT56" s="38"/>
      <c r="DU56" s="38"/>
      <c r="DV56" s="38"/>
      <c r="DW56" s="38"/>
      <c r="DX56" s="38"/>
      <c r="DY56" s="38"/>
      <c r="DZ56" s="38"/>
      <c r="EA56" s="38"/>
      <c r="EB56" s="38"/>
      <c r="EC56" s="38"/>
      <c r="ED56" s="38"/>
      <c r="EE56" s="38"/>
      <c r="EF56" s="38"/>
      <c r="EG56" s="38"/>
      <c r="EH56" s="38"/>
      <c r="EI56" s="38"/>
      <c r="EJ56" s="38"/>
      <c r="EK56" s="38"/>
      <c r="EL56" s="38"/>
      <c r="EM56" s="38"/>
      <c r="EN56" s="38"/>
      <c r="EO56" s="38"/>
      <c r="EP56" s="38"/>
      <c r="EQ56" s="38"/>
      <c r="ER56" s="38"/>
      <c r="ES56" s="38"/>
      <c r="ET56" s="38"/>
      <c r="EU56" s="38"/>
    </row>
    <row r="57" spans="1:151" s="95" customFormat="1" ht="15" customHeight="1">
      <c r="A57" s="91">
        <v>45</v>
      </c>
      <c r="B57" s="168" t="s">
        <v>142</v>
      </c>
      <c r="C57" s="165" t="s">
        <v>55</v>
      </c>
      <c r="D57" s="169">
        <v>25</v>
      </c>
      <c r="E57" s="100">
        <v>0</v>
      </c>
      <c r="F57" s="100">
        <f>SUMIF(pro!$A:$A,$V:$V,pro!$N:$N)</f>
        <v>0</v>
      </c>
      <c r="G57" s="100"/>
      <c r="H57" s="100">
        <f>SUMIF(CBIN!$A:$A,BRAN!$V:$V,CBIN!$G:$G)</f>
        <v>0</v>
      </c>
      <c r="I57" s="100">
        <f>SUMIF(data!$D:$D,$B57&amp;$D57,data!$J:$J)</f>
        <v>0</v>
      </c>
      <c r="J57" s="100">
        <f>SUMIF(data!$D:$D,$B57&amp;$D57,data!$K:$K)</f>
        <v>0</v>
      </c>
      <c r="K57" s="100">
        <f>SUMIF(AJOUT!$A:$A,BRAN!$V:$V,AJOUT!$L:$L)</f>
        <v>0</v>
      </c>
      <c r="L57" s="100">
        <f>SUMIF(CBOUT!$A:$A,BRAN!$V:$V,CBOUT!$G:$G)</f>
        <v>0</v>
      </c>
      <c r="M57" s="1158">
        <f t="shared" si="18"/>
        <v>0</v>
      </c>
      <c r="N57" s="652">
        <f t="shared" si="6"/>
        <v>0</v>
      </c>
      <c r="O57" s="1159">
        <f t="shared" si="7"/>
        <v>8900</v>
      </c>
      <c r="P57" s="804"/>
      <c r="Q57" s="804"/>
      <c r="R57" s="100">
        <f>O57/INTGRATE!$N$293</f>
        <v>988.88888888888891</v>
      </c>
      <c r="S57" s="665">
        <f t="shared" si="19"/>
        <v>0</v>
      </c>
      <c r="T57" s="403"/>
      <c r="U57" s="136"/>
      <c r="V57" s="836" t="str">
        <f t="shared" si="20"/>
        <v>511L25</v>
      </c>
      <c r="W57" s="823">
        <v>162001</v>
      </c>
      <c r="X57" s="386"/>
      <c r="Y57" s="386">
        <v>1500</v>
      </c>
      <c r="Z57" s="100">
        <v>125</v>
      </c>
      <c r="AA57" s="100">
        <v>2500</v>
      </c>
      <c r="AB57" s="100">
        <v>2625</v>
      </c>
      <c r="AC57" s="100">
        <v>975</v>
      </c>
      <c r="AD57" s="100">
        <v>1125</v>
      </c>
      <c r="AE57" s="100">
        <v>50</v>
      </c>
      <c r="AF57" s="100">
        <v>0</v>
      </c>
      <c r="AG57" s="100"/>
      <c r="AH57" s="100"/>
      <c r="AI57" s="100"/>
      <c r="AJ57" s="100"/>
      <c r="AK57" s="100"/>
      <c r="AL57" s="100"/>
      <c r="AM57" s="100"/>
      <c r="AN57" s="100"/>
      <c r="AO57" s="100"/>
      <c r="AP57" s="100"/>
      <c r="AQ57" s="100"/>
      <c r="AR57" s="100"/>
      <c r="AS57" s="100"/>
      <c r="AT57" s="100"/>
      <c r="AU57" s="100"/>
      <c r="AV57" s="100"/>
      <c r="AW57" s="100"/>
      <c r="AX57" s="230"/>
      <c r="AY57" s="100"/>
      <c r="AZ57" s="100"/>
      <c r="BA57" s="100"/>
      <c r="BB57" s="100"/>
      <c r="BC57" s="276">
        <f t="shared" si="8"/>
        <v>8900</v>
      </c>
      <c r="BD57" s="786">
        <f t="shared" si="9"/>
        <v>7</v>
      </c>
      <c r="BE57" s="786">
        <f t="shared" si="10"/>
        <v>1271.4285714285713</v>
      </c>
      <c r="BF57" s="38"/>
      <c r="BG57" s="38"/>
      <c r="BH57" s="436"/>
      <c r="BI57" s="38"/>
      <c r="BJ57" s="38"/>
      <c r="BK57" s="38"/>
      <c r="BL57" s="38"/>
      <c r="BM57" s="38"/>
      <c r="BN57" s="38"/>
      <c r="BO57" s="38"/>
      <c r="BP57" s="38"/>
      <c r="BQ57" s="38"/>
      <c r="BR57" s="38"/>
      <c r="BS57" s="38"/>
      <c r="BT57" s="38"/>
      <c r="BU57" s="38"/>
      <c r="BV57" s="38"/>
      <c r="BW57" s="38"/>
      <c r="BX57" s="38"/>
      <c r="BY57" s="38"/>
      <c r="BZ57" s="38"/>
      <c r="CA57" s="38"/>
      <c r="CB57" s="38"/>
      <c r="CC57" s="38"/>
      <c r="CD57" s="38"/>
      <c r="CE57" s="38"/>
      <c r="CF57" s="38"/>
      <c r="CG57" s="38"/>
      <c r="CH57" s="38"/>
      <c r="CI57" s="38"/>
      <c r="CJ57" s="38"/>
      <c r="CK57" s="38"/>
      <c r="CL57" s="38"/>
      <c r="CM57" s="38"/>
      <c r="CN57" s="38"/>
      <c r="CO57" s="38"/>
      <c r="CP57" s="38"/>
      <c r="CQ57" s="38"/>
      <c r="CR57" s="38"/>
      <c r="CS57" s="38"/>
      <c r="CT57" s="38"/>
      <c r="CU57" s="38"/>
      <c r="CV57" s="38"/>
      <c r="CW57" s="38"/>
      <c r="CX57" s="38"/>
      <c r="CY57" s="38"/>
      <c r="CZ57" s="38"/>
      <c r="DA57" s="38"/>
      <c r="DB57" s="38"/>
      <c r="DC57" s="38"/>
      <c r="DD57" s="38"/>
      <c r="DE57" s="38"/>
      <c r="DF57" s="38"/>
      <c r="DG57" s="38"/>
      <c r="DH57" s="38"/>
      <c r="DI57" s="38"/>
      <c r="DJ57" s="38"/>
      <c r="DK57" s="38"/>
      <c r="DL57" s="38"/>
      <c r="DM57" s="38"/>
      <c r="DN57" s="38"/>
      <c r="DO57" s="38"/>
      <c r="DP57" s="38"/>
      <c r="DQ57" s="38"/>
      <c r="DR57" s="38"/>
      <c r="DS57" s="38"/>
      <c r="DT57" s="38"/>
      <c r="DU57" s="38"/>
      <c r="DV57" s="38"/>
      <c r="DW57" s="38"/>
      <c r="DX57" s="38"/>
      <c r="DY57" s="38"/>
      <c r="DZ57" s="38"/>
      <c r="EA57" s="38"/>
      <c r="EB57" s="38"/>
      <c r="EC57" s="38"/>
      <c r="ED57" s="38"/>
      <c r="EE57" s="38"/>
      <c r="EF57" s="38"/>
      <c r="EG57" s="38"/>
      <c r="EH57" s="38"/>
      <c r="EI57" s="38"/>
      <c r="EJ57" s="38"/>
      <c r="EK57" s="38"/>
      <c r="EL57" s="38"/>
      <c r="EM57" s="38"/>
      <c r="EN57" s="38"/>
      <c r="EO57" s="38"/>
      <c r="EP57" s="38"/>
      <c r="EQ57" s="38"/>
      <c r="ER57" s="38"/>
      <c r="ES57" s="38"/>
      <c r="ET57" s="38"/>
      <c r="EU57" s="38"/>
    </row>
    <row r="58" spans="1:151" s="95" customFormat="1" ht="15" customHeight="1">
      <c r="A58" s="91">
        <v>46</v>
      </c>
      <c r="B58" s="168" t="s">
        <v>143</v>
      </c>
      <c r="C58" s="1170" t="s">
        <v>55</v>
      </c>
      <c r="D58" s="169">
        <v>25</v>
      </c>
      <c r="E58" s="100">
        <v>1472</v>
      </c>
      <c r="F58" s="100">
        <f>SUMIF(pro!$A:$A,$V:$V,pro!$N:$N)</f>
        <v>0</v>
      </c>
      <c r="G58" s="100"/>
      <c r="H58" s="100">
        <f>SUMIF(CBIN!$A:$A,BRAN!$V:$V,CBIN!$G:$G)</f>
        <v>0</v>
      </c>
      <c r="I58" s="100">
        <f>SUMIF(data!$D:$D,$B58&amp;$D58,data!$J:$J)</f>
        <v>0</v>
      </c>
      <c r="J58" s="100">
        <f>SUMIF(data!$D:$D,$B58&amp;$D58,data!$K:$K)</f>
        <v>0</v>
      </c>
      <c r="K58" s="100">
        <f>SUMIF(AJOUT!$A:$A,BRAN!$V:$V,AJOUT!$L:$L)</f>
        <v>0</v>
      </c>
      <c r="L58" s="100">
        <f>SUMIF(CBOUT!$A:$A,BRAN!$V:$V,CBOUT!$G:$G)</f>
        <v>0</v>
      </c>
      <c r="M58" s="1158">
        <f t="shared" si="18"/>
        <v>1472</v>
      </c>
      <c r="N58" s="652">
        <f t="shared" si="6"/>
        <v>36800</v>
      </c>
      <c r="O58" s="1159">
        <f t="shared" si="7"/>
        <v>31075</v>
      </c>
      <c r="P58" s="804"/>
      <c r="Q58" s="804"/>
      <c r="R58" s="100">
        <f>O58/INTGRATE!$N$293</f>
        <v>3452.7777777777778</v>
      </c>
      <c r="S58" s="665">
        <f t="shared" si="19"/>
        <v>10.658085277554305</v>
      </c>
      <c r="T58" s="403"/>
      <c r="U58" s="136"/>
      <c r="V58" s="836" t="str">
        <f t="shared" si="20"/>
        <v>511M25</v>
      </c>
      <c r="W58" s="823">
        <v>162201</v>
      </c>
      <c r="X58" s="386"/>
      <c r="Y58" s="386">
        <v>1000</v>
      </c>
      <c r="Z58" s="100">
        <v>2725</v>
      </c>
      <c r="AA58" s="100">
        <v>7100</v>
      </c>
      <c r="AB58" s="100">
        <v>1000</v>
      </c>
      <c r="AC58" s="100">
        <v>5950</v>
      </c>
      <c r="AD58" s="100">
        <v>7425</v>
      </c>
      <c r="AE58" s="100">
        <v>3850</v>
      </c>
      <c r="AF58" s="100">
        <v>2025</v>
      </c>
      <c r="AG58" s="100"/>
      <c r="AH58" s="100"/>
      <c r="AI58" s="100"/>
      <c r="AJ58" s="100"/>
      <c r="AK58" s="100"/>
      <c r="AL58" s="100"/>
      <c r="AM58" s="100"/>
      <c r="AN58" s="100"/>
      <c r="AO58" s="100"/>
      <c r="AP58" s="100"/>
      <c r="AQ58" s="100"/>
      <c r="AR58" s="100"/>
      <c r="AS58" s="100"/>
      <c r="AT58" s="100"/>
      <c r="AU58" s="100"/>
      <c r="AV58" s="100"/>
      <c r="AW58" s="100"/>
      <c r="AX58" s="230"/>
      <c r="AY58" s="100"/>
      <c r="AZ58" s="100"/>
      <c r="BA58" s="100"/>
      <c r="BB58" s="100"/>
      <c r="BC58" s="276">
        <f t="shared" si="8"/>
        <v>31075</v>
      </c>
      <c r="BD58" s="786">
        <f t="shared" si="9"/>
        <v>8</v>
      </c>
      <c r="BE58" s="786">
        <f t="shared" si="10"/>
        <v>3884.375</v>
      </c>
      <c r="BF58" s="38"/>
      <c r="BG58" s="38"/>
      <c r="BH58" s="436"/>
      <c r="BI58" s="38"/>
      <c r="BJ58" s="38"/>
      <c r="BK58" s="38"/>
      <c r="BL58" s="38"/>
      <c r="BM58" s="38"/>
      <c r="BN58" s="38"/>
      <c r="BO58" s="38"/>
      <c r="BP58" s="38"/>
      <c r="BQ58" s="38"/>
      <c r="BR58" s="38"/>
      <c r="BS58" s="38"/>
      <c r="BT58" s="38"/>
      <c r="BU58" s="38"/>
      <c r="BV58" s="38"/>
      <c r="BW58" s="38"/>
      <c r="BX58" s="38"/>
      <c r="BY58" s="38"/>
      <c r="BZ58" s="38"/>
      <c r="CA58" s="38"/>
      <c r="CB58" s="38"/>
      <c r="CC58" s="38"/>
      <c r="CD58" s="38"/>
      <c r="CE58" s="38"/>
      <c r="CF58" s="38"/>
      <c r="CG58" s="38"/>
      <c r="CH58" s="38"/>
      <c r="CI58" s="38"/>
      <c r="CJ58" s="38"/>
      <c r="CK58" s="38"/>
      <c r="CL58" s="38"/>
      <c r="CM58" s="38"/>
      <c r="CN58" s="38"/>
      <c r="CO58" s="38"/>
      <c r="CP58" s="38"/>
      <c r="CQ58" s="38"/>
      <c r="CR58" s="38"/>
      <c r="CS58" s="38"/>
      <c r="CT58" s="38"/>
      <c r="CU58" s="38"/>
      <c r="CV58" s="38"/>
      <c r="CW58" s="38"/>
      <c r="CX58" s="38"/>
      <c r="CY58" s="38"/>
      <c r="CZ58" s="38"/>
      <c r="DA58" s="38"/>
      <c r="DB58" s="38"/>
      <c r="DC58" s="38"/>
      <c r="DD58" s="38"/>
      <c r="DE58" s="38"/>
      <c r="DF58" s="38"/>
      <c r="DG58" s="38"/>
      <c r="DH58" s="38"/>
      <c r="DI58" s="38"/>
      <c r="DJ58" s="38"/>
      <c r="DK58" s="38"/>
      <c r="DL58" s="38"/>
      <c r="DM58" s="38"/>
      <c r="DN58" s="38"/>
      <c r="DO58" s="38"/>
      <c r="DP58" s="38"/>
      <c r="DQ58" s="38"/>
      <c r="DR58" s="38"/>
      <c r="DS58" s="38"/>
      <c r="DT58" s="38"/>
      <c r="DU58" s="38"/>
      <c r="DV58" s="38"/>
      <c r="DW58" s="38"/>
      <c r="DX58" s="38"/>
      <c r="DY58" s="38"/>
      <c r="DZ58" s="38"/>
      <c r="EA58" s="38"/>
      <c r="EB58" s="38"/>
      <c r="EC58" s="38"/>
      <c r="ED58" s="38"/>
      <c r="EE58" s="38"/>
      <c r="EF58" s="38"/>
      <c r="EG58" s="38"/>
      <c r="EH58" s="38"/>
      <c r="EI58" s="38"/>
      <c r="EJ58" s="38"/>
      <c r="EK58" s="38"/>
      <c r="EL58" s="38"/>
      <c r="EM58" s="38"/>
      <c r="EN58" s="38"/>
      <c r="EO58" s="38"/>
      <c r="EP58" s="38"/>
      <c r="EQ58" s="38"/>
      <c r="ER58" s="38"/>
      <c r="ES58" s="38"/>
      <c r="ET58" s="38"/>
      <c r="EU58" s="38"/>
    </row>
    <row r="59" spans="1:151" s="95" customFormat="1" ht="15" customHeight="1">
      <c r="A59" s="91">
        <v>47</v>
      </c>
      <c r="B59" s="168" t="s">
        <v>144</v>
      </c>
      <c r="C59" s="168" t="s">
        <v>51</v>
      </c>
      <c r="D59" s="169">
        <v>25</v>
      </c>
      <c r="E59" s="100">
        <v>0</v>
      </c>
      <c r="F59" s="100">
        <f>SUMIF(pro!$A:$A,$V:$V,pro!$N:$N)</f>
        <v>0</v>
      </c>
      <c r="G59" s="100"/>
      <c r="H59" s="100">
        <f>SUMIF(CBIN!$A:$A,BRAN!$V:$V,CBIN!$G:$G)</f>
        <v>0</v>
      </c>
      <c r="I59" s="100">
        <f>SUMIF(data!$D:$D,$B59&amp;$D59,data!$J:$J)</f>
        <v>0</v>
      </c>
      <c r="J59" s="100">
        <f>SUMIF(data!$D:$D,$B59&amp;$D59,data!$K:$K)</f>
        <v>0</v>
      </c>
      <c r="K59" s="100">
        <f>SUMIF(AJOUT!$A:$A,BRAN!$V:$V,AJOUT!$L:$L)</f>
        <v>0</v>
      </c>
      <c r="L59" s="100">
        <f>SUMIF(CBOUT!$A:$A,BRAN!$V:$V,CBOUT!$G:$G)</f>
        <v>0</v>
      </c>
      <c r="M59" s="1158">
        <f t="shared" si="18"/>
        <v>0</v>
      </c>
      <c r="N59" s="652">
        <f t="shared" si="6"/>
        <v>0</v>
      </c>
      <c r="O59" s="1159">
        <f t="shared" si="7"/>
        <v>0</v>
      </c>
      <c r="P59" s="804"/>
      <c r="Q59" s="804"/>
      <c r="R59" s="100">
        <f>O59/INTGRATE!$N$293</f>
        <v>0</v>
      </c>
      <c r="S59" s="665">
        <f t="shared" si="19"/>
        <v>0</v>
      </c>
      <c r="T59" s="403"/>
      <c r="U59" s="136"/>
      <c r="V59" s="836" t="str">
        <f t="shared" si="20"/>
        <v>512M25</v>
      </c>
      <c r="W59" s="823">
        <v>162301</v>
      </c>
      <c r="X59" s="386"/>
      <c r="Y59" s="386">
        <v>0</v>
      </c>
      <c r="Z59" s="100">
        <v>0</v>
      </c>
      <c r="AA59" s="100">
        <v>0</v>
      </c>
      <c r="AB59" s="100">
        <v>0</v>
      </c>
      <c r="AC59" s="100">
        <v>0</v>
      </c>
      <c r="AD59" s="100">
        <v>0</v>
      </c>
      <c r="AE59" s="100">
        <v>0</v>
      </c>
      <c r="AF59" s="100">
        <v>0</v>
      </c>
      <c r="AG59" s="100"/>
      <c r="AH59" s="100"/>
      <c r="AI59" s="100"/>
      <c r="AJ59" s="100"/>
      <c r="AK59" s="100"/>
      <c r="AL59" s="100"/>
      <c r="AM59" s="100"/>
      <c r="AN59" s="100"/>
      <c r="AO59" s="100"/>
      <c r="AP59" s="100"/>
      <c r="AQ59" s="100"/>
      <c r="AR59" s="100"/>
      <c r="AS59" s="100"/>
      <c r="AT59" s="100"/>
      <c r="AU59" s="100"/>
      <c r="AV59" s="100"/>
      <c r="AW59" s="100"/>
      <c r="AX59" s="230"/>
      <c r="AY59" s="100"/>
      <c r="AZ59" s="100"/>
      <c r="BA59" s="100"/>
      <c r="BB59" s="100"/>
      <c r="BC59" s="276">
        <f t="shared" si="8"/>
        <v>0</v>
      </c>
      <c r="BD59" s="786">
        <f t="shared" si="9"/>
        <v>0</v>
      </c>
      <c r="BE59" s="786">
        <f t="shared" si="10"/>
        <v>0</v>
      </c>
      <c r="BF59" s="38"/>
      <c r="BG59" s="38"/>
      <c r="BH59" s="436"/>
      <c r="BI59" s="38"/>
      <c r="BJ59" s="38"/>
      <c r="BK59" s="38"/>
      <c r="BL59" s="38"/>
      <c r="BM59" s="38"/>
      <c r="BN59" s="38"/>
      <c r="BO59" s="38"/>
      <c r="BP59" s="38"/>
      <c r="BQ59" s="38"/>
      <c r="BR59" s="38"/>
      <c r="BS59" s="38"/>
      <c r="BT59" s="38"/>
      <c r="BU59" s="38"/>
      <c r="BV59" s="38"/>
      <c r="BW59" s="38"/>
      <c r="BX59" s="38"/>
      <c r="BY59" s="38"/>
      <c r="BZ59" s="38"/>
      <c r="CA59" s="38"/>
      <c r="CB59" s="38"/>
      <c r="CC59" s="38"/>
      <c r="CD59" s="38"/>
      <c r="CE59" s="38"/>
      <c r="CF59" s="38"/>
      <c r="CG59" s="38"/>
      <c r="CH59" s="38"/>
      <c r="CI59" s="38"/>
      <c r="CJ59" s="38"/>
      <c r="CK59" s="38"/>
      <c r="CL59" s="38"/>
      <c r="CM59" s="38"/>
      <c r="CN59" s="38"/>
      <c r="CO59" s="38"/>
      <c r="CP59" s="38"/>
      <c r="CQ59" s="38"/>
      <c r="CR59" s="38"/>
      <c r="CS59" s="38"/>
      <c r="CT59" s="38"/>
      <c r="CU59" s="38"/>
      <c r="CV59" s="38"/>
      <c r="CW59" s="38"/>
      <c r="CX59" s="38"/>
      <c r="CY59" s="38"/>
      <c r="CZ59" s="38"/>
      <c r="DA59" s="38"/>
      <c r="DB59" s="38"/>
      <c r="DC59" s="38"/>
      <c r="DD59" s="38"/>
      <c r="DE59" s="38"/>
      <c r="DF59" s="38"/>
      <c r="DG59" s="38"/>
      <c r="DH59" s="38"/>
      <c r="DI59" s="38"/>
      <c r="DJ59" s="38"/>
      <c r="DK59" s="38"/>
      <c r="DL59" s="38"/>
      <c r="DM59" s="38"/>
      <c r="DN59" s="38"/>
      <c r="DO59" s="38"/>
      <c r="DP59" s="38"/>
      <c r="DQ59" s="38"/>
      <c r="DR59" s="38"/>
      <c r="DS59" s="38"/>
      <c r="DT59" s="38"/>
      <c r="DU59" s="38"/>
      <c r="DV59" s="38"/>
      <c r="DW59" s="38"/>
      <c r="DX59" s="38"/>
      <c r="DY59" s="38"/>
      <c r="DZ59" s="38"/>
      <c r="EA59" s="38"/>
      <c r="EB59" s="38"/>
      <c r="EC59" s="38"/>
      <c r="ED59" s="38"/>
      <c r="EE59" s="38"/>
      <c r="EF59" s="38"/>
      <c r="EG59" s="38"/>
      <c r="EH59" s="38"/>
      <c r="EI59" s="38"/>
      <c r="EJ59" s="38"/>
      <c r="EK59" s="38"/>
      <c r="EL59" s="38"/>
      <c r="EM59" s="38"/>
      <c r="EN59" s="38"/>
      <c r="EO59" s="38"/>
      <c r="EP59" s="38"/>
      <c r="EQ59" s="38"/>
      <c r="ER59" s="38"/>
      <c r="ES59" s="38"/>
      <c r="ET59" s="38"/>
      <c r="EU59" s="38"/>
    </row>
    <row r="60" spans="1:151" s="95" customFormat="1" ht="15" customHeight="1">
      <c r="A60" s="91">
        <v>48</v>
      </c>
      <c r="B60" s="168">
        <v>513</v>
      </c>
      <c r="C60" s="168" t="s">
        <v>51</v>
      </c>
      <c r="D60" s="169">
        <v>25</v>
      </c>
      <c r="E60" s="100">
        <v>0</v>
      </c>
      <c r="F60" s="100">
        <f>SUMIF(pro!$A:$A,$V:$V,pro!$N:$N)</f>
        <v>0</v>
      </c>
      <c r="G60" s="100"/>
      <c r="H60" s="100">
        <f>SUMIF(CBIN!$A:$A,BRAN!$V:$V,CBIN!$G:$G)</f>
        <v>0</v>
      </c>
      <c r="I60" s="100">
        <f>SUMIF(data!$D:$D,$B60&amp;$D60,data!$J:$J)</f>
        <v>0</v>
      </c>
      <c r="J60" s="100">
        <f>SUMIF(data!$D:$D,$B60&amp;$D60,data!$K:$K)</f>
        <v>0</v>
      </c>
      <c r="K60" s="100">
        <f>SUMIF(AJOUT!$A:$A,BRAN!$V:$V,AJOUT!$L:$L)</f>
        <v>0</v>
      </c>
      <c r="L60" s="100">
        <f>SUMIF(CBOUT!$A:$A,BRAN!$V:$V,CBOUT!$G:$G)</f>
        <v>0</v>
      </c>
      <c r="M60" s="1158">
        <f t="shared" si="18"/>
        <v>0</v>
      </c>
      <c r="N60" s="652">
        <f t="shared" si="6"/>
        <v>0</v>
      </c>
      <c r="O60" s="1159">
        <f t="shared" si="7"/>
        <v>0</v>
      </c>
      <c r="P60" s="804"/>
      <c r="Q60" s="804"/>
      <c r="R60" s="100">
        <f>O60/INTGRATE!$N$293</f>
        <v>0</v>
      </c>
      <c r="S60" s="665">
        <f t="shared" si="19"/>
        <v>0</v>
      </c>
      <c r="T60" s="403"/>
      <c r="U60" s="136"/>
      <c r="V60" s="836" t="str">
        <f t="shared" si="20"/>
        <v>51325</v>
      </c>
      <c r="W60" s="823">
        <v>115001</v>
      </c>
      <c r="X60" s="386"/>
      <c r="Y60" s="386">
        <v>0</v>
      </c>
      <c r="Z60" s="100">
        <v>0</v>
      </c>
      <c r="AA60" s="100">
        <v>0</v>
      </c>
      <c r="AB60" s="100">
        <v>0</v>
      </c>
      <c r="AC60" s="100">
        <v>0</v>
      </c>
      <c r="AD60" s="100">
        <v>0</v>
      </c>
      <c r="AE60" s="100">
        <v>0</v>
      </c>
      <c r="AF60" s="100">
        <v>0</v>
      </c>
      <c r="AG60" s="100"/>
      <c r="AH60" s="100"/>
      <c r="AI60" s="100"/>
      <c r="AJ60" s="100"/>
      <c r="AK60" s="100"/>
      <c r="AL60" s="100"/>
      <c r="AM60" s="100"/>
      <c r="AN60" s="100"/>
      <c r="AO60" s="100"/>
      <c r="AP60" s="100"/>
      <c r="AQ60" s="100"/>
      <c r="AR60" s="100"/>
      <c r="AS60" s="100"/>
      <c r="AT60" s="100"/>
      <c r="AU60" s="100"/>
      <c r="AV60" s="100"/>
      <c r="AW60" s="100"/>
      <c r="AX60" s="230"/>
      <c r="AY60" s="100"/>
      <c r="AZ60" s="100"/>
      <c r="BA60" s="100"/>
      <c r="BB60" s="100"/>
      <c r="BC60" s="276">
        <f t="shared" si="8"/>
        <v>0</v>
      </c>
      <c r="BD60" s="786">
        <f t="shared" si="9"/>
        <v>0</v>
      </c>
      <c r="BE60" s="786">
        <f t="shared" si="10"/>
        <v>0</v>
      </c>
      <c r="BF60" s="38"/>
      <c r="BG60" s="38"/>
      <c r="BH60" s="436"/>
      <c r="BI60" s="38"/>
      <c r="BJ60" s="38"/>
      <c r="BK60" s="38"/>
      <c r="BL60" s="38"/>
      <c r="BM60" s="38"/>
      <c r="BN60" s="38"/>
      <c r="BO60" s="38"/>
      <c r="BP60" s="38"/>
      <c r="BQ60" s="38"/>
      <c r="BR60" s="38"/>
      <c r="BS60" s="38"/>
      <c r="BT60" s="38"/>
      <c r="BU60" s="38"/>
      <c r="BV60" s="38"/>
      <c r="BW60" s="38"/>
      <c r="BX60" s="38"/>
      <c r="BY60" s="38"/>
      <c r="BZ60" s="38"/>
      <c r="CA60" s="38"/>
      <c r="CB60" s="38"/>
      <c r="CC60" s="38"/>
      <c r="CD60" s="38"/>
      <c r="CE60" s="38"/>
      <c r="CF60" s="38"/>
      <c r="CG60" s="38"/>
      <c r="CH60" s="38"/>
      <c r="CI60" s="38"/>
      <c r="CJ60" s="38"/>
      <c r="CK60" s="38"/>
      <c r="CL60" s="38"/>
      <c r="CM60" s="38"/>
      <c r="CN60" s="38"/>
      <c r="CO60" s="38"/>
      <c r="CP60" s="38"/>
      <c r="CQ60" s="38"/>
      <c r="CR60" s="38"/>
      <c r="CS60" s="38"/>
      <c r="CT60" s="38"/>
      <c r="CU60" s="38"/>
      <c r="CV60" s="38"/>
      <c r="CW60" s="38"/>
      <c r="CX60" s="38"/>
      <c r="CY60" s="38"/>
      <c r="CZ60" s="38"/>
      <c r="DA60" s="38"/>
      <c r="DB60" s="38"/>
      <c r="DC60" s="38"/>
      <c r="DD60" s="38"/>
      <c r="DE60" s="38"/>
      <c r="DF60" s="38"/>
      <c r="DG60" s="38"/>
      <c r="DH60" s="38"/>
      <c r="DI60" s="38"/>
      <c r="DJ60" s="38"/>
      <c r="DK60" s="38"/>
      <c r="DL60" s="38"/>
      <c r="DM60" s="38"/>
      <c r="DN60" s="38"/>
      <c r="DO60" s="38"/>
      <c r="DP60" s="38"/>
      <c r="DQ60" s="38"/>
      <c r="DR60" s="38"/>
      <c r="DS60" s="38"/>
      <c r="DT60" s="38"/>
      <c r="DU60" s="38"/>
      <c r="DV60" s="38"/>
      <c r="DW60" s="38"/>
      <c r="DX60" s="38"/>
      <c r="DY60" s="38"/>
      <c r="DZ60" s="38"/>
      <c r="EA60" s="38"/>
      <c r="EB60" s="38"/>
      <c r="EC60" s="38"/>
      <c r="ED60" s="38"/>
      <c r="EE60" s="38"/>
      <c r="EF60" s="38"/>
      <c r="EG60" s="38"/>
      <c r="EH60" s="38"/>
      <c r="EI60" s="38"/>
      <c r="EJ60" s="38"/>
      <c r="EK60" s="38"/>
      <c r="EL60" s="38"/>
      <c r="EM60" s="38"/>
      <c r="EN60" s="38"/>
      <c r="EO60" s="38"/>
      <c r="EP60" s="38"/>
      <c r="EQ60" s="38"/>
      <c r="ER60" s="38"/>
      <c r="ES60" s="38"/>
      <c r="ET60" s="38"/>
      <c r="EU60" s="38"/>
    </row>
    <row r="61" spans="1:151" s="95" customFormat="1" ht="15" customHeight="1">
      <c r="A61" s="91">
        <v>49</v>
      </c>
      <c r="B61" s="159">
        <v>502</v>
      </c>
      <c r="C61" s="159" t="s">
        <v>132</v>
      </c>
      <c r="D61" s="160">
        <v>25</v>
      </c>
      <c r="E61" s="100">
        <v>126</v>
      </c>
      <c r="F61" s="100">
        <f>SUMIF(pro!$A:$A,$V:$V,pro!$N:$N)</f>
        <v>0</v>
      </c>
      <c r="G61" s="100"/>
      <c r="H61" s="100">
        <f>SUMIF(CBIN!$A:$A,BRAN!$V:$V,CBIN!$G:$G)</f>
        <v>0</v>
      </c>
      <c r="I61" s="100">
        <f>SUMIF(data!$D:$D,$B61&amp;$D61,data!$J:$J)</f>
        <v>0</v>
      </c>
      <c r="J61" s="100">
        <f>SUMIF(data!$D:$D,$B61&amp;$D61,data!$K:$K)</f>
        <v>0</v>
      </c>
      <c r="K61" s="100">
        <f>SUMIF(AJOUT!$A:$A,BRAN!$V:$V,AJOUT!$L:$L)</f>
        <v>0</v>
      </c>
      <c r="L61" s="100">
        <f>SUMIF(CBOUT!$A:$A,BRAN!$V:$V,CBOUT!$G:$G)</f>
        <v>0</v>
      </c>
      <c r="M61" s="1158">
        <f t="shared" si="18"/>
        <v>126</v>
      </c>
      <c r="N61" s="652">
        <f t="shared" si="6"/>
        <v>3150</v>
      </c>
      <c r="O61" s="1159">
        <f t="shared" si="7"/>
        <v>22250</v>
      </c>
      <c r="P61" s="804"/>
      <c r="Q61" s="804"/>
      <c r="R61" s="100">
        <f>O61/INTGRATE!$N$293</f>
        <v>2472.2222222222222</v>
      </c>
      <c r="S61" s="665">
        <f>IF(R61=0,0,N61/R61)</f>
        <v>1.2741573033707865</v>
      </c>
      <c r="T61" s="403"/>
      <c r="U61" s="136"/>
      <c r="V61" s="836" t="str">
        <f t="shared" si="20"/>
        <v>50225</v>
      </c>
      <c r="W61" s="823">
        <v>546001</v>
      </c>
      <c r="X61" s="386"/>
      <c r="Y61" s="386">
        <v>0</v>
      </c>
      <c r="Z61" s="100">
        <v>0</v>
      </c>
      <c r="AA61" s="100">
        <v>1875</v>
      </c>
      <c r="AB61" s="100">
        <v>0</v>
      </c>
      <c r="AC61" s="100">
        <v>5000</v>
      </c>
      <c r="AD61" s="100">
        <v>3125</v>
      </c>
      <c r="AE61" s="100">
        <v>12250</v>
      </c>
      <c r="AF61" s="100">
        <v>0</v>
      </c>
      <c r="AG61" s="100"/>
      <c r="AH61" s="100"/>
      <c r="AI61" s="100"/>
      <c r="AJ61" s="100"/>
      <c r="AK61" s="100"/>
      <c r="AL61" s="100"/>
      <c r="AM61" s="100"/>
      <c r="AN61" s="100"/>
      <c r="AO61" s="100"/>
      <c r="AP61" s="100"/>
      <c r="AQ61" s="100"/>
      <c r="AR61" s="100"/>
      <c r="AS61" s="100"/>
      <c r="AT61" s="100"/>
      <c r="AU61" s="100"/>
      <c r="AV61" s="100"/>
      <c r="AW61" s="100"/>
      <c r="AX61" s="230"/>
      <c r="AY61" s="100"/>
      <c r="AZ61" s="100"/>
      <c r="BA61" s="100"/>
      <c r="BB61" s="100"/>
      <c r="BC61" s="276">
        <f t="shared" si="8"/>
        <v>22250</v>
      </c>
      <c r="BD61" s="786">
        <f t="shared" si="9"/>
        <v>4</v>
      </c>
      <c r="BE61" s="786">
        <f t="shared" si="10"/>
        <v>5562.5</v>
      </c>
      <c r="BF61" s="38"/>
      <c r="BG61" s="38"/>
      <c r="BH61" s="436"/>
      <c r="BI61" s="38"/>
      <c r="BJ61" s="38"/>
      <c r="BK61" s="38"/>
      <c r="BL61" s="38"/>
      <c r="BM61" s="38"/>
      <c r="BN61" s="38"/>
      <c r="BO61" s="38"/>
      <c r="BP61" s="38"/>
      <c r="BQ61" s="38"/>
      <c r="BR61" s="38"/>
      <c r="BS61" s="38"/>
      <c r="BT61" s="38"/>
      <c r="BU61" s="38"/>
      <c r="BV61" s="38"/>
      <c r="BW61" s="38"/>
      <c r="BX61" s="38"/>
      <c r="BY61" s="38"/>
      <c r="BZ61" s="38"/>
      <c r="CA61" s="38"/>
      <c r="CB61" s="38"/>
      <c r="CC61" s="38"/>
      <c r="CD61" s="38"/>
      <c r="CE61" s="38"/>
      <c r="CF61" s="38"/>
      <c r="CG61" s="38"/>
      <c r="CH61" s="38"/>
      <c r="CI61" s="38"/>
      <c r="CJ61" s="38"/>
      <c r="CK61" s="38"/>
      <c r="CL61" s="38"/>
      <c r="CM61" s="38"/>
      <c r="CN61" s="38"/>
      <c r="CO61" s="38"/>
      <c r="CP61" s="38"/>
      <c r="CQ61" s="38"/>
      <c r="CR61" s="38"/>
      <c r="CS61" s="38"/>
      <c r="CT61" s="38"/>
      <c r="CU61" s="38"/>
      <c r="CV61" s="38"/>
      <c r="CW61" s="38"/>
      <c r="CX61" s="38"/>
      <c r="CY61" s="38"/>
      <c r="CZ61" s="38"/>
      <c r="DA61" s="38"/>
      <c r="DB61" s="38"/>
      <c r="DC61" s="38"/>
      <c r="DD61" s="38"/>
      <c r="DE61" s="38"/>
      <c r="DF61" s="38"/>
      <c r="DG61" s="38"/>
      <c r="DH61" s="38"/>
      <c r="DI61" s="38"/>
      <c r="DJ61" s="38"/>
      <c r="DK61" s="38"/>
      <c r="DL61" s="38"/>
      <c r="DM61" s="38"/>
      <c r="DN61" s="38"/>
      <c r="DO61" s="38"/>
      <c r="DP61" s="38"/>
      <c r="DQ61" s="38"/>
      <c r="DR61" s="38"/>
      <c r="DS61" s="38"/>
      <c r="DT61" s="38"/>
      <c r="DU61" s="38"/>
      <c r="DV61" s="38"/>
      <c r="DW61" s="38"/>
      <c r="DX61" s="38"/>
      <c r="DY61" s="38"/>
      <c r="DZ61" s="38"/>
      <c r="EA61" s="38"/>
      <c r="EB61" s="38"/>
      <c r="EC61" s="38"/>
      <c r="ED61" s="38"/>
      <c r="EE61" s="38"/>
      <c r="EF61" s="38"/>
      <c r="EG61" s="38"/>
      <c r="EH61" s="38"/>
      <c r="EI61" s="38"/>
      <c r="EJ61" s="38"/>
      <c r="EK61" s="38"/>
      <c r="EL61" s="38"/>
      <c r="EM61" s="38"/>
      <c r="EN61" s="38"/>
      <c r="EO61" s="38"/>
      <c r="EP61" s="38"/>
      <c r="EQ61" s="38"/>
      <c r="ER61" s="38"/>
      <c r="ES61" s="38"/>
      <c r="ET61" s="38"/>
      <c r="EU61" s="38"/>
    </row>
    <row r="62" spans="1:151" s="95" customFormat="1" ht="15" customHeight="1">
      <c r="A62" s="91">
        <v>50</v>
      </c>
      <c r="B62" s="159">
        <v>502</v>
      </c>
      <c r="C62" s="159" t="s">
        <v>132</v>
      </c>
      <c r="D62" s="795" t="s">
        <v>66</v>
      </c>
      <c r="E62" s="100"/>
      <c r="F62" s="425">
        <f>+J62</f>
        <v>0</v>
      </c>
      <c r="G62" s="425"/>
      <c r="H62" s="100">
        <f>SUMIF(CBIN!$A:$A,BRAN!$V:$V,CBIN!$G:$G)</f>
        <v>0</v>
      </c>
      <c r="I62" s="100">
        <f>SUMIF(data!$D:$D,$B62&amp;$D62,data!$J:$J)</f>
        <v>0</v>
      </c>
      <c r="J62" s="100">
        <f>SUMIF(data!$D:$D,$B62&amp;$D62,data!$K:$K)</f>
        <v>0</v>
      </c>
      <c r="K62" s="100"/>
      <c r="L62" s="100"/>
      <c r="M62" s="1158"/>
      <c r="N62" s="652"/>
      <c r="O62" s="1159">
        <f>SUM(X62:BB62)</f>
        <v>26770</v>
      </c>
      <c r="P62" s="804"/>
      <c r="Q62" s="804"/>
      <c r="R62" s="100">
        <f>O62/INTGRATE!$N$293</f>
        <v>2974.4444444444443</v>
      </c>
      <c r="S62" s="665">
        <f>IF(R62=0,0,N62/R62)</f>
        <v>0</v>
      </c>
      <c r="T62" s="403"/>
      <c r="U62" s="136"/>
      <c r="V62" s="836" t="str">
        <f>B62&amp;D62</f>
        <v>502SILO</v>
      </c>
      <c r="W62" s="823">
        <v>546001</v>
      </c>
      <c r="X62" s="386"/>
      <c r="Y62" s="386">
        <v>0</v>
      </c>
      <c r="Z62" s="100">
        <v>13960</v>
      </c>
      <c r="AA62" s="100">
        <v>0</v>
      </c>
      <c r="AB62" s="100">
        <v>0</v>
      </c>
      <c r="AC62" s="100">
        <v>0</v>
      </c>
      <c r="AD62" s="100">
        <v>12810</v>
      </c>
      <c r="AE62" s="100">
        <v>0</v>
      </c>
      <c r="AF62" s="100">
        <v>0</v>
      </c>
      <c r="AG62" s="100"/>
      <c r="AH62" s="100"/>
      <c r="AI62" s="100"/>
      <c r="AJ62" s="100"/>
      <c r="AK62" s="100"/>
      <c r="AL62" s="100"/>
      <c r="AM62" s="100"/>
      <c r="AN62" s="100"/>
      <c r="AO62" s="100"/>
      <c r="AP62" s="100"/>
      <c r="AQ62" s="100"/>
      <c r="AR62" s="100"/>
      <c r="AS62" s="100"/>
      <c r="AT62" s="100"/>
      <c r="AU62" s="100"/>
      <c r="AV62" s="100"/>
      <c r="AW62" s="100"/>
      <c r="AX62" s="230"/>
      <c r="AY62" s="100"/>
      <c r="AZ62" s="100"/>
      <c r="BA62" s="100"/>
      <c r="BB62" s="100"/>
      <c r="BC62" s="276">
        <f t="shared" si="8"/>
        <v>26770</v>
      </c>
      <c r="BD62" s="786">
        <f t="shared" si="9"/>
        <v>2</v>
      </c>
      <c r="BE62" s="786">
        <f t="shared" si="10"/>
        <v>13385</v>
      </c>
      <c r="BF62" s="38"/>
      <c r="BG62" s="38"/>
      <c r="BH62" s="436"/>
      <c r="BI62" s="38"/>
      <c r="BJ62" s="38"/>
      <c r="BK62" s="38"/>
      <c r="BL62" s="38"/>
      <c r="BM62" s="38"/>
      <c r="BN62" s="38"/>
      <c r="BO62" s="38"/>
      <c r="BP62" s="38"/>
      <c r="BQ62" s="38"/>
      <c r="BR62" s="38"/>
      <c r="BS62" s="38"/>
      <c r="BT62" s="38"/>
      <c r="BU62" s="38"/>
      <c r="BV62" s="38"/>
      <c r="BW62" s="38"/>
      <c r="BX62" s="38"/>
      <c r="BY62" s="38"/>
      <c r="BZ62" s="38"/>
      <c r="CA62" s="38"/>
      <c r="CB62" s="38"/>
      <c r="CC62" s="38"/>
      <c r="CD62" s="38"/>
      <c r="CE62" s="38"/>
      <c r="CF62" s="38"/>
      <c r="CG62" s="38"/>
      <c r="CH62" s="38"/>
      <c r="CI62" s="38"/>
      <c r="CJ62" s="38"/>
      <c r="CK62" s="38"/>
      <c r="CL62" s="38"/>
      <c r="CM62" s="38"/>
      <c r="CN62" s="38"/>
      <c r="CO62" s="38"/>
      <c r="CP62" s="38"/>
      <c r="CQ62" s="38"/>
      <c r="CR62" s="38"/>
      <c r="CS62" s="38"/>
      <c r="CT62" s="38"/>
      <c r="CU62" s="38"/>
      <c r="CV62" s="38"/>
      <c r="CW62" s="38"/>
      <c r="CX62" s="38"/>
      <c r="CY62" s="38"/>
      <c r="CZ62" s="38"/>
      <c r="DA62" s="38"/>
      <c r="DB62" s="38"/>
      <c r="DC62" s="38"/>
      <c r="DD62" s="38"/>
      <c r="DE62" s="38"/>
      <c r="DF62" s="38"/>
      <c r="DG62" s="38"/>
      <c r="DH62" s="38"/>
      <c r="DI62" s="38"/>
      <c r="DJ62" s="38"/>
      <c r="DK62" s="38"/>
      <c r="DL62" s="38"/>
      <c r="DM62" s="38"/>
      <c r="DN62" s="38"/>
      <c r="DO62" s="38"/>
      <c r="DP62" s="38"/>
      <c r="DQ62" s="38"/>
      <c r="DR62" s="38"/>
      <c r="DS62" s="38"/>
      <c r="DT62" s="38"/>
      <c r="DU62" s="38"/>
      <c r="DV62" s="38"/>
      <c r="DW62" s="38"/>
      <c r="DX62" s="38"/>
      <c r="DY62" s="38"/>
      <c r="DZ62" s="38"/>
      <c r="EA62" s="38"/>
      <c r="EB62" s="38"/>
      <c r="EC62" s="38"/>
      <c r="ED62" s="38"/>
      <c r="EE62" s="38"/>
      <c r="EF62" s="38"/>
      <c r="EG62" s="38"/>
      <c r="EH62" s="38"/>
      <c r="EI62" s="38"/>
      <c r="EJ62" s="38"/>
      <c r="EK62" s="38"/>
      <c r="EL62" s="38"/>
      <c r="EM62" s="38"/>
      <c r="EN62" s="38"/>
      <c r="EO62" s="38"/>
      <c r="EP62" s="38"/>
      <c r="EQ62" s="38"/>
      <c r="ER62" s="38"/>
      <c r="ES62" s="38"/>
      <c r="ET62" s="38"/>
      <c r="EU62" s="38"/>
    </row>
    <row r="63" spans="1:151" s="95" customFormat="1" ht="15.75" customHeight="1">
      <c r="A63" s="91">
        <v>51</v>
      </c>
      <c r="B63" s="315">
        <v>521</v>
      </c>
      <c r="C63" s="315" t="s">
        <v>51</v>
      </c>
      <c r="D63" s="1157">
        <v>25</v>
      </c>
      <c r="E63" s="100">
        <v>0</v>
      </c>
      <c r="F63" s="100">
        <f>SUMIF(pro!$A:$A,$V:$V,pro!$N:$N)</f>
        <v>0</v>
      </c>
      <c r="G63" s="100"/>
      <c r="H63" s="100">
        <f>SUMIF(CBIN!$A:$A,BRAN!$V:$V,CBIN!$G:$G)</f>
        <v>0</v>
      </c>
      <c r="I63" s="100">
        <f>SUMIF(data!$D:$D,$B63&amp;$D63,data!$J:$J)</f>
        <v>0</v>
      </c>
      <c r="J63" s="100">
        <f>SUMIF(data!$D:$D,$B63&amp;$D63,data!$K:$K)</f>
        <v>0</v>
      </c>
      <c r="K63" s="100">
        <f>SUMIF(AJOUT!$A:$A,BRAN!$V:$V,AJOUT!$L:$L)</f>
        <v>0</v>
      </c>
      <c r="L63" s="100">
        <f>SUMIF(CBOUT!$A:$A,BRAN!$V:$V,CBOUT!$G:$G)</f>
        <v>0</v>
      </c>
      <c r="M63" s="1158">
        <f t="shared" si="18"/>
        <v>0</v>
      </c>
      <c r="N63" s="652">
        <f t="shared" si="6"/>
        <v>0</v>
      </c>
      <c r="O63" s="1159">
        <f t="shared" si="7"/>
        <v>2775</v>
      </c>
      <c r="P63" s="804"/>
      <c r="Q63" s="804"/>
      <c r="R63" s="100">
        <f>O63/INTGRATE!$N$293</f>
        <v>308.33333333333331</v>
      </c>
      <c r="S63" s="665">
        <f t="shared" si="19"/>
        <v>0</v>
      </c>
      <c r="T63" s="403"/>
      <c r="U63" s="136"/>
      <c r="V63" s="836" t="str">
        <f t="shared" si="20"/>
        <v>52125</v>
      </c>
      <c r="W63" s="823">
        <v>122001</v>
      </c>
      <c r="X63" s="386"/>
      <c r="Y63" s="386">
        <v>0</v>
      </c>
      <c r="Z63" s="100">
        <v>0</v>
      </c>
      <c r="AA63" s="100">
        <v>0</v>
      </c>
      <c r="AB63" s="100">
        <v>0</v>
      </c>
      <c r="AC63" s="100">
        <v>2775</v>
      </c>
      <c r="AD63" s="100">
        <v>0</v>
      </c>
      <c r="AE63" s="100">
        <v>0</v>
      </c>
      <c r="AF63" s="100">
        <v>0</v>
      </c>
      <c r="AG63" s="100"/>
      <c r="AH63" s="100"/>
      <c r="AI63" s="100"/>
      <c r="AJ63" s="100"/>
      <c r="AK63" s="100"/>
      <c r="AL63" s="100"/>
      <c r="AM63" s="100"/>
      <c r="AN63" s="100"/>
      <c r="AO63" s="100"/>
      <c r="AP63" s="100"/>
      <c r="AQ63" s="100"/>
      <c r="AR63" s="100"/>
      <c r="AS63" s="100"/>
      <c r="AT63" s="100"/>
      <c r="AU63" s="100"/>
      <c r="AV63" s="100"/>
      <c r="AW63" s="100"/>
      <c r="AX63" s="230"/>
      <c r="AY63" s="100"/>
      <c r="AZ63" s="100"/>
      <c r="BA63" s="100"/>
      <c r="BB63" s="100"/>
      <c r="BC63" s="276">
        <f t="shared" si="8"/>
        <v>2775</v>
      </c>
      <c r="BD63" s="786">
        <f t="shared" si="9"/>
        <v>1</v>
      </c>
      <c r="BE63" s="786">
        <f t="shared" si="10"/>
        <v>2775</v>
      </c>
      <c r="BF63" s="38"/>
      <c r="BG63" s="38"/>
      <c r="BH63" s="436"/>
      <c r="BI63" s="38"/>
      <c r="BJ63" s="38"/>
      <c r="BK63" s="38"/>
      <c r="BL63" s="38"/>
      <c r="BM63" s="38"/>
      <c r="BN63" s="38"/>
      <c r="BO63" s="38"/>
      <c r="BP63" s="38"/>
      <c r="BQ63" s="38"/>
      <c r="BR63" s="38"/>
      <c r="BS63" s="38"/>
      <c r="BT63" s="38"/>
      <c r="BU63" s="38"/>
      <c r="BV63" s="38"/>
      <c r="BW63" s="38"/>
      <c r="BX63" s="38"/>
      <c r="BY63" s="38"/>
      <c r="BZ63" s="38"/>
      <c r="CA63" s="38"/>
      <c r="CB63" s="38"/>
      <c r="CC63" s="38"/>
      <c r="CD63" s="38"/>
      <c r="CE63" s="38"/>
      <c r="CF63" s="38"/>
      <c r="CG63" s="38"/>
      <c r="CH63" s="38"/>
      <c r="CI63" s="38"/>
      <c r="CJ63" s="38"/>
      <c r="CK63" s="38"/>
      <c r="CL63" s="38"/>
      <c r="CM63" s="38"/>
      <c r="CN63" s="38"/>
      <c r="CO63" s="38"/>
      <c r="CP63" s="38"/>
      <c r="CQ63" s="38"/>
      <c r="CR63" s="38"/>
      <c r="CS63" s="38"/>
      <c r="CT63" s="38"/>
      <c r="CU63" s="38"/>
      <c r="CV63" s="38"/>
      <c r="CW63" s="38"/>
      <c r="CX63" s="38"/>
      <c r="CY63" s="38"/>
      <c r="CZ63" s="38"/>
      <c r="DA63" s="38"/>
      <c r="DB63" s="38"/>
      <c r="DC63" s="38"/>
      <c r="DD63" s="38"/>
      <c r="DE63" s="38"/>
      <c r="DF63" s="38"/>
      <c r="DG63" s="38"/>
      <c r="DH63" s="38"/>
      <c r="DI63" s="38"/>
      <c r="DJ63" s="38"/>
      <c r="DK63" s="38"/>
      <c r="DL63" s="38"/>
      <c r="DM63" s="38"/>
      <c r="DN63" s="38"/>
      <c r="DO63" s="38"/>
      <c r="DP63" s="38"/>
      <c r="DQ63" s="38"/>
      <c r="DR63" s="38"/>
      <c r="DS63" s="38"/>
      <c r="DT63" s="38"/>
      <c r="DU63" s="38"/>
      <c r="DV63" s="38"/>
      <c r="DW63" s="38"/>
      <c r="DX63" s="38"/>
      <c r="DY63" s="38"/>
      <c r="DZ63" s="38"/>
      <c r="EA63" s="38"/>
      <c r="EB63" s="38"/>
      <c r="EC63" s="38"/>
      <c r="ED63" s="38"/>
      <c r="EE63" s="38"/>
      <c r="EF63" s="38"/>
      <c r="EG63" s="38"/>
      <c r="EH63" s="38"/>
      <c r="EI63" s="38"/>
      <c r="EJ63" s="38"/>
      <c r="EK63" s="38"/>
      <c r="EL63" s="38"/>
      <c r="EM63" s="38"/>
      <c r="EN63" s="38"/>
      <c r="EO63" s="38"/>
      <c r="EP63" s="38"/>
      <c r="EQ63" s="38"/>
      <c r="ER63" s="38"/>
      <c r="ES63" s="38"/>
      <c r="ET63" s="38"/>
      <c r="EU63" s="38"/>
    </row>
    <row r="64" spans="1:151" s="95" customFormat="1" ht="15.75" customHeight="1">
      <c r="A64" s="91">
        <v>52</v>
      </c>
      <c r="B64" s="315">
        <v>521</v>
      </c>
      <c r="C64" s="315" t="s">
        <v>51</v>
      </c>
      <c r="D64" s="1157" t="s">
        <v>66</v>
      </c>
      <c r="E64" s="425">
        <v>0</v>
      </c>
      <c r="F64" s="425">
        <f>+J64</f>
        <v>0</v>
      </c>
      <c r="G64" s="425"/>
      <c r="H64" s="100">
        <f>SUMIF(CBIN!$A:$A,BRAN!$V:$V,CBIN!$G:$G)</f>
        <v>0</v>
      </c>
      <c r="I64" s="100">
        <f>SUMIF(data!$D:$D,$B64&amp;$D64,data!$J:$J)</f>
        <v>0</v>
      </c>
      <c r="J64" s="100">
        <f>SUMIF(data!$D:$D,$B64&amp;$D64,data!$K:$K)</f>
        <v>0</v>
      </c>
      <c r="K64" s="100">
        <f>SUMIF(AJOUT!$A:$A,BRAN!$V:$V,AJOUT!$L:$L)</f>
        <v>0</v>
      </c>
      <c r="L64" s="100">
        <f>SUMIF(CBOUT!$A:$A,BRAN!$V:$V,CBOUT!$G:$G)</f>
        <v>0</v>
      </c>
      <c r="M64" s="1158">
        <f>E64+F64+H64-I64-L64+G64-K64</f>
        <v>0</v>
      </c>
      <c r="N64" s="652">
        <f t="shared" si="6"/>
        <v>0</v>
      </c>
      <c r="O64" s="1159">
        <f t="shared" si="7"/>
        <v>0</v>
      </c>
      <c r="P64" s="1171"/>
      <c r="Q64" s="1171"/>
      <c r="R64" s="1172">
        <f>O64/INTGRATE!$N$293</f>
        <v>0</v>
      </c>
      <c r="S64" s="665">
        <f t="shared" si="19"/>
        <v>0</v>
      </c>
      <c r="T64" s="403"/>
      <c r="U64" s="136"/>
      <c r="V64" s="836" t="str">
        <f t="shared" si="20"/>
        <v>521SILO</v>
      </c>
      <c r="W64" s="823">
        <v>122001</v>
      </c>
      <c r="X64" s="386"/>
      <c r="Y64" s="386">
        <v>0</v>
      </c>
      <c r="Z64" s="100">
        <v>0</v>
      </c>
      <c r="AA64" s="100">
        <v>0</v>
      </c>
      <c r="AB64" s="100">
        <v>0</v>
      </c>
      <c r="AC64" s="100">
        <v>0</v>
      </c>
      <c r="AD64" s="100">
        <v>0</v>
      </c>
      <c r="AE64" s="100">
        <v>0</v>
      </c>
      <c r="AF64" s="100">
        <v>0</v>
      </c>
      <c r="AG64" s="100"/>
      <c r="AH64" s="425"/>
      <c r="AI64" s="100"/>
      <c r="AJ64" s="100"/>
      <c r="AK64" s="100"/>
      <c r="AL64" s="100"/>
      <c r="AM64" s="100"/>
      <c r="AN64" s="100"/>
      <c r="AO64" s="425"/>
      <c r="AP64" s="100"/>
      <c r="AQ64" s="425"/>
      <c r="AR64" s="100"/>
      <c r="AS64" s="100"/>
      <c r="AT64" s="100"/>
      <c r="AU64" s="100"/>
      <c r="AV64" s="100"/>
      <c r="AW64" s="100"/>
      <c r="AX64" s="230"/>
      <c r="AY64" s="100"/>
      <c r="AZ64" s="100"/>
      <c r="BA64" s="100"/>
      <c r="BB64" s="100"/>
      <c r="BC64" s="276">
        <f t="shared" si="8"/>
        <v>0</v>
      </c>
      <c r="BD64" s="786">
        <f t="shared" si="9"/>
        <v>0</v>
      </c>
      <c r="BE64" s="786">
        <f t="shared" si="10"/>
        <v>0</v>
      </c>
      <c r="BF64" s="85"/>
      <c r="BG64" s="38"/>
      <c r="BH64" s="436"/>
      <c r="BI64" s="38"/>
      <c r="BJ64" s="38"/>
      <c r="BK64" s="38"/>
      <c r="BL64" s="38"/>
      <c r="BM64" s="38"/>
      <c r="BN64" s="38"/>
      <c r="BO64" s="38"/>
      <c r="BP64" s="38"/>
      <c r="BQ64" s="38"/>
      <c r="BR64" s="38"/>
      <c r="BS64" s="38"/>
      <c r="BT64" s="38"/>
      <c r="BU64" s="38"/>
      <c r="BV64" s="38"/>
      <c r="BW64" s="38"/>
      <c r="BX64" s="38"/>
      <c r="BY64" s="38"/>
      <c r="BZ64" s="38"/>
      <c r="CA64" s="38"/>
      <c r="CB64" s="38"/>
      <c r="CC64" s="38"/>
      <c r="CD64" s="38"/>
      <c r="CE64" s="38"/>
      <c r="CF64" s="38"/>
      <c r="CG64" s="38"/>
      <c r="CH64" s="38"/>
      <c r="CI64" s="38"/>
      <c r="CJ64" s="38"/>
      <c r="CK64" s="38"/>
      <c r="CL64" s="38"/>
      <c r="CM64" s="38"/>
      <c r="CN64" s="38"/>
      <c r="CO64" s="38"/>
      <c r="CP64" s="38"/>
      <c r="CQ64" s="38"/>
      <c r="CR64" s="38"/>
      <c r="CS64" s="38"/>
      <c r="CT64" s="38"/>
      <c r="CU64" s="38"/>
      <c r="CV64" s="38"/>
      <c r="CW64" s="38"/>
      <c r="CX64" s="38"/>
      <c r="CY64" s="38"/>
      <c r="CZ64" s="38"/>
      <c r="DA64" s="38"/>
      <c r="DB64" s="38"/>
      <c r="DC64" s="38"/>
      <c r="DD64" s="38"/>
      <c r="DE64" s="38"/>
      <c r="DF64" s="38"/>
      <c r="DG64" s="38"/>
      <c r="DH64" s="38"/>
      <c r="DI64" s="38"/>
      <c r="DJ64" s="38"/>
      <c r="DK64" s="38"/>
      <c r="DL64" s="38"/>
      <c r="DM64" s="38"/>
      <c r="DN64" s="38"/>
      <c r="DO64" s="38"/>
      <c r="DP64" s="38"/>
      <c r="DQ64" s="38"/>
      <c r="DR64" s="38"/>
      <c r="DS64" s="38"/>
      <c r="DT64" s="38"/>
      <c r="DU64" s="38"/>
      <c r="DV64" s="38"/>
      <c r="DW64" s="38"/>
      <c r="DX64" s="38"/>
      <c r="DY64" s="38"/>
      <c r="DZ64" s="38"/>
      <c r="EA64" s="38"/>
      <c r="EB64" s="38"/>
      <c r="EC64" s="38"/>
      <c r="ED64" s="38"/>
      <c r="EE64" s="38"/>
      <c r="EF64" s="38"/>
      <c r="EG64" s="38"/>
      <c r="EH64" s="38"/>
      <c r="EI64" s="38"/>
      <c r="EJ64" s="38"/>
      <c r="EK64" s="38"/>
      <c r="EL64" s="38"/>
      <c r="EM64" s="38"/>
      <c r="EN64" s="38"/>
      <c r="EO64" s="38"/>
      <c r="EP64" s="38"/>
      <c r="EQ64" s="38"/>
      <c r="ER64" s="38"/>
      <c r="ES64" s="38"/>
      <c r="ET64" s="38"/>
      <c r="EU64" s="38"/>
    </row>
    <row r="65" spans="1:151" s="95" customFormat="1" ht="15.75" customHeight="1">
      <c r="A65" s="91">
        <v>53</v>
      </c>
      <c r="B65" s="315" t="s">
        <v>52</v>
      </c>
      <c r="C65" s="315" t="s">
        <v>51</v>
      </c>
      <c r="D65" s="1157">
        <v>25</v>
      </c>
      <c r="E65" s="91">
        <v>727</v>
      </c>
      <c r="F65" s="100">
        <f>SUMIF(pro!$A:$A,$V:$V,pro!$N:$N)</f>
        <v>0</v>
      </c>
      <c r="G65" s="425"/>
      <c r="H65" s="100">
        <f>SUMIF(CBIN!$A:$A,BRAN!$V:$V,CBIN!$G:$G)</f>
        <v>0</v>
      </c>
      <c r="I65" s="100">
        <f>SUMIF(data!$D:$D,$B65&amp;$D65,data!$J:$J)</f>
        <v>0</v>
      </c>
      <c r="J65" s="100">
        <f>SUMIF(data!$D:$D,$B65&amp;$D65,data!$K:$K)</f>
        <v>0</v>
      </c>
      <c r="K65" s="100">
        <f>SUMIF(AJOUT!$A:$A,BRAN!$V:$V,AJOUT!$L:$L)</f>
        <v>0</v>
      </c>
      <c r="L65" s="100">
        <f>SUMIF(CBOUT!$A:$A,BRAN!$V:$V,CBOUT!$G:$G)</f>
        <v>0</v>
      </c>
      <c r="M65" s="1158">
        <f>E65+F65+H65-I65-L65+G65-K65</f>
        <v>727</v>
      </c>
      <c r="N65" s="652">
        <f t="shared" si="6"/>
        <v>18175</v>
      </c>
      <c r="O65" s="1159">
        <f t="shared" si="7"/>
        <v>3750</v>
      </c>
      <c r="P65" s="1171"/>
      <c r="Q65" s="1171"/>
      <c r="R65" s="1172">
        <f>O65/INTGRATE!$N$293</f>
        <v>416.66666666666669</v>
      </c>
      <c r="S65" s="665">
        <f>IF(R65=0,0,N65/R65)</f>
        <v>43.62</v>
      </c>
      <c r="T65" s="403"/>
      <c r="U65" s="136"/>
      <c r="V65" s="836" t="str">
        <f t="shared" si="20"/>
        <v>521SPro25</v>
      </c>
      <c r="W65" s="823">
        <v>121701</v>
      </c>
      <c r="X65" s="386"/>
      <c r="Y65" s="386">
        <v>0</v>
      </c>
      <c r="Z65" s="100">
        <v>0</v>
      </c>
      <c r="AA65" s="100">
        <v>0</v>
      </c>
      <c r="AB65" s="100">
        <v>0</v>
      </c>
      <c r="AC65" s="100">
        <v>3750</v>
      </c>
      <c r="AD65" s="100">
        <v>0</v>
      </c>
      <c r="AE65" s="100">
        <v>0</v>
      </c>
      <c r="AF65" s="100">
        <v>0</v>
      </c>
      <c r="AG65" s="100"/>
      <c r="AH65" s="425"/>
      <c r="AI65" s="100"/>
      <c r="AJ65" s="100"/>
      <c r="AK65" s="100"/>
      <c r="AL65" s="100"/>
      <c r="AM65" s="100"/>
      <c r="AN65" s="100"/>
      <c r="AO65" s="425"/>
      <c r="AP65" s="100"/>
      <c r="AQ65" s="425"/>
      <c r="AR65" s="100"/>
      <c r="AS65" s="100"/>
      <c r="AT65" s="100"/>
      <c r="AU65" s="100"/>
      <c r="AV65" s="100"/>
      <c r="AW65" s="100"/>
      <c r="AX65" s="230"/>
      <c r="AY65" s="100"/>
      <c r="AZ65" s="100"/>
      <c r="BA65" s="100"/>
      <c r="BB65" s="100"/>
      <c r="BC65" s="276">
        <f t="shared" si="8"/>
        <v>3750</v>
      </c>
      <c r="BD65" s="786">
        <f t="shared" si="9"/>
        <v>1</v>
      </c>
      <c r="BE65" s="786">
        <f t="shared" si="10"/>
        <v>3750</v>
      </c>
      <c r="BF65" s="85"/>
      <c r="BG65" s="38"/>
      <c r="BH65" s="436"/>
      <c r="BI65" s="38"/>
      <c r="BJ65" s="38"/>
      <c r="BK65" s="38"/>
      <c r="BL65" s="38"/>
      <c r="BM65" s="38"/>
      <c r="BN65" s="38"/>
      <c r="BO65" s="38"/>
      <c r="BP65" s="38"/>
      <c r="BQ65" s="38"/>
      <c r="BR65" s="38"/>
      <c r="BS65" s="38"/>
      <c r="BT65" s="38"/>
      <c r="BU65" s="38"/>
      <c r="BV65" s="38"/>
      <c r="BW65" s="38"/>
      <c r="BX65" s="38"/>
      <c r="BY65" s="38"/>
      <c r="BZ65" s="38"/>
      <c r="CA65" s="38"/>
      <c r="CB65" s="38"/>
      <c r="CC65" s="38"/>
      <c r="CD65" s="38"/>
      <c r="CE65" s="38"/>
      <c r="CF65" s="38"/>
      <c r="CG65" s="38"/>
      <c r="CH65" s="38"/>
      <c r="CI65" s="38"/>
      <c r="CJ65" s="38"/>
      <c r="CK65" s="38"/>
      <c r="CL65" s="38"/>
      <c r="CM65" s="38"/>
      <c r="CN65" s="38"/>
      <c r="CO65" s="38"/>
      <c r="CP65" s="38"/>
      <c r="CQ65" s="38"/>
      <c r="CR65" s="38"/>
      <c r="CS65" s="38"/>
      <c r="CT65" s="38"/>
      <c r="CU65" s="38"/>
      <c r="CV65" s="38"/>
      <c r="CW65" s="38"/>
      <c r="CX65" s="38"/>
      <c r="CY65" s="38"/>
      <c r="CZ65" s="38"/>
      <c r="DA65" s="38"/>
      <c r="DB65" s="38"/>
      <c r="DC65" s="38"/>
      <c r="DD65" s="38"/>
      <c r="DE65" s="38"/>
      <c r="DF65" s="38"/>
      <c r="DG65" s="38"/>
      <c r="DH65" s="38"/>
      <c r="DI65" s="38"/>
      <c r="DJ65" s="38"/>
      <c r="DK65" s="38"/>
      <c r="DL65" s="38"/>
      <c r="DM65" s="38"/>
      <c r="DN65" s="38"/>
      <c r="DO65" s="38"/>
      <c r="DP65" s="38"/>
      <c r="DQ65" s="38"/>
      <c r="DR65" s="38"/>
      <c r="DS65" s="38"/>
      <c r="DT65" s="38"/>
      <c r="DU65" s="38"/>
      <c r="DV65" s="38"/>
      <c r="DW65" s="38"/>
      <c r="DX65" s="38"/>
      <c r="DY65" s="38"/>
      <c r="DZ65" s="38"/>
      <c r="EA65" s="38"/>
      <c r="EB65" s="38"/>
      <c r="EC65" s="38"/>
      <c r="ED65" s="38"/>
      <c r="EE65" s="38"/>
      <c r="EF65" s="38"/>
      <c r="EG65" s="38"/>
      <c r="EH65" s="38"/>
      <c r="EI65" s="38"/>
      <c r="EJ65" s="38"/>
      <c r="EK65" s="38"/>
      <c r="EL65" s="38"/>
      <c r="EM65" s="38"/>
      <c r="EN65" s="38"/>
      <c r="EO65" s="38"/>
      <c r="EP65" s="38"/>
      <c r="EQ65" s="38"/>
      <c r="ER65" s="38"/>
      <c r="ES65" s="38"/>
      <c r="ET65" s="38"/>
      <c r="EU65" s="38"/>
    </row>
    <row r="66" spans="1:151" s="95" customFormat="1" ht="15" customHeight="1">
      <c r="A66" s="91">
        <v>54</v>
      </c>
      <c r="B66" s="315" t="s">
        <v>53</v>
      </c>
      <c r="C66" s="315" t="s">
        <v>51</v>
      </c>
      <c r="D66" s="1157">
        <v>25</v>
      </c>
      <c r="E66" s="425">
        <v>0</v>
      </c>
      <c r="F66" s="100">
        <f>SUMIF(pro!$A:$A,$V:$V,pro!$N:$N)</f>
        <v>0</v>
      </c>
      <c r="G66" s="425"/>
      <c r="H66" s="100">
        <f>SUMIF(CBIN!$A:$A,BRAN!$V:$V,CBIN!$G:$G)</f>
        <v>0</v>
      </c>
      <c r="I66" s="100">
        <f>SUMIF(data!$D:$D,$B66&amp;$D66,data!$J:$J)</f>
        <v>0</v>
      </c>
      <c r="J66" s="100">
        <f>SUMIF(data!$D:$D,$B66&amp;$D66,data!$K:$K)</f>
        <v>0</v>
      </c>
      <c r="K66" s="100">
        <f>SUMIF(AJOUT!$A:$A,BRAN!$V:$V,AJOUT!$L:$L)</f>
        <v>0</v>
      </c>
      <c r="L66" s="100">
        <f>SUMIF(CBOUT!$A:$A,BRAN!$V:$V,CBOUT!$G:$G)</f>
        <v>0</v>
      </c>
      <c r="M66" s="1158">
        <f>E66+F66+H66-I66-L66+G66-K66</f>
        <v>0</v>
      </c>
      <c r="N66" s="652">
        <f t="shared" si="6"/>
        <v>0</v>
      </c>
      <c r="O66" s="1159">
        <f t="shared" si="7"/>
        <v>0</v>
      </c>
      <c r="P66" s="1171"/>
      <c r="Q66" s="1171"/>
      <c r="R66" s="1172">
        <f>O66/INTGRATE!$N$293</f>
        <v>0</v>
      </c>
      <c r="S66" s="665">
        <f t="shared" si="19"/>
        <v>0</v>
      </c>
      <c r="T66" s="403"/>
      <c r="U66" s="136"/>
      <c r="V66" s="836" t="str">
        <f t="shared" si="20"/>
        <v>521Pro25</v>
      </c>
      <c r="W66" s="823">
        <v>122721</v>
      </c>
      <c r="X66" s="386"/>
      <c r="Y66" s="386">
        <v>0</v>
      </c>
      <c r="Z66" s="100">
        <v>0</v>
      </c>
      <c r="AA66" s="100">
        <v>0</v>
      </c>
      <c r="AB66" s="100">
        <v>0</v>
      </c>
      <c r="AC66" s="100">
        <v>0</v>
      </c>
      <c r="AD66" s="100">
        <v>0</v>
      </c>
      <c r="AE66" s="100">
        <v>0</v>
      </c>
      <c r="AF66" s="100">
        <v>0</v>
      </c>
      <c r="AG66" s="100"/>
      <c r="AH66" s="425"/>
      <c r="AI66" s="100"/>
      <c r="AJ66" s="100"/>
      <c r="AK66" s="100"/>
      <c r="AL66" s="100"/>
      <c r="AM66" s="100"/>
      <c r="AN66" s="100"/>
      <c r="AO66" s="425"/>
      <c r="AP66" s="100"/>
      <c r="AQ66" s="425"/>
      <c r="AR66" s="100"/>
      <c r="AS66" s="100"/>
      <c r="AT66" s="100"/>
      <c r="AU66" s="100"/>
      <c r="AV66" s="100"/>
      <c r="AW66" s="100"/>
      <c r="AX66" s="230"/>
      <c r="AY66" s="100"/>
      <c r="AZ66" s="100"/>
      <c r="BA66" s="100"/>
      <c r="BB66" s="100"/>
      <c r="BC66" s="276">
        <f t="shared" si="8"/>
        <v>0</v>
      </c>
      <c r="BD66" s="786">
        <f t="shared" si="9"/>
        <v>0</v>
      </c>
      <c r="BE66" s="786">
        <f t="shared" si="10"/>
        <v>0</v>
      </c>
      <c r="BF66" s="85"/>
      <c r="BG66" s="38"/>
      <c r="BH66" s="436"/>
      <c r="BI66" s="38"/>
      <c r="BJ66" s="38"/>
      <c r="BK66" s="38"/>
      <c r="BL66" s="38"/>
      <c r="BM66" s="38"/>
      <c r="BN66" s="38"/>
      <c r="BO66" s="38"/>
      <c r="BP66" s="38"/>
      <c r="BQ66" s="38"/>
      <c r="BR66" s="38"/>
      <c r="BS66" s="38"/>
      <c r="BT66" s="38"/>
      <c r="BU66" s="38"/>
      <c r="BV66" s="38"/>
      <c r="BW66" s="38"/>
      <c r="BX66" s="38"/>
      <c r="BY66" s="38"/>
      <c r="BZ66" s="38"/>
      <c r="CA66" s="38"/>
      <c r="CB66" s="38"/>
      <c r="CC66" s="38"/>
      <c r="CD66" s="38"/>
      <c r="CE66" s="38"/>
      <c r="CF66" s="38"/>
      <c r="CG66" s="38"/>
      <c r="CH66" s="38"/>
      <c r="CI66" s="38"/>
      <c r="CJ66" s="38"/>
      <c r="CK66" s="38"/>
      <c r="CL66" s="38"/>
      <c r="CM66" s="38"/>
      <c r="CN66" s="38"/>
      <c r="CO66" s="38"/>
      <c r="CP66" s="38"/>
      <c r="CQ66" s="38"/>
      <c r="CR66" s="38"/>
      <c r="CS66" s="38"/>
      <c r="CT66" s="38"/>
      <c r="CU66" s="38"/>
      <c r="CV66" s="38"/>
      <c r="CW66" s="38"/>
      <c r="CX66" s="38"/>
      <c r="CY66" s="38"/>
      <c r="CZ66" s="38"/>
      <c r="DA66" s="38"/>
      <c r="DB66" s="38"/>
      <c r="DC66" s="38"/>
      <c r="DD66" s="38"/>
      <c r="DE66" s="38"/>
      <c r="DF66" s="38"/>
      <c r="DG66" s="38"/>
      <c r="DH66" s="38"/>
      <c r="DI66" s="38"/>
      <c r="DJ66" s="38"/>
      <c r="DK66" s="38"/>
      <c r="DL66" s="38"/>
      <c r="DM66" s="38"/>
      <c r="DN66" s="38"/>
      <c r="DO66" s="38"/>
      <c r="DP66" s="38"/>
      <c r="DQ66" s="38"/>
      <c r="DR66" s="38"/>
      <c r="DS66" s="38"/>
      <c r="DT66" s="38"/>
      <c r="DU66" s="38"/>
      <c r="DV66" s="38"/>
      <c r="DW66" s="38"/>
      <c r="DX66" s="38"/>
      <c r="DY66" s="38"/>
      <c r="DZ66" s="38"/>
      <c r="EA66" s="38"/>
      <c r="EB66" s="38"/>
      <c r="EC66" s="38"/>
      <c r="ED66" s="38"/>
      <c r="EE66" s="38"/>
      <c r="EF66" s="38"/>
      <c r="EG66" s="38"/>
      <c r="EH66" s="38"/>
      <c r="EI66" s="38"/>
      <c r="EJ66" s="38"/>
      <c r="EK66" s="38"/>
      <c r="EL66" s="38"/>
      <c r="EM66" s="38"/>
      <c r="EN66" s="38"/>
      <c r="EO66" s="38"/>
      <c r="EP66" s="38"/>
      <c r="EQ66" s="38"/>
      <c r="ER66" s="38"/>
      <c r="ES66" s="38"/>
      <c r="ET66" s="38"/>
      <c r="EU66" s="38"/>
    </row>
    <row r="67" spans="1:151" s="95" customFormat="1" ht="15.75" customHeight="1">
      <c r="A67" s="91">
        <v>55</v>
      </c>
      <c r="B67" s="315" t="s">
        <v>145</v>
      </c>
      <c r="C67" s="315" t="s">
        <v>51</v>
      </c>
      <c r="D67" s="1157" t="s">
        <v>66</v>
      </c>
      <c r="E67" s="1172">
        <v>0</v>
      </c>
      <c r="F67" s="425">
        <f>+J67</f>
        <v>0</v>
      </c>
      <c r="G67" s="425"/>
      <c r="H67" s="100">
        <f>SUMIF(CBIN!$A:$A,BRAN!$V:$V,CBIN!$G:$G)</f>
        <v>0</v>
      </c>
      <c r="I67" s="100">
        <f>SUMIF(data!$D:$D,$B67&amp;$D67,data!$J:$J)</f>
        <v>0</v>
      </c>
      <c r="J67" s="100">
        <f>SUMIF(data!$D:$D,$B67&amp;$D67,data!$K:$K)</f>
        <v>0</v>
      </c>
      <c r="K67" s="100">
        <f>SUMIF(AJOUT!$A:$A,BRAN!$V:$V,AJOUT!$L:$L)</f>
        <v>0</v>
      </c>
      <c r="L67" s="100">
        <f>SUMIF(CBOUT!$A:$A,BRAN!$V:$V,CBOUT!$G:$G)</f>
        <v>0</v>
      </c>
      <c r="M67" s="1158">
        <f>E67+F67+H67-I67-L67+G67-K67</f>
        <v>0</v>
      </c>
      <c r="N67" s="652">
        <f t="shared" si="6"/>
        <v>0</v>
      </c>
      <c r="O67" s="1159">
        <f t="shared" si="7"/>
        <v>0</v>
      </c>
      <c r="P67" s="1171"/>
      <c r="Q67" s="1171"/>
      <c r="R67" s="1172">
        <f>O67/INTGRATE!$N$293</f>
        <v>0</v>
      </c>
      <c r="S67" s="665">
        <f t="shared" si="19"/>
        <v>0</v>
      </c>
      <c r="T67" s="403"/>
      <c r="U67" s="136"/>
      <c r="V67" s="836" t="str">
        <f t="shared" si="20"/>
        <v>522(silo)SILO</v>
      </c>
      <c r="W67" s="823">
        <v>123001</v>
      </c>
      <c r="X67" s="386"/>
      <c r="Y67" s="386">
        <v>0</v>
      </c>
      <c r="Z67" s="100">
        <v>0</v>
      </c>
      <c r="AA67" s="100">
        <v>0</v>
      </c>
      <c r="AB67" s="100">
        <v>0</v>
      </c>
      <c r="AC67" s="100">
        <v>0</v>
      </c>
      <c r="AD67" s="100">
        <v>0</v>
      </c>
      <c r="AE67" s="100">
        <v>0</v>
      </c>
      <c r="AF67" s="100">
        <v>0</v>
      </c>
      <c r="AG67" s="100"/>
      <c r="AH67" s="425"/>
      <c r="AI67" s="100"/>
      <c r="AJ67" s="100"/>
      <c r="AK67" s="100"/>
      <c r="AL67" s="100"/>
      <c r="AM67" s="100"/>
      <c r="AN67" s="100"/>
      <c r="AO67" s="425"/>
      <c r="AP67" s="100"/>
      <c r="AQ67" s="425"/>
      <c r="AR67" s="100"/>
      <c r="AS67" s="100"/>
      <c r="AT67" s="100"/>
      <c r="AU67" s="100"/>
      <c r="AV67" s="100"/>
      <c r="AW67" s="100"/>
      <c r="AX67" s="230"/>
      <c r="AY67" s="100"/>
      <c r="AZ67" s="100"/>
      <c r="BA67" s="100"/>
      <c r="BB67" s="100"/>
      <c r="BC67" s="276">
        <f t="shared" si="8"/>
        <v>0</v>
      </c>
      <c r="BD67" s="786">
        <f t="shared" si="9"/>
        <v>0</v>
      </c>
      <c r="BE67" s="786">
        <f t="shared" si="10"/>
        <v>0</v>
      </c>
      <c r="BF67" s="85"/>
      <c r="BG67" s="38"/>
      <c r="BH67" s="436"/>
      <c r="BI67" s="38"/>
      <c r="BJ67" s="38"/>
      <c r="BK67" s="38"/>
      <c r="BL67" s="38"/>
      <c r="BM67" s="38"/>
      <c r="BN67" s="38"/>
      <c r="BO67" s="38"/>
      <c r="BP67" s="38"/>
      <c r="BQ67" s="38"/>
      <c r="BR67" s="38"/>
      <c r="BS67" s="38"/>
      <c r="BT67" s="38"/>
      <c r="BU67" s="38"/>
      <c r="BV67" s="38"/>
      <c r="BW67" s="38"/>
      <c r="BX67" s="38"/>
      <c r="BY67" s="38"/>
      <c r="BZ67" s="38"/>
      <c r="CA67" s="38"/>
      <c r="CB67" s="38"/>
      <c r="CC67" s="38"/>
      <c r="CD67" s="38"/>
      <c r="CE67" s="38"/>
      <c r="CF67" s="38"/>
      <c r="CG67" s="38"/>
      <c r="CH67" s="38"/>
      <c r="CI67" s="38"/>
      <c r="CJ67" s="38"/>
      <c r="CK67" s="38"/>
      <c r="CL67" s="38"/>
      <c r="CM67" s="38"/>
      <c r="CN67" s="38"/>
      <c r="CO67" s="38"/>
      <c r="CP67" s="38"/>
      <c r="CQ67" s="38"/>
      <c r="CR67" s="38"/>
      <c r="CS67" s="38"/>
      <c r="CT67" s="38"/>
      <c r="CU67" s="38"/>
      <c r="CV67" s="38"/>
      <c r="CW67" s="38"/>
      <c r="CX67" s="38"/>
      <c r="CY67" s="38"/>
      <c r="CZ67" s="38"/>
      <c r="DA67" s="38"/>
      <c r="DB67" s="38"/>
      <c r="DC67" s="38"/>
      <c r="DD67" s="38"/>
      <c r="DE67" s="38"/>
      <c r="DF67" s="38"/>
      <c r="DG67" s="38"/>
      <c r="DH67" s="38"/>
      <c r="DI67" s="38"/>
      <c r="DJ67" s="38"/>
      <c r="DK67" s="38"/>
      <c r="DL67" s="38"/>
      <c r="DM67" s="38"/>
      <c r="DN67" s="38"/>
      <c r="DO67" s="38"/>
      <c r="DP67" s="38"/>
      <c r="DQ67" s="38"/>
      <c r="DR67" s="38"/>
      <c r="DS67" s="38"/>
      <c r="DT67" s="38"/>
      <c r="DU67" s="38"/>
      <c r="DV67" s="38"/>
      <c r="DW67" s="38"/>
      <c r="DX67" s="38"/>
      <c r="DY67" s="38"/>
      <c r="DZ67" s="38"/>
      <c r="EA67" s="38"/>
      <c r="EB67" s="38"/>
      <c r="EC67" s="38"/>
      <c r="ED67" s="38"/>
      <c r="EE67" s="38"/>
      <c r="EF67" s="38"/>
      <c r="EG67" s="38"/>
      <c r="EH67" s="38"/>
      <c r="EI67" s="38"/>
      <c r="EJ67" s="38"/>
      <c r="EK67" s="38"/>
      <c r="EL67" s="38"/>
      <c r="EM67" s="38"/>
      <c r="EN67" s="38"/>
      <c r="EO67" s="38"/>
      <c r="EP67" s="38"/>
      <c r="EQ67" s="38"/>
      <c r="ER67" s="38"/>
      <c r="ES67" s="38"/>
      <c r="ET67" s="38"/>
      <c r="EU67" s="38"/>
    </row>
    <row r="68" spans="1:151" s="95" customFormat="1" ht="15.75" customHeight="1">
      <c r="A68" s="91">
        <v>56</v>
      </c>
      <c r="B68" s="315">
        <v>522</v>
      </c>
      <c r="C68" s="555" t="s">
        <v>51</v>
      </c>
      <c r="D68" s="1157">
        <v>25</v>
      </c>
      <c r="E68" s="561">
        <v>0</v>
      </c>
      <c r="F68" s="100">
        <f>SUMIF(pro!$A:$A,$V:$V,pro!$N:$N)</f>
        <v>0</v>
      </c>
      <c r="G68" s="425"/>
      <c r="H68" s="100">
        <f>SUMIF(CBIN!$A:$A,BRAN!$V:$V,CBIN!$G:$G)</f>
        <v>0</v>
      </c>
      <c r="I68" s="100">
        <f>SUMIF(data!$D:$D,$B68&amp;$D68,data!$J:$J)</f>
        <v>0</v>
      </c>
      <c r="J68" s="100">
        <f>SUMIF(data!$D:$D,$B68&amp;$D68,data!$K:$K)</f>
        <v>0</v>
      </c>
      <c r="K68" s="100">
        <f>SUMIF(AJOUT!$A:$A,BRAN!$V:$V,AJOUT!$L:$L)</f>
        <v>0</v>
      </c>
      <c r="L68" s="100">
        <f>SUMIF(CBOUT!$A:$A,BRAN!$V:$V,CBOUT!$G:$G)</f>
        <v>0</v>
      </c>
      <c r="M68" s="1158">
        <f t="shared" ref="M68:M83" si="21">E68+F68+H68-I68-L68+G68-K68</f>
        <v>0</v>
      </c>
      <c r="N68" s="652">
        <f t="shared" si="6"/>
        <v>0</v>
      </c>
      <c r="O68" s="1159">
        <f t="shared" si="7"/>
        <v>0</v>
      </c>
      <c r="P68" s="804"/>
      <c r="Q68" s="804"/>
      <c r="R68" s="100">
        <f>O68/INTGRATE!$N$293</f>
        <v>0</v>
      </c>
      <c r="S68" s="665">
        <f t="shared" si="19"/>
        <v>0</v>
      </c>
      <c r="T68" s="403"/>
      <c r="U68" s="136"/>
      <c r="V68" s="836" t="str">
        <f t="shared" si="20"/>
        <v>52225</v>
      </c>
      <c r="W68" s="823">
        <v>123001</v>
      </c>
      <c r="X68" s="386"/>
      <c r="Y68" s="386">
        <v>0</v>
      </c>
      <c r="Z68" s="100">
        <v>0</v>
      </c>
      <c r="AA68" s="100">
        <v>0</v>
      </c>
      <c r="AB68" s="100">
        <v>0</v>
      </c>
      <c r="AC68" s="100">
        <v>0</v>
      </c>
      <c r="AD68" s="100">
        <v>0</v>
      </c>
      <c r="AE68" s="100">
        <v>0</v>
      </c>
      <c r="AF68" s="100">
        <v>0</v>
      </c>
      <c r="AG68" s="100"/>
      <c r="AH68" s="100"/>
      <c r="AI68" s="100"/>
      <c r="AJ68" s="100"/>
      <c r="AK68" s="100"/>
      <c r="AL68" s="100"/>
      <c r="AM68" s="100"/>
      <c r="AN68" s="100"/>
      <c r="AO68" s="100"/>
      <c r="AP68" s="100"/>
      <c r="AQ68" s="100"/>
      <c r="AR68" s="100"/>
      <c r="AS68" s="100"/>
      <c r="AT68" s="100"/>
      <c r="AU68" s="100"/>
      <c r="AV68" s="100"/>
      <c r="AW68" s="100"/>
      <c r="AX68" s="230"/>
      <c r="AY68" s="100"/>
      <c r="AZ68" s="100"/>
      <c r="BA68" s="100"/>
      <c r="BB68" s="100"/>
      <c r="BC68" s="276">
        <f t="shared" si="8"/>
        <v>0</v>
      </c>
      <c r="BD68" s="786">
        <f t="shared" si="9"/>
        <v>0</v>
      </c>
      <c r="BE68" s="786">
        <f t="shared" si="10"/>
        <v>0</v>
      </c>
      <c r="BF68" s="85"/>
      <c r="BG68" s="38"/>
      <c r="BH68" s="436"/>
      <c r="BI68" s="38"/>
      <c r="BJ68" s="38"/>
      <c r="BK68" s="38"/>
      <c r="BL68" s="38"/>
      <c r="BM68" s="38"/>
      <c r="BN68" s="38"/>
      <c r="BO68" s="38"/>
      <c r="BP68" s="38"/>
      <c r="BQ68" s="38"/>
      <c r="BR68" s="38"/>
      <c r="BS68" s="38"/>
      <c r="BT68" s="38"/>
      <c r="BU68" s="38"/>
      <c r="BV68" s="38"/>
      <c r="BW68" s="38"/>
      <c r="BX68" s="38"/>
      <c r="BY68" s="38"/>
      <c r="BZ68" s="38"/>
      <c r="CA68" s="38"/>
      <c r="CB68" s="38"/>
      <c r="CC68" s="38"/>
      <c r="CD68" s="38"/>
      <c r="CE68" s="38"/>
      <c r="CF68" s="38"/>
      <c r="CG68" s="38"/>
      <c r="CH68" s="38"/>
      <c r="CI68" s="38"/>
      <c r="CJ68" s="38"/>
      <c r="CK68" s="38"/>
      <c r="CL68" s="38"/>
      <c r="CM68" s="38"/>
      <c r="CN68" s="38"/>
      <c r="CO68" s="38"/>
      <c r="CP68" s="38"/>
      <c r="CQ68" s="38"/>
      <c r="CR68" s="38"/>
      <c r="CS68" s="38"/>
      <c r="CT68" s="38"/>
      <c r="CU68" s="38"/>
      <c r="CV68" s="38"/>
      <c r="CW68" s="38"/>
      <c r="CX68" s="38"/>
      <c r="CY68" s="38"/>
      <c r="CZ68" s="38"/>
      <c r="DA68" s="38"/>
      <c r="DB68" s="38"/>
      <c r="DC68" s="38"/>
      <c r="DD68" s="38"/>
      <c r="DE68" s="38"/>
      <c r="DF68" s="38"/>
      <c r="DG68" s="38"/>
      <c r="DH68" s="38"/>
      <c r="DI68" s="38"/>
      <c r="DJ68" s="38"/>
      <c r="DK68" s="38"/>
      <c r="DL68" s="38"/>
      <c r="DM68" s="38"/>
      <c r="DN68" s="38"/>
      <c r="DO68" s="38"/>
      <c r="DP68" s="38"/>
      <c r="DQ68" s="38"/>
      <c r="DR68" s="38"/>
      <c r="DS68" s="38"/>
      <c r="DT68" s="38"/>
      <c r="DU68" s="38"/>
      <c r="DV68" s="38"/>
      <c r="DW68" s="38"/>
      <c r="DX68" s="38"/>
      <c r="DY68" s="38"/>
      <c r="DZ68" s="38"/>
      <c r="EA68" s="38"/>
      <c r="EB68" s="38"/>
      <c r="EC68" s="38"/>
      <c r="ED68" s="38"/>
      <c r="EE68" s="38"/>
      <c r="EF68" s="38"/>
      <c r="EG68" s="38"/>
      <c r="EH68" s="38"/>
      <c r="EI68" s="38"/>
      <c r="EJ68" s="38"/>
      <c r="EK68" s="38"/>
      <c r="EL68" s="38"/>
      <c r="EM68" s="38"/>
      <c r="EN68" s="38"/>
      <c r="EO68" s="38"/>
      <c r="EP68" s="38"/>
      <c r="EQ68" s="38"/>
      <c r="ER68" s="38"/>
      <c r="ES68" s="38"/>
      <c r="ET68" s="38"/>
      <c r="EU68" s="38"/>
    </row>
    <row r="69" spans="1:151" s="95" customFormat="1" ht="15.75" customHeight="1">
      <c r="A69" s="91">
        <v>57</v>
      </c>
      <c r="B69" s="315" t="s">
        <v>50</v>
      </c>
      <c r="C69" s="555" t="s">
        <v>51</v>
      </c>
      <c r="D69" s="1157">
        <v>25</v>
      </c>
      <c r="E69" s="561">
        <v>0</v>
      </c>
      <c r="F69" s="100">
        <f>SUMIF(pro!$A:$A,$V:$V,pro!$N:$N)</f>
        <v>0</v>
      </c>
      <c r="G69" s="425"/>
      <c r="H69" s="100">
        <f>SUMIF(CBIN!$A:$A,BRAN!$V:$V,CBIN!$G:$G)</f>
        <v>0</v>
      </c>
      <c r="I69" s="100">
        <f>SUMIF(data!$D:$D,$B69&amp;$D69,data!$J:$J)</f>
        <v>0</v>
      </c>
      <c r="J69" s="100">
        <f>SUMIF(data!$D:$D,$B69&amp;$D69,data!$K:$K)</f>
        <v>0</v>
      </c>
      <c r="K69" s="100">
        <f>SUMIF(AJOUT!$A:$A,BRAN!$V:$V,AJOUT!$L:$L)</f>
        <v>0</v>
      </c>
      <c r="L69" s="100">
        <f>SUMIF(CBOUT!$A:$A,BRAN!$V:$V,CBOUT!$G:$G)</f>
        <v>0</v>
      </c>
      <c r="M69" s="1158">
        <f t="shared" si="21"/>
        <v>0</v>
      </c>
      <c r="N69" s="652">
        <f t="shared" si="6"/>
        <v>0</v>
      </c>
      <c r="O69" s="1159">
        <f t="shared" si="7"/>
        <v>0</v>
      </c>
      <c r="P69" s="804"/>
      <c r="Q69" s="804"/>
      <c r="R69" s="100">
        <f>O69/INTGRATE!$N$293</f>
        <v>0</v>
      </c>
      <c r="S69" s="665">
        <f>IF(R69=0,0,N69/R69)</f>
        <v>0</v>
      </c>
      <c r="T69" s="403"/>
      <c r="U69" s="136"/>
      <c r="V69" s="836" t="str">
        <f t="shared" si="20"/>
        <v>522Pro25</v>
      </c>
      <c r="W69" s="823">
        <v>123701</v>
      </c>
      <c r="X69" s="386"/>
      <c r="Y69" s="386">
        <v>0</v>
      </c>
      <c r="Z69" s="100">
        <v>0</v>
      </c>
      <c r="AA69" s="100">
        <v>0</v>
      </c>
      <c r="AB69" s="100">
        <v>0</v>
      </c>
      <c r="AC69" s="100">
        <v>0</v>
      </c>
      <c r="AD69" s="100">
        <v>0</v>
      </c>
      <c r="AE69" s="100">
        <v>0</v>
      </c>
      <c r="AF69" s="100">
        <v>0</v>
      </c>
      <c r="AG69" s="100"/>
      <c r="AH69" s="100"/>
      <c r="AI69" s="100"/>
      <c r="AJ69" s="100"/>
      <c r="AK69" s="100"/>
      <c r="AL69" s="100"/>
      <c r="AM69" s="100"/>
      <c r="AN69" s="100"/>
      <c r="AO69" s="100"/>
      <c r="AP69" s="100"/>
      <c r="AQ69" s="100"/>
      <c r="AR69" s="100"/>
      <c r="AS69" s="100"/>
      <c r="AT69" s="100"/>
      <c r="AU69" s="100"/>
      <c r="AV69" s="100"/>
      <c r="AW69" s="100"/>
      <c r="AX69" s="230"/>
      <c r="AY69" s="100"/>
      <c r="AZ69" s="100"/>
      <c r="BA69" s="100"/>
      <c r="BB69" s="100"/>
      <c r="BC69" s="276">
        <f t="shared" si="8"/>
        <v>0</v>
      </c>
      <c r="BD69" s="786">
        <f t="shared" si="9"/>
        <v>0</v>
      </c>
      <c r="BE69" s="786">
        <f t="shared" si="10"/>
        <v>0</v>
      </c>
      <c r="BF69" s="85"/>
      <c r="BG69" s="38"/>
      <c r="BH69" s="436"/>
      <c r="BI69" s="38"/>
      <c r="BJ69" s="38"/>
      <c r="BK69" s="38"/>
      <c r="BL69" s="38"/>
      <c r="BM69" s="38"/>
      <c r="BN69" s="38"/>
      <c r="BO69" s="38"/>
      <c r="BP69" s="38"/>
      <c r="BQ69" s="38"/>
      <c r="BR69" s="38"/>
      <c r="BS69" s="38"/>
      <c r="BT69" s="38"/>
      <c r="BU69" s="38"/>
      <c r="BV69" s="38"/>
      <c r="BW69" s="38"/>
      <c r="BX69" s="38"/>
      <c r="BY69" s="38"/>
      <c r="BZ69" s="38"/>
      <c r="CA69" s="38"/>
      <c r="CB69" s="38"/>
      <c r="CC69" s="38"/>
      <c r="CD69" s="38"/>
      <c r="CE69" s="38"/>
      <c r="CF69" s="38"/>
      <c r="CG69" s="38"/>
      <c r="CH69" s="38"/>
      <c r="CI69" s="38"/>
      <c r="CJ69" s="38"/>
      <c r="CK69" s="38"/>
      <c r="CL69" s="38"/>
      <c r="CM69" s="38"/>
      <c r="CN69" s="38"/>
      <c r="CO69" s="38"/>
      <c r="CP69" s="38"/>
      <c r="CQ69" s="38"/>
      <c r="CR69" s="38"/>
      <c r="CS69" s="38"/>
      <c r="CT69" s="38"/>
      <c r="CU69" s="38"/>
      <c r="CV69" s="38"/>
      <c r="CW69" s="38"/>
      <c r="CX69" s="38"/>
      <c r="CY69" s="38"/>
      <c r="CZ69" s="38"/>
      <c r="DA69" s="38"/>
      <c r="DB69" s="38"/>
      <c r="DC69" s="38"/>
      <c r="DD69" s="38"/>
      <c r="DE69" s="38"/>
      <c r="DF69" s="38"/>
      <c r="DG69" s="38"/>
      <c r="DH69" s="38"/>
      <c r="DI69" s="38"/>
      <c r="DJ69" s="38"/>
      <c r="DK69" s="38"/>
      <c r="DL69" s="38"/>
      <c r="DM69" s="38"/>
      <c r="DN69" s="38"/>
      <c r="DO69" s="38"/>
      <c r="DP69" s="38"/>
      <c r="DQ69" s="38"/>
      <c r="DR69" s="38"/>
      <c r="DS69" s="38"/>
      <c r="DT69" s="38"/>
      <c r="DU69" s="38"/>
      <c r="DV69" s="38"/>
      <c r="DW69" s="38"/>
      <c r="DX69" s="38"/>
      <c r="DY69" s="38"/>
      <c r="DZ69" s="38"/>
      <c r="EA69" s="38"/>
      <c r="EB69" s="38"/>
      <c r="EC69" s="38"/>
      <c r="ED69" s="38"/>
      <c r="EE69" s="38"/>
      <c r="EF69" s="38"/>
      <c r="EG69" s="38"/>
      <c r="EH69" s="38"/>
      <c r="EI69" s="38"/>
      <c r="EJ69" s="38"/>
      <c r="EK69" s="38"/>
      <c r="EL69" s="38"/>
      <c r="EM69" s="38"/>
      <c r="EN69" s="38"/>
      <c r="EO69" s="38"/>
      <c r="EP69" s="38"/>
      <c r="EQ69" s="38"/>
      <c r="ER69" s="38"/>
      <c r="ES69" s="38"/>
      <c r="ET69" s="38"/>
      <c r="EU69" s="38"/>
    </row>
    <row r="70" spans="1:151" s="95" customFormat="1" ht="15.75" customHeight="1">
      <c r="A70" s="91">
        <v>58</v>
      </c>
      <c r="B70" s="315" t="s">
        <v>146</v>
      </c>
      <c r="C70" s="555" t="s">
        <v>51</v>
      </c>
      <c r="D70" s="1157" t="s">
        <v>66</v>
      </c>
      <c r="E70" s="561"/>
      <c r="F70" s="100">
        <f>J70</f>
        <v>0</v>
      </c>
      <c r="G70" s="425"/>
      <c r="H70" s="100"/>
      <c r="I70" s="100"/>
      <c r="J70" s="100">
        <f>SUMIF(data!$D:$D,$B70&amp;$D70,data!$K:$K)</f>
        <v>0</v>
      </c>
      <c r="K70" s="100"/>
      <c r="L70" s="100"/>
      <c r="M70" s="1158"/>
      <c r="N70" s="652"/>
      <c r="O70" s="1159">
        <f t="shared" ref="O70" si="22">SUM(X70:BB70)</f>
        <v>0</v>
      </c>
      <c r="P70" s="804"/>
      <c r="Q70" s="804"/>
      <c r="R70" s="100">
        <f>O70/INTGRATE!$N$293</f>
        <v>0</v>
      </c>
      <c r="S70" s="665">
        <f>IF(R70=0,0,N70/R70)</f>
        <v>0</v>
      </c>
      <c r="T70" s="403"/>
      <c r="U70" s="136"/>
      <c r="V70" s="836" t="str">
        <f t="shared" si="20"/>
        <v>522PProSILO</v>
      </c>
      <c r="W70" s="823">
        <v>12370832</v>
      </c>
      <c r="X70" s="386"/>
      <c r="Y70" s="386">
        <v>0</v>
      </c>
      <c r="Z70" s="100">
        <v>0</v>
      </c>
      <c r="AA70" s="100">
        <v>0</v>
      </c>
      <c r="AB70" s="100">
        <v>0</v>
      </c>
      <c r="AC70" s="100">
        <v>0</v>
      </c>
      <c r="AD70" s="100">
        <v>0</v>
      </c>
      <c r="AE70" s="100">
        <v>0</v>
      </c>
      <c r="AF70" s="100">
        <v>0</v>
      </c>
      <c r="AG70" s="100"/>
      <c r="AH70" s="100"/>
      <c r="AI70" s="100"/>
      <c r="AJ70" s="100"/>
      <c r="AK70" s="100"/>
      <c r="AL70" s="100"/>
      <c r="AM70" s="100"/>
      <c r="AN70" s="100"/>
      <c r="AO70" s="100"/>
      <c r="AP70" s="100"/>
      <c r="AQ70" s="100"/>
      <c r="AR70" s="100"/>
      <c r="AS70" s="100"/>
      <c r="AT70" s="100"/>
      <c r="AU70" s="100"/>
      <c r="AV70" s="100"/>
      <c r="AW70" s="100"/>
      <c r="AX70" s="230"/>
      <c r="AY70" s="100"/>
      <c r="AZ70" s="100"/>
      <c r="BA70" s="100"/>
      <c r="BB70" s="100"/>
      <c r="BC70" s="276">
        <f t="shared" si="8"/>
        <v>0</v>
      </c>
      <c r="BD70" s="786">
        <f t="shared" si="9"/>
        <v>0</v>
      </c>
      <c r="BE70" s="786">
        <f t="shared" si="10"/>
        <v>0</v>
      </c>
      <c r="BF70" s="85"/>
      <c r="BG70" s="38"/>
      <c r="BH70" s="436"/>
      <c r="BI70" s="38"/>
      <c r="BJ70" s="38"/>
      <c r="BK70" s="38"/>
      <c r="BL70" s="38"/>
      <c r="BM70" s="38"/>
      <c r="BN70" s="38"/>
      <c r="BO70" s="38"/>
      <c r="BP70" s="38"/>
      <c r="BQ70" s="38"/>
      <c r="BR70" s="38"/>
      <c r="BS70" s="38"/>
      <c r="BT70" s="38"/>
      <c r="BU70" s="38"/>
      <c r="BV70" s="38"/>
      <c r="BW70" s="38"/>
      <c r="BX70" s="38"/>
      <c r="BY70" s="38"/>
      <c r="BZ70" s="38"/>
      <c r="CA70" s="38"/>
      <c r="CB70" s="38"/>
      <c r="CC70" s="38"/>
      <c r="CD70" s="38"/>
      <c r="CE70" s="38"/>
      <c r="CF70" s="38"/>
      <c r="CG70" s="38"/>
      <c r="CH70" s="38"/>
      <c r="CI70" s="38"/>
      <c r="CJ70" s="38"/>
      <c r="CK70" s="38"/>
      <c r="CL70" s="38"/>
      <c r="CM70" s="38"/>
      <c r="CN70" s="38"/>
      <c r="CO70" s="38"/>
      <c r="CP70" s="38"/>
      <c r="CQ70" s="38"/>
      <c r="CR70" s="38"/>
      <c r="CS70" s="38"/>
      <c r="CT70" s="38"/>
      <c r="CU70" s="38"/>
      <c r="CV70" s="38"/>
      <c r="CW70" s="38"/>
      <c r="CX70" s="38"/>
      <c r="CY70" s="38"/>
      <c r="CZ70" s="38"/>
      <c r="DA70" s="38"/>
      <c r="DB70" s="38"/>
      <c r="DC70" s="38"/>
      <c r="DD70" s="38"/>
      <c r="DE70" s="38"/>
      <c r="DF70" s="38"/>
      <c r="DG70" s="38"/>
      <c r="DH70" s="38"/>
      <c r="DI70" s="38"/>
      <c r="DJ70" s="38"/>
      <c r="DK70" s="38"/>
      <c r="DL70" s="38"/>
      <c r="DM70" s="38"/>
      <c r="DN70" s="38"/>
      <c r="DO70" s="38"/>
      <c r="DP70" s="38"/>
      <c r="DQ70" s="38"/>
      <c r="DR70" s="38"/>
      <c r="DS70" s="38"/>
      <c r="DT70" s="38"/>
      <c r="DU70" s="38"/>
      <c r="DV70" s="38"/>
      <c r="DW70" s="38"/>
      <c r="DX70" s="38"/>
      <c r="DY70" s="38"/>
      <c r="DZ70" s="38"/>
      <c r="EA70" s="38"/>
      <c r="EB70" s="38"/>
      <c r="EC70" s="38"/>
      <c r="ED70" s="38"/>
      <c r="EE70" s="38"/>
      <c r="EF70" s="38"/>
      <c r="EG70" s="38"/>
      <c r="EH70" s="38"/>
      <c r="EI70" s="38"/>
      <c r="EJ70" s="38"/>
      <c r="EK70" s="38"/>
      <c r="EL70" s="38"/>
      <c r="EM70" s="38"/>
      <c r="EN70" s="38"/>
      <c r="EO70" s="38"/>
      <c r="EP70" s="38"/>
      <c r="EQ70" s="38"/>
      <c r="ER70" s="38"/>
      <c r="ES70" s="38"/>
      <c r="ET70" s="38"/>
      <c r="EU70" s="38"/>
    </row>
    <row r="71" spans="1:151" s="95" customFormat="1" ht="15.75" customHeight="1">
      <c r="A71" s="91">
        <v>59</v>
      </c>
      <c r="B71" s="315" t="s">
        <v>147</v>
      </c>
      <c r="C71" s="555" t="s">
        <v>51</v>
      </c>
      <c r="D71" s="1157">
        <v>25</v>
      </c>
      <c r="E71" s="561">
        <v>0</v>
      </c>
      <c r="F71" s="100">
        <f>SUMIF(pro!$A:$A,$V:$V,pro!$N:$N)</f>
        <v>0</v>
      </c>
      <c r="G71" s="425"/>
      <c r="H71" s="100">
        <f>SUMIF(CBIN!$A:$A,BRAN!$V:$V,CBIN!$G:$G)</f>
        <v>0</v>
      </c>
      <c r="I71" s="100">
        <f>SUMIF(data!$D:$D,$B71&amp;$D71,data!$J:$J)</f>
        <v>0</v>
      </c>
      <c r="J71" s="100">
        <f>SUMIF(data!$D:$D,$B71&amp;$D71,data!$K:$K)</f>
        <v>0</v>
      </c>
      <c r="K71" s="100">
        <f>SUMIF(AJOUT!$A:$A,BRAN!$V:$V,AJOUT!$L:$L)</f>
        <v>0</v>
      </c>
      <c r="L71" s="100">
        <f>SUMIF(CBOUT!$A:$A,BRAN!$V:$V,CBOUT!$G:$G)</f>
        <v>0</v>
      </c>
      <c r="M71" s="1158">
        <f>E71+F71+H71-I71-L71+G71-K71</f>
        <v>0</v>
      </c>
      <c r="N71" s="652">
        <f t="shared" si="6"/>
        <v>0</v>
      </c>
      <c r="O71" s="1159">
        <f t="shared" si="7"/>
        <v>0</v>
      </c>
      <c r="P71" s="804"/>
      <c r="Q71" s="804"/>
      <c r="R71" s="100">
        <f>O71/INTGRATE!$N$293</f>
        <v>0</v>
      </c>
      <c r="S71" s="665">
        <f>IF(R71=0,0,N71/R71)</f>
        <v>0</v>
      </c>
      <c r="T71" s="403"/>
      <c r="U71" s="136"/>
      <c r="V71" s="836" t="str">
        <f t="shared" si="20"/>
        <v>524P25</v>
      </c>
      <c r="W71" s="823">
        <v>127008</v>
      </c>
      <c r="X71" s="386"/>
      <c r="Y71" s="386">
        <v>0</v>
      </c>
      <c r="Z71" s="100">
        <v>0</v>
      </c>
      <c r="AA71" s="100">
        <v>0</v>
      </c>
      <c r="AB71" s="100">
        <v>0</v>
      </c>
      <c r="AC71" s="100">
        <v>0</v>
      </c>
      <c r="AD71" s="100">
        <v>0</v>
      </c>
      <c r="AE71" s="100">
        <v>0</v>
      </c>
      <c r="AF71" s="100">
        <v>0</v>
      </c>
      <c r="AG71" s="100"/>
      <c r="AH71" s="100"/>
      <c r="AI71" s="100"/>
      <c r="AJ71" s="100"/>
      <c r="AK71" s="100"/>
      <c r="AL71" s="100"/>
      <c r="AM71" s="100"/>
      <c r="AN71" s="100"/>
      <c r="AO71" s="100"/>
      <c r="AP71" s="100"/>
      <c r="AQ71" s="100"/>
      <c r="AR71" s="100"/>
      <c r="AS71" s="100"/>
      <c r="AT71" s="100"/>
      <c r="AU71" s="100"/>
      <c r="AV71" s="100"/>
      <c r="AW71" s="100"/>
      <c r="AX71" s="230"/>
      <c r="AY71" s="100"/>
      <c r="AZ71" s="100"/>
      <c r="BA71" s="100"/>
      <c r="BB71" s="100"/>
      <c r="BC71" s="276">
        <f t="shared" si="8"/>
        <v>0</v>
      </c>
      <c r="BD71" s="786">
        <f t="shared" si="9"/>
        <v>0</v>
      </c>
      <c r="BE71" s="786">
        <f t="shared" si="10"/>
        <v>0</v>
      </c>
      <c r="BF71" s="85"/>
      <c r="BG71" s="38"/>
      <c r="BH71" s="436"/>
      <c r="BI71" s="38"/>
      <c r="BJ71" s="38"/>
      <c r="BK71" s="38"/>
      <c r="BL71" s="38"/>
      <c r="BM71" s="38"/>
      <c r="BN71" s="38"/>
      <c r="BO71" s="38"/>
      <c r="BP71" s="38"/>
      <c r="BQ71" s="38"/>
      <c r="BR71" s="38"/>
      <c r="BS71" s="38"/>
      <c r="BT71" s="38"/>
      <c r="BU71" s="38"/>
      <c r="BV71" s="38"/>
      <c r="BW71" s="38"/>
      <c r="BX71" s="38"/>
      <c r="BY71" s="38"/>
      <c r="BZ71" s="38"/>
      <c r="CA71" s="38"/>
      <c r="CB71" s="38"/>
      <c r="CC71" s="38"/>
      <c r="CD71" s="38"/>
      <c r="CE71" s="38"/>
      <c r="CF71" s="38"/>
      <c r="CG71" s="38"/>
      <c r="CH71" s="38"/>
      <c r="CI71" s="38"/>
      <c r="CJ71" s="38"/>
      <c r="CK71" s="38"/>
      <c r="CL71" s="38"/>
      <c r="CM71" s="38"/>
      <c r="CN71" s="38"/>
      <c r="CO71" s="38"/>
      <c r="CP71" s="38"/>
      <c r="CQ71" s="38"/>
      <c r="CR71" s="38"/>
      <c r="CS71" s="38"/>
      <c r="CT71" s="38"/>
      <c r="CU71" s="38"/>
      <c r="CV71" s="38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  <c r="DL71" s="38"/>
      <c r="DM71" s="38"/>
      <c r="DN71" s="38"/>
      <c r="DO71" s="38"/>
      <c r="DP71" s="38"/>
      <c r="DQ71" s="38"/>
      <c r="DR71" s="38"/>
      <c r="DS71" s="38"/>
      <c r="DT71" s="38"/>
      <c r="DU71" s="38"/>
      <c r="DV71" s="38"/>
      <c r="DW71" s="38"/>
      <c r="DX71" s="38"/>
      <c r="DY71" s="38"/>
      <c r="DZ71" s="38"/>
      <c r="EA71" s="38"/>
      <c r="EB71" s="38"/>
      <c r="EC71" s="38"/>
      <c r="ED71" s="38"/>
      <c r="EE71" s="38"/>
      <c r="EF71" s="38"/>
      <c r="EG71" s="38"/>
      <c r="EH71" s="38"/>
      <c r="EI71" s="38"/>
      <c r="EJ71" s="38"/>
      <c r="EK71" s="38"/>
      <c r="EL71" s="38"/>
      <c r="EM71" s="38"/>
      <c r="EN71" s="38"/>
      <c r="EO71" s="38"/>
      <c r="EP71" s="38"/>
      <c r="EQ71" s="38"/>
      <c r="ER71" s="38"/>
      <c r="ES71" s="38"/>
      <c r="ET71" s="38"/>
      <c r="EU71" s="38"/>
    </row>
    <row r="72" spans="1:151" s="95" customFormat="1" ht="15" customHeight="1">
      <c r="A72" s="91">
        <v>60</v>
      </c>
      <c r="B72" s="315">
        <v>524</v>
      </c>
      <c r="C72" s="315" t="s">
        <v>51</v>
      </c>
      <c r="D72" s="1157">
        <v>25</v>
      </c>
      <c r="E72" s="100">
        <v>500</v>
      </c>
      <c r="F72" s="100">
        <f>SUMIF(pro!$A:$A,$V:$V,pro!$N:$N)</f>
        <v>0</v>
      </c>
      <c r="G72" s="100"/>
      <c r="H72" s="100">
        <f>SUMIF(CBIN!$A:$A,BRAN!$V:$V,CBIN!$G:$G)</f>
        <v>0</v>
      </c>
      <c r="I72" s="100">
        <f>SUMIF(data!$D:$D,$B72&amp;$D72,data!$J:$J)</f>
        <v>0</v>
      </c>
      <c r="J72" s="100">
        <f>SUMIF(data!$D:$D,$B72&amp;$D72,data!$K:$K)</f>
        <v>0</v>
      </c>
      <c r="K72" s="100">
        <f>SUMIF(AJOUT!$A:$A,BRAN!$V:$V,AJOUT!$L:$L)</f>
        <v>0</v>
      </c>
      <c r="L72" s="100">
        <f>SUMIF(CBOUT!$A:$A,BRAN!$V:$V,CBOUT!$G:$G)</f>
        <v>0</v>
      </c>
      <c r="M72" s="1158">
        <f t="shared" si="21"/>
        <v>500</v>
      </c>
      <c r="N72" s="652">
        <f t="shared" si="6"/>
        <v>12500</v>
      </c>
      <c r="O72" s="1159">
        <f t="shared" si="7"/>
        <v>126900</v>
      </c>
      <c r="P72" s="804"/>
      <c r="Q72" s="804"/>
      <c r="R72" s="100">
        <f>O72/INTGRATE!$N$293</f>
        <v>14100</v>
      </c>
      <c r="S72" s="665">
        <f t="shared" si="19"/>
        <v>0.88652482269503541</v>
      </c>
      <c r="T72" s="403"/>
      <c r="U72" s="136"/>
      <c r="V72" s="836" t="str">
        <f t="shared" si="20"/>
        <v>52425</v>
      </c>
      <c r="W72" s="823">
        <v>127001</v>
      </c>
      <c r="X72" s="386"/>
      <c r="Y72" s="386">
        <v>15125</v>
      </c>
      <c r="Z72" s="100">
        <v>7850</v>
      </c>
      <c r="AA72" s="100">
        <v>24175</v>
      </c>
      <c r="AB72" s="100">
        <v>4775</v>
      </c>
      <c r="AC72" s="100">
        <v>29325</v>
      </c>
      <c r="AD72" s="100">
        <v>8250</v>
      </c>
      <c r="AE72" s="100">
        <v>12725</v>
      </c>
      <c r="AF72" s="100">
        <v>24675</v>
      </c>
      <c r="AG72" s="100"/>
      <c r="AH72" s="100"/>
      <c r="AI72" s="100"/>
      <c r="AJ72" s="100"/>
      <c r="AK72" s="100"/>
      <c r="AL72" s="100"/>
      <c r="AM72" s="100"/>
      <c r="AN72" s="100"/>
      <c r="AO72" s="100"/>
      <c r="AP72" s="100"/>
      <c r="AQ72" s="100"/>
      <c r="AR72" s="100"/>
      <c r="AS72" s="100"/>
      <c r="AT72" s="100"/>
      <c r="AU72" s="100"/>
      <c r="AV72" s="100"/>
      <c r="AW72" s="100"/>
      <c r="AX72" s="230"/>
      <c r="AY72" s="100"/>
      <c r="AZ72" s="100"/>
      <c r="BA72" s="100"/>
      <c r="BB72" s="100"/>
      <c r="BC72" s="276">
        <f t="shared" si="8"/>
        <v>126900</v>
      </c>
      <c r="BD72" s="786">
        <f t="shared" si="9"/>
        <v>8</v>
      </c>
      <c r="BE72" s="786">
        <f t="shared" si="10"/>
        <v>15862.5</v>
      </c>
      <c r="BF72" s="85"/>
      <c r="BG72" s="38"/>
      <c r="BH72" s="436"/>
      <c r="BI72" s="38"/>
      <c r="BJ72" s="38"/>
      <c r="BK72" s="38"/>
      <c r="BL72" s="38"/>
      <c r="BM72" s="38"/>
      <c r="BN72" s="38"/>
      <c r="BO72" s="38"/>
      <c r="BP72" s="38"/>
      <c r="BQ72" s="38"/>
      <c r="BR72" s="38"/>
      <c r="BS72" s="38"/>
      <c r="BT72" s="38"/>
      <c r="BU72" s="38"/>
      <c r="BV72" s="38"/>
      <c r="BW72" s="38"/>
      <c r="BX72" s="38"/>
      <c r="BY72" s="38"/>
      <c r="BZ72" s="38"/>
      <c r="CA72" s="38"/>
      <c r="CB72" s="38"/>
      <c r="CC72" s="38"/>
      <c r="CD72" s="38"/>
      <c r="CE72" s="38"/>
      <c r="CF72" s="38"/>
      <c r="CG72" s="38"/>
      <c r="CH72" s="38"/>
      <c r="CI72" s="38"/>
      <c r="CJ72" s="38"/>
      <c r="CK72" s="38"/>
      <c r="CL72" s="38"/>
      <c r="CM72" s="38"/>
      <c r="CN72" s="38"/>
      <c r="CO72" s="38"/>
      <c r="CP72" s="38"/>
      <c r="CQ72" s="38"/>
      <c r="CR72" s="38"/>
      <c r="CS72" s="38"/>
      <c r="CT72" s="38"/>
      <c r="CU72" s="38"/>
      <c r="CV72" s="38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  <c r="DL72" s="38"/>
      <c r="DM72" s="38"/>
      <c r="DN72" s="38"/>
      <c r="DO72" s="38"/>
      <c r="DP72" s="38"/>
      <c r="DQ72" s="38"/>
      <c r="DR72" s="38"/>
      <c r="DS72" s="38"/>
      <c r="DT72" s="38"/>
      <c r="DU72" s="38"/>
      <c r="DV72" s="38"/>
      <c r="DW72" s="38"/>
      <c r="DX72" s="38"/>
      <c r="DY72" s="38"/>
      <c r="DZ72" s="38"/>
      <c r="EA72" s="38"/>
      <c r="EB72" s="38"/>
      <c r="EC72" s="38"/>
      <c r="ED72" s="38"/>
      <c r="EE72" s="38"/>
      <c r="EF72" s="38"/>
      <c r="EG72" s="38"/>
      <c r="EH72" s="38"/>
      <c r="EI72" s="38"/>
      <c r="EJ72" s="38"/>
      <c r="EK72" s="38"/>
      <c r="EL72" s="38"/>
      <c r="EM72" s="38"/>
      <c r="EN72" s="38"/>
      <c r="EO72" s="38"/>
      <c r="EP72" s="38"/>
      <c r="EQ72" s="38"/>
      <c r="ER72" s="38"/>
      <c r="ES72" s="38"/>
      <c r="ET72" s="38"/>
      <c r="EU72" s="38"/>
    </row>
    <row r="73" spans="1:151" s="95" customFormat="1" ht="15" customHeight="1">
      <c r="A73" s="91">
        <v>61</v>
      </c>
      <c r="B73" s="315" t="s">
        <v>148</v>
      </c>
      <c r="C73" s="315" t="s">
        <v>51</v>
      </c>
      <c r="D73" s="1157" t="s">
        <v>66</v>
      </c>
      <c r="E73" s="1172">
        <v>0</v>
      </c>
      <c r="F73" s="425">
        <f>J73</f>
        <v>0</v>
      </c>
      <c r="G73" s="1172"/>
      <c r="H73" s="100">
        <f>SUMIF(CBIN!$A:$A,BRAN!$V:$V,CBIN!$G:$G)</f>
        <v>0</v>
      </c>
      <c r="I73" s="100">
        <f>SUMIF(data!$D:$D,$B73&amp;$D73,data!$J:$J)</f>
        <v>0</v>
      </c>
      <c r="J73" s="100">
        <f>SUMIF(data!$D:$D,$B73&amp;$D73,data!$K:$K)</f>
        <v>0</v>
      </c>
      <c r="K73" s="100">
        <f>SUMIF(AJOUT!$A:$A,BRAN!$V:$V,AJOUT!$L:$L)</f>
        <v>0</v>
      </c>
      <c r="L73" s="100">
        <f>SUMIF(CBOUT!$A:$A,BRAN!$V:$V,CBOUT!$G:$G)</f>
        <v>0</v>
      </c>
      <c r="M73" s="1158">
        <f t="shared" si="21"/>
        <v>0</v>
      </c>
      <c r="N73" s="652">
        <f t="shared" si="6"/>
        <v>0</v>
      </c>
      <c r="O73" s="1159">
        <f t="shared" si="7"/>
        <v>0</v>
      </c>
      <c r="P73" s="1171"/>
      <c r="Q73" s="1171"/>
      <c r="R73" s="1172">
        <f>O73/INTGRATE!$N$293</f>
        <v>0</v>
      </c>
      <c r="S73" s="665">
        <f t="shared" si="19"/>
        <v>0</v>
      </c>
      <c r="T73" s="403"/>
      <c r="U73" s="136"/>
      <c r="V73" s="836" t="str">
        <f t="shared" si="20"/>
        <v>524(silo)SILO</v>
      </c>
      <c r="W73" s="823">
        <v>127001</v>
      </c>
      <c r="X73" s="386"/>
      <c r="Y73" s="386">
        <v>0</v>
      </c>
      <c r="Z73" s="100">
        <v>0</v>
      </c>
      <c r="AA73" s="100">
        <v>0</v>
      </c>
      <c r="AB73" s="100">
        <v>0</v>
      </c>
      <c r="AC73" s="100">
        <v>0</v>
      </c>
      <c r="AD73" s="100">
        <v>0</v>
      </c>
      <c r="AE73" s="100">
        <v>0</v>
      </c>
      <c r="AF73" s="100">
        <v>0</v>
      </c>
      <c r="AG73" s="100"/>
      <c r="AH73" s="100"/>
      <c r="AI73" s="100"/>
      <c r="AJ73" s="100"/>
      <c r="AK73" s="100"/>
      <c r="AL73" s="100"/>
      <c r="AM73" s="100"/>
      <c r="AN73" s="100"/>
      <c r="AO73" s="100"/>
      <c r="AP73" s="100"/>
      <c r="AQ73" s="100"/>
      <c r="AR73" s="100"/>
      <c r="AS73" s="100"/>
      <c r="AT73" s="100"/>
      <c r="AU73" s="100"/>
      <c r="AV73" s="100"/>
      <c r="AW73" s="100"/>
      <c r="AX73" s="230"/>
      <c r="AY73" s="100"/>
      <c r="AZ73" s="100"/>
      <c r="BA73" s="100"/>
      <c r="BB73" s="100"/>
      <c r="BC73" s="276">
        <f t="shared" si="8"/>
        <v>0</v>
      </c>
      <c r="BD73" s="786">
        <f t="shared" si="9"/>
        <v>0</v>
      </c>
      <c r="BE73" s="786">
        <f t="shared" si="10"/>
        <v>0</v>
      </c>
      <c r="BF73" s="38"/>
      <c r="BG73" s="38"/>
      <c r="BH73" s="436"/>
      <c r="BI73" s="38"/>
      <c r="BJ73" s="38"/>
      <c r="BK73" s="38"/>
      <c r="BL73" s="38"/>
      <c r="BM73" s="38"/>
      <c r="BN73" s="38"/>
      <c r="BO73" s="38"/>
      <c r="BP73" s="38"/>
      <c r="BQ73" s="38"/>
      <c r="BR73" s="38"/>
      <c r="BS73" s="38"/>
      <c r="BT73" s="38"/>
      <c r="BU73" s="38"/>
      <c r="BV73" s="38"/>
      <c r="BW73" s="38"/>
      <c r="BX73" s="38"/>
      <c r="BY73" s="38"/>
      <c r="BZ73" s="38"/>
      <c r="CA73" s="38"/>
      <c r="CB73" s="38"/>
      <c r="CC73" s="38"/>
      <c r="CD73" s="38"/>
      <c r="CE73" s="38"/>
      <c r="CF73" s="38"/>
      <c r="CG73" s="38"/>
      <c r="CH73" s="38"/>
      <c r="CI73" s="38"/>
      <c r="CJ73" s="38"/>
      <c r="CK73" s="38"/>
      <c r="CL73" s="38"/>
      <c r="CM73" s="38"/>
      <c r="CN73" s="38"/>
      <c r="CO73" s="38"/>
      <c r="CP73" s="38"/>
      <c r="CQ73" s="38"/>
      <c r="CR73" s="38"/>
      <c r="CS73" s="38"/>
      <c r="CT73" s="38"/>
      <c r="CU73" s="38"/>
      <c r="CV73" s="38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  <c r="DL73" s="38"/>
      <c r="DM73" s="38"/>
      <c r="DN73" s="38"/>
      <c r="DO73" s="38"/>
      <c r="DP73" s="38"/>
      <c r="DQ73" s="38"/>
      <c r="DR73" s="38"/>
      <c r="DS73" s="38"/>
      <c r="DT73" s="38"/>
      <c r="DU73" s="38"/>
      <c r="DV73" s="38"/>
      <c r="DW73" s="38"/>
      <c r="DX73" s="38"/>
      <c r="DY73" s="38"/>
      <c r="DZ73" s="38"/>
      <c r="EA73" s="38"/>
      <c r="EB73" s="38"/>
      <c r="EC73" s="38"/>
      <c r="ED73" s="38"/>
      <c r="EE73" s="38"/>
      <c r="EF73" s="38"/>
      <c r="EG73" s="38"/>
      <c r="EH73" s="38"/>
      <c r="EI73" s="38"/>
      <c r="EJ73" s="38"/>
      <c r="EK73" s="38"/>
      <c r="EL73" s="38"/>
      <c r="EM73" s="38"/>
      <c r="EN73" s="38"/>
      <c r="EO73" s="38"/>
      <c r="EP73" s="38"/>
      <c r="EQ73" s="38"/>
      <c r="ER73" s="38"/>
      <c r="ES73" s="38"/>
      <c r="ET73" s="38"/>
      <c r="EU73" s="38"/>
    </row>
    <row r="74" spans="1:151" s="95" customFormat="1" ht="15" customHeight="1">
      <c r="A74" s="91">
        <v>62</v>
      </c>
      <c r="B74" s="315" t="s">
        <v>149</v>
      </c>
      <c r="C74" s="315" t="s">
        <v>51</v>
      </c>
      <c r="D74" s="1157">
        <v>25</v>
      </c>
      <c r="E74" s="100">
        <v>0</v>
      </c>
      <c r="F74" s="100">
        <f>SUMIF(pro!$A:$A,$V:$V,pro!$N:$N)</f>
        <v>0</v>
      </c>
      <c r="G74" s="100"/>
      <c r="H74" s="100">
        <f>SUMIF(CBIN!$A:$A,BRAN!$V:$V,CBIN!$G:$G)</f>
        <v>0</v>
      </c>
      <c r="I74" s="100">
        <f>SUMIF(data!$D:$D,$B74&amp;$D74,data!$J:$J)</f>
        <v>0</v>
      </c>
      <c r="J74" s="100">
        <f>SUMIF(data!$D:$D,$B74&amp;$D74,data!$K:$K)</f>
        <v>0</v>
      </c>
      <c r="K74" s="100">
        <f>SUMIF(AJOUT!$A:$A,BRAN!$V:$V,AJOUT!$L:$L)</f>
        <v>0</v>
      </c>
      <c r="L74" s="100">
        <f>SUMIF(CBOUT!$A:$A,BRAN!$V:$V,CBOUT!$G:$G)</f>
        <v>0</v>
      </c>
      <c r="M74" s="1158">
        <f t="shared" si="21"/>
        <v>0</v>
      </c>
      <c r="N74" s="652">
        <f t="shared" si="6"/>
        <v>0</v>
      </c>
      <c r="O74" s="1159">
        <f t="shared" si="7"/>
        <v>0</v>
      </c>
      <c r="P74" s="804"/>
      <c r="Q74" s="804"/>
      <c r="R74" s="100">
        <f>O74/INTGRATE!$N$293</f>
        <v>0</v>
      </c>
      <c r="S74" s="665">
        <f t="shared" si="19"/>
        <v>0</v>
      </c>
      <c r="T74" s="403"/>
      <c r="U74" s="136"/>
      <c r="V74" s="836" t="str">
        <f t="shared" si="20"/>
        <v>524A25</v>
      </c>
      <c r="W74" s="823">
        <v>127061</v>
      </c>
      <c r="X74" s="386"/>
      <c r="Y74" s="386">
        <v>0</v>
      </c>
      <c r="Z74" s="100">
        <v>0</v>
      </c>
      <c r="AA74" s="100">
        <v>0</v>
      </c>
      <c r="AB74" s="100">
        <v>0</v>
      </c>
      <c r="AC74" s="100">
        <v>0</v>
      </c>
      <c r="AD74" s="100">
        <v>0</v>
      </c>
      <c r="AE74" s="100">
        <v>0</v>
      </c>
      <c r="AF74" s="100">
        <v>0</v>
      </c>
      <c r="AG74" s="100"/>
      <c r="AH74" s="100"/>
      <c r="AI74" s="100"/>
      <c r="AJ74" s="100"/>
      <c r="AK74" s="100"/>
      <c r="AL74" s="100"/>
      <c r="AM74" s="100"/>
      <c r="AN74" s="100"/>
      <c r="AO74" s="100"/>
      <c r="AP74" s="100"/>
      <c r="AQ74" s="100"/>
      <c r="AR74" s="100"/>
      <c r="AS74" s="100"/>
      <c r="AT74" s="100"/>
      <c r="AU74" s="100"/>
      <c r="AV74" s="100"/>
      <c r="AW74" s="100"/>
      <c r="AX74" s="230"/>
      <c r="AY74" s="100"/>
      <c r="AZ74" s="100"/>
      <c r="BA74" s="100"/>
      <c r="BB74" s="100"/>
      <c r="BC74" s="276">
        <f t="shared" si="8"/>
        <v>0</v>
      </c>
      <c r="BD74" s="786">
        <f t="shared" si="9"/>
        <v>0</v>
      </c>
      <c r="BE74" s="786">
        <f t="shared" si="10"/>
        <v>0</v>
      </c>
      <c r="BF74" s="38"/>
      <c r="BG74" s="38"/>
      <c r="BH74" s="436"/>
      <c r="BI74" s="38"/>
      <c r="BJ74" s="38"/>
      <c r="BK74" s="38"/>
      <c r="BL74" s="38"/>
      <c r="BM74" s="38"/>
      <c r="BN74" s="38"/>
      <c r="BO74" s="38"/>
      <c r="BP74" s="38"/>
      <c r="BQ74" s="38"/>
      <c r="BR74" s="38"/>
      <c r="BS74" s="38"/>
      <c r="BT74" s="38"/>
      <c r="BU74" s="38"/>
      <c r="BV74" s="38"/>
      <c r="BW74" s="38"/>
      <c r="BX74" s="38"/>
      <c r="BY74" s="38"/>
      <c r="BZ74" s="38"/>
      <c r="CA74" s="38"/>
      <c r="CB74" s="38"/>
      <c r="CC74" s="38"/>
      <c r="CD74" s="38"/>
      <c r="CE74" s="38"/>
      <c r="CF74" s="38"/>
      <c r="CG74" s="38"/>
      <c r="CH74" s="38"/>
      <c r="CI74" s="38"/>
      <c r="CJ74" s="38"/>
      <c r="CK74" s="38"/>
      <c r="CL74" s="38"/>
      <c r="CM74" s="38"/>
      <c r="CN74" s="38"/>
      <c r="CO74" s="38"/>
      <c r="CP74" s="38"/>
      <c r="CQ74" s="38"/>
      <c r="CR74" s="38"/>
      <c r="CS74" s="38"/>
      <c r="CT74" s="38"/>
      <c r="CU74" s="38"/>
      <c r="CV74" s="38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  <c r="DL74" s="38"/>
      <c r="DM74" s="38"/>
      <c r="DN74" s="38"/>
      <c r="DO74" s="38"/>
      <c r="DP74" s="38"/>
      <c r="DQ74" s="38"/>
      <c r="DR74" s="38"/>
      <c r="DS74" s="38"/>
      <c r="DT74" s="38"/>
      <c r="DU74" s="38"/>
      <c r="DV74" s="38"/>
      <c r="DW74" s="38"/>
      <c r="DX74" s="38"/>
      <c r="DY74" s="38"/>
      <c r="DZ74" s="38"/>
      <c r="EA74" s="38"/>
      <c r="EB74" s="38"/>
      <c r="EC74" s="38"/>
      <c r="ED74" s="38"/>
      <c r="EE74" s="38"/>
      <c r="EF74" s="38"/>
      <c r="EG74" s="38"/>
      <c r="EH74" s="38"/>
      <c r="EI74" s="38"/>
      <c r="EJ74" s="38"/>
      <c r="EK74" s="38"/>
      <c r="EL74" s="38"/>
      <c r="EM74" s="38"/>
      <c r="EN74" s="38"/>
      <c r="EO74" s="38"/>
      <c r="EP74" s="38"/>
      <c r="EQ74" s="38"/>
      <c r="ER74" s="38"/>
      <c r="ES74" s="38"/>
      <c r="ET74" s="38"/>
      <c r="EU74" s="38"/>
    </row>
    <row r="75" spans="1:151" s="95" customFormat="1" ht="15" customHeight="1">
      <c r="A75" s="91">
        <v>63</v>
      </c>
      <c r="B75" s="96">
        <v>540</v>
      </c>
      <c r="C75" s="96" t="s">
        <v>64</v>
      </c>
      <c r="D75" s="97">
        <v>25</v>
      </c>
      <c r="E75" s="100">
        <v>396</v>
      </c>
      <c r="F75" s="100">
        <f>SUMIF(pro!$A:$A,$V:$V,pro!$N:$N)</f>
        <v>0</v>
      </c>
      <c r="G75" s="100"/>
      <c r="H75" s="100">
        <f>SUMIF(CBIN!$A:$A,BRAN!$V:$V,CBIN!$G:$G)</f>
        <v>0</v>
      </c>
      <c r="I75" s="100">
        <f>SUMIF(data!$D:$D,$B75&amp;$D75,data!$J:$J)</f>
        <v>0</v>
      </c>
      <c r="J75" s="100">
        <f>SUMIF(data!$D:$D,$B75&amp;$D75,data!$K:$K)</f>
        <v>0</v>
      </c>
      <c r="K75" s="100">
        <f>SUMIF(AJOUT!$A:$A,BRAN!$V:$V,AJOUT!$L:$L)</f>
        <v>0</v>
      </c>
      <c r="L75" s="100">
        <f>SUMIF(CBOUT!$A:$A,BRAN!$V:$V,CBOUT!$G:$G)</f>
        <v>0</v>
      </c>
      <c r="M75" s="1158">
        <f t="shared" si="21"/>
        <v>396</v>
      </c>
      <c r="N75" s="652">
        <f t="shared" si="6"/>
        <v>9900</v>
      </c>
      <c r="O75" s="1159">
        <f t="shared" si="7"/>
        <v>8875</v>
      </c>
      <c r="P75" s="804"/>
      <c r="Q75" s="804"/>
      <c r="R75" s="100">
        <f>O75/INTGRATE!$N$293</f>
        <v>986.11111111111109</v>
      </c>
      <c r="S75" s="665">
        <f t="shared" si="19"/>
        <v>10.039436619718311</v>
      </c>
      <c r="T75" s="403"/>
      <c r="U75" s="136"/>
      <c r="V75" s="836" t="str">
        <f t="shared" si="20"/>
        <v>54025</v>
      </c>
      <c r="W75" s="823">
        <v>204101</v>
      </c>
      <c r="X75" s="386"/>
      <c r="Y75" s="386">
        <v>7375</v>
      </c>
      <c r="Z75" s="100">
        <v>0</v>
      </c>
      <c r="AA75" s="100">
        <v>0</v>
      </c>
      <c r="AB75" s="100">
        <v>0</v>
      </c>
      <c r="AC75" s="100">
        <v>0</v>
      </c>
      <c r="AD75" s="100">
        <v>1500</v>
      </c>
      <c r="AE75" s="100">
        <v>0</v>
      </c>
      <c r="AF75" s="100">
        <v>0</v>
      </c>
      <c r="AG75" s="100"/>
      <c r="AH75" s="100"/>
      <c r="AI75" s="100"/>
      <c r="AJ75" s="100"/>
      <c r="AK75" s="100"/>
      <c r="AL75" s="100"/>
      <c r="AM75" s="100"/>
      <c r="AN75" s="100"/>
      <c r="AO75" s="100"/>
      <c r="AP75" s="100"/>
      <c r="AQ75" s="100"/>
      <c r="AR75" s="100"/>
      <c r="AS75" s="100"/>
      <c r="AT75" s="100"/>
      <c r="AU75" s="100"/>
      <c r="AV75" s="100"/>
      <c r="AW75" s="100"/>
      <c r="AX75" s="230"/>
      <c r="AY75" s="100"/>
      <c r="AZ75" s="100"/>
      <c r="BA75" s="100"/>
      <c r="BB75" s="100"/>
      <c r="BC75" s="276">
        <f t="shared" si="8"/>
        <v>8875</v>
      </c>
      <c r="BD75" s="786">
        <f t="shared" si="9"/>
        <v>2</v>
      </c>
      <c r="BE75" s="786">
        <f t="shared" si="10"/>
        <v>4437.5</v>
      </c>
      <c r="BF75" s="38"/>
      <c r="BG75" s="38"/>
      <c r="BH75" s="436"/>
      <c r="BI75" s="38"/>
      <c r="BJ75" s="38"/>
      <c r="BK75" s="38"/>
      <c r="BL75" s="38"/>
      <c r="BM75" s="38"/>
      <c r="BN75" s="38"/>
      <c r="BO75" s="38"/>
      <c r="BP75" s="38"/>
      <c r="BQ75" s="38"/>
      <c r="BR75" s="38"/>
      <c r="BS75" s="38"/>
      <c r="BT75" s="38"/>
      <c r="BU75" s="38"/>
      <c r="BV75" s="38"/>
      <c r="BW75" s="38"/>
      <c r="BX75" s="38"/>
      <c r="BY75" s="38"/>
      <c r="BZ75" s="38"/>
      <c r="CA75" s="38"/>
      <c r="CB75" s="38"/>
      <c r="CC75" s="38"/>
      <c r="CD75" s="38"/>
      <c r="CE75" s="38"/>
      <c r="CF75" s="38"/>
      <c r="CG75" s="38"/>
      <c r="CH75" s="38"/>
      <c r="CI75" s="38"/>
      <c r="CJ75" s="38"/>
      <c r="CK75" s="38"/>
      <c r="CL75" s="38"/>
      <c r="CM75" s="38"/>
      <c r="CN75" s="38"/>
      <c r="CO75" s="38"/>
      <c r="CP75" s="38"/>
      <c r="CQ75" s="38"/>
      <c r="CR75" s="38"/>
      <c r="CS75" s="38"/>
      <c r="CT75" s="38"/>
      <c r="CU75" s="38"/>
      <c r="CV75" s="38"/>
      <c r="CW75" s="38"/>
      <c r="CX75" s="38"/>
      <c r="CY75" s="38"/>
      <c r="CZ75" s="38"/>
      <c r="DA75" s="38"/>
      <c r="DB75" s="38"/>
      <c r="DC75" s="38"/>
      <c r="DD75" s="38"/>
      <c r="DE75" s="38"/>
      <c r="DF75" s="38"/>
      <c r="DG75" s="38"/>
      <c r="DH75" s="38"/>
      <c r="DI75" s="38"/>
      <c r="DJ75" s="38"/>
      <c r="DK75" s="38"/>
      <c r="DL75" s="38"/>
      <c r="DM75" s="38"/>
      <c r="DN75" s="38"/>
      <c r="DO75" s="38"/>
      <c r="DP75" s="38"/>
      <c r="DQ75" s="38"/>
      <c r="DR75" s="38"/>
      <c r="DS75" s="38"/>
      <c r="DT75" s="38"/>
      <c r="DU75" s="38"/>
      <c r="DV75" s="38"/>
      <c r="DW75" s="38"/>
      <c r="DX75" s="38"/>
      <c r="DY75" s="38"/>
      <c r="DZ75" s="38"/>
      <c r="EA75" s="38"/>
      <c r="EB75" s="38"/>
      <c r="EC75" s="38"/>
      <c r="ED75" s="38"/>
      <c r="EE75" s="38"/>
      <c r="EF75" s="38"/>
      <c r="EG75" s="38"/>
      <c r="EH75" s="38"/>
      <c r="EI75" s="38"/>
      <c r="EJ75" s="38"/>
      <c r="EK75" s="38"/>
      <c r="EL75" s="38"/>
      <c r="EM75" s="38"/>
      <c r="EN75" s="38"/>
      <c r="EO75" s="38"/>
      <c r="EP75" s="38"/>
      <c r="EQ75" s="38"/>
      <c r="ER75" s="38"/>
      <c r="ES75" s="38"/>
      <c r="ET75" s="38"/>
      <c r="EU75" s="38"/>
    </row>
    <row r="76" spans="1:151" s="95" customFormat="1" ht="15" customHeight="1">
      <c r="A76" s="91">
        <v>64</v>
      </c>
      <c r="B76" s="96">
        <v>543</v>
      </c>
      <c r="C76" s="96" t="s">
        <v>64</v>
      </c>
      <c r="D76" s="97">
        <v>25</v>
      </c>
      <c r="E76" s="100">
        <v>0</v>
      </c>
      <c r="F76" s="100">
        <f>SUMIF(pro!$A:$A,$V:$V,pro!$N:$N)</f>
        <v>0</v>
      </c>
      <c r="G76" s="100"/>
      <c r="H76" s="100">
        <f>SUMIF(CBIN!$A:$A,BRAN!$V:$V,CBIN!$G:$G)</f>
        <v>0</v>
      </c>
      <c r="I76" s="100">
        <f>SUMIF(data!$D:$D,$B76&amp;$D76,data!$J:$J)</f>
        <v>0</v>
      </c>
      <c r="J76" s="100">
        <f>SUMIF(data!$D:$D,$B76&amp;$D76,data!$K:$K)</f>
        <v>0</v>
      </c>
      <c r="K76" s="100">
        <f>SUMIF(AJOUT!$A:$A,BRAN!$V:$V,AJOUT!$L:$L)</f>
        <v>0</v>
      </c>
      <c r="L76" s="100">
        <f>SUMIF(CBOUT!$A:$A,BRAN!$V:$V,CBOUT!$G:$G)</f>
        <v>0</v>
      </c>
      <c r="M76" s="1158">
        <f t="shared" si="21"/>
        <v>0</v>
      </c>
      <c r="N76" s="652">
        <f t="shared" si="6"/>
        <v>0</v>
      </c>
      <c r="O76" s="1159">
        <f t="shared" si="7"/>
        <v>0</v>
      </c>
      <c r="P76" s="804"/>
      <c r="Q76" s="804"/>
      <c r="R76" s="100">
        <f>O76/INTGRATE!$N$293</f>
        <v>0</v>
      </c>
      <c r="S76" s="665">
        <f t="shared" si="19"/>
        <v>0</v>
      </c>
      <c r="T76" s="403"/>
      <c r="U76" s="136"/>
      <c r="V76" s="836" t="str">
        <f t="shared" si="20"/>
        <v>54325</v>
      </c>
      <c r="W76" s="823">
        <v>226001</v>
      </c>
      <c r="X76" s="386"/>
      <c r="Y76" s="386">
        <v>0</v>
      </c>
      <c r="Z76" s="100">
        <v>0</v>
      </c>
      <c r="AA76" s="100">
        <v>0</v>
      </c>
      <c r="AB76" s="100">
        <v>0</v>
      </c>
      <c r="AC76" s="100">
        <v>0</v>
      </c>
      <c r="AD76" s="100">
        <v>0</v>
      </c>
      <c r="AE76" s="100">
        <v>0</v>
      </c>
      <c r="AF76" s="100">
        <v>0</v>
      </c>
      <c r="AG76" s="100"/>
      <c r="AH76" s="100"/>
      <c r="AI76" s="100"/>
      <c r="AJ76" s="100"/>
      <c r="AK76" s="100"/>
      <c r="AL76" s="100"/>
      <c r="AM76" s="100"/>
      <c r="AN76" s="100"/>
      <c r="AO76" s="100"/>
      <c r="AP76" s="100"/>
      <c r="AQ76" s="100"/>
      <c r="AR76" s="100"/>
      <c r="AS76" s="100"/>
      <c r="AT76" s="100"/>
      <c r="AU76" s="100"/>
      <c r="AV76" s="100"/>
      <c r="AW76" s="100"/>
      <c r="AX76" s="230"/>
      <c r="AY76" s="100"/>
      <c r="AZ76" s="100"/>
      <c r="BA76" s="100"/>
      <c r="BB76" s="100"/>
      <c r="BC76" s="276">
        <f t="shared" si="8"/>
        <v>0</v>
      </c>
      <c r="BD76" s="786">
        <f t="shared" si="9"/>
        <v>0</v>
      </c>
      <c r="BE76" s="786">
        <f t="shared" si="10"/>
        <v>0</v>
      </c>
      <c r="BF76" s="38"/>
      <c r="BG76" s="38"/>
      <c r="BH76" s="436"/>
      <c r="BI76" s="38"/>
      <c r="BJ76" s="38"/>
      <c r="BK76" s="38"/>
      <c r="BL76" s="38"/>
      <c r="BM76" s="38"/>
      <c r="BN76" s="38"/>
      <c r="BO76" s="38"/>
      <c r="BP76" s="38"/>
      <c r="BQ76" s="38"/>
      <c r="BR76" s="38"/>
      <c r="BS76" s="38"/>
      <c r="BT76" s="38"/>
      <c r="BU76" s="38"/>
      <c r="BV76" s="38"/>
      <c r="BW76" s="38"/>
      <c r="BX76" s="38"/>
      <c r="BY76" s="38"/>
      <c r="BZ76" s="38"/>
      <c r="CA76" s="38"/>
      <c r="CB76" s="38"/>
      <c r="CC76" s="38"/>
      <c r="CD76" s="38"/>
      <c r="CE76" s="38"/>
      <c r="CF76" s="38"/>
      <c r="CG76" s="38"/>
      <c r="CH76" s="38"/>
      <c r="CI76" s="38"/>
      <c r="CJ76" s="38"/>
      <c r="CK76" s="38"/>
      <c r="CL76" s="38"/>
      <c r="CM76" s="38"/>
      <c r="CN76" s="38"/>
      <c r="CO76" s="38"/>
      <c r="CP76" s="38"/>
      <c r="CQ76" s="38"/>
      <c r="CR76" s="38"/>
      <c r="CS76" s="38"/>
      <c r="CT76" s="38"/>
      <c r="CU76" s="38"/>
      <c r="CV76" s="38"/>
      <c r="CW76" s="38"/>
      <c r="CX76" s="38"/>
      <c r="CY76" s="38"/>
      <c r="CZ76" s="38"/>
      <c r="DA76" s="38"/>
      <c r="DB76" s="38"/>
      <c r="DC76" s="38"/>
      <c r="DD76" s="38"/>
      <c r="DE76" s="38"/>
      <c r="DF76" s="38"/>
      <c r="DG76" s="38"/>
      <c r="DH76" s="38"/>
      <c r="DI76" s="38"/>
      <c r="DJ76" s="38"/>
      <c r="DK76" s="38"/>
      <c r="DL76" s="38"/>
      <c r="DM76" s="38"/>
      <c r="DN76" s="38"/>
      <c r="DO76" s="38"/>
      <c r="DP76" s="38"/>
      <c r="DQ76" s="38"/>
      <c r="DR76" s="38"/>
      <c r="DS76" s="38"/>
      <c r="DT76" s="38"/>
      <c r="DU76" s="38"/>
      <c r="DV76" s="38"/>
      <c r="DW76" s="38"/>
      <c r="DX76" s="38"/>
      <c r="DY76" s="38"/>
      <c r="DZ76" s="38"/>
      <c r="EA76" s="38"/>
      <c r="EB76" s="38"/>
      <c r="EC76" s="38"/>
      <c r="ED76" s="38"/>
      <c r="EE76" s="38"/>
      <c r="EF76" s="38"/>
      <c r="EG76" s="38"/>
      <c r="EH76" s="38"/>
      <c r="EI76" s="38"/>
      <c r="EJ76" s="38"/>
      <c r="EK76" s="38"/>
      <c r="EL76" s="38"/>
      <c r="EM76" s="38"/>
      <c r="EN76" s="38"/>
      <c r="EO76" s="38"/>
      <c r="EP76" s="38"/>
      <c r="EQ76" s="38"/>
      <c r="ER76" s="38"/>
      <c r="ES76" s="38"/>
      <c r="ET76" s="38"/>
      <c r="EU76" s="38"/>
    </row>
    <row r="77" spans="1:151" s="95" customFormat="1" ht="15" customHeight="1">
      <c r="A77" s="91">
        <v>65</v>
      </c>
      <c r="B77" s="96">
        <v>544</v>
      </c>
      <c r="C77" s="96" t="s">
        <v>64</v>
      </c>
      <c r="D77" s="97">
        <v>25</v>
      </c>
      <c r="E77" s="100">
        <v>408</v>
      </c>
      <c r="F77" s="100">
        <f>SUMIF(pro!$A:$A,$V:$V,pro!$N:$N)</f>
        <v>0</v>
      </c>
      <c r="G77" s="100"/>
      <c r="H77" s="100">
        <f>SUMIF(CBIN!$A:$A,BRAN!$V:$V,CBIN!$G:$G)</f>
        <v>0</v>
      </c>
      <c r="I77" s="100">
        <f>SUMIF(data!$D:$D,$B77&amp;$D77,data!$J:$J)</f>
        <v>0</v>
      </c>
      <c r="J77" s="100">
        <f>SUMIF(data!$D:$D,$B77&amp;$D77,data!$K:$K)</f>
        <v>0</v>
      </c>
      <c r="K77" s="100">
        <f>SUMIF(AJOUT!$A:$A,BRAN!$V:$V,AJOUT!$L:$L)</f>
        <v>0</v>
      </c>
      <c r="L77" s="100">
        <f>SUMIF(CBOUT!$A:$A,BRAN!$V:$V,CBOUT!$G:$G)</f>
        <v>0</v>
      </c>
      <c r="M77" s="1158">
        <f t="shared" si="21"/>
        <v>408</v>
      </c>
      <c r="N77" s="652">
        <f t="shared" si="6"/>
        <v>10200</v>
      </c>
      <c r="O77" s="1159">
        <f t="shared" si="7"/>
        <v>27850</v>
      </c>
      <c r="P77" s="804"/>
      <c r="Q77" s="804"/>
      <c r="R77" s="100">
        <f>O77/INTGRATE!$N$293</f>
        <v>3094.4444444444443</v>
      </c>
      <c r="S77" s="665">
        <f t="shared" si="19"/>
        <v>3.2962298025134653</v>
      </c>
      <c r="T77" s="403"/>
      <c r="U77" s="136"/>
      <c r="V77" s="836" t="str">
        <f t="shared" si="20"/>
        <v>54425</v>
      </c>
      <c r="W77" s="823">
        <v>216201</v>
      </c>
      <c r="X77" s="386"/>
      <c r="Y77" s="386">
        <v>3925</v>
      </c>
      <c r="Z77" s="100">
        <v>2625</v>
      </c>
      <c r="AA77" s="100">
        <v>1225</v>
      </c>
      <c r="AB77" s="100">
        <v>625</v>
      </c>
      <c r="AC77" s="100">
        <v>525</v>
      </c>
      <c r="AD77" s="100">
        <v>9500</v>
      </c>
      <c r="AE77" s="100">
        <v>0</v>
      </c>
      <c r="AF77" s="100">
        <v>9425</v>
      </c>
      <c r="AG77" s="100"/>
      <c r="AH77" s="100"/>
      <c r="AI77" s="100"/>
      <c r="AJ77" s="100"/>
      <c r="AK77" s="100"/>
      <c r="AL77" s="100"/>
      <c r="AM77" s="100"/>
      <c r="AN77" s="100"/>
      <c r="AO77" s="100"/>
      <c r="AP77" s="100"/>
      <c r="AQ77" s="100"/>
      <c r="AR77" s="100"/>
      <c r="AS77" s="100"/>
      <c r="AT77" s="100"/>
      <c r="AU77" s="100"/>
      <c r="AV77" s="100"/>
      <c r="AW77" s="100"/>
      <c r="AX77" s="230"/>
      <c r="AY77" s="100"/>
      <c r="AZ77" s="100"/>
      <c r="BA77" s="100"/>
      <c r="BB77" s="100"/>
      <c r="BC77" s="276">
        <f t="shared" si="8"/>
        <v>27850</v>
      </c>
      <c r="BD77" s="786">
        <f t="shared" si="9"/>
        <v>7</v>
      </c>
      <c r="BE77" s="786">
        <f t="shared" si="10"/>
        <v>3978.5714285714284</v>
      </c>
      <c r="BF77" s="38"/>
      <c r="BG77" s="38"/>
      <c r="BH77" s="436"/>
      <c r="BI77" s="38"/>
      <c r="BJ77" s="38"/>
      <c r="BK77" s="38"/>
      <c r="BL77" s="38"/>
      <c r="BM77" s="38"/>
      <c r="BN77" s="38"/>
      <c r="BO77" s="38"/>
      <c r="BP77" s="38"/>
      <c r="BQ77" s="38"/>
      <c r="BR77" s="38"/>
      <c r="BS77" s="38"/>
      <c r="BT77" s="38"/>
      <c r="BU77" s="38"/>
      <c r="BV77" s="38"/>
      <c r="BW77" s="38"/>
      <c r="BX77" s="38"/>
      <c r="BY77" s="38"/>
      <c r="BZ77" s="38"/>
      <c r="CA77" s="38"/>
      <c r="CB77" s="38"/>
      <c r="CC77" s="38"/>
      <c r="CD77" s="38"/>
      <c r="CE77" s="38"/>
      <c r="CF77" s="38"/>
      <c r="CG77" s="38"/>
      <c r="CH77" s="38"/>
      <c r="CI77" s="38"/>
      <c r="CJ77" s="38"/>
      <c r="CK77" s="38"/>
      <c r="CL77" s="38"/>
      <c r="CM77" s="38"/>
      <c r="CN77" s="38"/>
      <c r="CO77" s="38"/>
      <c r="CP77" s="38"/>
      <c r="CQ77" s="38"/>
      <c r="CR77" s="38"/>
      <c r="CS77" s="38"/>
      <c r="CT77" s="38"/>
      <c r="CU77" s="38"/>
      <c r="CV77" s="38"/>
      <c r="CW77" s="38"/>
      <c r="CX77" s="38"/>
      <c r="CY77" s="38"/>
      <c r="CZ77" s="38"/>
      <c r="DA77" s="38"/>
      <c r="DB77" s="38"/>
      <c r="DC77" s="38"/>
      <c r="DD77" s="38"/>
      <c r="DE77" s="38"/>
      <c r="DF77" s="38"/>
      <c r="DG77" s="38"/>
      <c r="DH77" s="38"/>
      <c r="DI77" s="38"/>
      <c r="DJ77" s="38"/>
      <c r="DK77" s="38"/>
      <c r="DL77" s="38"/>
      <c r="DM77" s="38"/>
      <c r="DN77" s="38"/>
      <c r="DO77" s="38"/>
      <c r="DP77" s="38"/>
      <c r="DQ77" s="38"/>
      <c r="DR77" s="38"/>
      <c r="DS77" s="38"/>
      <c r="DT77" s="38"/>
      <c r="DU77" s="38"/>
      <c r="DV77" s="38"/>
      <c r="DW77" s="38"/>
      <c r="DX77" s="38"/>
      <c r="DY77" s="38"/>
      <c r="DZ77" s="38"/>
      <c r="EA77" s="38"/>
      <c r="EB77" s="38"/>
      <c r="EC77" s="38"/>
      <c r="ED77" s="38"/>
      <c r="EE77" s="38"/>
      <c r="EF77" s="38"/>
      <c r="EG77" s="38"/>
      <c r="EH77" s="38"/>
      <c r="EI77" s="38"/>
      <c r="EJ77" s="38"/>
      <c r="EK77" s="38"/>
      <c r="EL77" s="38"/>
      <c r="EM77" s="38"/>
      <c r="EN77" s="38"/>
      <c r="EO77" s="38"/>
      <c r="EP77" s="38"/>
      <c r="EQ77" s="38"/>
      <c r="ER77" s="38"/>
      <c r="ES77" s="38"/>
      <c r="ET77" s="38"/>
      <c r="EU77" s="38"/>
    </row>
    <row r="78" spans="1:151" s="95" customFormat="1" ht="15" customHeight="1">
      <c r="A78" s="91">
        <v>66</v>
      </c>
      <c r="B78" s="96">
        <v>544</v>
      </c>
      <c r="C78" s="96" t="s">
        <v>64</v>
      </c>
      <c r="D78" s="98">
        <v>40</v>
      </c>
      <c r="E78" s="100">
        <v>0</v>
      </c>
      <c r="F78" s="100">
        <f>SUMIF(pro!$A:$A,$V:$V,pro!$N:$N)</f>
        <v>0</v>
      </c>
      <c r="G78" s="100"/>
      <c r="H78" s="100">
        <f>SUMIF(CBIN!$A:$A,BRAN!$V:$V,CBIN!$G:$G)</f>
        <v>0</v>
      </c>
      <c r="I78" s="100">
        <f>SUMIF(data!$D:$D,$B78&amp;$D78,data!$J:$J)</f>
        <v>0</v>
      </c>
      <c r="J78" s="100">
        <f>SUMIF(data!$D:$D,$B78&amp;$D78,data!$K:$K)</f>
        <v>0</v>
      </c>
      <c r="K78" s="100">
        <f>SUMIF(AJOUT!$A:$A,BRAN!$V:$V,AJOUT!$L:$L)</f>
        <v>0</v>
      </c>
      <c r="L78" s="100">
        <f>SUMIF(CBOUT!$A:$A,BRAN!$V:$V,CBOUT!$G:$G)</f>
        <v>0</v>
      </c>
      <c r="M78" s="1158">
        <f t="shared" si="21"/>
        <v>0</v>
      </c>
      <c r="N78" s="652">
        <f>+M78*D78</f>
        <v>0</v>
      </c>
      <c r="O78" s="1159">
        <f t="shared" si="7"/>
        <v>0</v>
      </c>
      <c r="P78" s="804"/>
      <c r="Q78" s="804"/>
      <c r="R78" s="100">
        <f>O78/INTGRATE!$N$293</f>
        <v>0</v>
      </c>
      <c r="S78" s="665">
        <f t="shared" si="19"/>
        <v>0</v>
      </c>
      <c r="T78" s="530"/>
      <c r="U78" s="136"/>
      <c r="V78" s="836" t="str">
        <f t="shared" si="20"/>
        <v>54440</v>
      </c>
      <c r="W78" s="823">
        <v>216201</v>
      </c>
      <c r="X78" s="386"/>
      <c r="Y78" s="386">
        <v>0</v>
      </c>
      <c r="Z78" s="100">
        <v>0</v>
      </c>
      <c r="AA78" s="100">
        <v>0</v>
      </c>
      <c r="AB78" s="100">
        <v>0</v>
      </c>
      <c r="AC78" s="100">
        <v>0</v>
      </c>
      <c r="AD78" s="100">
        <v>0</v>
      </c>
      <c r="AE78" s="100">
        <v>0</v>
      </c>
      <c r="AF78" s="100">
        <v>0</v>
      </c>
      <c r="AG78" s="100"/>
      <c r="AH78" s="100"/>
      <c r="AI78" s="100"/>
      <c r="AJ78" s="100"/>
      <c r="AK78" s="100"/>
      <c r="AL78" s="100"/>
      <c r="AM78" s="100"/>
      <c r="AN78" s="100"/>
      <c r="AO78" s="100"/>
      <c r="AP78" s="100"/>
      <c r="AQ78" s="100"/>
      <c r="AR78" s="100"/>
      <c r="AS78" s="100"/>
      <c r="AT78" s="100"/>
      <c r="AU78" s="100"/>
      <c r="AV78" s="100"/>
      <c r="AW78" s="100"/>
      <c r="AX78" s="230"/>
      <c r="AY78" s="100"/>
      <c r="AZ78" s="100"/>
      <c r="BA78" s="100"/>
      <c r="BB78" s="100"/>
      <c r="BC78" s="276">
        <f t="shared" si="8"/>
        <v>0</v>
      </c>
      <c r="BD78" s="786">
        <f t="shared" si="9"/>
        <v>0</v>
      </c>
      <c r="BE78" s="786">
        <f t="shared" si="10"/>
        <v>0</v>
      </c>
      <c r="BF78" s="38"/>
      <c r="BG78" s="38"/>
      <c r="BH78" s="436"/>
      <c r="BI78" s="38"/>
      <c r="BJ78" s="38"/>
      <c r="BK78" s="38"/>
      <c r="BL78" s="38"/>
      <c r="BM78" s="38"/>
      <c r="BN78" s="38"/>
      <c r="BO78" s="38"/>
      <c r="BP78" s="38"/>
      <c r="BQ78" s="38"/>
      <c r="BR78" s="38"/>
      <c r="BS78" s="38"/>
      <c r="BT78" s="38"/>
      <c r="BU78" s="38"/>
      <c r="BV78" s="38"/>
      <c r="BW78" s="38"/>
      <c r="BX78" s="38"/>
      <c r="BY78" s="38"/>
      <c r="BZ78" s="38"/>
      <c r="CA78" s="38"/>
      <c r="CB78" s="38"/>
      <c r="CC78" s="38"/>
      <c r="CD78" s="38"/>
      <c r="CE78" s="38"/>
      <c r="CF78" s="38"/>
      <c r="CG78" s="38"/>
      <c r="CH78" s="38"/>
      <c r="CI78" s="38"/>
      <c r="CJ78" s="38"/>
      <c r="CK78" s="38"/>
      <c r="CL78" s="38"/>
      <c r="CM78" s="38"/>
      <c r="CN78" s="38"/>
      <c r="CO78" s="38"/>
      <c r="CP78" s="38"/>
      <c r="CQ78" s="38"/>
      <c r="CR78" s="38"/>
      <c r="CS78" s="38"/>
      <c r="CT78" s="38"/>
      <c r="CU78" s="38"/>
      <c r="CV78" s="38"/>
      <c r="CW78" s="38"/>
      <c r="CX78" s="38"/>
      <c r="CY78" s="38"/>
      <c r="CZ78" s="38"/>
      <c r="DA78" s="38"/>
      <c r="DB78" s="38"/>
      <c r="DC78" s="38"/>
      <c r="DD78" s="38"/>
      <c r="DE78" s="38"/>
      <c r="DF78" s="38"/>
      <c r="DG78" s="38"/>
      <c r="DH78" s="38"/>
      <c r="DI78" s="38"/>
      <c r="DJ78" s="38"/>
      <c r="DK78" s="38"/>
      <c r="DL78" s="38"/>
      <c r="DM78" s="38"/>
      <c r="DN78" s="38"/>
      <c r="DO78" s="38"/>
      <c r="DP78" s="38"/>
      <c r="DQ78" s="38"/>
      <c r="DR78" s="38"/>
      <c r="DS78" s="38"/>
      <c r="DT78" s="38"/>
      <c r="DU78" s="38"/>
      <c r="DV78" s="38"/>
      <c r="DW78" s="38"/>
      <c r="DX78" s="38"/>
      <c r="DY78" s="38"/>
      <c r="DZ78" s="38"/>
      <c r="EA78" s="38"/>
      <c r="EB78" s="38"/>
      <c r="EC78" s="38"/>
      <c r="ED78" s="38"/>
      <c r="EE78" s="38"/>
      <c r="EF78" s="38"/>
      <c r="EG78" s="38"/>
      <c r="EH78" s="38"/>
      <c r="EI78" s="38"/>
      <c r="EJ78" s="38"/>
      <c r="EK78" s="38"/>
      <c r="EL78" s="38"/>
      <c r="EM78" s="38"/>
      <c r="EN78" s="38"/>
      <c r="EO78" s="38"/>
      <c r="EP78" s="38"/>
      <c r="EQ78" s="38"/>
      <c r="ER78" s="38"/>
      <c r="ES78" s="38"/>
      <c r="ET78" s="38"/>
      <c r="EU78" s="38"/>
    </row>
    <row r="79" spans="1:151" s="95" customFormat="1" ht="15" customHeight="1">
      <c r="A79" s="91">
        <v>67</v>
      </c>
      <c r="B79" s="96">
        <v>545</v>
      </c>
      <c r="C79" s="96" t="s">
        <v>64</v>
      </c>
      <c r="D79" s="98">
        <v>25</v>
      </c>
      <c r="E79" s="100">
        <v>0</v>
      </c>
      <c r="F79" s="100">
        <f>SUMIF(pro!$A:$A,$V:$V,pro!$N:$N)</f>
        <v>0</v>
      </c>
      <c r="G79" s="100"/>
      <c r="H79" s="100">
        <f>SUMIF(CBIN!$A:$A,BRAN!$V:$V,CBIN!$G:$G)</f>
        <v>0</v>
      </c>
      <c r="I79" s="100">
        <f>SUMIF(data!$D:$D,$B79&amp;$D79,data!$J:$J)</f>
        <v>0</v>
      </c>
      <c r="J79" s="100">
        <f>SUMIF(data!$D:$D,$B79&amp;$D79,data!$K:$K)</f>
        <v>0</v>
      </c>
      <c r="K79" s="100">
        <f>SUMIF(AJOUT!$A:$A,BRAN!$V:$V,AJOUT!$L:$L)</f>
        <v>0</v>
      </c>
      <c r="L79" s="100">
        <f>SUMIF(CBOUT!$A:$A,BRAN!$V:$V,CBOUT!$G:$G)</f>
        <v>0</v>
      </c>
      <c r="M79" s="1158">
        <f t="shared" si="21"/>
        <v>0</v>
      </c>
      <c r="N79" s="652">
        <f t="shared" si="6"/>
        <v>0</v>
      </c>
      <c r="O79" s="1159">
        <f t="shared" si="7"/>
        <v>0</v>
      </c>
      <c r="P79" s="804"/>
      <c r="Q79" s="804"/>
      <c r="R79" s="100">
        <f>O79/INTGRATE!$N$293</f>
        <v>0</v>
      </c>
      <c r="S79" s="665">
        <f t="shared" si="19"/>
        <v>0</v>
      </c>
      <c r="T79" s="403"/>
      <c r="U79" s="136"/>
      <c r="V79" s="836" t="str">
        <f t="shared" si="20"/>
        <v>54525</v>
      </c>
      <c r="W79" s="823">
        <v>216201</v>
      </c>
      <c r="X79" s="386"/>
      <c r="Y79" s="386">
        <v>0</v>
      </c>
      <c r="Z79" s="100">
        <v>0</v>
      </c>
      <c r="AA79" s="100">
        <v>0</v>
      </c>
      <c r="AB79" s="100">
        <v>0</v>
      </c>
      <c r="AC79" s="100">
        <v>0</v>
      </c>
      <c r="AD79" s="100">
        <v>0</v>
      </c>
      <c r="AE79" s="100">
        <v>0</v>
      </c>
      <c r="AF79" s="100">
        <v>0</v>
      </c>
      <c r="AG79" s="100"/>
      <c r="AH79" s="100"/>
      <c r="AI79" s="100"/>
      <c r="AJ79" s="100"/>
      <c r="AK79" s="100"/>
      <c r="AL79" s="100"/>
      <c r="AM79" s="100"/>
      <c r="AN79" s="100"/>
      <c r="AO79" s="100"/>
      <c r="AP79" s="100"/>
      <c r="AQ79" s="100"/>
      <c r="AR79" s="100"/>
      <c r="AS79" s="100"/>
      <c r="AT79" s="100"/>
      <c r="AU79" s="100"/>
      <c r="AV79" s="100"/>
      <c r="AW79" s="100"/>
      <c r="AX79" s="230"/>
      <c r="AY79" s="100"/>
      <c r="AZ79" s="100"/>
      <c r="BA79" s="100"/>
      <c r="BB79" s="100"/>
      <c r="BC79" s="276">
        <f t="shared" si="8"/>
        <v>0</v>
      </c>
      <c r="BD79" s="786">
        <f t="shared" si="9"/>
        <v>0</v>
      </c>
      <c r="BE79" s="786">
        <f t="shared" si="10"/>
        <v>0</v>
      </c>
      <c r="BF79" s="38"/>
      <c r="BG79" s="38"/>
      <c r="BH79" s="436"/>
      <c r="BI79" s="38"/>
      <c r="BJ79" s="38"/>
      <c r="BK79" s="38"/>
      <c r="BL79" s="38"/>
      <c r="BM79" s="38"/>
      <c r="BN79" s="38"/>
      <c r="BO79" s="38"/>
      <c r="BP79" s="38"/>
      <c r="BQ79" s="38"/>
      <c r="BR79" s="38"/>
      <c r="BS79" s="38"/>
      <c r="BT79" s="38"/>
      <c r="BU79" s="38"/>
      <c r="BV79" s="38"/>
      <c r="BW79" s="38"/>
      <c r="BX79" s="38"/>
      <c r="BY79" s="38"/>
      <c r="BZ79" s="38"/>
      <c r="CA79" s="38"/>
      <c r="CB79" s="38"/>
      <c r="CC79" s="38"/>
      <c r="CD79" s="38"/>
      <c r="CE79" s="38"/>
      <c r="CF79" s="38"/>
      <c r="CG79" s="38"/>
      <c r="CH79" s="38"/>
      <c r="CI79" s="38"/>
      <c r="CJ79" s="38"/>
      <c r="CK79" s="38"/>
      <c r="CL79" s="38"/>
      <c r="CM79" s="38"/>
      <c r="CN79" s="38"/>
      <c r="CO79" s="38"/>
      <c r="CP79" s="38"/>
      <c r="CQ79" s="38"/>
      <c r="CR79" s="38"/>
      <c r="CS79" s="38"/>
      <c r="CT79" s="38"/>
      <c r="CU79" s="38"/>
      <c r="CV79" s="38"/>
      <c r="CW79" s="38"/>
      <c r="CX79" s="38"/>
      <c r="CY79" s="38"/>
      <c r="CZ79" s="38"/>
      <c r="DA79" s="38"/>
      <c r="DB79" s="38"/>
      <c r="DC79" s="38"/>
      <c r="DD79" s="38"/>
      <c r="DE79" s="38"/>
      <c r="DF79" s="38"/>
      <c r="DG79" s="38"/>
      <c r="DH79" s="38"/>
      <c r="DI79" s="38"/>
      <c r="DJ79" s="38"/>
      <c r="DK79" s="38"/>
      <c r="DL79" s="38"/>
      <c r="DM79" s="38"/>
      <c r="DN79" s="38"/>
      <c r="DO79" s="38"/>
      <c r="DP79" s="38"/>
      <c r="DQ79" s="38"/>
      <c r="DR79" s="38"/>
      <c r="DS79" s="38"/>
      <c r="DT79" s="38"/>
      <c r="DU79" s="38"/>
      <c r="DV79" s="38"/>
      <c r="DW79" s="38"/>
      <c r="DX79" s="38"/>
      <c r="DY79" s="38"/>
      <c r="DZ79" s="38"/>
      <c r="EA79" s="38"/>
      <c r="EB79" s="38"/>
      <c r="EC79" s="38"/>
      <c r="ED79" s="38"/>
      <c r="EE79" s="38"/>
      <c r="EF79" s="38"/>
      <c r="EG79" s="38"/>
      <c r="EH79" s="38"/>
      <c r="EI79" s="38"/>
      <c r="EJ79" s="38"/>
      <c r="EK79" s="38"/>
      <c r="EL79" s="38"/>
      <c r="EM79" s="38"/>
      <c r="EN79" s="38"/>
      <c r="EO79" s="38"/>
      <c r="EP79" s="38"/>
      <c r="EQ79" s="38"/>
      <c r="ER79" s="38"/>
      <c r="ES79" s="38"/>
      <c r="ET79" s="38"/>
      <c r="EU79" s="38"/>
    </row>
    <row r="80" spans="1:151" s="95" customFormat="1" ht="15" customHeight="1">
      <c r="A80" s="91">
        <v>68</v>
      </c>
      <c r="B80" s="96">
        <v>545</v>
      </c>
      <c r="C80" s="96" t="s">
        <v>64</v>
      </c>
      <c r="D80" s="98">
        <v>40</v>
      </c>
      <c r="E80" s="100">
        <v>0</v>
      </c>
      <c r="F80" s="100">
        <f>SUMIF(pro!$A:$A,$V:$V,pro!$N:$N)</f>
        <v>0</v>
      </c>
      <c r="G80" s="100"/>
      <c r="H80" s="100">
        <f>SUMIF(CBIN!$A:$A,BRAN!$V:$V,CBIN!$G:$G)</f>
        <v>0</v>
      </c>
      <c r="I80" s="100">
        <f>SUMIF(data!$D:$D,$B80&amp;$D80,data!$J:$J)</f>
        <v>0</v>
      </c>
      <c r="J80" s="100">
        <f>SUMIF(data!$D:$D,$B80&amp;$D80,data!$K:$K)</f>
        <v>0</v>
      </c>
      <c r="K80" s="100">
        <f>SUMIF(AJOUT!$A:$A,BRAN!$V:$V,AJOUT!$L:$L)</f>
        <v>0</v>
      </c>
      <c r="L80" s="100">
        <f>SUMIF(CBOUT!$A:$A,BRAN!$V:$V,CBOUT!$G:$G)</f>
        <v>0</v>
      </c>
      <c r="M80" s="1158">
        <f t="shared" si="21"/>
        <v>0</v>
      </c>
      <c r="N80" s="652">
        <f t="shared" si="6"/>
        <v>0</v>
      </c>
      <c r="O80" s="1159">
        <f t="shared" si="7"/>
        <v>0</v>
      </c>
      <c r="P80" s="804"/>
      <c r="Q80" s="804"/>
      <c r="R80" s="100">
        <f>O80/INTGRATE!$N$293</f>
        <v>0</v>
      </c>
      <c r="S80" s="665">
        <f t="shared" si="19"/>
        <v>0</v>
      </c>
      <c r="T80" s="403"/>
      <c r="U80" s="136"/>
      <c r="V80" s="836" t="str">
        <f t="shared" si="20"/>
        <v>54540</v>
      </c>
      <c r="W80" s="823">
        <v>216251</v>
      </c>
      <c r="X80" s="386"/>
      <c r="Y80" s="386">
        <v>0</v>
      </c>
      <c r="Z80" s="100">
        <v>0</v>
      </c>
      <c r="AA80" s="100">
        <v>0</v>
      </c>
      <c r="AB80" s="100">
        <v>0</v>
      </c>
      <c r="AC80" s="100">
        <v>0</v>
      </c>
      <c r="AD80" s="100">
        <v>0</v>
      </c>
      <c r="AE80" s="100">
        <v>0</v>
      </c>
      <c r="AF80" s="100">
        <v>0</v>
      </c>
      <c r="AG80" s="100"/>
      <c r="AH80" s="100"/>
      <c r="AI80" s="100"/>
      <c r="AJ80" s="100"/>
      <c r="AK80" s="100"/>
      <c r="AL80" s="100"/>
      <c r="AM80" s="100"/>
      <c r="AN80" s="100"/>
      <c r="AO80" s="100"/>
      <c r="AP80" s="100"/>
      <c r="AQ80" s="100"/>
      <c r="AR80" s="100"/>
      <c r="AS80" s="100"/>
      <c r="AT80" s="100"/>
      <c r="AU80" s="100"/>
      <c r="AV80" s="100"/>
      <c r="AW80" s="100"/>
      <c r="AX80" s="230"/>
      <c r="AY80" s="100"/>
      <c r="AZ80" s="100"/>
      <c r="BA80" s="100"/>
      <c r="BB80" s="100"/>
      <c r="BC80" s="276">
        <f t="shared" si="8"/>
        <v>0</v>
      </c>
      <c r="BD80" s="786">
        <f t="shared" si="9"/>
        <v>0</v>
      </c>
      <c r="BE80" s="786">
        <f t="shared" si="10"/>
        <v>0</v>
      </c>
      <c r="BF80" s="38"/>
      <c r="BG80" s="38"/>
      <c r="BH80" s="436"/>
      <c r="BI80" s="38"/>
      <c r="BJ80" s="38"/>
      <c r="BK80" s="38"/>
      <c r="BL80" s="38"/>
      <c r="BM80" s="38"/>
      <c r="BN80" s="38"/>
      <c r="BO80" s="38"/>
      <c r="BP80" s="38"/>
      <c r="BQ80" s="38"/>
      <c r="BR80" s="38"/>
      <c r="BS80" s="38"/>
      <c r="BT80" s="38"/>
      <c r="BU80" s="38"/>
      <c r="BV80" s="38"/>
      <c r="BW80" s="38"/>
      <c r="BX80" s="38"/>
      <c r="BY80" s="38"/>
      <c r="BZ80" s="38"/>
      <c r="CA80" s="38"/>
      <c r="CB80" s="38"/>
      <c r="CC80" s="38"/>
      <c r="CD80" s="38"/>
      <c r="CE80" s="38"/>
      <c r="CF80" s="38"/>
      <c r="CG80" s="38"/>
      <c r="CH80" s="38"/>
      <c r="CI80" s="38"/>
      <c r="CJ80" s="38"/>
      <c r="CK80" s="38"/>
      <c r="CL80" s="38"/>
      <c r="CM80" s="38"/>
      <c r="CN80" s="38"/>
      <c r="CO80" s="38"/>
      <c r="CP80" s="38"/>
      <c r="CQ80" s="38"/>
      <c r="CR80" s="38"/>
      <c r="CS80" s="38"/>
      <c r="CT80" s="38"/>
      <c r="CU80" s="38"/>
      <c r="CV80" s="38"/>
      <c r="CW80" s="38"/>
      <c r="CX80" s="38"/>
      <c r="CY80" s="38"/>
      <c r="CZ80" s="38"/>
      <c r="DA80" s="38"/>
      <c r="DB80" s="38"/>
      <c r="DC80" s="38"/>
      <c r="DD80" s="38"/>
      <c r="DE80" s="38"/>
      <c r="DF80" s="38"/>
      <c r="DG80" s="38"/>
      <c r="DH80" s="38"/>
      <c r="DI80" s="38"/>
      <c r="DJ80" s="38"/>
      <c r="DK80" s="38"/>
      <c r="DL80" s="38"/>
      <c r="DM80" s="38"/>
      <c r="DN80" s="38"/>
      <c r="DO80" s="38"/>
      <c r="DP80" s="38"/>
      <c r="DQ80" s="38"/>
      <c r="DR80" s="38"/>
      <c r="DS80" s="38"/>
      <c r="DT80" s="38"/>
      <c r="DU80" s="38"/>
      <c r="DV80" s="38"/>
      <c r="DW80" s="38"/>
      <c r="DX80" s="38"/>
      <c r="DY80" s="38"/>
      <c r="DZ80" s="38"/>
      <c r="EA80" s="38"/>
      <c r="EB80" s="38"/>
      <c r="EC80" s="38"/>
      <c r="ED80" s="38"/>
      <c r="EE80" s="38"/>
      <c r="EF80" s="38"/>
      <c r="EG80" s="38"/>
      <c r="EH80" s="38"/>
      <c r="EI80" s="38"/>
      <c r="EJ80" s="38"/>
      <c r="EK80" s="38"/>
      <c r="EL80" s="38"/>
      <c r="EM80" s="38"/>
      <c r="EN80" s="38"/>
      <c r="EO80" s="38"/>
      <c r="EP80" s="38"/>
      <c r="EQ80" s="38"/>
      <c r="ER80" s="38"/>
      <c r="ES80" s="38"/>
      <c r="ET80" s="38"/>
      <c r="EU80" s="38"/>
    </row>
    <row r="81" spans="1:151" s="95" customFormat="1" ht="15" customHeight="1">
      <c r="A81" s="91">
        <v>69</v>
      </c>
      <c r="B81" s="96">
        <v>548</v>
      </c>
      <c r="C81" s="1173" t="s">
        <v>55</v>
      </c>
      <c r="D81" s="97">
        <v>25</v>
      </c>
      <c r="E81" s="100">
        <v>153</v>
      </c>
      <c r="F81" s="100">
        <f>SUMIF(pro!$A:$A,$V:$V,pro!$N:$N)</f>
        <v>0</v>
      </c>
      <c r="G81" s="100"/>
      <c r="H81" s="100">
        <f>SUMIF(CBIN!$A:$A,BRAN!$V:$V,CBIN!$G:$G)</f>
        <v>0</v>
      </c>
      <c r="I81" s="100">
        <f>SUMIF(data!$D:$D,$B81&amp;$D81,data!$J:$J)</f>
        <v>0</v>
      </c>
      <c r="J81" s="100">
        <f>SUMIF(data!$D:$D,$B81&amp;$D81,data!$K:$K)</f>
        <v>0</v>
      </c>
      <c r="K81" s="100">
        <f>SUMIF(AJOUT!$A:$A,BRAN!$V:$V,AJOUT!$L:$L)</f>
        <v>0</v>
      </c>
      <c r="L81" s="100">
        <f>SUMIF(CBOUT!$A:$A,BRAN!$V:$V,CBOUT!$G:$G)</f>
        <v>0</v>
      </c>
      <c r="M81" s="1158">
        <f t="shared" si="21"/>
        <v>153</v>
      </c>
      <c r="N81" s="652">
        <f t="shared" si="6"/>
        <v>3825</v>
      </c>
      <c r="O81" s="1159">
        <f t="shared" si="7"/>
        <v>16450</v>
      </c>
      <c r="P81" s="804"/>
      <c r="Q81" s="804"/>
      <c r="R81" s="100">
        <f>O81/INTGRATE!$N$293</f>
        <v>1827.7777777777778</v>
      </c>
      <c r="S81" s="665">
        <f t="shared" si="19"/>
        <v>2.0927051671732522</v>
      </c>
      <c r="T81" s="403"/>
      <c r="U81" s="136"/>
      <c r="V81" s="836" t="str">
        <f t="shared" si="20"/>
        <v>54825</v>
      </c>
      <c r="W81" s="823">
        <v>201101</v>
      </c>
      <c r="X81" s="386"/>
      <c r="Y81" s="386">
        <v>3000</v>
      </c>
      <c r="Z81" s="100">
        <v>0</v>
      </c>
      <c r="AA81" s="100">
        <v>500</v>
      </c>
      <c r="AB81" s="100">
        <v>4900</v>
      </c>
      <c r="AC81" s="100">
        <v>250</v>
      </c>
      <c r="AD81" s="100">
        <v>3875</v>
      </c>
      <c r="AE81" s="100">
        <v>3725</v>
      </c>
      <c r="AF81" s="100">
        <v>200</v>
      </c>
      <c r="AG81" s="100"/>
      <c r="AH81" s="100"/>
      <c r="AI81" s="100"/>
      <c r="AJ81" s="100"/>
      <c r="AK81" s="100"/>
      <c r="AL81" s="100"/>
      <c r="AM81" s="100"/>
      <c r="AN81" s="100"/>
      <c r="AO81" s="100"/>
      <c r="AP81" s="100"/>
      <c r="AQ81" s="100"/>
      <c r="AR81" s="100"/>
      <c r="AS81" s="100"/>
      <c r="AT81" s="100"/>
      <c r="AU81" s="100"/>
      <c r="AV81" s="100"/>
      <c r="AW81" s="100"/>
      <c r="AX81" s="230"/>
      <c r="AY81" s="100"/>
      <c r="AZ81" s="100"/>
      <c r="BA81" s="100"/>
      <c r="BB81" s="100"/>
      <c r="BC81" s="276">
        <f t="shared" si="8"/>
        <v>16450</v>
      </c>
      <c r="BD81" s="786">
        <f t="shared" si="9"/>
        <v>7</v>
      </c>
      <c r="BE81" s="786">
        <f t="shared" si="10"/>
        <v>2350</v>
      </c>
      <c r="BF81" s="38"/>
      <c r="BG81" s="38"/>
      <c r="BH81" s="436"/>
      <c r="BI81" s="38"/>
      <c r="BJ81" s="38"/>
      <c r="BK81" s="38"/>
      <c r="BL81" s="38"/>
      <c r="BM81" s="38"/>
      <c r="BN81" s="38"/>
      <c r="BO81" s="38"/>
      <c r="BP81" s="38"/>
      <c r="BQ81" s="38"/>
      <c r="BR81" s="38"/>
      <c r="BS81" s="38"/>
      <c r="BT81" s="38"/>
      <c r="BU81" s="38"/>
      <c r="BV81" s="38"/>
      <c r="BW81" s="38"/>
      <c r="BX81" s="38"/>
      <c r="BY81" s="38"/>
      <c r="BZ81" s="38"/>
      <c r="CA81" s="38"/>
      <c r="CB81" s="38"/>
      <c r="CC81" s="38"/>
      <c r="CD81" s="38"/>
      <c r="CE81" s="38"/>
      <c r="CF81" s="38"/>
      <c r="CG81" s="38"/>
      <c r="CH81" s="38"/>
      <c r="CI81" s="38"/>
      <c r="CJ81" s="38"/>
      <c r="CK81" s="38"/>
      <c r="CL81" s="38"/>
      <c r="CM81" s="38"/>
      <c r="CN81" s="38"/>
      <c r="CO81" s="38"/>
      <c r="CP81" s="38"/>
      <c r="CQ81" s="38"/>
      <c r="CR81" s="38"/>
      <c r="CS81" s="38"/>
      <c r="CT81" s="38"/>
      <c r="CU81" s="38"/>
      <c r="CV81" s="38"/>
      <c r="CW81" s="38"/>
      <c r="CX81" s="38"/>
      <c r="CY81" s="38"/>
      <c r="CZ81" s="38"/>
      <c r="DA81" s="38"/>
      <c r="DB81" s="38"/>
      <c r="DC81" s="38"/>
      <c r="DD81" s="38"/>
      <c r="DE81" s="38"/>
      <c r="DF81" s="38"/>
      <c r="DG81" s="38"/>
      <c r="DH81" s="38"/>
      <c r="DI81" s="38"/>
      <c r="DJ81" s="38"/>
      <c r="DK81" s="38"/>
      <c r="DL81" s="38"/>
      <c r="DM81" s="38"/>
      <c r="DN81" s="38"/>
      <c r="DO81" s="38"/>
      <c r="DP81" s="38"/>
      <c r="DQ81" s="38"/>
      <c r="DR81" s="38"/>
      <c r="DS81" s="38"/>
      <c r="DT81" s="38"/>
      <c r="DU81" s="38"/>
      <c r="DV81" s="38"/>
      <c r="DW81" s="38"/>
      <c r="DX81" s="38"/>
      <c r="DY81" s="38"/>
      <c r="DZ81" s="38"/>
      <c r="EA81" s="38"/>
      <c r="EB81" s="38"/>
      <c r="EC81" s="38"/>
      <c r="ED81" s="38"/>
      <c r="EE81" s="38"/>
      <c r="EF81" s="38"/>
      <c r="EG81" s="38"/>
      <c r="EH81" s="38"/>
      <c r="EI81" s="38"/>
      <c r="EJ81" s="38"/>
      <c r="EK81" s="38"/>
      <c r="EL81" s="38"/>
      <c r="EM81" s="38"/>
      <c r="EN81" s="38"/>
      <c r="EO81" s="38"/>
      <c r="EP81" s="38"/>
      <c r="EQ81" s="38"/>
      <c r="ER81" s="38"/>
      <c r="ES81" s="38"/>
      <c r="ET81" s="38"/>
      <c r="EU81" s="38"/>
    </row>
    <row r="82" spans="1:151" s="95" customFormat="1" ht="15" customHeight="1">
      <c r="A82" s="91">
        <v>70</v>
      </c>
      <c r="B82" s="96" t="s">
        <v>150</v>
      </c>
      <c r="C82" s="1173" t="s">
        <v>55</v>
      </c>
      <c r="D82" s="97">
        <v>25</v>
      </c>
      <c r="E82" s="100">
        <v>0</v>
      </c>
      <c r="F82" s="100">
        <f>SUMIF(pro!$A:$A,$V:$V,pro!$N:$N)</f>
        <v>0</v>
      </c>
      <c r="G82" s="100"/>
      <c r="H82" s="100">
        <f>SUMIF(CBIN!$A:$A,BRAN!$V:$V,CBIN!$G:$G)</f>
        <v>0</v>
      </c>
      <c r="I82" s="100">
        <f>SUMIF(data!$D:$D,$B82&amp;$D82,data!$J:$J)</f>
        <v>0</v>
      </c>
      <c r="J82" s="100">
        <f>SUMIF(data!$D:$D,$B82&amp;$D82,data!$K:$K)</f>
        <v>0</v>
      </c>
      <c r="K82" s="100">
        <f>SUMIF(AJOUT!$A:$A,BRAN!$V:$V,AJOUT!$L:$L)</f>
        <v>0</v>
      </c>
      <c r="L82" s="100">
        <f>SUMIF(CBOUT!$A:$A,BRAN!$V:$V,CBOUT!$G:$G)</f>
        <v>0</v>
      </c>
      <c r="M82" s="1158">
        <f t="shared" si="21"/>
        <v>0</v>
      </c>
      <c r="N82" s="652">
        <f t="shared" si="6"/>
        <v>0</v>
      </c>
      <c r="O82" s="1159">
        <f t="shared" si="7"/>
        <v>0</v>
      </c>
      <c r="P82" s="804"/>
      <c r="Q82" s="804"/>
      <c r="R82" s="100">
        <f>O82/INTGRATE!$N$293</f>
        <v>0</v>
      </c>
      <c r="S82" s="665">
        <f t="shared" si="19"/>
        <v>0</v>
      </c>
      <c r="T82" s="403"/>
      <c r="U82" s="136"/>
      <c r="V82" s="836" t="str">
        <f t="shared" si="20"/>
        <v>548M25</v>
      </c>
      <c r="W82" s="823">
        <v>201201</v>
      </c>
      <c r="X82" s="386"/>
      <c r="Y82" s="386">
        <v>0</v>
      </c>
      <c r="Z82" s="100">
        <v>0</v>
      </c>
      <c r="AA82" s="100">
        <v>0</v>
      </c>
      <c r="AB82" s="100">
        <v>0</v>
      </c>
      <c r="AC82" s="100">
        <v>0</v>
      </c>
      <c r="AD82" s="100">
        <v>0</v>
      </c>
      <c r="AE82" s="100">
        <v>0</v>
      </c>
      <c r="AF82" s="100">
        <v>0</v>
      </c>
      <c r="AG82" s="100"/>
      <c r="AH82" s="100"/>
      <c r="AI82" s="100"/>
      <c r="AJ82" s="100"/>
      <c r="AK82" s="100"/>
      <c r="AL82" s="100"/>
      <c r="AM82" s="100"/>
      <c r="AN82" s="100"/>
      <c r="AO82" s="100"/>
      <c r="AP82" s="100"/>
      <c r="AQ82" s="100"/>
      <c r="AR82" s="100"/>
      <c r="AS82" s="100"/>
      <c r="AT82" s="100"/>
      <c r="AU82" s="100"/>
      <c r="AV82" s="100"/>
      <c r="AW82" s="100"/>
      <c r="AX82" s="230"/>
      <c r="AY82" s="100"/>
      <c r="AZ82" s="100"/>
      <c r="BA82" s="100"/>
      <c r="BB82" s="100"/>
      <c r="BC82" s="276">
        <f t="shared" si="8"/>
        <v>0</v>
      </c>
      <c r="BD82" s="786">
        <f t="shared" si="9"/>
        <v>0</v>
      </c>
      <c r="BE82" s="786">
        <f t="shared" si="10"/>
        <v>0</v>
      </c>
      <c r="BF82" s="38"/>
      <c r="BG82" s="38"/>
      <c r="BH82" s="436"/>
      <c r="BI82" s="38"/>
      <c r="BJ82" s="38"/>
      <c r="BK82" s="38"/>
      <c r="BL82" s="38"/>
      <c r="BM82" s="38"/>
      <c r="BN82" s="38"/>
      <c r="BO82" s="38"/>
      <c r="BP82" s="38"/>
      <c r="BQ82" s="38"/>
      <c r="BR82" s="38"/>
      <c r="BS82" s="38"/>
      <c r="BT82" s="38"/>
      <c r="BU82" s="38"/>
      <c r="BV82" s="38"/>
      <c r="BW82" s="38"/>
      <c r="BX82" s="38"/>
      <c r="BY82" s="38"/>
      <c r="BZ82" s="38"/>
      <c r="CA82" s="38"/>
      <c r="CB82" s="38"/>
      <c r="CC82" s="38"/>
      <c r="CD82" s="38"/>
      <c r="CE82" s="38"/>
      <c r="CF82" s="38"/>
      <c r="CG82" s="38"/>
      <c r="CH82" s="38"/>
      <c r="CI82" s="38"/>
      <c r="CJ82" s="38"/>
      <c r="CK82" s="38"/>
      <c r="CL82" s="38"/>
      <c r="CM82" s="38"/>
      <c r="CN82" s="38"/>
      <c r="CO82" s="38"/>
      <c r="CP82" s="38"/>
      <c r="CQ82" s="38"/>
      <c r="CR82" s="38"/>
      <c r="CS82" s="38"/>
      <c r="CT82" s="38"/>
      <c r="CU82" s="38"/>
      <c r="CV82" s="38"/>
      <c r="CW82" s="38"/>
      <c r="CX82" s="38"/>
      <c r="CY82" s="38"/>
      <c r="CZ82" s="38"/>
      <c r="DA82" s="38"/>
      <c r="DB82" s="38"/>
      <c r="DC82" s="38"/>
      <c r="DD82" s="38"/>
      <c r="DE82" s="38"/>
      <c r="DF82" s="38"/>
      <c r="DG82" s="38"/>
      <c r="DH82" s="38"/>
      <c r="DI82" s="38"/>
      <c r="DJ82" s="38"/>
      <c r="DK82" s="38"/>
      <c r="DL82" s="38"/>
      <c r="DM82" s="38"/>
      <c r="DN82" s="38"/>
      <c r="DO82" s="38"/>
      <c r="DP82" s="38"/>
      <c r="DQ82" s="38"/>
      <c r="DR82" s="38"/>
      <c r="DS82" s="38"/>
      <c r="DT82" s="38"/>
      <c r="DU82" s="38"/>
      <c r="DV82" s="38"/>
      <c r="DW82" s="38"/>
      <c r="DX82" s="38"/>
      <c r="DY82" s="38"/>
      <c r="DZ82" s="38"/>
      <c r="EA82" s="38"/>
      <c r="EB82" s="38"/>
      <c r="EC82" s="38"/>
      <c r="ED82" s="38"/>
      <c r="EE82" s="38"/>
      <c r="EF82" s="38"/>
      <c r="EG82" s="38"/>
      <c r="EH82" s="38"/>
      <c r="EI82" s="38"/>
      <c r="EJ82" s="38"/>
      <c r="EK82" s="38"/>
      <c r="EL82" s="38"/>
      <c r="EM82" s="38"/>
      <c r="EN82" s="38"/>
      <c r="EO82" s="38"/>
      <c r="EP82" s="38"/>
      <c r="EQ82" s="38"/>
      <c r="ER82" s="38"/>
      <c r="ES82" s="38"/>
      <c r="ET82" s="38"/>
      <c r="EU82" s="38"/>
    </row>
    <row r="83" spans="1:151" s="95" customFormat="1" ht="15" customHeight="1">
      <c r="A83" s="91">
        <v>71</v>
      </c>
      <c r="B83" s="96" t="s">
        <v>151</v>
      </c>
      <c r="C83" s="96" t="s">
        <v>64</v>
      </c>
      <c r="D83" s="97">
        <v>25</v>
      </c>
      <c r="E83" s="100">
        <v>0</v>
      </c>
      <c r="F83" s="100">
        <f>SUMIF(pro!$A:$A,$V:$V,pro!$N:$N)</f>
        <v>0</v>
      </c>
      <c r="G83" s="100"/>
      <c r="H83" s="100">
        <f>SUMIF(CBIN!$A:$A,BRAN!$V:$V,CBIN!$G:$G)</f>
        <v>0</v>
      </c>
      <c r="I83" s="100">
        <f>SUMIF(data!$D:$D,$B83&amp;$D83,data!$J:$J)</f>
        <v>0</v>
      </c>
      <c r="J83" s="100">
        <f>SUMIF(data!$D:$D,$B83&amp;$D83,data!$K:$K)</f>
        <v>0</v>
      </c>
      <c r="K83" s="100">
        <f>SUMIF(AJOUT!$A:$A,BRAN!$V:$V,AJOUT!$L:$L)</f>
        <v>0</v>
      </c>
      <c r="L83" s="100">
        <f>SUMIF(CBOUT!$A:$A,BRAN!$V:$V,CBOUT!$G:$G)</f>
        <v>0</v>
      </c>
      <c r="M83" s="1158">
        <f t="shared" si="21"/>
        <v>0</v>
      </c>
      <c r="N83" s="652">
        <f t="shared" si="6"/>
        <v>0</v>
      </c>
      <c r="O83" s="1159">
        <f t="shared" si="7"/>
        <v>0</v>
      </c>
      <c r="P83" s="804"/>
      <c r="Q83" s="804"/>
      <c r="R83" s="100">
        <f>O83/INTGRATE!$N$293</f>
        <v>0</v>
      </c>
      <c r="S83" s="665">
        <f t="shared" si="19"/>
        <v>0</v>
      </c>
      <c r="T83" s="403"/>
      <c r="U83" s="136"/>
      <c r="V83" s="836" t="str">
        <f t="shared" si="20"/>
        <v>549M25</v>
      </c>
      <c r="W83" s="823">
        <v>203201</v>
      </c>
      <c r="X83" s="386"/>
      <c r="Y83" s="386">
        <v>0</v>
      </c>
      <c r="Z83" s="100">
        <v>0</v>
      </c>
      <c r="AA83" s="100">
        <v>0</v>
      </c>
      <c r="AB83" s="100">
        <v>0</v>
      </c>
      <c r="AC83" s="100">
        <v>0</v>
      </c>
      <c r="AD83" s="100">
        <v>0</v>
      </c>
      <c r="AE83" s="100">
        <v>0</v>
      </c>
      <c r="AF83" s="100">
        <v>0</v>
      </c>
      <c r="AG83" s="100"/>
      <c r="AH83" s="100"/>
      <c r="AI83" s="100"/>
      <c r="AJ83" s="100"/>
      <c r="AK83" s="100"/>
      <c r="AL83" s="100"/>
      <c r="AM83" s="100"/>
      <c r="AN83" s="100"/>
      <c r="AO83" s="100"/>
      <c r="AP83" s="100"/>
      <c r="AQ83" s="100"/>
      <c r="AR83" s="100"/>
      <c r="AS83" s="100"/>
      <c r="AT83" s="100"/>
      <c r="AU83" s="100"/>
      <c r="AV83" s="100"/>
      <c r="AW83" s="100"/>
      <c r="AX83" s="230"/>
      <c r="AY83" s="100"/>
      <c r="AZ83" s="100"/>
      <c r="BA83" s="100"/>
      <c r="BB83" s="100"/>
      <c r="BC83" s="276">
        <f t="shared" ref="BC83:BC146" si="23">SUM(X83:BB83)</f>
        <v>0</v>
      </c>
      <c r="BD83" s="786">
        <f t="shared" ref="BD83:BD146" si="24">COUNTIF(X83:BB83,"&gt;0")</f>
        <v>0</v>
      </c>
      <c r="BE83" s="786">
        <f t="shared" ref="BE83:BE146" si="25">IFERROR(BC83/BD83,0)</f>
        <v>0</v>
      </c>
      <c r="BF83" s="38"/>
      <c r="BG83" s="38"/>
      <c r="BH83" s="436"/>
      <c r="BI83" s="38"/>
      <c r="BJ83" s="38"/>
      <c r="BK83" s="38"/>
      <c r="BL83" s="38"/>
      <c r="BM83" s="38"/>
      <c r="BN83" s="38"/>
      <c r="BO83" s="38"/>
      <c r="BP83" s="38"/>
      <c r="BQ83" s="38"/>
      <c r="BR83" s="38"/>
      <c r="BS83" s="38"/>
      <c r="BT83" s="38"/>
      <c r="BU83" s="38"/>
      <c r="BV83" s="38"/>
      <c r="BW83" s="38"/>
      <c r="BX83" s="38"/>
      <c r="BY83" s="38"/>
      <c r="BZ83" s="38"/>
      <c r="CA83" s="38"/>
      <c r="CB83" s="38"/>
      <c r="CC83" s="38"/>
      <c r="CD83" s="38"/>
      <c r="CE83" s="38"/>
      <c r="CF83" s="38"/>
      <c r="CG83" s="38"/>
      <c r="CH83" s="38"/>
      <c r="CI83" s="38"/>
      <c r="CJ83" s="38"/>
      <c r="CK83" s="38"/>
      <c r="CL83" s="38"/>
      <c r="CM83" s="38"/>
      <c r="CN83" s="38"/>
      <c r="CO83" s="38"/>
      <c r="CP83" s="38"/>
      <c r="CQ83" s="38"/>
      <c r="CR83" s="38"/>
      <c r="CS83" s="38"/>
      <c r="CT83" s="38"/>
      <c r="CU83" s="38"/>
      <c r="CV83" s="38"/>
      <c r="CW83" s="38"/>
      <c r="CX83" s="38"/>
      <c r="CY83" s="38"/>
      <c r="CZ83" s="38"/>
      <c r="DA83" s="38"/>
      <c r="DB83" s="38"/>
      <c r="DC83" s="38"/>
      <c r="DD83" s="38"/>
      <c r="DE83" s="38"/>
      <c r="DF83" s="38"/>
      <c r="DG83" s="38"/>
      <c r="DH83" s="38"/>
      <c r="DI83" s="38"/>
      <c r="DJ83" s="38"/>
      <c r="DK83" s="38"/>
      <c r="DL83" s="38"/>
      <c r="DM83" s="38"/>
      <c r="DN83" s="38"/>
      <c r="DO83" s="38"/>
      <c r="DP83" s="38"/>
      <c r="DQ83" s="38"/>
      <c r="DR83" s="38"/>
      <c r="DS83" s="38"/>
      <c r="DT83" s="38"/>
      <c r="DU83" s="38"/>
      <c r="DV83" s="38"/>
      <c r="DW83" s="38"/>
      <c r="DX83" s="38"/>
      <c r="DY83" s="38"/>
      <c r="DZ83" s="38"/>
      <c r="EA83" s="38"/>
      <c r="EB83" s="38"/>
      <c r="EC83" s="38"/>
      <c r="ED83" s="38"/>
      <c r="EE83" s="38"/>
      <c r="EF83" s="38"/>
      <c r="EG83" s="38"/>
      <c r="EH83" s="38"/>
      <c r="EI83" s="38"/>
      <c r="EJ83" s="38"/>
      <c r="EK83" s="38"/>
      <c r="EL83" s="38"/>
      <c r="EM83" s="38"/>
      <c r="EN83" s="38"/>
      <c r="EO83" s="38"/>
      <c r="EP83" s="38"/>
      <c r="EQ83" s="38"/>
      <c r="ER83" s="38"/>
      <c r="ES83" s="38"/>
      <c r="ET83" s="38"/>
      <c r="EU83" s="38"/>
    </row>
    <row r="84" spans="1:151" s="95" customFormat="1" ht="15" customHeight="1">
      <c r="A84" s="91">
        <v>72</v>
      </c>
      <c r="B84" s="96" t="s">
        <v>151</v>
      </c>
      <c r="C84" s="96" t="s">
        <v>64</v>
      </c>
      <c r="D84" s="97" t="s">
        <v>66</v>
      </c>
      <c r="E84" s="425"/>
      <c r="F84" s="425">
        <f>+J84</f>
        <v>0</v>
      </c>
      <c r="G84" s="425"/>
      <c r="H84" s="100">
        <f>SUMIF(CBIN!$A:$A,BRAN!$V:$V,CBIN!$G:$G)</f>
        <v>0</v>
      </c>
      <c r="I84" s="100">
        <f>SUMIF(data!$D:$D,$B84&amp;$D84,data!$J:$J)</f>
        <v>0</v>
      </c>
      <c r="J84" s="100">
        <f>SUMIF(data!$D:$D,$B84&amp;$D84,data!$K:$K)</f>
        <v>0</v>
      </c>
      <c r="K84" s="561">
        <f>SUMIF(AJOUT!$A:$A,BRAN!$V:$V,AJOUT!$L:$L)</f>
        <v>0</v>
      </c>
      <c r="L84" s="561">
        <f>SUMIF(CBOUT!$A:$A,BRAN!$V:$V,CBOUT!$G:$G)</f>
        <v>0</v>
      </c>
      <c r="M84" s="528"/>
      <c r="N84" s="652">
        <f t="shared" si="6"/>
        <v>0</v>
      </c>
      <c r="O84" s="1159">
        <f t="shared" si="7"/>
        <v>0</v>
      </c>
      <c r="P84" s="427"/>
      <c r="Q84" s="427"/>
      <c r="R84" s="425">
        <f>O84/INTGRATE!$N$293</f>
        <v>0</v>
      </c>
      <c r="S84" s="665">
        <f t="shared" si="19"/>
        <v>0</v>
      </c>
      <c r="T84" s="403"/>
      <c r="U84" s="136"/>
      <c r="V84" s="836" t="str">
        <f t="shared" si="20"/>
        <v>549MSILO</v>
      </c>
      <c r="W84" s="823">
        <v>203201</v>
      </c>
      <c r="X84" s="386"/>
      <c r="Y84" s="386">
        <v>0</v>
      </c>
      <c r="Z84" s="100">
        <v>0</v>
      </c>
      <c r="AA84" s="100">
        <v>0</v>
      </c>
      <c r="AB84" s="100">
        <v>0</v>
      </c>
      <c r="AC84" s="100">
        <v>0</v>
      </c>
      <c r="AD84" s="100">
        <v>0</v>
      </c>
      <c r="AE84" s="100">
        <v>0</v>
      </c>
      <c r="AF84" s="100">
        <v>0</v>
      </c>
      <c r="AG84" s="100"/>
      <c r="AH84" s="425"/>
      <c r="AI84" s="100"/>
      <c r="AJ84" s="100"/>
      <c r="AK84" s="100"/>
      <c r="AL84" s="100"/>
      <c r="AM84" s="100"/>
      <c r="AN84" s="100"/>
      <c r="AO84" s="425"/>
      <c r="AP84" s="100"/>
      <c r="AQ84" s="425"/>
      <c r="AR84" s="100"/>
      <c r="AS84" s="100"/>
      <c r="AT84" s="100"/>
      <c r="AU84" s="100"/>
      <c r="AV84" s="100"/>
      <c r="AW84" s="100"/>
      <c r="AX84" s="230"/>
      <c r="AY84" s="100"/>
      <c r="AZ84" s="100"/>
      <c r="BA84" s="100"/>
      <c r="BB84" s="100"/>
      <c r="BC84" s="276">
        <f t="shared" si="23"/>
        <v>0</v>
      </c>
      <c r="BD84" s="786">
        <f t="shared" si="24"/>
        <v>0</v>
      </c>
      <c r="BE84" s="786">
        <f t="shared" si="25"/>
        <v>0</v>
      </c>
      <c r="BF84" s="38"/>
      <c r="BG84" s="38"/>
      <c r="BH84" s="436"/>
      <c r="BI84" s="38"/>
      <c r="BJ84" s="38"/>
      <c r="BK84" s="38"/>
      <c r="BL84" s="38"/>
      <c r="BM84" s="38"/>
      <c r="BN84" s="38"/>
      <c r="BO84" s="38"/>
      <c r="BP84" s="38"/>
      <c r="BQ84" s="38"/>
      <c r="BR84" s="38"/>
      <c r="BS84" s="38"/>
      <c r="BT84" s="38"/>
      <c r="BU84" s="38"/>
      <c r="BV84" s="38"/>
      <c r="BW84" s="38"/>
      <c r="BX84" s="38"/>
      <c r="BY84" s="38"/>
      <c r="BZ84" s="38"/>
      <c r="CA84" s="38"/>
      <c r="CB84" s="38"/>
      <c r="CC84" s="38"/>
      <c r="CD84" s="38"/>
      <c r="CE84" s="38"/>
      <c r="CF84" s="38"/>
      <c r="CG84" s="38"/>
      <c r="CH84" s="38"/>
      <c r="CI84" s="38"/>
      <c r="CJ84" s="38"/>
      <c r="CK84" s="38"/>
      <c r="CL84" s="38"/>
      <c r="CM84" s="38"/>
      <c r="CN84" s="38"/>
      <c r="CO84" s="38"/>
      <c r="CP84" s="38"/>
      <c r="CQ84" s="38"/>
      <c r="CR84" s="38"/>
      <c r="CS84" s="38"/>
      <c r="CT84" s="38"/>
      <c r="CU84" s="38"/>
      <c r="CV84" s="38"/>
      <c r="CW84" s="38"/>
      <c r="CX84" s="38"/>
      <c r="CY84" s="38"/>
      <c r="CZ84" s="38"/>
      <c r="DA84" s="38"/>
      <c r="DB84" s="38"/>
      <c r="DC84" s="38"/>
      <c r="DD84" s="38"/>
      <c r="DE84" s="38"/>
      <c r="DF84" s="38"/>
      <c r="DG84" s="38"/>
      <c r="DH84" s="38"/>
      <c r="DI84" s="38"/>
      <c r="DJ84" s="38"/>
      <c r="DK84" s="38"/>
      <c r="DL84" s="38"/>
      <c r="DM84" s="38"/>
      <c r="DN84" s="38"/>
      <c r="DO84" s="38"/>
      <c r="DP84" s="38"/>
      <c r="DQ84" s="38"/>
      <c r="DR84" s="38"/>
      <c r="DS84" s="38"/>
      <c r="DT84" s="38"/>
      <c r="DU84" s="38"/>
      <c r="DV84" s="38"/>
      <c r="DW84" s="38"/>
      <c r="DX84" s="38"/>
      <c r="DY84" s="38"/>
      <c r="DZ84" s="38"/>
      <c r="EA84" s="38"/>
      <c r="EB84" s="38"/>
      <c r="EC84" s="38"/>
      <c r="ED84" s="38"/>
      <c r="EE84" s="38"/>
      <c r="EF84" s="38"/>
      <c r="EG84" s="38"/>
      <c r="EH84" s="38"/>
      <c r="EI84" s="38"/>
      <c r="EJ84" s="38"/>
      <c r="EK84" s="38"/>
      <c r="EL84" s="38"/>
      <c r="EM84" s="38"/>
      <c r="EN84" s="38"/>
      <c r="EO84" s="38"/>
      <c r="EP84" s="38"/>
      <c r="EQ84" s="38"/>
      <c r="ER84" s="38"/>
      <c r="ES84" s="38"/>
      <c r="ET84" s="38"/>
      <c r="EU84" s="38"/>
    </row>
    <row r="85" spans="1:151" s="95" customFormat="1" ht="15" customHeight="1">
      <c r="A85" s="91">
        <v>73</v>
      </c>
      <c r="B85" s="96">
        <v>549</v>
      </c>
      <c r="C85" s="96" t="s">
        <v>64</v>
      </c>
      <c r="D85" s="97" t="s">
        <v>66</v>
      </c>
      <c r="E85" s="425"/>
      <c r="F85" s="425">
        <f>+J85</f>
        <v>0</v>
      </c>
      <c r="G85" s="425"/>
      <c r="H85" s="100">
        <f>SUMIF(CBIN!$A:$A,BRAN!$V:$V,CBIN!$G:$G)</f>
        <v>0</v>
      </c>
      <c r="I85" s="100">
        <f>SUMIF(data!$D:$D,$B85&amp;$D85,data!$J:$J)</f>
        <v>0</v>
      </c>
      <c r="J85" s="100">
        <f>SUMIF(data!$D:$D,$B85&amp;$D85,data!$K:$K)</f>
        <v>0</v>
      </c>
      <c r="K85" s="561">
        <f>SUMIF(AJOUT!$A:$A,BRAN!$V:$V,AJOUT!$L:$L)</f>
        <v>0</v>
      </c>
      <c r="L85" s="561">
        <f>SUMIF(CBOUT!$A:$A,BRAN!$V:$V,CBOUT!$G:$G)</f>
        <v>0</v>
      </c>
      <c r="M85" s="528"/>
      <c r="N85" s="652">
        <f t="shared" si="6"/>
        <v>0</v>
      </c>
      <c r="O85" s="1159">
        <f t="shared" si="7"/>
        <v>0</v>
      </c>
      <c r="P85" s="427"/>
      <c r="Q85" s="427"/>
      <c r="R85" s="425">
        <f>O85/INTGRATE!$N$293</f>
        <v>0</v>
      </c>
      <c r="S85" s="665">
        <f t="shared" si="19"/>
        <v>0</v>
      </c>
      <c r="T85" s="403"/>
      <c r="U85" s="136"/>
      <c r="V85" s="836" t="str">
        <f t="shared" si="20"/>
        <v>549SILO</v>
      </c>
      <c r="W85" s="823">
        <v>203201</v>
      </c>
      <c r="X85" s="386"/>
      <c r="Y85" s="386">
        <v>0</v>
      </c>
      <c r="Z85" s="100">
        <v>0</v>
      </c>
      <c r="AA85" s="100">
        <v>0</v>
      </c>
      <c r="AB85" s="100">
        <v>0</v>
      </c>
      <c r="AC85" s="100">
        <v>0</v>
      </c>
      <c r="AD85" s="100">
        <v>0</v>
      </c>
      <c r="AE85" s="100">
        <v>0</v>
      </c>
      <c r="AF85" s="100">
        <v>0</v>
      </c>
      <c r="AG85" s="100"/>
      <c r="AH85" s="425"/>
      <c r="AI85" s="100"/>
      <c r="AJ85" s="100"/>
      <c r="AK85" s="100"/>
      <c r="AL85" s="100"/>
      <c r="AM85" s="100"/>
      <c r="AN85" s="100"/>
      <c r="AO85" s="425"/>
      <c r="AP85" s="100"/>
      <c r="AQ85" s="425"/>
      <c r="AR85" s="100"/>
      <c r="AS85" s="100"/>
      <c r="AT85" s="100"/>
      <c r="AU85" s="100"/>
      <c r="AV85" s="100"/>
      <c r="AW85" s="100"/>
      <c r="AX85" s="230"/>
      <c r="AY85" s="100"/>
      <c r="AZ85" s="100"/>
      <c r="BA85" s="100"/>
      <c r="BB85" s="100"/>
      <c r="BC85" s="276">
        <f t="shared" si="23"/>
        <v>0</v>
      </c>
      <c r="BD85" s="786">
        <f t="shared" si="24"/>
        <v>0</v>
      </c>
      <c r="BE85" s="786">
        <f t="shared" si="25"/>
        <v>0</v>
      </c>
      <c r="BF85" s="38"/>
      <c r="BG85" s="38"/>
      <c r="BH85" s="436"/>
      <c r="BI85" s="38"/>
      <c r="BJ85" s="38"/>
      <c r="BK85" s="38"/>
      <c r="BL85" s="38"/>
      <c r="BM85" s="38"/>
      <c r="BN85" s="38"/>
      <c r="BO85" s="38"/>
      <c r="BP85" s="38"/>
      <c r="BQ85" s="38"/>
      <c r="BR85" s="38"/>
      <c r="BS85" s="38"/>
      <c r="BT85" s="38"/>
      <c r="BU85" s="38"/>
      <c r="BV85" s="38"/>
      <c r="BW85" s="38"/>
      <c r="BX85" s="38"/>
      <c r="BY85" s="38"/>
      <c r="BZ85" s="38"/>
      <c r="CA85" s="38"/>
      <c r="CB85" s="38"/>
      <c r="CC85" s="38"/>
      <c r="CD85" s="38"/>
      <c r="CE85" s="38"/>
      <c r="CF85" s="38"/>
      <c r="CG85" s="38"/>
      <c r="CH85" s="38"/>
      <c r="CI85" s="38"/>
      <c r="CJ85" s="38"/>
      <c r="CK85" s="38"/>
      <c r="CL85" s="38"/>
      <c r="CM85" s="38"/>
      <c r="CN85" s="38"/>
      <c r="CO85" s="38"/>
      <c r="CP85" s="38"/>
      <c r="CQ85" s="38"/>
      <c r="CR85" s="38"/>
      <c r="CS85" s="38"/>
      <c r="CT85" s="38"/>
      <c r="CU85" s="38"/>
      <c r="CV85" s="38"/>
      <c r="CW85" s="38"/>
      <c r="CX85" s="38"/>
      <c r="CY85" s="38"/>
      <c r="CZ85" s="38"/>
      <c r="DA85" s="38"/>
      <c r="DB85" s="38"/>
      <c r="DC85" s="38"/>
      <c r="DD85" s="38"/>
      <c r="DE85" s="38"/>
      <c r="DF85" s="38"/>
      <c r="DG85" s="38"/>
      <c r="DH85" s="38"/>
      <c r="DI85" s="38"/>
      <c r="DJ85" s="38"/>
      <c r="DK85" s="38"/>
      <c r="DL85" s="38"/>
      <c r="DM85" s="38"/>
      <c r="DN85" s="38"/>
      <c r="DO85" s="38"/>
      <c r="DP85" s="38"/>
      <c r="DQ85" s="38"/>
      <c r="DR85" s="38"/>
      <c r="DS85" s="38"/>
      <c r="DT85" s="38"/>
      <c r="DU85" s="38"/>
      <c r="DV85" s="38"/>
      <c r="DW85" s="38"/>
      <c r="DX85" s="38"/>
      <c r="DY85" s="38"/>
      <c r="DZ85" s="38"/>
      <c r="EA85" s="38"/>
      <c r="EB85" s="38"/>
      <c r="EC85" s="38"/>
      <c r="ED85" s="38"/>
      <c r="EE85" s="38"/>
      <c r="EF85" s="38"/>
      <c r="EG85" s="38"/>
      <c r="EH85" s="38"/>
      <c r="EI85" s="38"/>
      <c r="EJ85" s="38"/>
      <c r="EK85" s="38"/>
      <c r="EL85" s="38"/>
      <c r="EM85" s="38"/>
      <c r="EN85" s="38"/>
      <c r="EO85" s="38"/>
      <c r="EP85" s="38"/>
      <c r="EQ85" s="38"/>
      <c r="ER85" s="38"/>
      <c r="ES85" s="38"/>
      <c r="ET85" s="38"/>
      <c r="EU85" s="38"/>
    </row>
    <row r="86" spans="1:151" s="95" customFormat="1" ht="15" customHeight="1">
      <c r="A86" s="91">
        <v>74</v>
      </c>
      <c r="B86" s="96">
        <v>549</v>
      </c>
      <c r="C86" s="96" t="s">
        <v>64</v>
      </c>
      <c r="D86" s="97">
        <v>25</v>
      </c>
      <c r="E86" s="100">
        <v>-5</v>
      </c>
      <c r="F86" s="100">
        <f>SUMIF(pro!$A:$A,$V:$V,pro!$N:$N)</f>
        <v>573</v>
      </c>
      <c r="G86" s="100"/>
      <c r="H86" s="100">
        <f>SUMIF(CBIN!$A:$A,BRAN!$V:$V,CBIN!$G:$G)</f>
        <v>0</v>
      </c>
      <c r="I86" s="100">
        <f>SUMIF(data!$D:$D,$B86&amp;$D86,data!$J:$J)</f>
        <v>0</v>
      </c>
      <c r="J86" s="100">
        <f>SUMIF(data!$D:$D,$B86&amp;$D86,data!$K:$K)</f>
        <v>0</v>
      </c>
      <c r="K86" s="561">
        <f>SUMIF(AJOUT!$A:$A,BRAN!$V:$V,AJOUT!$L:$L)</f>
        <v>0</v>
      </c>
      <c r="L86" s="561">
        <f>SUMIF(CBOUT!$A:$A,BRAN!$V:$V,CBOUT!$G:$G)</f>
        <v>0</v>
      </c>
      <c r="M86" s="1158">
        <f>E86+F86+H86-I86-L86+G86-K86</f>
        <v>568</v>
      </c>
      <c r="N86" s="652">
        <f t="shared" ref="N86:N149" si="26">M86*25</f>
        <v>14200</v>
      </c>
      <c r="O86" s="1159">
        <f t="shared" ref="O86:O149" si="27">SUM(X86:BB86)</f>
        <v>59075</v>
      </c>
      <c r="P86" s="804"/>
      <c r="Q86" s="804"/>
      <c r="R86" s="100">
        <f>O86/INTGRATE!$N$293</f>
        <v>6563.8888888888887</v>
      </c>
      <c r="S86" s="665">
        <f t="shared" si="19"/>
        <v>2.1633516716038934</v>
      </c>
      <c r="T86" s="530"/>
      <c r="U86" s="136"/>
      <c r="V86" s="836" t="str">
        <f t="shared" si="20"/>
        <v>54925</v>
      </c>
      <c r="W86" s="823">
        <v>203101</v>
      </c>
      <c r="X86" s="386"/>
      <c r="Y86" s="386">
        <v>15525</v>
      </c>
      <c r="Z86" s="100">
        <v>250</v>
      </c>
      <c r="AA86" s="100">
        <v>1050</v>
      </c>
      <c r="AB86" s="100">
        <v>11125</v>
      </c>
      <c r="AC86" s="100">
        <v>300</v>
      </c>
      <c r="AD86" s="100">
        <v>8500</v>
      </c>
      <c r="AE86" s="100">
        <v>8700</v>
      </c>
      <c r="AF86" s="100">
        <v>13625</v>
      </c>
      <c r="AG86" s="100"/>
      <c r="AH86" s="100"/>
      <c r="AI86" s="100"/>
      <c r="AJ86" s="100"/>
      <c r="AK86" s="100"/>
      <c r="AL86" s="100"/>
      <c r="AM86" s="100"/>
      <c r="AN86" s="100"/>
      <c r="AO86" s="100"/>
      <c r="AP86" s="100"/>
      <c r="AQ86" s="100"/>
      <c r="AR86" s="100"/>
      <c r="AS86" s="100"/>
      <c r="AT86" s="100"/>
      <c r="AU86" s="100"/>
      <c r="AV86" s="100"/>
      <c r="AW86" s="100"/>
      <c r="AX86" s="230"/>
      <c r="AY86" s="100"/>
      <c r="AZ86" s="100"/>
      <c r="BA86" s="100"/>
      <c r="BB86" s="100"/>
      <c r="BC86" s="276">
        <f t="shared" si="23"/>
        <v>59075</v>
      </c>
      <c r="BD86" s="786">
        <f t="shared" si="24"/>
        <v>8</v>
      </c>
      <c r="BE86" s="786">
        <f t="shared" si="25"/>
        <v>7384.375</v>
      </c>
      <c r="BF86" s="38"/>
      <c r="BG86" s="38"/>
      <c r="BH86" s="436"/>
      <c r="BI86" s="38"/>
      <c r="BJ86" s="38"/>
      <c r="BK86" s="38"/>
      <c r="BL86" s="38"/>
      <c r="BM86" s="38"/>
      <c r="BN86" s="38"/>
      <c r="BO86" s="38"/>
      <c r="BP86" s="38"/>
      <c r="BQ86" s="38"/>
      <c r="BR86" s="38"/>
      <c r="BS86" s="38"/>
      <c r="BT86" s="38"/>
      <c r="BU86" s="38"/>
      <c r="BV86" s="38"/>
      <c r="BW86" s="38"/>
      <c r="BX86" s="38"/>
      <c r="BY86" s="38"/>
      <c r="BZ86" s="38"/>
      <c r="CA86" s="38"/>
      <c r="CB86" s="38"/>
      <c r="CC86" s="38"/>
      <c r="CD86" s="38"/>
      <c r="CE86" s="38"/>
      <c r="CF86" s="38"/>
      <c r="CG86" s="38"/>
      <c r="CH86" s="38"/>
      <c r="CI86" s="38"/>
      <c r="CJ86" s="38"/>
      <c r="CK86" s="38"/>
      <c r="CL86" s="38"/>
      <c r="CM86" s="38"/>
      <c r="CN86" s="38"/>
      <c r="CO86" s="38"/>
      <c r="CP86" s="38"/>
      <c r="CQ86" s="38"/>
      <c r="CR86" s="38"/>
      <c r="CS86" s="38"/>
      <c r="CT86" s="38"/>
      <c r="CU86" s="38"/>
      <c r="CV86" s="38"/>
      <c r="CW86" s="38"/>
      <c r="CX86" s="38"/>
      <c r="CY86" s="38"/>
      <c r="CZ86" s="38"/>
      <c r="DA86" s="38"/>
      <c r="DB86" s="38"/>
      <c r="DC86" s="38"/>
      <c r="DD86" s="38"/>
      <c r="DE86" s="38"/>
      <c r="DF86" s="38"/>
      <c r="DG86" s="38"/>
      <c r="DH86" s="38"/>
      <c r="DI86" s="38"/>
      <c r="DJ86" s="38"/>
      <c r="DK86" s="38"/>
      <c r="DL86" s="38"/>
      <c r="DM86" s="38"/>
      <c r="DN86" s="38"/>
      <c r="DO86" s="38"/>
      <c r="DP86" s="38"/>
      <c r="DQ86" s="38"/>
      <c r="DR86" s="38"/>
      <c r="DS86" s="38"/>
      <c r="DT86" s="38"/>
      <c r="DU86" s="38"/>
      <c r="DV86" s="38"/>
      <c r="DW86" s="38"/>
      <c r="DX86" s="38"/>
      <c r="DY86" s="38"/>
      <c r="DZ86" s="38"/>
      <c r="EA86" s="38"/>
      <c r="EB86" s="38"/>
      <c r="EC86" s="38"/>
      <c r="ED86" s="38"/>
      <c r="EE86" s="38"/>
      <c r="EF86" s="38"/>
      <c r="EG86" s="38"/>
      <c r="EH86" s="38"/>
      <c r="EI86" s="38"/>
      <c r="EJ86" s="38"/>
      <c r="EK86" s="38"/>
      <c r="EL86" s="38"/>
      <c r="EM86" s="38"/>
      <c r="EN86" s="38"/>
      <c r="EO86" s="38"/>
      <c r="EP86" s="38"/>
      <c r="EQ86" s="38"/>
      <c r="ER86" s="38"/>
      <c r="ES86" s="38"/>
      <c r="ET86" s="38"/>
      <c r="EU86" s="38"/>
    </row>
    <row r="87" spans="1:151" s="95" customFormat="1" ht="15" customHeight="1">
      <c r="A87" s="91">
        <v>75</v>
      </c>
      <c r="B87" s="762" t="s">
        <v>152</v>
      </c>
      <c r="C87" s="96" t="s">
        <v>64</v>
      </c>
      <c r="D87" s="763">
        <v>25</v>
      </c>
      <c r="E87" s="100">
        <v>0</v>
      </c>
      <c r="F87" s="100">
        <f>SUMIF(pro!$A:$A,$V:$V,pro!$N:$N)</f>
        <v>0</v>
      </c>
      <c r="G87" s="100"/>
      <c r="H87" s="100">
        <f>SUMIF(CBIN!$A:$A,BRAN!$V:$V,CBIN!$G:$G)</f>
        <v>0</v>
      </c>
      <c r="I87" s="100">
        <f>SUMIF(data!$D:$D,$B87&amp;$D87,data!$J:$J)</f>
        <v>0</v>
      </c>
      <c r="J87" s="100">
        <f>SUMIF(data!$D:$D,$B87&amp;$D87,data!$K:$K)</f>
        <v>0</v>
      </c>
      <c r="K87" s="561">
        <f>SUMIF(AJOUT!$A:$A,BRAN!$V:$V,AJOUT!$L:$L)</f>
        <v>0</v>
      </c>
      <c r="L87" s="561">
        <f>SUMIF(CBOUT!$A:$A,BRAN!$V:$V,CBOUT!$G:$G)</f>
        <v>0</v>
      </c>
      <c r="M87" s="1158">
        <f>E87+F87+H87-I87-L87+G87-K87</f>
        <v>0</v>
      </c>
      <c r="N87" s="652">
        <f t="shared" si="26"/>
        <v>0</v>
      </c>
      <c r="O87" s="1159">
        <f t="shared" si="27"/>
        <v>0</v>
      </c>
      <c r="P87" s="804"/>
      <c r="Q87" s="804"/>
      <c r="R87" s="100">
        <f>O87/INTGRATE!$N$293</f>
        <v>0</v>
      </c>
      <c r="S87" s="665">
        <f>IF(R87=0,0,N87/R87)</f>
        <v>0</v>
      </c>
      <c r="T87" s="530"/>
      <c r="U87" s="136"/>
      <c r="V87" s="836" t="str">
        <f t="shared" si="20"/>
        <v>PP2025</v>
      </c>
      <c r="W87" s="823">
        <v>226501</v>
      </c>
      <c r="X87" s="386"/>
      <c r="Y87" s="386">
        <v>0</v>
      </c>
      <c r="Z87" s="100">
        <v>0</v>
      </c>
      <c r="AA87" s="100">
        <v>0</v>
      </c>
      <c r="AB87" s="100">
        <v>0</v>
      </c>
      <c r="AC87" s="100">
        <v>0</v>
      </c>
      <c r="AD87" s="100">
        <v>0</v>
      </c>
      <c r="AE87" s="100">
        <v>0</v>
      </c>
      <c r="AF87" s="100">
        <v>0</v>
      </c>
      <c r="AG87" s="100"/>
      <c r="AH87" s="100"/>
      <c r="AI87" s="100"/>
      <c r="AJ87" s="100"/>
      <c r="AK87" s="100"/>
      <c r="AL87" s="100"/>
      <c r="AM87" s="100"/>
      <c r="AN87" s="100"/>
      <c r="AO87" s="100"/>
      <c r="AP87" s="100"/>
      <c r="AQ87" s="100"/>
      <c r="AR87" s="100"/>
      <c r="AS87" s="100"/>
      <c r="AT87" s="100"/>
      <c r="AU87" s="100"/>
      <c r="AV87" s="100"/>
      <c r="AW87" s="100"/>
      <c r="AX87" s="230"/>
      <c r="AY87" s="100"/>
      <c r="AZ87" s="100"/>
      <c r="BA87" s="100"/>
      <c r="BB87" s="100"/>
      <c r="BC87" s="276">
        <f t="shared" si="23"/>
        <v>0</v>
      </c>
      <c r="BD87" s="786">
        <f t="shared" si="24"/>
        <v>0</v>
      </c>
      <c r="BE87" s="786">
        <f t="shared" si="25"/>
        <v>0</v>
      </c>
      <c r="BF87" s="38"/>
      <c r="BG87" s="38"/>
      <c r="BH87" s="436"/>
      <c r="BI87" s="38"/>
      <c r="BJ87" s="38"/>
      <c r="BK87" s="38"/>
      <c r="BL87" s="38"/>
      <c r="BM87" s="38"/>
      <c r="BN87" s="38"/>
      <c r="BO87" s="38"/>
      <c r="BP87" s="38"/>
      <c r="BQ87" s="38"/>
      <c r="BR87" s="38"/>
      <c r="BS87" s="38"/>
      <c r="BT87" s="38"/>
      <c r="BU87" s="38"/>
      <c r="BV87" s="38"/>
      <c r="BW87" s="38"/>
      <c r="BX87" s="38"/>
      <c r="BY87" s="38"/>
      <c r="BZ87" s="38"/>
      <c r="CA87" s="38"/>
      <c r="CB87" s="38"/>
      <c r="CC87" s="38"/>
      <c r="CD87" s="38"/>
      <c r="CE87" s="38"/>
      <c r="CF87" s="38"/>
      <c r="CG87" s="38"/>
      <c r="CH87" s="38"/>
      <c r="CI87" s="38"/>
      <c r="CJ87" s="38"/>
      <c r="CK87" s="38"/>
      <c r="CL87" s="38"/>
      <c r="CM87" s="38"/>
      <c r="CN87" s="38"/>
      <c r="CO87" s="38"/>
      <c r="CP87" s="38"/>
      <c r="CQ87" s="38"/>
      <c r="CR87" s="38"/>
      <c r="CS87" s="38"/>
      <c r="CT87" s="38"/>
      <c r="CU87" s="38"/>
      <c r="CV87" s="38"/>
      <c r="CW87" s="38"/>
      <c r="CX87" s="38"/>
      <c r="CY87" s="38"/>
      <c r="CZ87" s="38"/>
      <c r="DA87" s="38"/>
      <c r="DB87" s="38"/>
      <c r="DC87" s="38"/>
      <c r="DD87" s="38"/>
      <c r="DE87" s="38"/>
      <c r="DF87" s="38"/>
      <c r="DG87" s="38"/>
      <c r="DH87" s="38"/>
      <c r="DI87" s="38"/>
      <c r="DJ87" s="38"/>
      <c r="DK87" s="38"/>
      <c r="DL87" s="38"/>
      <c r="DM87" s="38"/>
      <c r="DN87" s="38"/>
      <c r="DO87" s="38"/>
      <c r="DP87" s="38"/>
      <c r="DQ87" s="38"/>
      <c r="DR87" s="38"/>
      <c r="DS87" s="38"/>
      <c r="DT87" s="38"/>
      <c r="DU87" s="38"/>
      <c r="DV87" s="38"/>
      <c r="DW87" s="38"/>
      <c r="DX87" s="38"/>
      <c r="DY87" s="38"/>
      <c r="DZ87" s="38"/>
      <c r="EA87" s="38"/>
      <c r="EB87" s="38"/>
      <c r="EC87" s="38"/>
      <c r="ED87" s="38"/>
      <c r="EE87" s="38"/>
      <c r="EF87" s="38"/>
      <c r="EG87" s="38"/>
      <c r="EH87" s="38"/>
      <c r="EI87" s="38"/>
      <c r="EJ87" s="38"/>
      <c r="EK87" s="38"/>
      <c r="EL87" s="38"/>
      <c r="EM87" s="38"/>
      <c r="EN87" s="38"/>
      <c r="EO87" s="38"/>
      <c r="EP87" s="38"/>
      <c r="EQ87" s="38"/>
      <c r="ER87" s="38"/>
      <c r="ES87" s="38"/>
      <c r="ET87" s="38"/>
      <c r="EU87" s="38"/>
    </row>
    <row r="88" spans="1:151" s="38" customFormat="1" ht="15" customHeight="1">
      <c r="A88" s="91">
        <v>76</v>
      </c>
      <c r="B88" s="170" t="s">
        <v>153</v>
      </c>
      <c r="C88" s="538" t="s">
        <v>55</v>
      </c>
      <c r="D88" s="164">
        <v>25</v>
      </c>
      <c r="E88" s="100">
        <v>0</v>
      </c>
      <c r="F88" s="100">
        <f>SUMIF(pro!$A:$A,$V:$V,pro!$N:$N)</f>
        <v>0</v>
      </c>
      <c r="G88" s="100"/>
      <c r="H88" s="100">
        <f>SUMIF(CBIN!$A:$A,BRAN!$V:$V,CBIN!$G:$G)</f>
        <v>0</v>
      </c>
      <c r="I88" s="100">
        <f>SUMIF(data!$D:$D,$B88&amp;$D88,data!$J:$J)</f>
        <v>0</v>
      </c>
      <c r="J88" s="100">
        <f>SUMIF(data!$D:$D,$B88&amp;$D88,data!$K:$K)</f>
        <v>0</v>
      </c>
      <c r="K88" s="100">
        <f>SUMIF(AJOUT!$A:$A,BRAN!$V:$V,AJOUT!$L:$L)</f>
        <v>0</v>
      </c>
      <c r="L88" s="100">
        <f>SUMIF(CBOUT!$A:$A,BRAN!$V:$V,CBOUT!$G:$G)</f>
        <v>0</v>
      </c>
      <c r="M88" s="1158">
        <f>E88+F88+H88-I88-L88+G88-K88</f>
        <v>0</v>
      </c>
      <c r="N88" s="652">
        <f t="shared" si="26"/>
        <v>0</v>
      </c>
      <c r="O88" s="1159">
        <f t="shared" si="27"/>
        <v>0</v>
      </c>
      <c r="P88" s="804"/>
      <c r="Q88" s="804"/>
      <c r="R88" s="100">
        <f>O88/INTGRATE!$N$293</f>
        <v>0</v>
      </c>
      <c r="S88" s="665">
        <f t="shared" si="19"/>
        <v>0</v>
      </c>
      <c r="T88" s="403"/>
      <c r="U88" s="136"/>
      <c r="V88" s="836" t="str">
        <f t="shared" si="20"/>
        <v>550SBox25</v>
      </c>
      <c r="W88" s="823">
        <v>312001</v>
      </c>
      <c r="X88" s="386"/>
      <c r="Y88" s="386">
        <v>0</v>
      </c>
      <c r="Z88" s="100">
        <v>0</v>
      </c>
      <c r="AA88" s="100">
        <v>0</v>
      </c>
      <c r="AB88" s="100">
        <v>0</v>
      </c>
      <c r="AC88" s="100">
        <v>0</v>
      </c>
      <c r="AD88" s="100">
        <v>0</v>
      </c>
      <c r="AE88" s="100">
        <v>0</v>
      </c>
      <c r="AF88" s="100">
        <v>0</v>
      </c>
      <c r="AG88" s="100"/>
      <c r="AH88" s="100"/>
      <c r="AI88" s="100"/>
      <c r="AJ88" s="100"/>
      <c r="AK88" s="100"/>
      <c r="AL88" s="100"/>
      <c r="AM88" s="100"/>
      <c r="AN88" s="100"/>
      <c r="AO88" s="100"/>
      <c r="AP88" s="100"/>
      <c r="AQ88" s="100"/>
      <c r="AR88" s="100"/>
      <c r="AS88" s="100"/>
      <c r="AT88" s="100"/>
      <c r="AU88" s="100"/>
      <c r="AV88" s="100"/>
      <c r="AW88" s="100"/>
      <c r="AX88" s="230"/>
      <c r="AY88" s="100"/>
      <c r="AZ88" s="100"/>
      <c r="BA88" s="100"/>
      <c r="BB88" s="100"/>
      <c r="BC88" s="276">
        <f t="shared" si="23"/>
        <v>0</v>
      </c>
      <c r="BD88" s="786">
        <f t="shared" si="24"/>
        <v>0</v>
      </c>
      <c r="BE88" s="786">
        <f t="shared" si="25"/>
        <v>0</v>
      </c>
      <c r="BH88" s="436"/>
    </row>
    <row r="89" spans="1:151" s="38" customFormat="1" ht="15" customHeight="1">
      <c r="A89" s="91">
        <v>77</v>
      </c>
      <c r="B89" s="170" t="s">
        <v>154</v>
      </c>
      <c r="C89" s="163" t="s">
        <v>55</v>
      </c>
      <c r="D89" s="615" t="s">
        <v>66</v>
      </c>
      <c r="E89" s="425"/>
      <c r="F89" s="425">
        <f>J89</f>
        <v>0</v>
      </c>
      <c r="G89" s="425"/>
      <c r="H89" s="100">
        <f>SUMIF(CBIN!$A:$A,BRAN!$V:$V,CBIN!$G:$G)</f>
        <v>0</v>
      </c>
      <c r="I89" s="100">
        <f>SUMIF(data!$D:$D,$B89&amp;$D89,data!$J:$J)</f>
        <v>0</v>
      </c>
      <c r="J89" s="100">
        <f>SUMIF(data!$D:$D,$B89&amp;$D89,data!$K:$K)</f>
        <v>0</v>
      </c>
      <c r="K89" s="100">
        <f>SUMIF(AJOUT!$A:$A,BRAN!$V:$V,AJOUT!$L:$L)</f>
        <v>0</v>
      </c>
      <c r="L89" s="100">
        <f>SUMIF(CBOUT!$A:$A,BRAN!$V:$V,CBOUT!$G:$G)</f>
        <v>0</v>
      </c>
      <c r="M89" s="528"/>
      <c r="N89" s="652">
        <f t="shared" si="26"/>
        <v>0</v>
      </c>
      <c r="O89" s="1159">
        <f t="shared" si="27"/>
        <v>41920</v>
      </c>
      <c r="P89" s="427"/>
      <c r="Q89" s="427"/>
      <c r="R89" s="425">
        <f>O89/INTGRATE!$N$293</f>
        <v>4657.7777777777774</v>
      </c>
      <c r="S89" s="665">
        <f t="shared" si="19"/>
        <v>0</v>
      </c>
      <c r="T89" s="403"/>
      <c r="U89" s="136"/>
      <c r="V89" s="836" t="str">
        <f t="shared" si="20"/>
        <v>550SSILO</v>
      </c>
      <c r="W89" s="823">
        <v>312001</v>
      </c>
      <c r="X89" s="386"/>
      <c r="Y89" s="386">
        <v>13950</v>
      </c>
      <c r="Z89" s="100">
        <v>0</v>
      </c>
      <c r="AA89" s="100">
        <v>13800</v>
      </c>
      <c r="AB89" s="100">
        <v>0</v>
      </c>
      <c r="AC89" s="100">
        <v>0</v>
      </c>
      <c r="AD89" s="100">
        <v>0</v>
      </c>
      <c r="AE89" s="100">
        <v>14170</v>
      </c>
      <c r="AF89" s="100">
        <v>0</v>
      </c>
      <c r="AG89" s="100"/>
      <c r="AH89" s="425"/>
      <c r="AI89" s="100"/>
      <c r="AJ89" s="100"/>
      <c r="AK89" s="100"/>
      <c r="AL89" s="100"/>
      <c r="AM89" s="100"/>
      <c r="AN89" s="100"/>
      <c r="AO89" s="425"/>
      <c r="AP89" s="100"/>
      <c r="AQ89" s="425"/>
      <c r="AR89" s="100"/>
      <c r="AS89" s="100"/>
      <c r="AT89" s="100"/>
      <c r="AU89" s="100"/>
      <c r="AV89" s="100"/>
      <c r="AW89" s="100"/>
      <c r="AX89" s="230"/>
      <c r="AY89" s="100"/>
      <c r="AZ89" s="100"/>
      <c r="BA89" s="100"/>
      <c r="BB89" s="100"/>
      <c r="BC89" s="276">
        <f t="shared" si="23"/>
        <v>41920</v>
      </c>
      <c r="BD89" s="786">
        <f t="shared" si="24"/>
        <v>3</v>
      </c>
      <c r="BE89" s="786">
        <f t="shared" si="25"/>
        <v>13973.333333333334</v>
      </c>
      <c r="BH89" s="436"/>
    </row>
    <row r="90" spans="1:151" s="38" customFormat="1" ht="15" customHeight="1">
      <c r="A90" s="91">
        <v>78</v>
      </c>
      <c r="B90" s="170" t="s">
        <v>154</v>
      </c>
      <c r="C90" s="538" t="s">
        <v>55</v>
      </c>
      <c r="D90" s="164">
        <v>25</v>
      </c>
      <c r="E90" s="100">
        <v>158</v>
      </c>
      <c r="F90" s="100">
        <f>SUMIF(pro!$A:$A,$V:$V,pro!$N:$N)</f>
        <v>394</v>
      </c>
      <c r="G90" s="100"/>
      <c r="H90" s="100">
        <f>SUMIF(CBIN!$A:$A,BRAN!$V:$V,CBIN!$G:$G)</f>
        <v>0</v>
      </c>
      <c r="I90" s="100">
        <f>SUMIF(data!$D:$D,$B90&amp;$D90,data!$J:$J)</f>
        <v>0</v>
      </c>
      <c r="J90" s="100">
        <f>SUMIF(data!$D:$D,$B90&amp;$D90,data!$K:$K)</f>
        <v>0</v>
      </c>
      <c r="K90" s="100">
        <f>SUMIF(AJOUT!$A:$A,BRAN!$V:$V,AJOUT!$L:$L)</f>
        <v>0</v>
      </c>
      <c r="L90" s="100">
        <f>SUMIF(CBOUT!$A:$A,BRAN!$V:$V,CBOUT!$G:$G)</f>
        <v>0</v>
      </c>
      <c r="M90" s="1158">
        <f>E90+F90+H90-I90-L90+G90-K90</f>
        <v>552</v>
      </c>
      <c r="N90" s="652">
        <f t="shared" si="26"/>
        <v>13800</v>
      </c>
      <c r="O90" s="1159">
        <f t="shared" si="27"/>
        <v>15800</v>
      </c>
      <c r="P90" s="804"/>
      <c r="Q90" s="804"/>
      <c r="R90" s="100">
        <f>O90/INTGRATE!$N$293</f>
        <v>1755.5555555555557</v>
      </c>
      <c r="S90" s="665">
        <f t="shared" si="19"/>
        <v>7.8607594936708853</v>
      </c>
      <c r="T90" s="403"/>
      <c r="U90" s="136"/>
      <c r="V90" s="836" t="str">
        <f t="shared" si="20"/>
        <v>550S25</v>
      </c>
      <c r="W90" s="823">
        <v>312001</v>
      </c>
      <c r="X90" s="386"/>
      <c r="Y90" s="386">
        <v>2200</v>
      </c>
      <c r="Z90" s="100">
        <v>1225</v>
      </c>
      <c r="AA90" s="100">
        <v>2550</v>
      </c>
      <c r="AB90" s="100">
        <v>2325</v>
      </c>
      <c r="AC90" s="100">
        <v>3625</v>
      </c>
      <c r="AD90" s="100">
        <v>750</v>
      </c>
      <c r="AE90" s="100">
        <v>2175</v>
      </c>
      <c r="AF90" s="100">
        <v>950</v>
      </c>
      <c r="AG90" s="100"/>
      <c r="AH90" s="100"/>
      <c r="AI90" s="100"/>
      <c r="AJ90" s="100"/>
      <c r="AK90" s="100"/>
      <c r="AL90" s="100"/>
      <c r="AM90" s="100"/>
      <c r="AN90" s="100"/>
      <c r="AO90" s="100"/>
      <c r="AP90" s="100"/>
      <c r="AQ90" s="100"/>
      <c r="AR90" s="100"/>
      <c r="AS90" s="100"/>
      <c r="AT90" s="100"/>
      <c r="AU90" s="100"/>
      <c r="AV90" s="100"/>
      <c r="AW90" s="100"/>
      <c r="AX90" s="230"/>
      <c r="AY90" s="100"/>
      <c r="AZ90" s="100"/>
      <c r="BA90" s="100"/>
      <c r="BB90" s="100"/>
      <c r="BC90" s="276">
        <f t="shared" si="23"/>
        <v>15800</v>
      </c>
      <c r="BD90" s="786">
        <f t="shared" si="24"/>
        <v>8</v>
      </c>
      <c r="BE90" s="786">
        <f t="shared" si="25"/>
        <v>1975</v>
      </c>
      <c r="BF90" s="85"/>
      <c r="BH90" s="436"/>
    </row>
    <row r="91" spans="1:151" s="38" customFormat="1" ht="15" customHeight="1">
      <c r="A91" s="91">
        <v>79</v>
      </c>
      <c r="B91" s="170" t="s">
        <v>155</v>
      </c>
      <c r="C91" s="538" t="s">
        <v>55</v>
      </c>
      <c r="D91" s="164">
        <v>25</v>
      </c>
      <c r="E91" s="100">
        <v>1</v>
      </c>
      <c r="F91" s="100">
        <f>SUMIF(pro!$A:$A,$V:$V,pro!$N:$N)</f>
        <v>281</v>
      </c>
      <c r="G91" s="100"/>
      <c r="H91" s="100">
        <f>SUMIF(CBIN!$A:$A,BRAN!$V:$V,CBIN!$G:$G)</f>
        <v>0</v>
      </c>
      <c r="I91" s="100">
        <f>SUMIF(data!$D:$D,$B91&amp;$D91,data!$J:$J)</f>
        <v>0</v>
      </c>
      <c r="J91" s="100">
        <f>SUMIF(data!$D:$D,$B91&amp;$D91,data!$K:$K)</f>
        <v>0</v>
      </c>
      <c r="K91" s="100">
        <f>SUMIF(AJOUT!$A:$A,BRAN!$V:$V,AJOUT!$L:$L)</f>
        <v>0</v>
      </c>
      <c r="L91" s="100">
        <f>SUMIF(CBOUT!$A:$A,BRAN!$V:$V,CBOUT!$G:$G)</f>
        <v>0</v>
      </c>
      <c r="M91" s="1158">
        <f>E91+F91+H91-I91-L91+G91-K91</f>
        <v>282</v>
      </c>
      <c r="N91" s="652">
        <f t="shared" si="26"/>
        <v>7050</v>
      </c>
      <c r="O91" s="1159">
        <f t="shared" si="27"/>
        <v>14925</v>
      </c>
      <c r="P91" s="804"/>
      <c r="Q91" s="804"/>
      <c r="R91" s="100">
        <f>O91/INTGRATE!$N$293</f>
        <v>1658.3333333333333</v>
      </c>
      <c r="S91" s="665">
        <f>IF(R91=0,0,N91/R91)</f>
        <v>4.2512562814070352</v>
      </c>
      <c r="T91" s="403"/>
      <c r="U91" s="136"/>
      <c r="V91" s="836" t="str">
        <f t="shared" si="20"/>
        <v>550SX25</v>
      </c>
      <c r="W91" s="823">
        <v>312008</v>
      </c>
      <c r="X91" s="386"/>
      <c r="Y91" s="386">
        <v>0</v>
      </c>
      <c r="Z91" s="100">
        <v>0</v>
      </c>
      <c r="AA91" s="100">
        <v>0</v>
      </c>
      <c r="AB91" s="100">
        <v>0</v>
      </c>
      <c r="AC91" s="100">
        <v>14925</v>
      </c>
      <c r="AD91" s="100">
        <v>0</v>
      </c>
      <c r="AE91" s="100">
        <v>0</v>
      </c>
      <c r="AF91" s="100">
        <v>0</v>
      </c>
      <c r="AG91" s="100"/>
      <c r="AH91" s="100"/>
      <c r="AI91" s="100"/>
      <c r="AJ91" s="100"/>
      <c r="AK91" s="100"/>
      <c r="AL91" s="100"/>
      <c r="AM91" s="100"/>
      <c r="AN91" s="100"/>
      <c r="AO91" s="100"/>
      <c r="AP91" s="100"/>
      <c r="AQ91" s="100"/>
      <c r="AR91" s="100"/>
      <c r="AS91" s="100"/>
      <c r="AT91" s="100"/>
      <c r="AU91" s="100"/>
      <c r="AV91" s="100"/>
      <c r="AW91" s="100"/>
      <c r="AX91" s="230"/>
      <c r="AY91" s="100"/>
      <c r="AZ91" s="100"/>
      <c r="BA91" s="100"/>
      <c r="BB91" s="100"/>
      <c r="BC91" s="276">
        <f t="shared" si="23"/>
        <v>14925</v>
      </c>
      <c r="BD91" s="786">
        <f t="shared" si="24"/>
        <v>1</v>
      </c>
      <c r="BE91" s="786">
        <f t="shared" si="25"/>
        <v>14925</v>
      </c>
      <c r="BF91" s="85"/>
      <c r="BH91" s="436"/>
    </row>
    <row r="92" spans="1:151" s="38" customFormat="1" ht="15" customHeight="1">
      <c r="A92" s="91">
        <v>80</v>
      </c>
      <c r="B92" s="170" t="s">
        <v>155</v>
      </c>
      <c r="C92" s="538" t="s">
        <v>55</v>
      </c>
      <c r="D92" s="615" t="s">
        <v>66</v>
      </c>
      <c r="E92" s="100"/>
      <c r="F92" s="100">
        <f>+J92</f>
        <v>0</v>
      </c>
      <c r="G92" s="100"/>
      <c r="H92" s="100"/>
      <c r="I92" s="100">
        <f>SUMIF(data!$D:$D,$B92&amp;$D92,data!$J:$J)</f>
        <v>0</v>
      </c>
      <c r="J92" s="100">
        <f>SUMIF(data!$D:$D,$B92&amp;$D92,data!$K:$K)</f>
        <v>0</v>
      </c>
      <c r="K92" s="100"/>
      <c r="L92" s="100"/>
      <c r="M92" s="1158"/>
      <c r="N92" s="652"/>
      <c r="O92" s="1159">
        <f t="shared" ref="O92:O93" si="28">SUM(X92:BB92)</f>
        <v>6940</v>
      </c>
      <c r="P92" s="804"/>
      <c r="Q92" s="804"/>
      <c r="R92" s="100">
        <f>O92/INTGRATE!$N$293</f>
        <v>771.11111111111109</v>
      </c>
      <c r="S92" s="665">
        <f t="shared" ref="S92:S93" si="29">IF(R92=0,0,N92/R92)</f>
        <v>0</v>
      </c>
      <c r="T92" s="403"/>
      <c r="U92" s="136"/>
      <c r="V92" s="836" t="str">
        <f t="shared" si="20"/>
        <v>550SXSILO</v>
      </c>
      <c r="W92" s="823">
        <v>312008</v>
      </c>
      <c r="X92" s="386"/>
      <c r="Y92" s="386">
        <v>0</v>
      </c>
      <c r="Z92" s="100">
        <v>0</v>
      </c>
      <c r="AA92" s="100">
        <v>0</v>
      </c>
      <c r="AB92" s="100">
        <v>0</v>
      </c>
      <c r="AC92" s="100">
        <v>6940</v>
      </c>
      <c r="AD92" s="100">
        <v>0</v>
      </c>
      <c r="AE92" s="100">
        <v>0</v>
      </c>
      <c r="AF92" s="100">
        <v>0</v>
      </c>
      <c r="AG92" s="100"/>
      <c r="AH92" s="100"/>
      <c r="AI92" s="100"/>
      <c r="AJ92" s="100"/>
      <c r="AK92" s="100"/>
      <c r="AL92" s="100"/>
      <c r="AM92" s="100"/>
      <c r="AN92" s="100"/>
      <c r="AO92" s="100"/>
      <c r="AP92" s="100"/>
      <c r="AQ92" s="100"/>
      <c r="AR92" s="100"/>
      <c r="AS92" s="100"/>
      <c r="AT92" s="100"/>
      <c r="AU92" s="100"/>
      <c r="AV92" s="100"/>
      <c r="AW92" s="100"/>
      <c r="AX92" s="230"/>
      <c r="AY92" s="100"/>
      <c r="AZ92" s="100"/>
      <c r="BA92" s="100"/>
      <c r="BB92" s="100"/>
      <c r="BC92" s="276">
        <f t="shared" si="23"/>
        <v>6940</v>
      </c>
      <c r="BD92" s="786">
        <f t="shared" si="24"/>
        <v>1</v>
      </c>
      <c r="BE92" s="786">
        <f t="shared" si="25"/>
        <v>6940</v>
      </c>
      <c r="BF92" s="85"/>
      <c r="BH92" s="436"/>
    </row>
    <row r="93" spans="1:151" s="38" customFormat="1" ht="15" customHeight="1">
      <c r="A93" s="91">
        <v>81</v>
      </c>
      <c r="B93" s="170" t="s">
        <v>54</v>
      </c>
      <c r="C93" s="538" t="s">
        <v>55</v>
      </c>
      <c r="D93" s="164">
        <v>25</v>
      </c>
      <c r="E93" s="100">
        <v>213</v>
      </c>
      <c r="F93" s="100">
        <f>SUMIF(pro!$A:$A,$V:$V,pro!$N:$N)</f>
        <v>0</v>
      </c>
      <c r="G93" s="100"/>
      <c r="H93" s="100">
        <f>SUMIF(CBIN!$A:$A,BRAN!$V:$V,CBIN!$G:$G)</f>
        <v>0</v>
      </c>
      <c r="I93" s="100">
        <f>SUMIF(data!$D:$D,$B93&amp;$D93,data!$J:$J)</f>
        <v>0</v>
      </c>
      <c r="J93" s="100">
        <f>SUMIF(data!$D:$D,$B93&amp;$D93,data!$K:$K)</f>
        <v>0</v>
      </c>
      <c r="K93" s="100">
        <f>SUMIF(AJOUT!$A:$A,BRAN!$V:$V,AJOUT!$L:$L)</f>
        <v>0</v>
      </c>
      <c r="L93" s="100">
        <f>SUMIF(CBOUT!$A:$A,BRAN!$V:$V,CBOUT!$G:$G)</f>
        <v>0</v>
      </c>
      <c r="M93" s="1158">
        <f t="shared" ref="M93:M104" si="30">E93+F93+H93-I93-L93+G93-K93</f>
        <v>213</v>
      </c>
      <c r="N93" s="652">
        <f t="shared" si="26"/>
        <v>5325</v>
      </c>
      <c r="O93" s="1159">
        <f t="shared" si="28"/>
        <v>43775</v>
      </c>
      <c r="P93" s="804"/>
      <c r="Q93" s="804"/>
      <c r="R93" s="100">
        <f>O93/INTGRATE!$N$293</f>
        <v>4863.8888888888887</v>
      </c>
      <c r="S93" s="665">
        <f t="shared" si="29"/>
        <v>1.094802969731582</v>
      </c>
      <c r="T93" s="403"/>
      <c r="U93" s="136"/>
      <c r="V93" s="836" t="str">
        <f t="shared" si="20"/>
        <v>550Pro25</v>
      </c>
      <c r="W93" s="823">
        <v>312021</v>
      </c>
      <c r="X93" s="386"/>
      <c r="Y93" s="386">
        <v>17950</v>
      </c>
      <c r="Z93" s="100">
        <v>50</v>
      </c>
      <c r="AA93" s="100">
        <v>4325</v>
      </c>
      <c r="AB93" s="100">
        <v>125</v>
      </c>
      <c r="AC93" s="100">
        <v>4000</v>
      </c>
      <c r="AD93" s="100">
        <v>9750</v>
      </c>
      <c r="AE93" s="100">
        <v>2025</v>
      </c>
      <c r="AF93" s="100">
        <v>5550</v>
      </c>
      <c r="AG93" s="100"/>
      <c r="AH93" s="100"/>
      <c r="AI93" s="100"/>
      <c r="AJ93" s="100"/>
      <c r="AK93" s="100"/>
      <c r="AL93" s="100"/>
      <c r="AM93" s="100"/>
      <c r="AN93" s="100"/>
      <c r="AO93" s="100"/>
      <c r="AP93" s="100"/>
      <c r="AQ93" s="100"/>
      <c r="AR93" s="100"/>
      <c r="AS93" s="100"/>
      <c r="AT93" s="100"/>
      <c r="AU93" s="100"/>
      <c r="AV93" s="100"/>
      <c r="AW93" s="100"/>
      <c r="AX93" s="230"/>
      <c r="AY93" s="100"/>
      <c r="AZ93" s="100"/>
      <c r="BA93" s="100"/>
      <c r="BB93" s="100"/>
      <c r="BC93" s="276">
        <f t="shared" si="23"/>
        <v>43775</v>
      </c>
      <c r="BD93" s="786">
        <f t="shared" si="24"/>
        <v>8</v>
      </c>
      <c r="BE93" s="786">
        <f t="shared" si="25"/>
        <v>5471.875</v>
      </c>
      <c r="BF93" s="85"/>
      <c r="BH93" s="436"/>
    </row>
    <row r="94" spans="1:151" s="38" customFormat="1" ht="15" customHeight="1">
      <c r="A94" s="91">
        <v>82</v>
      </c>
      <c r="B94" s="170" t="s">
        <v>54</v>
      </c>
      <c r="C94" s="538" t="s">
        <v>55</v>
      </c>
      <c r="D94" s="615" t="s">
        <v>58</v>
      </c>
      <c r="E94" s="100">
        <v>0</v>
      </c>
      <c r="F94" s="425">
        <f>+J94</f>
        <v>0</v>
      </c>
      <c r="G94" s="100"/>
      <c r="H94" s="100">
        <f>SUMIF(CBIN!$A:$A,BRAN!$V:$V,CBIN!$G:$G)</f>
        <v>0</v>
      </c>
      <c r="I94" s="100">
        <f>SUMIF(data!$D:$D,$B94&amp;$D94,data!$J:$J)</f>
        <v>0</v>
      </c>
      <c r="J94" s="100">
        <f>SUMIF(data!$D:$D,$B94&amp;$D94,data!$K:$K)</f>
        <v>0</v>
      </c>
      <c r="K94" s="100">
        <f>SUMIF(AJOUT!$A:$A,BRAN!$V:$V,AJOUT!$L:$L)</f>
        <v>0</v>
      </c>
      <c r="L94" s="100">
        <f>SUMIF(CBOUT!$A:$A,BRAN!$V:$V,CBOUT!$G:$G)</f>
        <v>0</v>
      </c>
      <c r="M94" s="1158">
        <v>0</v>
      </c>
      <c r="N94" s="652">
        <f t="shared" si="26"/>
        <v>0</v>
      </c>
      <c r="O94" s="1159">
        <f t="shared" si="27"/>
        <v>24180</v>
      </c>
      <c r="P94" s="804"/>
      <c r="Q94" s="804"/>
      <c r="R94" s="100">
        <f>O94/INTGRATE!$N$293</f>
        <v>2686.6666666666665</v>
      </c>
      <c r="S94" s="665">
        <f t="shared" si="19"/>
        <v>0</v>
      </c>
      <c r="T94" s="403"/>
      <c r="U94" s="136"/>
      <c r="V94" s="836" t="str">
        <f t="shared" si="20"/>
        <v>550Prosilo</v>
      </c>
      <c r="W94" s="823">
        <v>312021</v>
      </c>
      <c r="X94" s="386"/>
      <c r="Y94" s="386">
        <v>6000</v>
      </c>
      <c r="Z94" s="100">
        <v>0</v>
      </c>
      <c r="AA94" s="100">
        <v>18180</v>
      </c>
      <c r="AB94" s="100">
        <v>0</v>
      </c>
      <c r="AC94" s="100">
        <v>0</v>
      </c>
      <c r="AD94" s="100">
        <v>0</v>
      </c>
      <c r="AE94" s="100">
        <v>0</v>
      </c>
      <c r="AF94" s="100">
        <v>0</v>
      </c>
      <c r="AG94" s="100"/>
      <c r="AH94" s="100"/>
      <c r="AI94" s="100"/>
      <c r="AJ94" s="100"/>
      <c r="AK94" s="100"/>
      <c r="AL94" s="100"/>
      <c r="AM94" s="100"/>
      <c r="AN94" s="100"/>
      <c r="AO94" s="425"/>
      <c r="AP94" s="100"/>
      <c r="AQ94" s="100"/>
      <c r="AR94" s="100"/>
      <c r="AS94" s="100"/>
      <c r="AT94" s="100"/>
      <c r="AU94" s="100"/>
      <c r="AV94" s="100"/>
      <c r="AW94" s="100"/>
      <c r="AX94" s="230"/>
      <c r="AY94" s="100"/>
      <c r="AZ94" s="100"/>
      <c r="BA94" s="100"/>
      <c r="BB94" s="100"/>
      <c r="BC94" s="276">
        <f t="shared" si="23"/>
        <v>24180</v>
      </c>
      <c r="BD94" s="786">
        <f t="shared" si="24"/>
        <v>2</v>
      </c>
      <c r="BE94" s="786">
        <f t="shared" si="25"/>
        <v>12090</v>
      </c>
      <c r="BF94" s="85"/>
      <c r="BH94" s="436"/>
    </row>
    <row r="95" spans="1:151" s="38" customFormat="1" ht="15" customHeight="1">
      <c r="A95" s="91">
        <v>83</v>
      </c>
      <c r="B95" s="170" t="s">
        <v>57</v>
      </c>
      <c r="C95" s="538" t="s">
        <v>55</v>
      </c>
      <c r="D95" s="664">
        <v>25</v>
      </c>
      <c r="E95" s="100">
        <v>0</v>
      </c>
      <c r="F95" s="100">
        <f>SUMIF(pro!$A:$A,$V:$V,pro!$N:$N)</f>
        <v>0</v>
      </c>
      <c r="G95" s="561"/>
      <c r="H95" s="100">
        <f>SUMIF(CBIN!$A:$A,BRAN!$V:$V,CBIN!$G:$G)</f>
        <v>0</v>
      </c>
      <c r="I95" s="100">
        <f>SUMIF(data!$D:$D,$B95&amp;$D95,data!$J:$J)</f>
        <v>0</v>
      </c>
      <c r="J95" s="100">
        <f>SUMIF(data!$D:$D,$B95&amp;$D95,data!$K:$K)</f>
        <v>0</v>
      </c>
      <c r="K95" s="100">
        <f>SUMIF(AJOUT!$A:$A,BRAN!$V:$V,AJOUT!$L:$L)</f>
        <v>0</v>
      </c>
      <c r="L95" s="100">
        <f>SUMIF(CBOUT!$A:$A,BRAN!$V:$V,CBOUT!$G:$G)</f>
        <v>0</v>
      </c>
      <c r="M95" s="1158">
        <f t="shared" si="30"/>
        <v>0</v>
      </c>
      <c r="N95" s="652">
        <f t="shared" si="26"/>
        <v>0</v>
      </c>
      <c r="O95" s="1159">
        <f t="shared" si="27"/>
        <v>0</v>
      </c>
      <c r="P95" s="663"/>
      <c r="Q95" s="663"/>
      <c r="R95" s="561">
        <f>O95/INTGRATE!$N$293</f>
        <v>0</v>
      </c>
      <c r="S95" s="665">
        <f t="shared" si="19"/>
        <v>0</v>
      </c>
      <c r="T95" s="403"/>
      <c r="U95" s="136"/>
      <c r="V95" s="836" t="str">
        <f t="shared" si="20"/>
        <v>550XPro25</v>
      </c>
      <c r="W95" s="823">
        <v>312028</v>
      </c>
      <c r="X95" s="386"/>
      <c r="Y95" s="386">
        <v>0</v>
      </c>
      <c r="Z95" s="100">
        <v>0</v>
      </c>
      <c r="AA95" s="100">
        <v>0</v>
      </c>
      <c r="AB95" s="100">
        <v>0</v>
      </c>
      <c r="AC95" s="100">
        <v>0</v>
      </c>
      <c r="AD95" s="100">
        <v>0</v>
      </c>
      <c r="AE95" s="100">
        <v>0</v>
      </c>
      <c r="AF95" s="100">
        <v>0</v>
      </c>
      <c r="AG95" s="100"/>
      <c r="AH95" s="100"/>
      <c r="AI95" s="100"/>
      <c r="AJ95" s="100"/>
      <c r="AK95" s="100"/>
      <c r="AL95" s="100"/>
      <c r="AM95" s="100"/>
      <c r="AN95" s="100"/>
      <c r="AO95" s="425"/>
      <c r="AP95" s="100"/>
      <c r="AQ95" s="100"/>
      <c r="AR95" s="100"/>
      <c r="AS95" s="100"/>
      <c r="AT95" s="100"/>
      <c r="AU95" s="100"/>
      <c r="AV95" s="100"/>
      <c r="AW95" s="100"/>
      <c r="AX95" s="230"/>
      <c r="AY95" s="100"/>
      <c r="AZ95" s="100"/>
      <c r="BA95" s="100"/>
      <c r="BB95" s="100"/>
      <c r="BC95" s="276">
        <f t="shared" si="23"/>
        <v>0</v>
      </c>
      <c r="BD95" s="786">
        <f t="shared" si="24"/>
        <v>0</v>
      </c>
      <c r="BE95" s="786">
        <f t="shared" si="25"/>
        <v>0</v>
      </c>
      <c r="BF95" s="85"/>
      <c r="BH95" s="436"/>
    </row>
    <row r="96" spans="1:151" s="38" customFormat="1" ht="15" customHeight="1">
      <c r="A96" s="91">
        <v>84</v>
      </c>
      <c r="B96" s="170" t="s">
        <v>57</v>
      </c>
      <c r="C96" s="538" t="s">
        <v>55</v>
      </c>
      <c r="D96" s="615" t="s">
        <v>58</v>
      </c>
      <c r="E96" s="100"/>
      <c r="F96" s="425">
        <f>+J96</f>
        <v>0</v>
      </c>
      <c r="G96" s="561"/>
      <c r="H96" s="100">
        <f>SUMIF(CBIN!$A:$A,BRAN!$V:$V,CBIN!$G:$G)</f>
        <v>0</v>
      </c>
      <c r="I96" s="100">
        <f>SUMIF(data!$D:$D,$B96&amp;$D96,data!$J:$J)</f>
        <v>0</v>
      </c>
      <c r="J96" s="100">
        <f>SUMIF(data!$D:$D,$B96&amp;$D96,data!$K:$K)</f>
        <v>0</v>
      </c>
      <c r="K96" s="100">
        <f>SUMIF(AJOUT!$A:$A,BRAN!$V:$V,AJOUT!$L:$L)</f>
        <v>0</v>
      </c>
      <c r="L96" s="100">
        <f>SUMIF(CBOUT!$A:$A,BRAN!$V:$V,CBOUT!$G:$G)</f>
        <v>0</v>
      </c>
      <c r="M96" s="1158"/>
      <c r="N96" s="652">
        <f t="shared" ref="N96:N97" si="31">M96*25</f>
        <v>0</v>
      </c>
      <c r="O96" s="1159">
        <f t="shared" ref="O96:O97" si="32">SUM(X96:BB96)</f>
        <v>6030</v>
      </c>
      <c r="P96" s="663"/>
      <c r="Q96" s="663"/>
      <c r="R96" s="561">
        <f>O96/INTGRATE!$N$293</f>
        <v>670</v>
      </c>
      <c r="S96" s="665">
        <f t="shared" ref="S96:S97" si="33">IF(R96=0,0,N96/R96)</f>
        <v>0</v>
      </c>
      <c r="T96" s="403"/>
      <c r="U96" s="136"/>
      <c r="V96" s="836" t="str">
        <f t="shared" ref="V96" si="34">B96&amp;D96</f>
        <v>550XProsilo</v>
      </c>
      <c r="W96" s="823">
        <v>312028</v>
      </c>
      <c r="X96" s="386"/>
      <c r="Y96" s="386">
        <v>0</v>
      </c>
      <c r="Z96" s="100">
        <v>0</v>
      </c>
      <c r="AA96" s="100">
        <v>0</v>
      </c>
      <c r="AB96" s="100">
        <v>0</v>
      </c>
      <c r="AC96" s="100">
        <v>0</v>
      </c>
      <c r="AD96" s="100">
        <v>0</v>
      </c>
      <c r="AE96" s="100">
        <v>6030</v>
      </c>
      <c r="AF96" s="100">
        <v>0</v>
      </c>
      <c r="AG96" s="100"/>
      <c r="AH96" s="100"/>
      <c r="AI96" s="100"/>
      <c r="AJ96" s="100"/>
      <c r="AK96" s="100"/>
      <c r="AL96" s="100"/>
      <c r="AM96" s="100"/>
      <c r="AN96" s="100"/>
      <c r="AO96" s="425"/>
      <c r="AP96" s="100"/>
      <c r="AQ96" s="100"/>
      <c r="AR96" s="100"/>
      <c r="AS96" s="100"/>
      <c r="AT96" s="100"/>
      <c r="AU96" s="100"/>
      <c r="AV96" s="100"/>
      <c r="AW96" s="100"/>
      <c r="AX96" s="230"/>
      <c r="AY96" s="100"/>
      <c r="AZ96" s="100"/>
      <c r="BA96" s="100"/>
      <c r="BB96" s="100"/>
      <c r="BC96" s="276">
        <f t="shared" si="23"/>
        <v>6030</v>
      </c>
      <c r="BD96" s="786">
        <f t="shared" si="24"/>
        <v>1</v>
      </c>
      <c r="BE96" s="786">
        <f t="shared" si="25"/>
        <v>6030</v>
      </c>
      <c r="BF96" s="85"/>
      <c r="BH96" s="436"/>
    </row>
    <row r="97" spans="1:60" s="38" customFormat="1" ht="15" customHeight="1">
      <c r="A97" s="91">
        <v>85</v>
      </c>
      <c r="B97" s="170" t="s">
        <v>156</v>
      </c>
      <c r="C97" s="538" t="s">
        <v>61</v>
      </c>
      <c r="D97" s="664">
        <v>25</v>
      </c>
      <c r="E97" s="100">
        <v>0</v>
      </c>
      <c r="F97" s="100">
        <f>SUMIF(pro!$A:$A,$V:$V,pro!$N:$N)</f>
        <v>0</v>
      </c>
      <c r="G97" s="561"/>
      <c r="H97" s="100">
        <f>SUMIF(CBIN!$A:$A,BRAN!$V:$V,CBIN!$G:$G)</f>
        <v>0</v>
      </c>
      <c r="I97" s="100">
        <f>SUMIF(data!$D:$D,$B97&amp;$D97,data!$J:$J)</f>
        <v>0</v>
      </c>
      <c r="J97" s="100">
        <f>SUMIF(data!$D:$D,$B97&amp;$D97,data!$K:$K)</f>
        <v>0</v>
      </c>
      <c r="K97" s="100">
        <f>SUMIF(AJOUT!$A:$A,BRAN!$V:$V,AJOUT!$L:$L)</f>
        <v>0</v>
      </c>
      <c r="L97" s="100">
        <f>SUMIF(CBOUT!$A:$A,BRAN!$V:$V,CBOUT!$G:$G)</f>
        <v>0</v>
      </c>
      <c r="M97" s="1158">
        <f t="shared" si="30"/>
        <v>0</v>
      </c>
      <c r="N97" s="652">
        <f t="shared" si="31"/>
        <v>0</v>
      </c>
      <c r="O97" s="1159">
        <f t="shared" si="32"/>
        <v>12475</v>
      </c>
      <c r="P97" s="663"/>
      <c r="Q97" s="663"/>
      <c r="R97" s="561">
        <f>O97/INTGRATE!$N$293</f>
        <v>1386.1111111111111</v>
      </c>
      <c r="S97" s="665">
        <f t="shared" si="33"/>
        <v>0</v>
      </c>
      <c r="T97" s="403"/>
      <c r="U97" s="136"/>
      <c r="V97" s="836" t="str">
        <f t="shared" si="20"/>
        <v>551X25</v>
      </c>
      <c r="W97" s="823">
        <v>314008</v>
      </c>
      <c r="X97" s="386"/>
      <c r="Y97" s="386">
        <v>0</v>
      </c>
      <c r="Z97" s="100">
        <v>0</v>
      </c>
      <c r="AA97" s="100">
        <v>5000</v>
      </c>
      <c r="AB97" s="100">
        <v>0</v>
      </c>
      <c r="AC97" s="100">
        <v>7475</v>
      </c>
      <c r="AD97" s="100">
        <v>0</v>
      </c>
      <c r="AE97" s="100">
        <v>0</v>
      </c>
      <c r="AF97" s="100">
        <v>0</v>
      </c>
      <c r="AG97" s="100"/>
      <c r="AH97" s="100"/>
      <c r="AI97" s="100"/>
      <c r="AJ97" s="100"/>
      <c r="AK97" s="100"/>
      <c r="AL97" s="100"/>
      <c r="AM97" s="100"/>
      <c r="AN97" s="100"/>
      <c r="AO97" s="425"/>
      <c r="AP97" s="100"/>
      <c r="AQ97" s="100"/>
      <c r="AR97" s="100"/>
      <c r="AS97" s="100"/>
      <c r="AT97" s="100"/>
      <c r="AU97" s="100"/>
      <c r="AV97" s="100"/>
      <c r="AW97" s="100"/>
      <c r="AX97" s="230"/>
      <c r="AY97" s="100"/>
      <c r="AZ97" s="100"/>
      <c r="BA97" s="100"/>
      <c r="BB97" s="100"/>
      <c r="BC97" s="276">
        <f t="shared" si="23"/>
        <v>12475</v>
      </c>
      <c r="BD97" s="786">
        <f t="shared" si="24"/>
        <v>2</v>
      </c>
      <c r="BE97" s="786">
        <f t="shared" si="25"/>
        <v>6237.5</v>
      </c>
      <c r="BF97" s="85"/>
      <c r="BH97" s="436"/>
    </row>
    <row r="98" spans="1:60" s="38" customFormat="1" ht="15" customHeight="1">
      <c r="A98" s="91">
        <v>86</v>
      </c>
      <c r="B98" s="170" t="s">
        <v>156</v>
      </c>
      <c r="C98" s="538" t="s">
        <v>61</v>
      </c>
      <c r="D98" s="615" t="s">
        <v>66</v>
      </c>
      <c r="E98" s="100"/>
      <c r="F98" s="100">
        <f>+J98</f>
        <v>0</v>
      </c>
      <c r="G98" s="561"/>
      <c r="H98" s="100"/>
      <c r="I98" s="100"/>
      <c r="J98" s="100">
        <f>SUMIF(data!$D:$D,$B98&amp;$D98,data!$K:$K)</f>
        <v>0</v>
      </c>
      <c r="K98" s="100"/>
      <c r="L98" s="100"/>
      <c r="M98" s="1158"/>
      <c r="N98" s="652">
        <f t="shared" si="26"/>
        <v>0</v>
      </c>
      <c r="O98" s="1159">
        <f t="shared" si="27"/>
        <v>0</v>
      </c>
      <c r="P98" s="663"/>
      <c r="Q98" s="663"/>
      <c r="R98" s="561"/>
      <c r="S98" s="665">
        <f t="shared" si="19"/>
        <v>0</v>
      </c>
      <c r="T98" s="403"/>
      <c r="U98" s="136"/>
      <c r="V98" s="836" t="str">
        <f t="shared" si="20"/>
        <v>551XSILO</v>
      </c>
      <c r="W98" s="823">
        <v>314008</v>
      </c>
      <c r="X98" s="386"/>
      <c r="Y98" s="386">
        <v>0</v>
      </c>
      <c r="Z98" s="100">
        <v>0</v>
      </c>
      <c r="AA98" s="100">
        <v>0</v>
      </c>
      <c r="AB98" s="100">
        <v>0</v>
      </c>
      <c r="AC98" s="100">
        <v>0</v>
      </c>
      <c r="AD98" s="100">
        <v>0</v>
      </c>
      <c r="AE98" s="100">
        <v>0</v>
      </c>
      <c r="AF98" s="100">
        <v>0</v>
      </c>
      <c r="AG98" s="100"/>
      <c r="AH98" s="100"/>
      <c r="AI98" s="100"/>
      <c r="AJ98" s="100"/>
      <c r="AK98" s="100"/>
      <c r="AL98" s="100"/>
      <c r="AM98" s="100"/>
      <c r="AN98" s="100"/>
      <c r="AO98" s="425"/>
      <c r="AP98" s="100"/>
      <c r="AQ98" s="100"/>
      <c r="AR98" s="100"/>
      <c r="AS98" s="100"/>
      <c r="AT98" s="100"/>
      <c r="AU98" s="100"/>
      <c r="AV98" s="100"/>
      <c r="AW98" s="100"/>
      <c r="AX98" s="230"/>
      <c r="AY98" s="100"/>
      <c r="AZ98" s="100"/>
      <c r="BA98" s="100"/>
      <c r="BB98" s="100"/>
      <c r="BC98" s="276">
        <f t="shared" si="23"/>
        <v>0</v>
      </c>
      <c r="BD98" s="786">
        <f t="shared" si="24"/>
        <v>0</v>
      </c>
      <c r="BE98" s="786">
        <f t="shared" si="25"/>
        <v>0</v>
      </c>
      <c r="BF98" s="85"/>
      <c r="BH98" s="436"/>
    </row>
    <row r="99" spans="1:60" s="38" customFormat="1" ht="15" customHeight="1">
      <c r="A99" s="91">
        <v>87</v>
      </c>
      <c r="B99" s="170" t="s">
        <v>157</v>
      </c>
      <c r="C99" s="538" t="s">
        <v>61</v>
      </c>
      <c r="D99" s="664">
        <v>25</v>
      </c>
      <c r="E99" s="100">
        <v>0</v>
      </c>
      <c r="F99" s="100">
        <f>SUMIF(pro!$A:$A,$V:$V,pro!$N:$N)</f>
        <v>0</v>
      </c>
      <c r="G99" s="561"/>
      <c r="H99" s="100">
        <f>SUMIF(CBIN!$A:$A,BRAN!$V:$V,CBIN!$G:$G)</f>
        <v>0</v>
      </c>
      <c r="I99" s="100">
        <f>SUMIF(data!$D:$D,$B99&amp;$D99,data!$J:$J)</f>
        <v>0</v>
      </c>
      <c r="J99" s="100">
        <f>SUMIF(data!$D:$D,$B99&amp;$D99,data!$K:$K)</f>
        <v>0</v>
      </c>
      <c r="K99" s="100">
        <f>SUMIF(AJOUT!$A:$A,BRAN!$V:$V,AJOUT!$L:$L)</f>
        <v>0</v>
      </c>
      <c r="L99" s="100">
        <f>SUMIF(CBOUT!$A:$A,BRAN!$V:$V,CBOUT!$G:$G)</f>
        <v>0</v>
      </c>
      <c r="M99" s="1158">
        <f>E99+F99+H99-I99-L99+G99-K99</f>
        <v>0</v>
      </c>
      <c r="N99" s="652">
        <f t="shared" si="26"/>
        <v>0</v>
      </c>
      <c r="O99" s="1159">
        <f t="shared" si="27"/>
        <v>0</v>
      </c>
      <c r="P99" s="663"/>
      <c r="Q99" s="663"/>
      <c r="R99" s="561">
        <f>O99/INTGRATE!$N$293</f>
        <v>0</v>
      </c>
      <c r="S99" s="665">
        <f>IF(R99=0,0,N99/R99)</f>
        <v>0</v>
      </c>
      <c r="T99" s="403"/>
      <c r="U99" s="136"/>
      <c r="V99" s="836" t="str">
        <f t="shared" si="20"/>
        <v>551X2625</v>
      </c>
      <c r="W99" s="823">
        <v>31400126</v>
      </c>
      <c r="X99" s="386"/>
      <c r="Y99" s="386">
        <v>0</v>
      </c>
      <c r="Z99" s="100">
        <v>0</v>
      </c>
      <c r="AA99" s="100">
        <v>0</v>
      </c>
      <c r="AB99" s="100">
        <v>0</v>
      </c>
      <c r="AC99" s="100">
        <v>0</v>
      </c>
      <c r="AD99" s="100">
        <v>0</v>
      </c>
      <c r="AE99" s="100">
        <v>0</v>
      </c>
      <c r="AF99" s="100">
        <v>0</v>
      </c>
      <c r="AG99" s="100"/>
      <c r="AH99" s="100"/>
      <c r="AI99" s="100"/>
      <c r="AJ99" s="100"/>
      <c r="AK99" s="100"/>
      <c r="AL99" s="100"/>
      <c r="AM99" s="100"/>
      <c r="AN99" s="100"/>
      <c r="AO99" s="425"/>
      <c r="AP99" s="100"/>
      <c r="AQ99" s="100"/>
      <c r="AR99" s="100"/>
      <c r="AS99" s="100"/>
      <c r="AT99" s="100"/>
      <c r="AU99" s="100"/>
      <c r="AV99" s="100"/>
      <c r="AW99" s="100"/>
      <c r="AX99" s="230"/>
      <c r="AY99" s="100"/>
      <c r="AZ99" s="100"/>
      <c r="BA99" s="100"/>
      <c r="BB99" s="100"/>
      <c r="BC99" s="276">
        <f t="shared" si="23"/>
        <v>0</v>
      </c>
      <c r="BD99" s="786">
        <f t="shared" si="24"/>
        <v>0</v>
      </c>
      <c r="BE99" s="786">
        <f t="shared" si="25"/>
        <v>0</v>
      </c>
      <c r="BF99" s="85"/>
      <c r="BH99" s="436"/>
    </row>
    <row r="100" spans="1:60" s="38" customFormat="1" ht="15" customHeight="1">
      <c r="A100" s="91">
        <v>88</v>
      </c>
      <c r="B100" s="170" t="s">
        <v>60</v>
      </c>
      <c r="C100" s="538" t="s">
        <v>61</v>
      </c>
      <c r="D100" s="664">
        <v>25</v>
      </c>
      <c r="E100" s="100">
        <v>0</v>
      </c>
      <c r="F100" s="100">
        <f>SUMIF(pro!$A:$A,$V:$V,pro!$N:$N)</f>
        <v>0</v>
      </c>
      <c r="G100" s="561"/>
      <c r="H100" s="100">
        <f>SUMIF(CBIN!$A:$A,BRAN!$V:$V,CBIN!$G:$G)</f>
        <v>0</v>
      </c>
      <c r="I100" s="100">
        <f>SUMIF(data!$D:$D,$B100&amp;$D100,data!$J:$J)</f>
        <v>0</v>
      </c>
      <c r="J100" s="100">
        <f>SUMIF(data!$D:$D,$B100&amp;$D100,data!$K:$K)</f>
        <v>0</v>
      </c>
      <c r="K100" s="100">
        <f>SUMIF(AJOUT!$A:$A,BRAN!$V:$V,AJOUT!$L:$L)</f>
        <v>0</v>
      </c>
      <c r="L100" s="100">
        <f>SUMIF(CBOUT!$A:$A,BRAN!$V:$V,CBOUT!$G:$G)</f>
        <v>0</v>
      </c>
      <c r="M100" s="1158">
        <f>E100+F100+H100-I100-L100+G100-K100</f>
        <v>0</v>
      </c>
      <c r="N100" s="652">
        <f>M100*25</f>
        <v>0</v>
      </c>
      <c r="O100" s="1159">
        <f>SUM(X100:BB100)</f>
        <v>0</v>
      </c>
      <c r="P100" s="663"/>
      <c r="Q100" s="663"/>
      <c r="R100" s="561">
        <f>O100/INTGRATE!$N$293</f>
        <v>0</v>
      </c>
      <c r="S100" s="665">
        <f>IF(R100=0,0,N100/R100)</f>
        <v>0</v>
      </c>
      <c r="T100" s="403"/>
      <c r="U100" s="136"/>
      <c r="V100" s="836" t="str">
        <f t="shared" si="20"/>
        <v>551XPRO25</v>
      </c>
      <c r="W100" s="823">
        <v>314028</v>
      </c>
      <c r="X100" s="386"/>
      <c r="Y100" s="386">
        <v>0</v>
      </c>
      <c r="Z100" s="100">
        <v>0</v>
      </c>
      <c r="AA100" s="100">
        <v>0</v>
      </c>
      <c r="AB100" s="100">
        <v>0</v>
      </c>
      <c r="AC100" s="100">
        <v>0</v>
      </c>
      <c r="AD100" s="100">
        <v>0</v>
      </c>
      <c r="AE100" s="100">
        <v>0</v>
      </c>
      <c r="AF100" s="100">
        <v>0</v>
      </c>
      <c r="AG100" s="100"/>
      <c r="AH100" s="100"/>
      <c r="AI100" s="100"/>
      <c r="AJ100" s="100"/>
      <c r="AK100" s="100"/>
      <c r="AL100" s="100"/>
      <c r="AM100" s="100"/>
      <c r="AN100" s="100"/>
      <c r="AO100" s="425"/>
      <c r="AP100" s="100"/>
      <c r="AQ100" s="100"/>
      <c r="AR100" s="100"/>
      <c r="AS100" s="100"/>
      <c r="AT100" s="100"/>
      <c r="AU100" s="100"/>
      <c r="AV100" s="100"/>
      <c r="AW100" s="100"/>
      <c r="AX100" s="230"/>
      <c r="AY100" s="100"/>
      <c r="AZ100" s="100"/>
      <c r="BA100" s="100"/>
      <c r="BB100" s="100"/>
      <c r="BC100" s="276">
        <f t="shared" si="23"/>
        <v>0</v>
      </c>
      <c r="BD100" s="786">
        <f t="shared" si="24"/>
        <v>0</v>
      </c>
      <c r="BE100" s="786">
        <f t="shared" si="25"/>
        <v>0</v>
      </c>
      <c r="BF100" s="85"/>
      <c r="BH100" s="436"/>
    </row>
    <row r="101" spans="1:60" s="38" customFormat="1" ht="15" customHeight="1">
      <c r="A101" s="91">
        <v>89</v>
      </c>
      <c r="B101" s="170" t="s">
        <v>60</v>
      </c>
      <c r="C101" s="538" t="s">
        <v>61</v>
      </c>
      <c r="D101" s="615" t="s">
        <v>66</v>
      </c>
      <c r="E101" s="100">
        <v>0</v>
      </c>
      <c r="F101" s="425">
        <f>+J101</f>
        <v>0</v>
      </c>
      <c r="G101" s="425"/>
      <c r="H101" s="100">
        <f>SUMIF(CBIN!$A:$A,BRAN!$V:$V,CBIN!$G:$G)</f>
        <v>0</v>
      </c>
      <c r="I101" s="425">
        <f>SUMIF(data!$D:$D,$B101&amp;$D101,data!$J:$J)</f>
        <v>0</v>
      </c>
      <c r="J101" s="425">
        <f>SUMIF(data!$D:$D,$B101&amp;$D101,data!$K:$K)</f>
        <v>0</v>
      </c>
      <c r="K101" s="100">
        <f>SUMIF(AJOUT!$A:$A,BRAN!$V:$V,AJOUT!$L:$L)</f>
        <v>0</v>
      </c>
      <c r="L101" s="425">
        <f>SUMIF(CBOUT!$A:$A,BRAN!$V:$V,CBOUT!$G:$G)</f>
        <v>0</v>
      </c>
      <c r="M101" s="528">
        <v>0</v>
      </c>
      <c r="N101" s="652">
        <f t="shared" si="26"/>
        <v>0</v>
      </c>
      <c r="O101" s="1159">
        <f t="shared" si="27"/>
        <v>0</v>
      </c>
      <c r="P101" s="663"/>
      <c r="Q101" s="663"/>
      <c r="R101" s="561">
        <f>O101/INTGRATE!$N$293</f>
        <v>0</v>
      </c>
      <c r="S101" s="665">
        <f>IF(R101=0,0,N101/R101)</f>
        <v>0</v>
      </c>
      <c r="T101" s="403"/>
      <c r="U101" s="136"/>
      <c r="V101" s="836" t="str">
        <f t="shared" si="20"/>
        <v>551XPROSILO</v>
      </c>
      <c r="W101" s="823">
        <v>314028</v>
      </c>
      <c r="X101" s="386"/>
      <c r="Y101" s="386">
        <v>0</v>
      </c>
      <c r="Z101" s="100">
        <v>0</v>
      </c>
      <c r="AA101" s="100">
        <v>0</v>
      </c>
      <c r="AB101" s="100">
        <v>0</v>
      </c>
      <c r="AC101" s="100">
        <v>0</v>
      </c>
      <c r="AD101" s="100">
        <v>0</v>
      </c>
      <c r="AE101" s="100">
        <v>0</v>
      </c>
      <c r="AF101" s="100">
        <v>0</v>
      </c>
      <c r="AG101" s="100"/>
      <c r="AH101" s="100"/>
      <c r="AI101" s="100"/>
      <c r="AJ101" s="100"/>
      <c r="AK101" s="100"/>
      <c r="AL101" s="100"/>
      <c r="AM101" s="100"/>
      <c r="AN101" s="100"/>
      <c r="AO101" s="425"/>
      <c r="AP101" s="100"/>
      <c r="AQ101" s="100"/>
      <c r="AR101" s="100"/>
      <c r="AS101" s="100"/>
      <c r="AT101" s="100"/>
      <c r="AU101" s="100"/>
      <c r="AV101" s="100"/>
      <c r="AW101" s="100"/>
      <c r="AX101" s="230"/>
      <c r="AY101" s="100"/>
      <c r="AZ101" s="100"/>
      <c r="BA101" s="100"/>
      <c r="BB101" s="100"/>
      <c r="BC101" s="276">
        <f t="shared" si="23"/>
        <v>0</v>
      </c>
      <c r="BD101" s="786">
        <f t="shared" si="24"/>
        <v>0</v>
      </c>
      <c r="BE101" s="786">
        <f t="shared" si="25"/>
        <v>0</v>
      </c>
      <c r="BF101" s="85"/>
      <c r="BH101" s="436"/>
    </row>
    <row r="102" spans="1:60" s="38" customFormat="1" ht="15" customHeight="1">
      <c r="A102" s="91">
        <v>90</v>
      </c>
      <c r="B102" s="170">
        <v>551</v>
      </c>
      <c r="C102" s="538" t="s">
        <v>61</v>
      </c>
      <c r="D102" s="615" t="s">
        <v>66</v>
      </c>
      <c r="E102" s="425">
        <v>0</v>
      </c>
      <c r="F102" s="425">
        <f>+J102</f>
        <v>0</v>
      </c>
      <c r="G102" s="425"/>
      <c r="H102" s="100">
        <f>SUMIF(CBIN!$A:$A,BRAN!$V:$V,CBIN!$G:$G)</f>
        <v>0</v>
      </c>
      <c r="I102" s="100">
        <f>SUMIF(data!$D:$D,$B102&amp;$D102,data!$J:$J)</f>
        <v>0</v>
      </c>
      <c r="J102" s="100">
        <f>SUMIF(data!$D:$D,$B102&amp;$D102,data!$K:$K)</f>
        <v>0</v>
      </c>
      <c r="K102" s="100">
        <f>SUMIF(AJOUT!$A:$A,BRAN!$V:$V,AJOUT!$L:$L)</f>
        <v>0</v>
      </c>
      <c r="L102" s="100">
        <f>SUMIF(CBOUT!$A:$A,BRAN!$V:$V,CBOUT!$G:$G)</f>
        <v>0</v>
      </c>
      <c r="M102" s="1158">
        <v>0</v>
      </c>
      <c r="N102" s="652">
        <f t="shared" si="26"/>
        <v>0</v>
      </c>
      <c r="O102" s="1159">
        <f t="shared" si="27"/>
        <v>26520</v>
      </c>
      <c r="P102" s="427"/>
      <c r="Q102" s="427"/>
      <c r="R102" s="425">
        <f>O102/INTGRATE!$N$293</f>
        <v>2946.6666666666665</v>
      </c>
      <c r="S102" s="665">
        <f t="shared" si="19"/>
        <v>0</v>
      </c>
      <c r="T102" s="403"/>
      <c r="U102" s="136"/>
      <c r="V102" s="836" t="str">
        <f t="shared" si="20"/>
        <v>551SILO</v>
      </c>
      <c r="W102" s="823">
        <v>314001</v>
      </c>
      <c r="X102" s="386"/>
      <c r="Y102" s="386">
        <v>8280</v>
      </c>
      <c r="Z102" s="100">
        <v>0</v>
      </c>
      <c r="AA102" s="100">
        <v>4900</v>
      </c>
      <c r="AB102" s="100">
        <v>8420</v>
      </c>
      <c r="AC102" s="100">
        <v>4920</v>
      </c>
      <c r="AD102" s="100">
        <v>0</v>
      </c>
      <c r="AE102" s="100">
        <v>0</v>
      </c>
      <c r="AF102" s="100">
        <v>0</v>
      </c>
      <c r="AG102" s="100"/>
      <c r="AH102" s="425"/>
      <c r="AI102" s="100"/>
      <c r="AJ102" s="100"/>
      <c r="AK102" s="100"/>
      <c r="AL102" s="100"/>
      <c r="AM102" s="100"/>
      <c r="AN102" s="100"/>
      <c r="AO102" s="425"/>
      <c r="AP102" s="100"/>
      <c r="AQ102" s="425"/>
      <c r="AR102" s="100"/>
      <c r="AS102" s="100"/>
      <c r="AT102" s="100"/>
      <c r="AU102" s="100"/>
      <c r="AV102" s="100"/>
      <c r="AW102" s="100"/>
      <c r="AX102" s="230"/>
      <c r="AY102" s="100"/>
      <c r="AZ102" s="100"/>
      <c r="BA102" s="100"/>
      <c r="BB102" s="100"/>
      <c r="BC102" s="276">
        <f t="shared" si="23"/>
        <v>26520</v>
      </c>
      <c r="BD102" s="786">
        <f t="shared" si="24"/>
        <v>4</v>
      </c>
      <c r="BE102" s="786">
        <f t="shared" si="25"/>
        <v>6630</v>
      </c>
      <c r="BF102" s="85"/>
      <c r="BH102" s="436"/>
    </row>
    <row r="103" spans="1:60" s="38" customFormat="1" ht="15" customHeight="1">
      <c r="A103" s="91">
        <v>91</v>
      </c>
      <c r="B103" s="170">
        <v>551</v>
      </c>
      <c r="C103" s="538" t="s">
        <v>61</v>
      </c>
      <c r="D103" s="164">
        <v>25</v>
      </c>
      <c r="E103" s="100">
        <v>1149</v>
      </c>
      <c r="F103" s="100">
        <f>SUMIF(pro!$A:$A,$V:$V,pro!$N:$N)</f>
        <v>0</v>
      </c>
      <c r="G103" s="100"/>
      <c r="H103" s="100">
        <f>SUMIF(CBIN!$A:$A,BRAN!$V:$V,CBIN!$G:$G)</f>
        <v>0</v>
      </c>
      <c r="I103" s="100">
        <f>SUMIF(data!$D:$D,$B103&amp;$D103,data!$J:$J)</f>
        <v>0</v>
      </c>
      <c r="J103" s="100">
        <f>SUMIF(data!$D:$D,$B103&amp;$D103,data!$K:$K)</f>
        <v>0</v>
      </c>
      <c r="K103" s="100">
        <f>SUMIF(AJOUT!$A:$A,BRAN!$V:$V,AJOUT!$L:$L)</f>
        <v>0</v>
      </c>
      <c r="L103" s="100">
        <f>SUMIF(CBOUT!$A:$A,BRAN!$V:$V,CBOUT!$G:$G)</f>
        <v>0</v>
      </c>
      <c r="M103" s="1158">
        <f t="shared" si="30"/>
        <v>1149</v>
      </c>
      <c r="N103" s="652">
        <f t="shared" si="26"/>
        <v>28725</v>
      </c>
      <c r="O103" s="1159">
        <f t="shared" si="27"/>
        <v>71250</v>
      </c>
      <c r="P103" s="804"/>
      <c r="Q103" s="804"/>
      <c r="R103" s="100">
        <f>O103/INTGRATE!$N$293</f>
        <v>7916.666666666667</v>
      </c>
      <c r="S103" s="665">
        <f t="shared" si="19"/>
        <v>3.628421052631579</v>
      </c>
      <c r="T103" s="402"/>
      <c r="U103" s="136"/>
      <c r="V103" s="836" t="str">
        <f t="shared" si="20"/>
        <v>55125</v>
      </c>
      <c r="W103" s="823">
        <v>314001</v>
      </c>
      <c r="X103" s="386"/>
      <c r="Y103" s="386">
        <v>15075</v>
      </c>
      <c r="Z103" s="100">
        <v>8325</v>
      </c>
      <c r="AA103" s="100">
        <v>5800</v>
      </c>
      <c r="AB103" s="100">
        <v>12350</v>
      </c>
      <c r="AC103" s="100">
        <v>7625</v>
      </c>
      <c r="AD103" s="100">
        <v>9600</v>
      </c>
      <c r="AE103" s="100">
        <v>8600</v>
      </c>
      <c r="AF103" s="100">
        <v>3875</v>
      </c>
      <c r="AG103" s="100"/>
      <c r="AH103" s="100"/>
      <c r="AI103" s="100"/>
      <c r="AJ103" s="100"/>
      <c r="AK103" s="100"/>
      <c r="AL103" s="100"/>
      <c r="AM103" s="100"/>
      <c r="AN103" s="100"/>
      <c r="AO103" s="100"/>
      <c r="AP103" s="100"/>
      <c r="AQ103" s="100"/>
      <c r="AR103" s="100"/>
      <c r="AS103" s="100"/>
      <c r="AT103" s="100"/>
      <c r="AU103" s="100"/>
      <c r="AV103" s="100"/>
      <c r="AW103" s="100"/>
      <c r="AX103" s="230"/>
      <c r="AY103" s="100"/>
      <c r="AZ103" s="100"/>
      <c r="BA103" s="100"/>
      <c r="BB103" s="100"/>
      <c r="BC103" s="276">
        <f t="shared" si="23"/>
        <v>71250</v>
      </c>
      <c r="BD103" s="786">
        <f t="shared" si="24"/>
        <v>8</v>
      </c>
      <c r="BE103" s="786">
        <f t="shared" si="25"/>
        <v>8906.25</v>
      </c>
      <c r="BF103" s="85"/>
      <c r="BH103" s="436"/>
    </row>
    <row r="104" spans="1:60" s="38" customFormat="1" ht="15" customHeight="1">
      <c r="A104" s="91">
        <v>92</v>
      </c>
      <c r="B104" s="170" t="s">
        <v>59</v>
      </c>
      <c r="C104" s="538" t="s">
        <v>61</v>
      </c>
      <c r="D104" s="164">
        <v>25</v>
      </c>
      <c r="E104" s="100">
        <v>274</v>
      </c>
      <c r="F104" s="100">
        <f>SUMIF(pro!$A:$A,$V:$V,pro!$N:$N)</f>
        <v>0</v>
      </c>
      <c r="G104" s="100"/>
      <c r="H104" s="100">
        <f>SUMIF(CBIN!$A:$A,BRAN!$V:$V,CBIN!$G:$G)</f>
        <v>0</v>
      </c>
      <c r="I104" s="100">
        <f>SUMIF(data!$D:$D,$B104&amp;$D104,data!$J:$J)</f>
        <v>0</v>
      </c>
      <c r="J104" s="100">
        <f>SUMIF(data!$D:$D,$B104&amp;$D104,data!$K:$K)</f>
        <v>0</v>
      </c>
      <c r="K104" s="100">
        <f>SUMIF(AJOUT!$A:$A,BRAN!$V:$V,AJOUT!$L:$L)</f>
        <v>0</v>
      </c>
      <c r="L104" s="100">
        <f>SUMIF(CBOUT!$A:$A,BRAN!$V:$V,CBOUT!$G:$G)</f>
        <v>0</v>
      </c>
      <c r="M104" s="1158">
        <f t="shared" si="30"/>
        <v>274</v>
      </c>
      <c r="N104" s="652">
        <f t="shared" si="26"/>
        <v>6850</v>
      </c>
      <c r="O104" s="1159">
        <f t="shared" si="27"/>
        <v>28175</v>
      </c>
      <c r="P104" s="804"/>
      <c r="Q104" s="804"/>
      <c r="R104" s="100">
        <f>O104/INTGRATE!$N$293</f>
        <v>3130.5555555555557</v>
      </c>
      <c r="S104" s="665">
        <f t="shared" si="19"/>
        <v>2.1881100266193432</v>
      </c>
      <c r="T104" s="403"/>
      <c r="U104" s="136"/>
      <c r="V104" s="836" t="str">
        <f t="shared" si="20"/>
        <v>551Pro25</v>
      </c>
      <c r="W104" s="823">
        <v>314021</v>
      </c>
      <c r="X104" s="386"/>
      <c r="Y104" s="386">
        <v>250</v>
      </c>
      <c r="Z104" s="100">
        <v>0</v>
      </c>
      <c r="AA104" s="100">
        <v>3850</v>
      </c>
      <c r="AB104" s="100">
        <v>3075</v>
      </c>
      <c r="AC104" s="100">
        <v>9875</v>
      </c>
      <c r="AD104" s="100">
        <v>2250</v>
      </c>
      <c r="AE104" s="100">
        <v>3875</v>
      </c>
      <c r="AF104" s="100">
        <v>5000</v>
      </c>
      <c r="AG104" s="100"/>
      <c r="AH104" s="100"/>
      <c r="AI104" s="100"/>
      <c r="AJ104" s="100"/>
      <c r="AK104" s="100"/>
      <c r="AL104" s="100"/>
      <c r="AM104" s="100"/>
      <c r="AN104" s="100"/>
      <c r="AO104" s="100"/>
      <c r="AP104" s="100"/>
      <c r="AQ104" s="100"/>
      <c r="AR104" s="100"/>
      <c r="AS104" s="100"/>
      <c r="AT104" s="100"/>
      <c r="AU104" s="100"/>
      <c r="AV104" s="100"/>
      <c r="AW104" s="100"/>
      <c r="AX104" s="230"/>
      <c r="AY104" s="100"/>
      <c r="AZ104" s="100"/>
      <c r="BA104" s="100"/>
      <c r="BB104" s="100"/>
      <c r="BC104" s="276">
        <f t="shared" si="23"/>
        <v>28175</v>
      </c>
      <c r="BD104" s="786">
        <f t="shared" si="24"/>
        <v>7</v>
      </c>
      <c r="BE104" s="786">
        <f t="shared" si="25"/>
        <v>4025</v>
      </c>
      <c r="BF104" s="85"/>
      <c r="BH104" s="436"/>
    </row>
    <row r="105" spans="1:60" s="38" customFormat="1" ht="15" customHeight="1">
      <c r="A105" s="91">
        <v>93</v>
      </c>
      <c r="B105" s="170" t="s">
        <v>59</v>
      </c>
      <c r="C105" s="538" t="s">
        <v>61</v>
      </c>
      <c r="D105" s="615" t="s">
        <v>58</v>
      </c>
      <c r="E105" s="100">
        <v>0</v>
      </c>
      <c r="F105" s="425">
        <f>+J105</f>
        <v>0</v>
      </c>
      <c r="G105" s="425"/>
      <c r="H105" s="100">
        <f>SUMIF(CBIN!$A:$A,BRAN!$V:$V,CBIN!$G:$G)</f>
        <v>0</v>
      </c>
      <c r="I105" s="100">
        <f>SUMIF(data!$D:$D,$B105&amp;$D105,data!$J:$J)</f>
        <v>0</v>
      </c>
      <c r="J105" s="100">
        <f>SUMIF(data!$D:$D,$B105&amp;$D105,data!$K:$K)</f>
        <v>0</v>
      </c>
      <c r="K105" s="100">
        <f>SUMIF(AJOUT!$A:$A,BRAN!$V:$V,AJOUT!$L:$L)</f>
        <v>0</v>
      </c>
      <c r="L105" s="100">
        <f>SUMIF(CBOUT!$A:$A,BRAN!$V:$V,CBOUT!$G:$G)</f>
        <v>0</v>
      </c>
      <c r="M105" s="528">
        <v>0</v>
      </c>
      <c r="N105" s="652">
        <f t="shared" si="26"/>
        <v>0</v>
      </c>
      <c r="O105" s="1159">
        <f t="shared" si="27"/>
        <v>12640</v>
      </c>
      <c r="P105" s="804"/>
      <c r="Q105" s="804"/>
      <c r="R105" s="100">
        <f>O105/INTGRATE!$N$293</f>
        <v>1404.4444444444443</v>
      </c>
      <c r="S105" s="665">
        <f t="shared" si="19"/>
        <v>0</v>
      </c>
      <c r="T105" s="402"/>
      <c r="U105" s="136"/>
      <c r="V105" s="836" t="str">
        <f t="shared" si="20"/>
        <v>551Prosilo</v>
      </c>
      <c r="W105" s="823">
        <v>314021</v>
      </c>
      <c r="X105" s="386"/>
      <c r="Y105" s="386">
        <v>0</v>
      </c>
      <c r="Z105" s="100">
        <v>0</v>
      </c>
      <c r="AA105" s="100">
        <v>0</v>
      </c>
      <c r="AB105" s="100">
        <v>12640</v>
      </c>
      <c r="AC105" s="100">
        <v>0</v>
      </c>
      <c r="AD105" s="100">
        <v>0</v>
      </c>
      <c r="AE105" s="100">
        <v>0</v>
      </c>
      <c r="AF105" s="100">
        <v>0</v>
      </c>
      <c r="AG105" s="100"/>
      <c r="AH105" s="100"/>
      <c r="AI105" s="100"/>
      <c r="AJ105" s="100"/>
      <c r="AK105" s="100"/>
      <c r="AL105" s="100"/>
      <c r="AM105" s="100"/>
      <c r="AN105" s="100"/>
      <c r="AO105" s="425"/>
      <c r="AP105" s="100"/>
      <c r="AQ105" s="100"/>
      <c r="AR105" s="100"/>
      <c r="AS105" s="100"/>
      <c r="AT105" s="100"/>
      <c r="AU105" s="100"/>
      <c r="AV105" s="100"/>
      <c r="AW105" s="100"/>
      <c r="AX105" s="230"/>
      <c r="AY105" s="100"/>
      <c r="AZ105" s="100"/>
      <c r="BA105" s="100"/>
      <c r="BB105" s="100"/>
      <c r="BC105" s="276">
        <f t="shared" si="23"/>
        <v>12640</v>
      </c>
      <c r="BD105" s="786">
        <f t="shared" si="24"/>
        <v>1</v>
      </c>
      <c r="BE105" s="786">
        <f t="shared" si="25"/>
        <v>12640</v>
      </c>
      <c r="BF105" s="85"/>
      <c r="BH105" s="436"/>
    </row>
    <row r="106" spans="1:60" s="38" customFormat="1" ht="15" customHeight="1">
      <c r="A106" s="91">
        <v>94</v>
      </c>
      <c r="B106" s="170" t="s">
        <v>158</v>
      </c>
      <c r="C106" s="538" t="s">
        <v>61</v>
      </c>
      <c r="D106" s="664">
        <v>25</v>
      </c>
      <c r="E106" s="100">
        <v>0</v>
      </c>
      <c r="F106" s="100">
        <f>SUMIF(pro!$A:$A,$V:$V,pro!$N:$N)</f>
        <v>0</v>
      </c>
      <c r="G106" s="425"/>
      <c r="H106" s="100"/>
      <c r="I106" s="100">
        <f>SUMIF(data!$D:$D,$B106&amp;$D106,data!$J:$J)</f>
        <v>0</v>
      </c>
      <c r="J106" s="100">
        <f>SUMIF(data!$D:$D,$B106&amp;$D106,data!$K:$K)</f>
        <v>0</v>
      </c>
      <c r="K106" s="100">
        <v>0</v>
      </c>
      <c r="L106" s="100">
        <f>SUMIF(CBOUT!$A:$A,BRAN!$V:$V,CBOUT!$G:$G)</f>
        <v>0</v>
      </c>
      <c r="M106" s="1158">
        <f>E106+F106+H106-I106-L106+G106-K106</f>
        <v>0</v>
      </c>
      <c r="N106" s="652">
        <f t="shared" ref="N106" si="35">M106*25</f>
        <v>0</v>
      </c>
      <c r="O106" s="1159">
        <f t="shared" ref="O106" si="36">SUM(X106:BB106)</f>
        <v>0</v>
      </c>
      <c r="P106" s="804"/>
      <c r="Q106" s="804"/>
      <c r="R106" s="100">
        <f>O106/INTGRATE!$N$293</f>
        <v>0</v>
      </c>
      <c r="S106" s="665">
        <f t="shared" ref="S106" si="37">IF(R106=0,0,N106/R106)</f>
        <v>0</v>
      </c>
      <c r="T106" s="402"/>
      <c r="U106" s="136"/>
      <c r="V106" s="836" t="str">
        <f t="shared" si="20"/>
        <v>551GPX25</v>
      </c>
      <c r="W106" s="823">
        <v>314018</v>
      </c>
      <c r="X106" s="386"/>
      <c r="Y106" s="386">
        <v>0</v>
      </c>
      <c r="Z106" s="100">
        <v>0</v>
      </c>
      <c r="AA106" s="100">
        <v>0</v>
      </c>
      <c r="AB106" s="100">
        <v>0</v>
      </c>
      <c r="AC106" s="100">
        <v>0</v>
      </c>
      <c r="AD106" s="100">
        <v>0</v>
      </c>
      <c r="AE106" s="100">
        <v>0</v>
      </c>
      <c r="AF106" s="100">
        <v>0</v>
      </c>
      <c r="AG106" s="100"/>
      <c r="AH106" s="100"/>
      <c r="AI106" s="100"/>
      <c r="AJ106" s="100"/>
      <c r="AK106" s="100"/>
      <c r="AL106" s="100"/>
      <c r="AM106" s="100"/>
      <c r="AN106" s="100"/>
      <c r="AO106" s="425"/>
      <c r="AP106" s="100"/>
      <c r="AQ106" s="100"/>
      <c r="AR106" s="100"/>
      <c r="AS106" s="100"/>
      <c r="AT106" s="100"/>
      <c r="AU106" s="100"/>
      <c r="AV106" s="100"/>
      <c r="AW106" s="100"/>
      <c r="AX106" s="230"/>
      <c r="AY106" s="100"/>
      <c r="AZ106" s="100"/>
      <c r="BA106" s="100"/>
      <c r="BB106" s="100"/>
      <c r="BC106" s="276">
        <f t="shared" si="23"/>
        <v>0</v>
      </c>
      <c r="BD106" s="786">
        <f t="shared" si="24"/>
        <v>0</v>
      </c>
      <c r="BE106" s="786">
        <f t="shared" si="25"/>
        <v>0</v>
      </c>
      <c r="BF106" s="85"/>
      <c r="BH106" s="436"/>
    </row>
    <row r="107" spans="1:60" s="38" customFormat="1" ht="15" customHeight="1">
      <c r="A107" s="91">
        <v>95</v>
      </c>
      <c r="B107" s="170" t="s">
        <v>159</v>
      </c>
      <c r="C107" s="538" t="s">
        <v>61</v>
      </c>
      <c r="D107" s="164" t="s">
        <v>66</v>
      </c>
      <c r="E107" s="425">
        <v>0</v>
      </c>
      <c r="F107" s="425">
        <f>+J107</f>
        <v>0</v>
      </c>
      <c r="G107" s="425"/>
      <c r="H107" s="100">
        <f>SUMIF(CBIN!$A:$A,BRAN!$V:$V,CBIN!$G:$G)</f>
        <v>0</v>
      </c>
      <c r="I107" s="100">
        <f>SUMIF(data!$D:$D,$B107&amp;$D107,data!$J:$J)</f>
        <v>0</v>
      </c>
      <c r="J107" s="100">
        <f>SUMIF(data!$D:$D,$B107&amp;$D107,data!$K:$K)</f>
        <v>0</v>
      </c>
      <c r="K107" s="100">
        <f>SUMIF(AJOUT!$A:$A,BRAN!$V:$V,AJOUT!$L:$L)</f>
        <v>0</v>
      </c>
      <c r="L107" s="100">
        <f>SUMIF(CBOUT!$A:$A,BRAN!$V:$V,CBOUT!$G:$G)</f>
        <v>0</v>
      </c>
      <c r="M107" s="528">
        <v>0</v>
      </c>
      <c r="N107" s="652">
        <f t="shared" si="26"/>
        <v>0</v>
      </c>
      <c r="O107" s="1159">
        <f t="shared" si="27"/>
        <v>0</v>
      </c>
      <c r="P107" s="427"/>
      <c r="Q107" s="427"/>
      <c r="R107" s="425">
        <f>O107/INTGRATE!$N$293</f>
        <v>0</v>
      </c>
      <c r="S107" s="665">
        <f t="shared" ref="S107:S149" si="38">IF(R107=0,0,N107/R107)</f>
        <v>0</v>
      </c>
      <c r="T107" s="403"/>
      <c r="U107" s="136"/>
      <c r="V107" s="836" t="str">
        <f t="shared" ref="V107:V150" si="39">B107&amp;D107</f>
        <v>551GPSILO</v>
      </c>
      <c r="W107" s="823">
        <v>31400127</v>
      </c>
      <c r="X107" s="386"/>
      <c r="Y107" s="386">
        <v>0</v>
      </c>
      <c r="Z107" s="100">
        <v>0</v>
      </c>
      <c r="AA107" s="100">
        <v>0</v>
      </c>
      <c r="AB107" s="100">
        <v>0</v>
      </c>
      <c r="AC107" s="100">
        <v>0</v>
      </c>
      <c r="AD107" s="100">
        <v>0</v>
      </c>
      <c r="AE107" s="100">
        <v>0</v>
      </c>
      <c r="AF107" s="100">
        <v>0</v>
      </c>
      <c r="AG107" s="100"/>
      <c r="AH107" s="425"/>
      <c r="AI107" s="100"/>
      <c r="AJ107" s="100"/>
      <c r="AK107" s="100"/>
      <c r="AL107" s="100"/>
      <c r="AM107" s="100"/>
      <c r="AN107" s="100"/>
      <c r="AO107" s="425"/>
      <c r="AP107" s="100"/>
      <c r="AQ107" s="425"/>
      <c r="AR107" s="100"/>
      <c r="AS107" s="100"/>
      <c r="AT107" s="100"/>
      <c r="AU107" s="100"/>
      <c r="AV107" s="100"/>
      <c r="AW107" s="100"/>
      <c r="AX107" s="230"/>
      <c r="AY107" s="100"/>
      <c r="AZ107" s="100"/>
      <c r="BA107" s="100"/>
      <c r="BB107" s="100"/>
      <c r="BC107" s="276">
        <f t="shared" si="23"/>
        <v>0</v>
      </c>
      <c r="BD107" s="786">
        <f t="shared" si="24"/>
        <v>0</v>
      </c>
      <c r="BE107" s="786">
        <f t="shared" si="25"/>
        <v>0</v>
      </c>
      <c r="BF107" s="85"/>
      <c r="BH107" s="436"/>
    </row>
    <row r="108" spans="1:60" s="38" customFormat="1" ht="15" customHeight="1">
      <c r="A108" s="91">
        <v>96</v>
      </c>
      <c r="B108" s="170" t="s">
        <v>159</v>
      </c>
      <c r="C108" s="538" t="s">
        <v>61</v>
      </c>
      <c r="D108" s="164">
        <v>25</v>
      </c>
      <c r="E108" s="100">
        <v>159</v>
      </c>
      <c r="F108" s="100">
        <f>SUMIF(pro!$A:$A,$V:$V,pro!$N:$N)</f>
        <v>0</v>
      </c>
      <c r="G108" s="100"/>
      <c r="H108" s="100">
        <f>SUMIF(CBIN!$A:$A,BRAN!$V:$V,CBIN!$G:$G)</f>
        <v>0</v>
      </c>
      <c r="I108" s="100">
        <f>SUMIF(data!$D:$D,$B108&amp;$D108,data!$J:$J)</f>
        <v>0</v>
      </c>
      <c r="J108" s="100">
        <f>SUMIF(data!$D:$D,$B108&amp;$D108,data!$K:$K)</f>
        <v>0</v>
      </c>
      <c r="K108" s="100">
        <f>SUMIF(AJOUT!$A:$A,BRAN!$V:$V,AJOUT!$L:$L)</f>
        <v>0</v>
      </c>
      <c r="L108" s="100">
        <f>SUMIF(CBOUT!$A:$A,BRAN!$V:$V,CBOUT!$G:$G)</f>
        <v>0</v>
      </c>
      <c r="M108" s="1158">
        <f>E108+F108+H108-I108-L108+G108-K108</f>
        <v>159</v>
      </c>
      <c r="N108" s="652">
        <f t="shared" si="26"/>
        <v>3975</v>
      </c>
      <c r="O108" s="1159">
        <f t="shared" si="27"/>
        <v>10550</v>
      </c>
      <c r="P108" s="804"/>
      <c r="Q108" s="804"/>
      <c r="R108" s="100">
        <f>O108/INTGRATE!$N$293</f>
        <v>1172.2222222222222</v>
      </c>
      <c r="S108" s="665">
        <f t="shared" si="38"/>
        <v>3.3909952606635074</v>
      </c>
      <c r="T108" s="549"/>
      <c r="U108" s="136"/>
      <c r="V108" s="836" t="str">
        <f t="shared" si="39"/>
        <v>551GP25</v>
      </c>
      <c r="W108" s="823">
        <v>314011</v>
      </c>
      <c r="X108" s="386"/>
      <c r="Y108" s="386">
        <v>3675</v>
      </c>
      <c r="Z108" s="100">
        <v>0</v>
      </c>
      <c r="AA108" s="100">
        <v>500</v>
      </c>
      <c r="AB108" s="100">
        <v>3200</v>
      </c>
      <c r="AC108" s="100">
        <v>0</v>
      </c>
      <c r="AD108" s="100">
        <v>3175</v>
      </c>
      <c r="AE108" s="100">
        <v>0</v>
      </c>
      <c r="AF108" s="100">
        <v>0</v>
      </c>
      <c r="AG108" s="100"/>
      <c r="AH108" s="100"/>
      <c r="AI108" s="100"/>
      <c r="AJ108" s="100"/>
      <c r="AK108" s="100"/>
      <c r="AL108" s="100"/>
      <c r="AM108" s="100"/>
      <c r="AN108" s="100"/>
      <c r="AO108" s="100"/>
      <c r="AP108" s="100"/>
      <c r="AQ108" s="100"/>
      <c r="AR108" s="100"/>
      <c r="AS108" s="100"/>
      <c r="AT108" s="100"/>
      <c r="AU108" s="100"/>
      <c r="AV108" s="100"/>
      <c r="AW108" s="100"/>
      <c r="AX108" s="230"/>
      <c r="AY108" s="100"/>
      <c r="AZ108" s="100"/>
      <c r="BA108" s="100"/>
      <c r="BB108" s="100"/>
      <c r="BC108" s="276">
        <f t="shared" si="23"/>
        <v>10550</v>
      </c>
      <c r="BD108" s="786">
        <f t="shared" si="24"/>
        <v>4</v>
      </c>
      <c r="BE108" s="786">
        <f t="shared" si="25"/>
        <v>2637.5</v>
      </c>
      <c r="BF108" s="85"/>
      <c r="BH108" s="436"/>
    </row>
    <row r="109" spans="1:60" s="38" customFormat="1" ht="15" customHeight="1">
      <c r="A109" s="91">
        <v>97</v>
      </c>
      <c r="B109" s="94">
        <v>552</v>
      </c>
      <c r="C109" s="94" t="s">
        <v>64</v>
      </c>
      <c r="D109" s="91">
        <v>25</v>
      </c>
      <c r="E109" s="100">
        <v>4064</v>
      </c>
      <c r="F109" s="100">
        <f>SUMIF(pro!$A:$A,$V:$V,pro!$N:$N)</f>
        <v>1192</v>
      </c>
      <c r="G109" s="100"/>
      <c r="H109" s="100">
        <f>SUMIF(CBIN!$A:$A,BRAN!$V:$V,CBIN!$G:$G)</f>
        <v>0</v>
      </c>
      <c r="I109" s="100">
        <f>SUMIF(data!$D:$D,$B109&amp;$D109,data!$J:$J)</f>
        <v>0</v>
      </c>
      <c r="J109" s="100">
        <f>SUMIF(data!$D:$D,$B109&amp;$D109,data!$K:$K)</f>
        <v>0</v>
      </c>
      <c r="K109" s="100">
        <f>SUMIF(AJOUT!$A:$A,BRAN!$V:$V,AJOUT!$L:$L)</f>
        <v>0</v>
      </c>
      <c r="L109" s="100">
        <f>SUMIF(CBOUT!$A:$A,BRAN!$V:$V,CBOUT!$G:$G)</f>
        <v>0</v>
      </c>
      <c r="M109" s="1158">
        <f>E109+F109+H109-I109-L109+G109-K109</f>
        <v>5256</v>
      </c>
      <c r="N109" s="652">
        <f t="shared" si="26"/>
        <v>131400</v>
      </c>
      <c r="O109" s="1159">
        <f t="shared" si="27"/>
        <v>188525</v>
      </c>
      <c r="P109" s="804"/>
      <c r="Q109" s="804"/>
      <c r="R109" s="100">
        <f>O109/INTGRATE!$N$293</f>
        <v>20947.222222222223</v>
      </c>
      <c r="S109" s="665">
        <f t="shared" si="38"/>
        <v>6.2729081023736901</v>
      </c>
      <c r="T109" s="403"/>
      <c r="U109" s="136"/>
      <c r="V109" s="836" t="str">
        <f t="shared" si="39"/>
        <v>55225</v>
      </c>
      <c r="W109" s="823">
        <v>321001</v>
      </c>
      <c r="X109" s="386"/>
      <c r="Y109" s="386">
        <v>50900</v>
      </c>
      <c r="Z109" s="100">
        <v>6250</v>
      </c>
      <c r="AA109" s="100">
        <v>20900</v>
      </c>
      <c r="AB109" s="100">
        <v>35475</v>
      </c>
      <c r="AC109" s="100">
        <v>27000</v>
      </c>
      <c r="AD109" s="100">
        <v>24700</v>
      </c>
      <c r="AE109" s="100">
        <v>15175</v>
      </c>
      <c r="AF109" s="100">
        <v>8125</v>
      </c>
      <c r="AG109" s="100"/>
      <c r="AH109" s="100"/>
      <c r="AI109" s="100"/>
      <c r="AJ109" s="100"/>
      <c r="AK109" s="100"/>
      <c r="AL109" s="100"/>
      <c r="AM109" s="100"/>
      <c r="AN109" s="100"/>
      <c r="AO109" s="100"/>
      <c r="AP109" s="100"/>
      <c r="AQ109" s="100"/>
      <c r="AR109" s="100"/>
      <c r="AS109" s="100"/>
      <c r="AT109" s="100"/>
      <c r="AU109" s="100"/>
      <c r="AV109" s="100"/>
      <c r="AW109" s="100"/>
      <c r="AX109" s="230"/>
      <c r="AY109" s="100"/>
      <c r="AZ109" s="100"/>
      <c r="BA109" s="100"/>
      <c r="BB109" s="100"/>
      <c r="BC109" s="276">
        <f t="shared" si="23"/>
        <v>188525</v>
      </c>
      <c r="BD109" s="786">
        <f t="shared" si="24"/>
        <v>8</v>
      </c>
      <c r="BE109" s="786">
        <f t="shared" si="25"/>
        <v>23565.625</v>
      </c>
      <c r="BF109" s="85"/>
      <c r="BH109" s="436"/>
    </row>
    <row r="110" spans="1:60" s="38" customFormat="1" ht="15" customHeight="1">
      <c r="A110" s="91">
        <v>98</v>
      </c>
      <c r="B110" s="94" t="s">
        <v>63</v>
      </c>
      <c r="C110" s="94" t="s">
        <v>64</v>
      </c>
      <c r="D110" s="528" t="s">
        <v>66</v>
      </c>
      <c r="E110" s="100"/>
      <c r="F110" s="425">
        <f>+J110</f>
        <v>0</v>
      </c>
      <c r="G110" s="100"/>
      <c r="H110" s="100">
        <f>SUMIF(CBIN!$A:$A,BRAN!$V:$V,CBIN!$G:$G)</f>
        <v>0</v>
      </c>
      <c r="I110" s="100">
        <f>SUMIF(data!$D:$D,$B110&amp;$D110,data!$J:$J)</f>
        <v>0</v>
      </c>
      <c r="J110" s="100">
        <f>SUMIF(data!$D:$D,$B110&amp;$D110,data!$K:$K)</f>
        <v>0</v>
      </c>
      <c r="K110" s="100"/>
      <c r="L110" s="100"/>
      <c r="M110" s="1158"/>
      <c r="N110" s="652">
        <f t="shared" si="26"/>
        <v>0</v>
      </c>
      <c r="O110" s="1159">
        <f t="shared" si="27"/>
        <v>0</v>
      </c>
      <c r="P110" s="804"/>
      <c r="Q110" s="804"/>
      <c r="R110" s="100">
        <f>O110/INTGRATE!$N$293</f>
        <v>0</v>
      </c>
      <c r="S110" s="665">
        <f t="shared" si="38"/>
        <v>0</v>
      </c>
      <c r="T110" s="403"/>
      <c r="U110" s="136"/>
      <c r="V110" s="836" t="str">
        <f>B110&amp;D110</f>
        <v>552ProSILO</v>
      </c>
      <c r="W110" s="823">
        <v>321021</v>
      </c>
      <c r="X110" s="386"/>
      <c r="Y110" s="386">
        <v>0</v>
      </c>
      <c r="Z110" s="100">
        <v>0</v>
      </c>
      <c r="AA110" s="100">
        <v>0</v>
      </c>
      <c r="AB110" s="100">
        <v>0</v>
      </c>
      <c r="AC110" s="100">
        <v>0</v>
      </c>
      <c r="AD110" s="100">
        <v>0</v>
      </c>
      <c r="AE110" s="100">
        <v>0</v>
      </c>
      <c r="AF110" s="100">
        <v>0</v>
      </c>
      <c r="AG110" s="100"/>
      <c r="AH110" s="100"/>
      <c r="AI110" s="100"/>
      <c r="AJ110" s="100"/>
      <c r="AK110" s="100"/>
      <c r="AL110" s="100"/>
      <c r="AM110" s="100"/>
      <c r="AN110" s="100"/>
      <c r="AO110" s="425"/>
      <c r="AP110" s="100"/>
      <c r="AQ110" s="100"/>
      <c r="AR110" s="100"/>
      <c r="AS110" s="100"/>
      <c r="AT110" s="100"/>
      <c r="AU110" s="100"/>
      <c r="AV110" s="100"/>
      <c r="AW110" s="100"/>
      <c r="AX110" s="230"/>
      <c r="AY110" s="100"/>
      <c r="AZ110" s="100"/>
      <c r="BA110" s="100"/>
      <c r="BB110" s="100"/>
      <c r="BC110" s="276">
        <f t="shared" si="23"/>
        <v>0</v>
      </c>
      <c r="BD110" s="786">
        <f t="shared" si="24"/>
        <v>0</v>
      </c>
      <c r="BE110" s="786">
        <f t="shared" si="25"/>
        <v>0</v>
      </c>
      <c r="BF110" s="85"/>
      <c r="BH110" s="436"/>
    </row>
    <row r="111" spans="1:60" s="38" customFormat="1" ht="15" customHeight="1">
      <c r="A111" s="91">
        <v>99</v>
      </c>
      <c r="B111" s="94" t="s">
        <v>63</v>
      </c>
      <c r="C111" s="94" t="s">
        <v>64</v>
      </c>
      <c r="D111" s="91">
        <v>25</v>
      </c>
      <c r="E111" s="100">
        <v>10</v>
      </c>
      <c r="F111" s="100">
        <f>SUMIF(pro!$A:$A,$V:$V,pro!$N:$N)</f>
        <v>0</v>
      </c>
      <c r="G111" s="100"/>
      <c r="H111" s="100">
        <f>SUMIF(CBIN!$A:$A,BRAN!$V:$V,CBIN!$G:$G)</f>
        <v>0</v>
      </c>
      <c r="I111" s="100">
        <f>SUMIF(data!$D:$D,$B111&amp;$D111,data!$J:$J)</f>
        <v>0</v>
      </c>
      <c r="J111" s="100">
        <f>SUMIF(data!$D:$D,$B111&amp;$D111,data!$K:$K)</f>
        <v>0</v>
      </c>
      <c r="K111" s="100">
        <f>SUMIF(AJOUT!$A:$A,BRAN!$V:$V,AJOUT!$L:$L)</f>
        <v>0</v>
      </c>
      <c r="L111" s="100">
        <f>SUMIF(CBOUT!$A:$A,BRAN!$V:$V,CBOUT!$G:$G)</f>
        <v>0</v>
      </c>
      <c r="M111" s="1158">
        <f>E111+F111+H111-I111-L111+G111-K111</f>
        <v>10</v>
      </c>
      <c r="N111" s="652">
        <f t="shared" si="26"/>
        <v>250</v>
      </c>
      <c r="O111" s="1159">
        <f t="shared" si="27"/>
        <v>24050</v>
      </c>
      <c r="P111" s="804"/>
      <c r="Q111" s="804"/>
      <c r="R111" s="100">
        <f>O111/INTGRATE!$N$293</f>
        <v>2672.2222222222222</v>
      </c>
      <c r="S111" s="665">
        <f>IF(R111=0,0,N111/R111)</f>
        <v>9.355509355509356E-2</v>
      </c>
      <c r="T111" s="461"/>
      <c r="U111" s="136"/>
      <c r="V111" s="836" t="str">
        <f t="shared" si="39"/>
        <v>552Pro25</v>
      </c>
      <c r="W111" s="823">
        <v>321012</v>
      </c>
      <c r="X111" s="386"/>
      <c r="Y111" s="386">
        <v>7500</v>
      </c>
      <c r="Z111" s="100">
        <v>0</v>
      </c>
      <c r="AA111" s="100">
        <v>725</v>
      </c>
      <c r="AB111" s="100">
        <v>8375</v>
      </c>
      <c r="AC111" s="100">
        <v>2375</v>
      </c>
      <c r="AD111" s="100">
        <v>750</v>
      </c>
      <c r="AE111" s="100">
        <v>750</v>
      </c>
      <c r="AF111" s="100">
        <v>3575</v>
      </c>
      <c r="AG111" s="100"/>
      <c r="AH111" s="100"/>
      <c r="AI111" s="100"/>
      <c r="AJ111" s="100"/>
      <c r="AK111" s="100"/>
      <c r="AL111" s="100"/>
      <c r="AM111" s="100"/>
      <c r="AN111" s="100"/>
      <c r="AO111" s="100"/>
      <c r="AP111" s="100"/>
      <c r="AQ111" s="100"/>
      <c r="AR111" s="100"/>
      <c r="AS111" s="100"/>
      <c r="AT111" s="100"/>
      <c r="AU111" s="100"/>
      <c r="AV111" s="100"/>
      <c r="AW111" s="100"/>
      <c r="AX111" s="230"/>
      <c r="AY111" s="100"/>
      <c r="AZ111" s="100"/>
      <c r="BA111" s="100"/>
      <c r="BB111" s="100"/>
      <c r="BC111" s="276">
        <f t="shared" si="23"/>
        <v>24050</v>
      </c>
      <c r="BD111" s="786">
        <f t="shared" si="24"/>
        <v>7</v>
      </c>
      <c r="BE111" s="786">
        <f t="shared" si="25"/>
        <v>3435.7142857142858</v>
      </c>
      <c r="BF111" s="85"/>
      <c r="BH111" s="436"/>
    </row>
    <row r="112" spans="1:60" s="38" customFormat="1" ht="15" customHeight="1">
      <c r="A112" s="91">
        <v>100</v>
      </c>
      <c r="B112" s="94">
        <v>552</v>
      </c>
      <c r="C112" s="92" t="s">
        <v>64</v>
      </c>
      <c r="D112" s="528" t="s">
        <v>66</v>
      </c>
      <c r="E112" s="100">
        <v>0</v>
      </c>
      <c r="F112" s="425">
        <f>+J112</f>
        <v>0</v>
      </c>
      <c r="G112" s="425"/>
      <c r="H112" s="100">
        <f>SUMIF(CBIN!$A:$A,BRAN!$V:$V,CBIN!$G:$G)</f>
        <v>0</v>
      </c>
      <c r="I112" s="100">
        <f>SUMIF(data!$D:$D,$B112&amp;$D112,data!$J:$J)</f>
        <v>0</v>
      </c>
      <c r="J112" s="100">
        <f>SUMIF(data!$D:$D,$B112&amp;$D112,data!$K:$K)</f>
        <v>0</v>
      </c>
      <c r="K112" s="100">
        <f>SUMIF(AJOUT!$A:$A,BRAN!$V:$V,AJOUT!$L:$L)</f>
        <v>0</v>
      </c>
      <c r="L112" s="100">
        <f>SUMIF(CBOUT!$A:$A,BRAN!$V:$V,CBOUT!$G:$G)</f>
        <v>0</v>
      </c>
      <c r="M112" s="528">
        <v>0</v>
      </c>
      <c r="N112" s="652">
        <f t="shared" si="26"/>
        <v>0</v>
      </c>
      <c r="O112" s="1159">
        <f t="shared" si="27"/>
        <v>42880</v>
      </c>
      <c r="P112" s="427"/>
      <c r="Q112" s="427"/>
      <c r="R112" s="425">
        <f>O112/INTGRATE!$N$293</f>
        <v>4764.4444444444443</v>
      </c>
      <c r="S112" s="665">
        <f t="shared" si="38"/>
        <v>0</v>
      </c>
      <c r="T112" s="403"/>
      <c r="U112" s="136"/>
      <c r="V112" s="836" t="str">
        <f t="shared" si="39"/>
        <v>552SILO</v>
      </c>
      <c r="W112" s="823">
        <v>321012</v>
      </c>
      <c r="X112" s="386"/>
      <c r="Y112" s="386">
        <v>0</v>
      </c>
      <c r="Z112" s="100">
        <v>0</v>
      </c>
      <c r="AA112" s="100">
        <v>18660</v>
      </c>
      <c r="AB112" s="100">
        <v>10050</v>
      </c>
      <c r="AC112" s="100">
        <v>0</v>
      </c>
      <c r="AD112" s="100">
        <v>0</v>
      </c>
      <c r="AE112" s="100">
        <v>14170</v>
      </c>
      <c r="AF112" s="100">
        <v>0</v>
      </c>
      <c r="AG112" s="100"/>
      <c r="AH112" s="425"/>
      <c r="AI112" s="100"/>
      <c r="AJ112" s="100"/>
      <c r="AK112" s="100"/>
      <c r="AL112" s="100"/>
      <c r="AM112" s="100"/>
      <c r="AN112" s="100"/>
      <c r="AO112" s="425"/>
      <c r="AP112" s="100"/>
      <c r="AQ112" s="425"/>
      <c r="AR112" s="100"/>
      <c r="AS112" s="100"/>
      <c r="AT112" s="100"/>
      <c r="AU112" s="100"/>
      <c r="AV112" s="100"/>
      <c r="AW112" s="100"/>
      <c r="AX112" s="230"/>
      <c r="AY112" s="100"/>
      <c r="AZ112" s="100"/>
      <c r="BA112" s="100"/>
      <c r="BB112" s="100"/>
      <c r="BC112" s="276">
        <f t="shared" si="23"/>
        <v>42880</v>
      </c>
      <c r="BD112" s="786">
        <f t="shared" si="24"/>
        <v>3</v>
      </c>
      <c r="BE112" s="786">
        <f t="shared" si="25"/>
        <v>14293.333333333334</v>
      </c>
      <c r="BF112" s="85"/>
      <c r="BH112" s="436"/>
    </row>
    <row r="113" spans="1:60" s="38" customFormat="1" ht="15" customHeight="1">
      <c r="A113" s="91">
        <v>101</v>
      </c>
      <c r="B113" s="94" t="s">
        <v>160</v>
      </c>
      <c r="C113" s="92" t="s">
        <v>61</v>
      </c>
      <c r="D113" s="514">
        <v>25</v>
      </c>
      <c r="E113" s="100">
        <v>26</v>
      </c>
      <c r="F113" s="100">
        <f>SUMIF(pro!$A:$A,$V:$V,pro!$N:$N)</f>
        <v>0</v>
      </c>
      <c r="G113" s="100"/>
      <c r="H113" s="100">
        <f>SUMIF(CBIN!$A:$A,BRAN!$V:$V,CBIN!$G:$G)</f>
        <v>0</v>
      </c>
      <c r="I113" s="100">
        <f>SUMIF(data!$D:$D,$B113&amp;$D113,data!$J:$J)</f>
        <v>0</v>
      </c>
      <c r="J113" s="100">
        <f>SUMIF(data!$D:$D,$B113&amp;$D113,data!$K:$K)</f>
        <v>0</v>
      </c>
      <c r="K113" s="100">
        <f>SUMIF(AJOUT!$A:$A,BRAN!$V:$V,AJOUT!$L:$L)</f>
        <v>0</v>
      </c>
      <c r="L113" s="100">
        <f>SUMIF(CBOUT!$A:$A,BRAN!$V:$V,CBOUT!$G:$G)</f>
        <v>0</v>
      </c>
      <c r="M113" s="1158">
        <f>E113+F113+H113-I113-L113+G113-K113</f>
        <v>26</v>
      </c>
      <c r="N113" s="652">
        <f t="shared" si="26"/>
        <v>650</v>
      </c>
      <c r="O113" s="1159">
        <f t="shared" si="27"/>
        <v>9375</v>
      </c>
      <c r="P113" s="804"/>
      <c r="Q113" s="804"/>
      <c r="R113" s="100">
        <f>O113/INTGRATE!$N$293</f>
        <v>1041.6666666666667</v>
      </c>
      <c r="S113" s="665">
        <f>IF(R113=0,0,N113/R113)</f>
        <v>0.624</v>
      </c>
      <c r="T113" s="403"/>
      <c r="U113" s="136"/>
      <c r="V113" s="836" t="str">
        <f t="shared" si="39"/>
        <v>552E25</v>
      </c>
      <c r="W113" s="823">
        <v>321072</v>
      </c>
      <c r="X113" s="386"/>
      <c r="Y113" s="386">
        <v>1750</v>
      </c>
      <c r="Z113" s="100">
        <v>250</v>
      </c>
      <c r="AA113" s="100">
        <v>250</v>
      </c>
      <c r="AB113" s="100">
        <v>625</v>
      </c>
      <c r="AC113" s="100">
        <v>0</v>
      </c>
      <c r="AD113" s="100">
        <v>5000</v>
      </c>
      <c r="AE113" s="100">
        <v>1375</v>
      </c>
      <c r="AF113" s="100">
        <v>125</v>
      </c>
      <c r="AG113" s="100"/>
      <c r="AH113" s="425"/>
      <c r="AI113" s="100"/>
      <c r="AJ113" s="100"/>
      <c r="AK113" s="100"/>
      <c r="AL113" s="100"/>
      <c r="AM113" s="100"/>
      <c r="AN113" s="100"/>
      <c r="AO113" s="425"/>
      <c r="AP113" s="100"/>
      <c r="AQ113" s="425"/>
      <c r="AR113" s="100"/>
      <c r="AS113" s="100"/>
      <c r="AT113" s="100"/>
      <c r="AU113" s="100"/>
      <c r="AV113" s="100"/>
      <c r="AW113" s="100"/>
      <c r="AX113" s="230"/>
      <c r="AY113" s="100"/>
      <c r="AZ113" s="100"/>
      <c r="BA113" s="100"/>
      <c r="BB113" s="100"/>
      <c r="BC113" s="276">
        <f t="shared" si="23"/>
        <v>9375</v>
      </c>
      <c r="BD113" s="786">
        <f t="shared" si="24"/>
        <v>7</v>
      </c>
      <c r="BE113" s="786">
        <f t="shared" si="25"/>
        <v>1339.2857142857142</v>
      </c>
      <c r="BF113" s="85"/>
      <c r="BH113" s="436"/>
    </row>
    <row r="114" spans="1:60" s="38" customFormat="1" ht="15" customHeight="1">
      <c r="A114" s="91">
        <v>102</v>
      </c>
      <c r="B114" s="94" t="s">
        <v>161</v>
      </c>
      <c r="C114" s="537" t="s">
        <v>64</v>
      </c>
      <c r="D114" s="617" t="s">
        <v>66</v>
      </c>
      <c r="E114" s="100"/>
      <c r="F114" s="100">
        <f>J114</f>
        <v>0</v>
      </c>
      <c r="G114" s="100"/>
      <c r="H114" s="100">
        <f>SUMIF(CBIN!$A:$A,BRAN!$V:$V,CBIN!$G:$G)</f>
        <v>0</v>
      </c>
      <c r="I114" s="100">
        <f>SUMIF(data!$D:$D,$B114&amp;$D114,data!$J:$J)</f>
        <v>0</v>
      </c>
      <c r="J114" s="100">
        <f>SUMIF(data!$D:$D,$B114&amp;$D114,data!$K:$K)</f>
        <v>0</v>
      </c>
      <c r="K114" s="100"/>
      <c r="L114" s="100"/>
      <c r="M114" s="1158"/>
      <c r="N114" s="652">
        <f t="shared" si="26"/>
        <v>0</v>
      </c>
      <c r="O114" s="1159">
        <f t="shared" ref="O114:O115" si="40">SUM(X114:BB114)</f>
        <v>0</v>
      </c>
      <c r="P114" s="804"/>
      <c r="Q114" s="804"/>
      <c r="R114" s="100">
        <f>O114/INTGRATE!$N$293</f>
        <v>0</v>
      </c>
      <c r="S114" s="665">
        <f t="shared" ref="S114:S115" si="41">IF(R114=0,0,N114/R114)</f>
        <v>0</v>
      </c>
      <c r="T114" s="403"/>
      <c r="U114" s="136"/>
      <c r="V114" s="836" t="str">
        <f t="shared" si="39"/>
        <v>552XSILO</v>
      </c>
      <c r="W114" s="823"/>
      <c r="X114" s="386"/>
      <c r="Y114" s="386">
        <v>0</v>
      </c>
      <c r="Z114" s="100">
        <v>0</v>
      </c>
      <c r="AA114" s="100">
        <v>0</v>
      </c>
      <c r="AB114" s="100">
        <v>0</v>
      </c>
      <c r="AC114" s="100">
        <v>0</v>
      </c>
      <c r="AD114" s="100">
        <v>0</v>
      </c>
      <c r="AE114" s="100">
        <v>0</v>
      </c>
      <c r="AF114" s="100">
        <v>0</v>
      </c>
      <c r="AG114" s="100"/>
      <c r="AH114" s="425"/>
      <c r="AI114" s="100"/>
      <c r="AJ114" s="100"/>
      <c r="AK114" s="100"/>
      <c r="AL114" s="100"/>
      <c r="AM114" s="100"/>
      <c r="AN114" s="100"/>
      <c r="AO114" s="425"/>
      <c r="AP114" s="100"/>
      <c r="AQ114" s="425"/>
      <c r="AR114" s="100"/>
      <c r="AS114" s="100"/>
      <c r="AT114" s="100"/>
      <c r="AU114" s="100"/>
      <c r="AV114" s="100"/>
      <c r="AW114" s="100"/>
      <c r="AX114" s="230"/>
      <c r="AY114" s="100"/>
      <c r="AZ114" s="100"/>
      <c r="BA114" s="100"/>
      <c r="BB114" s="100"/>
      <c r="BC114" s="276">
        <f t="shared" si="23"/>
        <v>0</v>
      </c>
      <c r="BD114" s="786">
        <f t="shared" si="24"/>
        <v>0</v>
      </c>
      <c r="BE114" s="786">
        <f t="shared" si="25"/>
        <v>0</v>
      </c>
      <c r="BF114" s="85"/>
      <c r="BH114" s="436"/>
    </row>
    <row r="115" spans="1:60" s="38" customFormat="1" ht="15" customHeight="1">
      <c r="A115" s="91">
        <v>103</v>
      </c>
      <c r="B115" s="94" t="s">
        <v>162</v>
      </c>
      <c r="C115" s="537" t="s">
        <v>61</v>
      </c>
      <c r="D115" s="617" t="s">
        <v>66</v>
      </c>
      <c r="E115" s="100"/>
      <c r="F115" s="425">
        <f>J115</f>
        <v>0</v>
      </c>
      <c r="G115" s="100"/>
      <c r="H115" s="100"/>
      <c r="I115" s="100"/>
      <c r="J115" s="100">
        <f>SUMIF(data!$D:$D,$B115&amp;$D115,data!$K:$K)</f>
        <v>0</v>
      </c>
      <c r="K115" s="100"/>
      <c r="L115" s="100"/>
      <c r="M115" s="1158"/>
      <c r="N115" s="652"/>
      <c r="O115" s="1159">
        <f t="shared" si="40"/>
        <v>0</v>
      </c>
      <c r="P115" s="804"/>
      <c r="Q115" s="804"/>
      <c r="R115" s="100">
        <f>O115/INTGRATE!$N$293</f>
        <v>0</v>
      </c>
      <c r="S115" s="665">
        <f t="shared" si="41"/>
        <v>0</v>
      </c>
      <c r="T115" s="403"/>
      <c r="U115" s="136"/>
      <c r="V115" s="836" t="str">
        <f t="shared" ref="V115" si="42">B115&amp;D115</f>
        <v>552MSILO</v>
      </c>
      <c r="W115" s="823">
        <v>321012</v>
      </c>
      <c r="X115" s="386"/>
      <c r="Y115" s="386">
        <v>0</v>
      </c>
      <c r="Z115" s="100">
        <v>0</v>
      </c>
      <c r="AA115" s="100">
        <v>0</v>
      </c>
      <c r="AB115" s="100">
        <v>0</v>
      </c>
      <c r="AC115" s="100">
        <v>0</v>
      </c>
      <c r="AD115" s="100">
        <v>0</v>
      </c>
      <c r="AE115" s="100">
        <v>0</v>
      </c>
      <c r="AF115" s="100">
        <v>0</v>
      </c>
      <c r="AG115" s="100"/>
      <c r="AH115" s="425"/>
      <c r="AI115" s="100"/>
      <c r="AJ115" s="100"/>
      <c r="AK115" s="100"/>
      <c r="AL115" s="100"/>
      <c r="AM115" s="100"/>
      <c r="AN115" s="100"/>
      <c r="AO115" s="425"/>
      <c r="AP115" s="100"/>
      <c r="AQ115" s="425"/>
      <c r="AR115" s="100"/>
      <c r="AS115" s="100"/>
      <c r="AT115" s="100"/>
      <c r="AU115" s="100"/>
      <c r="AV115" s="100"/>
      <c r="AW115" s="100"/>
      <c r="AX115" s="230"/>
      <c r="AY115" s="100"/>
      <c r="AZ115" s="100"/>
      <c r="BA115" s="100"/>
      <c r="BB115" s="100"/>
      <c r="BC115" s="276">
        <f t="shared" si="23"/>
        <v>0</v>
      </c>
      <c r="BD115" s="786">
        <f t="shared" si="24"/>
        <v>0</v>
      </c>
      <c r="BE115" s="786">
        <f t="shared" si="25"/>
        <v>0</v>
      </c>
      <c r="BF115" s="85"/>
      <c r="BH115" s="436"/>
    </row>
    <row r="116" spans="1:60" s="38" customFormat="1" ht="15" customHeight="1">
      <c r="A116" s="91">
        <v>104</v>
      </c>
      <c r="B116" s="94" t="s">
        <v>162</v>
      </c>
      <c r="C116" s="537" t="s">
        <v>61</v>
      </c>
      <c r="D116" s="91">
        <v>25</v>
      </c>
      <c r="E116" s="100">
        <v>1187</v>
      </c>
      <c r="F116" s="100">
        <f>SUMIF(pro!$A:$A,$V:$V,pro!$N:$N)</f>
        <v>0</v>
      </c>
      <c r="G116" s="100"/>
      <c r="H116" s="100">
        <f>SUMIF(CBIN!$A:$A,BRAN!$V:$V,CBIN!$G:$G)</f>
        <v>0</v>
      </c>
      <c r="I116" s="100">
        <f>SUMIF(data!$D:$D,$B116&amp;$D116,data!$J:$J)</f>
        <v>0</v>
      </c>
      <c r="J116" s="100">
        <f>SUMIF(data!$D:$D,$B116&amp;$D116,data!$K:$K)</f>
        <v>0</v>
      </c>
      <c r="K116" s="100">
        <f>SUMIF(AJOUT!$A:$A,BRAN!$V:$V,AJOUT!$L:$L)</f>
        <v>0</v>
      </c>
      <c r="L116" s="100">
        <f>SUMIF(CBOUT!$A:$A,BRAN!$V:$V,CBOUT!$G:$G)</f>
        <v>0</v>
      </c>
      <c r="M116" s="1158">
        <f>E116+F116+H116-I116-L116+G116-K116</f>
        <v>1187</v>
      </c>
      <c r="N116" s="652">
        <f t="shared" si="26"/>
        <v>29675</v>
      </c>
      <c r="O116" s="1159">
        <f t="shared" si="27"/>
        <v>98550</v>
      </c>
      <c r="P116" s="804"/>
      <c r="Q116" s="804"/>
      <c r="R116" s="100">
        <f>O116/INTGRATE!$N$293</f>
        <v>10950</v>
      </c>
      <c r="S116" s="665">
        <f t="shared" si="38"/>
        <v>2.7100456621004567</v>
      </c>
      <c r="T116" s="403"/>
      <c r="U116" s="136"/>
      <c r="V116" s="836" t="str">
        <f t="shared" si="39"/>
        <v>552M25</v>
      </c>
      <c r="W116" s="823">
        <v>321012</v>
      </c>
      <c r="X116" s="386"/>
      <c r="Y116" s="386">
        <v>19500</v>
      </c>
      <c r="Z116" s="100">
        <v>2000</v>
      </c>
      <c r="AA116" s="100">
        <v>31025</v>
      </c>
      <c r="AB116" s="100">
        <v>18400</v>
      </c>
      <c r="AC116" s="100">
        <v>9225</v>
      </c>
      <c r="AD116" s="100">
        <v>11900</v>
      </c>
      <c r="AE116" s="100">
        <v>3000</v>
      </c>
      <c r="AF116" s="100">
        <v>3500</v>
      </c>
      <c r="AG116" s="100"/>
      <c r="AH116" s="100"/>
      <c r="AI116" s="100"/>
      <c r="AJ116" s="100"/>
      <c r="AK116" s="100"/>
      <c r="AL116" s="100"/>
      <c r="AM116" s="100"/>
      <c r="AN116" s="100"/>
      <c r="AO116" s="100"/>
      <c r="AP116" s="100"/>
      <c r="AQ116" s="100"/>
      <c r="AR116" s="100"/>
      <c r="AS116" s="100"/>
      <c r="AT116" s="100"/>
      <c r="AU116" s="100"/>
      <c r="AV116" s="100"/>
      <c r="AW116" s="100"/>
      <c r="AX116" s="230"/>
      <c r="AY116" s="100"/>
      <c r="AZ116" s="100"/>
      <c r="BA116" s="100"/>
      <c r="BB116" s="100"/>
      <c r="BC116" s="276">
        <f t="shared" si="23"/>
        <v>98550</v>
      </c>
      <c r="BD116" s="786">
        <f t="shared" si="24"/>
        <v>8</v>
      </c>
      <c r="BE116" s="786">
        <f t="shared" si="25"/>
        <v>12318.75</v>
      </c>
      <c r="BH116" s="436"/>
    </row>
    <row r="117" spans="1:60" s="38" customFormat="1" ht="15" customHeight="1">
      <c r="A117" s="91">
        <v>105</v>
      </c>
      <c r="B117" s="170" t="s">
        <v>163</v>
      </c>
      <c r="C117" s="538" t="s">
        <v>61</v>
      </c>
      <c r="D117" s="164">
        <v>25</v>
      </c>
      <c r="E117" s="100">
        <v>250</v>
      </c>
      <c r="F117" s="100">
        <f>SUMIF(pro!$A:$A,$V:$V,pro!$N:$N)</f>
        <v>0</v>
      </c>
      <c r="G117" s="100"/>
      <c r="H117" s="100">
        <f>SUMIF(CBIN!$A:$A,BRAN!$V:$V,CBIN!$G:$G)</f>
        <v>0</v>
      </c>
      <c r="I117" s="100">
        <f>SUMIF(data!$D:$D,$B117&amp;$D117,data!$J:$J)</f>
        <v>0</v>
      </c>
      <c r="J117" s="100">
        <f>SUMIF(data!$D:$D,$B117&amp;$D117,data!$K:$K)</f>
        <v>0</v>
      </c>
      <c r="K117" s="100">
        <f>SUMIF(AJOUT!$A:$A,BRAN!$V:$V,AJOUT!$L:$L)</f>
        <v>0</v>
      </c>
      <c r="L117" s="100">
        <f>SUMIF(CBOUT!$A:$A,BRAN!$V:$V,CBOUT!$G:$G)</f>
        <v>0</v>
      </c>
      <c r="M117" s="1158">
        <f>E117+F117+H117-I117-L117+G117-K117</f>
        <v>250</v>
      </c>
      <c r="N117" s="652">
        <f t="shared" si="26"/>
        <v>6250</v>
      </c>
      <c r="O117" s="1159">
        <f t="shared" si="27"/>
        <v>5500</v>
      </c>
      <c r="P117" s="804"/>
      <c r="Q117" s="804"/>
      <c r="R117" s="100">
        <f>O117/INTGRATE!$N$293</f>
        <v>611.11111111111109</v>
      </c>
      <c r="S117" s="665">
        <f t="shared" si="38"/>
        <v>10.227272727272728</v>
      </c>
      <c r="T117" s="403"/>
      <c r="U117" s="136"/>
      <c r="V117" s="836" t="str">
        <f t="shared" si="39"/>
        <v>552MX25</v>
      </c>
      <c r="W117" s="823">
        <v>321018</v>
      </c>
      <c r="X117" s="386"/>
      <c r="Y117" s="386">
        <v>1500</v>
      </c>
      <c r="Z117" s="100">
        <v>0</v>
      </c>
      <c r="AA117" s="100">
        <v>0</v>
      </c>
      <c r="AB117" s="100">
        <v>0</v>
      </c>
      <c r="AC117" s="100">
        <v>750</v>
      </c>
      <c r="AD117" s="100">
        <v>1500</v>
      </c>
      <c r="AE117" s="100">
        <v>0</v>
      </c>
      <c r="AF117" s="100">
        <v>1750</v>
      </c>
      <c r="AG117" s="100"/>
      <c r="AH117" s="100"/>
      <c r="AI117" s="100"/>
      <c r="AJ117" s="100"/>
      <c r="AK117" s="100"/>
      <c r="AL117" s="100"/>
      <c r="AM117" s="100"/>
      <c r="AN117" s="100"/>
      <c r="AO117" s="100"/>
      <c r="AP117" s="100"/>
      <c r="AQ117" s="100"/>
      <c r="AR117" s="100"/>
      <c r="AS117" s="100"/>
      <c r="AT117" s="100"/>
      <c r="AU117" s="100"/>
      <c r="AV117" s="100"/>
      <c r="AW117" s="100"/>
      <c r="AX117" s="230"/>
      <c r="AY117" s="100"/>
      <c r="AZ117" s="100"/>
      <c r="BA117" s="100"/>
      <c r="BB117" s="100"/>
      <c r="BC117" s="276">
        <f t="shared" si="23"/>
        <v>5500</v>
      </c>
      <c r="BD117" s="786">
        <f t="shared" si="24"/>
        <v>4</v>
      </c>
      <c r="BE117" s="786">
        <f t="shared" si="25"/>
        <v>1375</v>
      </c>
      <c r="BH117" s="436"/>
    </row>
    <row r="118" spans="1:60" s="38" customFormat="1" ht="14.25" customHeight="1">
      <c r="A118" s="91">
        <v>106</v>
      </c>
      <c r="B118" s="94" t="s">
        <v>164</v>
      </c>
      <c r="C118" s="92" t="s">
        <v>61</v>
      </c>
      <c r="D118" s="528" t="s">
        <v>66</v>
      </c>
      <c r="E118" s="425"/>
      <c r="F118" s="425">
        <f>+J118</f>
        <v>0</v>
      </c>
      <c r="G118" s="425"/>
      <c r="H118" s="100">
        <f>SUMIF(CBIN!$A:$A,BRAN!$V:$V,CBIN!$G:$G)</f>
        <v>0</v>
      </c>
      <c r="I118" s="100">
        <f>SUMIF(data!$D:$D,$B118&amp;$D118,data!$J:$J)</f>
        <v>0</v>
      </c>
      <c r="J118" s="100">
        <f>SUMIF(data!$D:$D,$B118&amp;$D118,data!$K:$K)</f>
        <v>0</v>
      </c>
      <c r="K118" s="100">
        <f>SUMIF(AJOUT!$A:$A,BRAN!$V:$V,AJOUT!$L:$L)</f>
        <v>0</v>
      </c>
      <c r="L118" s="100">
        <f>SUMIF(CBOUT!$A:$A,BRAN!$V:$V,CBOUT!$G:$G)</f>
        <v>0</v>
      </c>
      <c r="M118" s="528"/>
      <c r="N118" s="652">
        <f t="shared" si="26"/>
        <v>0</v>
      </c>
      <c r="O118" s="1159">
        <f t="shared" si="27"/>
        <v>83100</v>
      </c>
      <c r="P118" s="427"/>
      <c r="Q118" s="427"/>
      <c r="R118" s="425">
        <f>O118/INTGRATE!$N$293</f>
        <v>9233.3333333333339</v>
      </c>
      <c r="S118" s="665">
        <f t="shared" si="38"/>
        <v>0</v>
      </c>
      <c r="T118" s="511"/>
      <c r="U118" s="136"/>
      <c r="V118" s="836" t="str">
        <f t="shared" si="39"/>
        <v>552SSILO</v>
      </c>
      <c r="W118" s="823">
        <v>32000890</v>
      </c>
      <c r="X118" s="386"/>
      <c r="Y118" s="386">
        <v>32390</v>
      </c>
      <c r="Z118" s="100">
        <v>8560</v>
      </c>
      <c r="AA118" s="100">
        <v>0</v>
      </c>
      <c r="AB118" s="100">
        <v>23550</v>
      </c>
      <c r="AC118" s="100">
        <v>0</v>
      </c>
      <c r="AD118" s="100">
        <v>18600</v>
      </c>
      <c r="AE118" s="100">
        <v>0</v>
      </c>
      <c r="AF118" s="100">
        <v>0</v>
      </c>
      <c r="AG118" s="100"/>
      <c r="AH118" s="425"/>
      <c r="AI118" s="100"/>
      <c r="AJ118" s="100"/>
      <c r="AK118" s="100"/>
      <c r="AL118" s="100"/>
      <c r="AM118" s="100"/>
      <c r="AN118" s="100"/>
      <c r="AO118" s="425"/>
      <c r="AP118" s="100"/>
      <c r="AQ118" s="425"/>
      <c r="AR118" s="100"/>
      <c r="AS118" s="100"/>
      <c r="AT118" s="100"/>
      <c r="AU118" s="100"/>
      <c r="AV118" s="100"/>
      <c r="AW118" s="100"/>
      <c r="AX118" s="230"/>
      <c r="AY118" s="100"/>
      <c r="AZ118" s="100"/>
      <c r="BA118" s="100"/>
      <c r="BB118" s="100"/>
      <c r="BC118" s="276">
        <f t="shared" si="23"/>
        <v>83100</v>
      </c>
      <c r="BD118" s="786">
        <f t="shared" si="24"/>
        <v>4</v>
      </c>
      <c r="BE118" s="786">
        <f t="shared" si="25"/>
        <v>20775</v>
      </c>
      <c r="BH118" s="436"/>
    </row>
    <row r="119" spans="1:60" s="38" customFormat="1" ht="14.25" customHeight="1">
      <c r="A119" s="91">
        <v>107</v>
      </c>
      <c r="B119" s="94" t="s">
        <v>164</v>
      </c>
      <c r="C119" s="537" t="s">
        <v>61</v>
      </c>
      <c r="D119" s="91">
        <v>25</v>
      </c>
      <c r="E119" s="100">
        <v>4488</v>
      </c>
      <c r="F119" s="100">
        <f>SUMIF(pro!$A:$A,$V:$V,pro!$N:$N)</f>
        <v>1187</v>
      </c>
      <c r="G119" s="100"/>
      <c r="H119" s="100">
        <f>SUMIF(CBIN!$A:$A,BRAN!$V:$V,CBIN!$G:$G)</f>
        <v>0</v>
      </c>
      <c r="I119" s="100">
        <f>SUMIF(data!$D:$D,$B119&amp;$D119,data!$J:$J)</f>
        <v>0</v>
      </c>
      <c r="J119" s="100">
        <f>SUMIF(data!$D:$D,$B119&amp;$D119,data!$K:$K)</f>
        <v>0</v>
      </c>
      <c r="K119" s="100">
        <f>SUMIF(AJOUT!$A:$A,BRAN!$V:$V,AJOUT!$L:$L)</f>
        <v>0</v>
      </c>
      <c r="L119" s="100">
        <f>SUMIF(CBOUT!$A:$A,BRAN!$V:$V,CBOUT!$G:$G)</f>
        <v>0</v>
      </c>
      <c r="M119" s="1158">
        <f>E119+F119+H119-I119-L119+G119-K119</f>
        <v>5675</v>
      </c>
      <c r="N119" s="652">
        <f t="shared" si="26"/>
        <v>141875</v>
      </c>
      <c r="O119" s="1159">
        <f t="shared" si="27"/>
        <v>230750</v>
      </c>
      <c r="P119" s="804"/>
      <c r="Q119" s="804"/>
      <c r="R119" s="100">
        <f>O119/INTGRATE!$N$293</f>
        <v>25638.888888888891</v>
      </c>
      <c r="S119" s="665">
        <f t="shared" si="38"/>
        <v>5.5335861321776809</v>
      </c>
      <c r="T119" s="530"/>
      <c r="U119" s="136"/>
      <c r="V119" s="836" t="str">
        <f t="shared" si="39"/>
        <v>552S25</v>
      </c>
      <c r="W119" s="823">
        <v>320001</v>
      </c>
      <c r="X119" s="386"/>
      <c r="Y119" s="386">
        <v>37900</v>
      </c>
      <c r="Z119" s="100">
        <v>14500</v>
      </c>
      <c r="AA119" s="100">
        <v>60000</v>
      </c>
      <c r="AB119" s="100">
        <v>24950</v>
      </c>
      <c r="AC119" s="100">
        <v>26050</v>
      </c>
      <c r="AD119" s="100">
        <v>13875</v>
      </c>
      <c r="AE119" s="100">
        <v>33775</v>
      </c>
      <c r="AF119" s="100">
        <v>19700</v>
      </c>
      <c r="AG119" s="100"/>
      <c r="AH119" s="100"/>
      <c r="AI119" s="100"/>
      <c r="AJ119" s="100"/>
      <c r="AK119" s="100"/>
      <c r="AL119" s="100"/>
      <c r="AM119" s="100"/>
      <c r="AN119" s="100"/>
      <c r="AO119" s="100"/>
      <c r="AP119" s="100"/>
      <c r="AQ119" s="100"/>
      <c r="AR119" s="100"/>
      <c r="AS119" s="100"/>
      <c r="AT119" s="100"/>
      <c r="AU119" s="100"/>
      <c r="AV119" s="100"/>
      <c r="AW119" s="100"/>
      <c r="AX119" s="230"/>
      <c r="AY119" s="100"/>
      <c r="AZ119" s="100"/>
      <c r="BA119" s="100"/>
      <c r="BB119" s="100"/>
      <c r="BC119" s="276">
        <f t="shared" si="23"/>
        <v>230750</v>
      </c>
      <c r="BD119" s="786">
        <f t="shared" si="24"/>
        <v>8</v>
      </c>
      <c r="BE119" s="786">
        <f t="shared" si="25"/>
        <v>28843.75</v>
      </c>
      <c r="BF119" s="328"/>
      <c r="BH119" s="436"/>
    </row>
    <row r="120" spans="1:60" s="38" customFormat="1" ht="14.25" customHeight="1">
      <c r="A120" s="91">
        <v>108</v>
      </c>
      <c r="B120" s="94" t="s">
        <v>65</v>
      </c>
      <c r="C120" s="92" t="s">
        <v>61</v>
      </c>
      <c r="D120" s="528" t="s">
        <v>66</v>
      </c>
      <c r="E120" s="425"/>
      <c r="F120" s="425">
        <f>+J120</f>
        <v>0</v>
      </c>
      <c r="G120" s="425"/>
      <c r="H120" s="100">
        <f>SUMIF(CBIN!$A:$A,BRAN!$V:$V,CBIN!$G:$G)</f>
        <v>0</v>
      </c>
      <c r="I120" s="100">
        <f>SUMIF(data!$D:$D,$B120&amp;$D120,data!$J:$J)</f>
        <v>0</v>
      </c>
      <c r="J120" s="100">
        <f>SUMIF(data!$D:$D,$B120&amp;$D120,data!$K:$K)</f>
        <v>0</v>
      </c>
      <c r="K120" s="100">
        <f>SUMIF(AJOUT!$A:$A,BRAN!$V:$V,AJOUT!$L:$L)</f>
        <v>0</v>
      </c>
      <c r="L120" s="100"/>
      <c r="M120" s="528"/>
      <c r="N120" s="652">
        <f t="shared" si="26"/>
        <v>0</v>
      </c>
      <c r="O120" s="1159">
        <f t="shared" si="27"/>
        <v>0</v>
      </c>
      <c r="P120" s="427"/>
      <c r="Q120" s="427"/>
      <c r="R120" s="425">
        <f>O120/INTGRATE!$N$293</f>
        <v>0</v>
      </c>
      <c r="S120" s="665">
        <f>IF(R120=0,0,N120/R120)</f>
        <v>0</v>
      </c>
      <c r="T120" s="511"/>
      <c r="U120" s="136"/>
      <c r="V120" s="836" t="str">
        <f>B120&amp;D120</f>
        <v>552SProSILO</v>
      </c>
      <c r="W120" s="823">
        <v>320021</v>
      </c>
      <c r="X120" s="386"/>
      <c r="Y120" s="386">
        <v>0</v>
      </c>
      <c r="Z120" s="100">
        <v>0</v>
      </c>
      <c r="AA120" s="100">
        <v>0</v>
      </c>
      <c r="AB120" s="100">
        <v>0</v>
      </c>
      <c r="AC120" s="100">
        <v>0</v>
      </c>
      <c r="AD120" s="100">
        <v>0</v>
      </c>
      <c r="AE120" s="100">
        <v>0</v>
      </c>
      <c r="AF120" s="100">
        <v>0</v>
      </c>
      <c r="AG120" s="100"/>
      <c r="AH120" s="425"/>
      <c r="AI120" s="100"/>
      <c r="AJ120" s="100"/>
      <c r="AK120" s="100"/>
      <c r="AL120" s="100"/>
      <c r="AM120" s="100"/>
      <c r="AN120" s="100"/>
      <c r="AO120" s="425"/>
      <c r="AP120" s="100"/>
      <c r="AQ120" s="425"/>
      <c r="AR120" s="100"/>
      <c r="AS120" s="100"/>
      <c r="AT120" s="100"/>
      <c r="AU120" s="100"/>
      <c r="AV120" s="100"/>
      <c r="AW120" s="100"/>
      <c r="AX120" s="230"/>
      <c r="AY120" s="100"/>
      <c r="AZ120" s="100"/>
      <c r="BA120" s="100"/>
      <c r="BB120" s="100"/>
      <c r="BC120" s="276">
        <f t="shared" si="23"/>
        <v>0</v>
      </c>
      <c r="BD120" s="786">
        <f t="shared" si="24"/>
        <v>0</v>
      </c>
      <c r="BE120" s="786">
        <f t="shared" si="25"/>
        <v>0</v>
      </c>
      <c r="BH120" s="436"/>
    </row>
    <row r="121" spans="1:60" s="38" customFormat="1" ht="14.25" customHeight="1">
      <c r="A121" s="91">
        <v>109</v>
      </c>
      <c r="B121" s="94" t="s">
        <v>65</v>
      </c>
      <c r="C121" s="537" t="s">
        <v>61</v>
      </c>
      <c r="D121" s="91">
        <v>25</v>
      </c>
      <c r="E121" s="100">
        <v>2051</v>
      </c>
      <c r="F121" s="100">
        <f>SUMIF(pro!$A:$A,$V:$V,pro!$N:$N)</f>
        <v>0</v>
      </c>
      <c r="G121" s="100"/>
      <c r="H121" s="100">
        <f>SUMIF(CBIN!$A:$A,BRAN!$V:$V,CBIN!$G:$G)</f>
        <v>0</v>
      </c>
      <c r="I121" s="100">
        <f>SUMIF(data!$D:$D,$B121&amp;$D121,data!$J:$J)</f>
        <v>0</v>
      </c>
      <c r="J121" s="100">
        <f>SUMIF(data!$D:$D,$B121&amp;$D121,data!$K:$K)</f>
        <v>0</v>
      </c>
      <c r="K121" s="100">
        <f>SUMIF(AJOUT!$A:$A,BRAN!$V:$V,AJOUT!$L:$L)</f>
        <v>0</v>
      </c>
      <c r="L121" s="100">
        <f>SUMIF(CBOUT!$A:$A,BRAN!$V:$V,CBOUT!$G:$G)</f>
        <v>0</v>
      </c>
      <c r="M121" s="1158">
        <f>E121+F121+H121-I121-L121+G121-K121</f>
        <v>2051</v>
      </c>
      <c r="N121" s="652">
        <f t="shared" si="26"/>
        <v>51275</v>
      </c>
      <c r="O121" s="1159">
        <f t="shared" si="27"/>
        <v>41200</v>
      </c>
      <c r="P121" s="804"/>
      <c r="Q121" s="804"/>
      <c r="R121" s="100">
        <f>O121/INTGRATE!$N$293</f>
        <v>4577.7777777777774</v>
      </c>
      <c r="S121" s="665">
        <f t="shared" si="38"/>
        <v>11.200849514563108</v>
      </c>
      <c r="T121" s="461"/>
      <c r="U121" s="136"/>
      <c r="V121" s="836" t="str">
        <f t="shared" si="39"/>
        <v>552SPro25</v>
      </c>
      <c r="W121" s="823">
        <v>320021</v>
      </c>
      <c r="X121" s="386"/>
      <c r="Y121" s="386">
        <v>9750</v>
      </c>
      <c r="Z121" s="100">
        <v>0</v>
      </c>
      <c r="AA121" s="100">
        <v>13950</v>
      </c>
      <c r="AB121" s="100">
        <v>6675</v>
      </c>
      <c r="AC121" s="100">
        <v>2825</v>
      </c>
      <c r="AD121" s="100">
        <v>4000</v>
      </c>
      <c r="AE121" s="100">
        <v>1375</v>
      </c>
      <c r="AF121" s="100">
        <v>2625</v>
      </c>
      <c r="AG121" s="100"/>
      <c r="AH121" s="100"/>
      <c r="AI121" s="100"/>
      <c r="AJ121" s="100"/>
      <c r="AK121" s="100"/>
      <c r="AL121" s="100"/>
      <c r="AM121" s="100"/>
      <c r="AN121" s="100"/>
      <c r="AO121" s="100"/>
      <c r="AP121" s="100"/>
      <c r="AQ121" s="100"/>
      <c r="AR121" s="100"/>
      <c r="AS121" s="100"/>
      <c r="AT121" s="100"/>
      <c r="AU121" s="100"/>
      <c r="AV121" s="100"/>
      <c r="AW121" s="100"/>
      <c r="AX121" s="230"/>
      <c r="AY121" s="100"/>
      <c r="AZ121" s="100"/>
      <c r="BA121" s="100"/>
      <c r="BB121" s="100"/>
      <c r="BC121" s="276">
        <f t="shared" si="23"/>
        <v>41200</v>
      </c>
      <c r="BD121" s="786">
        <f t="shared" si="24"/>
        <v>7</v>
      </c>
      <c r="BE121" s="786">
        <f t="shared" si="25"/>
        <v>5885.7142857142853</v>
      </c>
      <c r="BF121" s="328"/>
      <c r="BH121" s="436"/>
    </row>
    <row r="122" spans="1:60" s="38" customFormat="1" ht="15" customHeight="1">
      <c r="A122" s="91">
        <v>110</v>
      </c>
      <c r="B122" s="170" t="s">
        <v>165</v>
      </c>
      <c r="C122" s="538" t="s">
        <v>61</v>
      </c>
      <c r="D122" s="164">
        <v>25</v>
      </c>
      <c r="E122" s="100">
        <v>344</v>
      </c>
      <c r="F122" s="100">
        <f>SUMIF(pro!$A:$A,$V:$V,pro!$N:$N)</f>
        <v>400</v>
      </c>
      <c r="G122" s="100"/>
      <c r="H122" s="100">
        <f>SUMIF(CBIN!$A:$A,BRAN!$V:$V,CBIN!$G:$G)</f>
        <v>0</v>
      </c>
      <c r="I122" s="100">
        <f>SUMIF(data!$D:$D,$B122&amp;$D122,data!$J:$J)</f>
        <v>0</v>
      </c>
      <c r="J122" s="100">
        <f>SUMIF(data!$D:$D,$B122&amp;$D122,data!$K:$K)</f>
        <v>0</v>
      </c>
      <c r="K122" s="100">
        <f>SUMIF(AJOUT!$A:$A,BRAN!$V:$V,AJOUT!$L:$L)</f>
        <v>0</v>
      </c>
      <c r="L122" s="100">
        <f>SUMIF(CBOUT!$A:$A,BRAN!$V:$V,CBOUT!$G:$G)</f>
        <v>0</v>
      </c>
      <c r="M122" s="1158">
        <f>E122+F122+H122-I122-L122+G122-K122</f>
        <v>744</v>
      </c>
      <c r="N122" s="652">
        <f t="shared" si="26"/>
        <v>18600</v>
      </c>
      <c r="O122" s="1159">
        <f t="shared" si="27"/>
        <v>69225</v>
      </c>
      <c r="P122" s="804"/>
      <c r="Q122" s="804"/>
      <c r="R122" s="100">
        <f>O122/INTGRATE!$N$293</f>
        <v>7691.666666666667</v>
      </c>
      <c r="S122" s="665">
        <f t="shared" si="38"/>
        <v>2.4182015167930659</v>
      </c>
      <c r="T122" s="403"/>
      <c r="U122" s="136"/>
      <c r="V122" s="836" t="str">
        <f t="shared" si="39"/>
        <v>552SX25</v>
      </c>
      <c r="W122" s="823">
        <v>320008</v>
      </c>
      <c r="X122" s="386"/>
      <c r="Y122" s="386">
        <v>4950</v>
      </c>
      <c r="Z122" s="100">
        <v>1500</v>
      </c>
      <c r="AA122" s="100">
        <v>9500</v>
      </c>
      <c r="AB122" s="100">
        <v>7825</v>
      </c>
      <c r="AC122" s="100">
        <v>12750</v>
      </c>
      <c r="AD122" s="100">
        <v>10350</v>
      </c>
      <c r="AE122" s="100">
        <v>6125</v>
      </c>
      <c r="AF122" s="100">
        <v>16225</v>
      </c>
      <c r="AG122" s="100"/>
      <c r="AH122" s="100"/>
      <c r="AI122" s="100"/>
      <c r="AJ122" s="100"/>
      <c r="AK122" s="100"/>
      <c r="AL122" s="100"/>
      <c r="AM122" s="100"/>
      <c r="AN122" s="100"/>
      <c r="AO122" s="100"/>
      <c r="AP122" s="100"/>
      <c r="AQ122" s="100"/>
      <c r="AR122" s="100"/>
      <c r="AS122" s="100"/>
      <c r="AT122" s="100"/>
      <c r="AU122" s="100"/>
      <c r="AV122" s="100"/>
      <c r="AW122" s="100"/>
      <c r="AX122" s="230"/>
      <c r="AY122" s="100"/>
      <c r="AZ122" s="100"/>
      <c r="BA122" s="100"/>
      <c r="BB122" s="100"/>
      <c r="BC122" s="276">
        <f t="shared" si="23"/>
        <v>69225</v>
      </c>
      <c r="BD122" s="786">
        <f t="shared" si="24"/>
        <v>8</v>
      </c>
      <c r="BE122" s="786">
        <f t="shared" si="25"/>
        <v>8653.125</v>
      </c>
      <c r="BF122" s="328"/>
      <c r="BH122" s="436"/>
    </row>
    <row r="123" spans="1:60" s="38" customFormat="1" ht="15" customHeight="1">
      <c r="A123" s="91">
        <v>111</v>
      </c>
      <c r="B123" s="170" t="s">
        <v>165</v>
      </c>
      <c r="C123" s="538" t="s">
        <v>61</v>
      </c>
      <c r="D123" s="615" t="s">
        <v>66</v>
      </c>
      <c r="E123" s="100">
        <v>0</v>
      </c>
      <c r="F123" s="425">
        <f>+J123</f>
        <v>0</v>
      </c>
      <c r="G123" s="425"/>
      <c r="H123" s="100">
        <f>SUMIF(CBIN!$A:$A,BRAN!$V:$V,CBIN!$G:$G)</f>
        <v>0</v>
      </c>
      <c r="I123" s="100">
        <f>SUMIF(data!$D:$D,$B123&amp;$D123,data!$J:$J)</f>
        <v>0</v>
      </c>
      <c r="J123" s="100">
        <f>SUMIF(data!$D:$D,$B123&amp;$D123,data!$K:$K)</f>
        <v>0</v>
      </c>
      <c r="K123" s="100">
        <f>SUMIF(AJOUT!$A:$A,BRAN!$V:$V,AJOUT!$L:$L)</f>
        <v>0</v>
      </c>
      <c r="L123" s="100">
        <f>SUMIF(CBOUT!$A:$A,BRAN!$V:$V,CBOUT!$G:$G)</f>
        <v>0</v>
      </c>
      <c r="M123" s="1158">
        <v>0</v>
      </c>
      <c r="N123" s="652">
        <f t="shared" si="26"/>
        <v>0</v>
      </c>
      <c r="O123" s="1159">
        <f t="shared" si="27"/>
        <v>0</v>
      </c>
      <c r="P123" s="804"/>
      <c r="Q123" s="804"/>
      <c r="R123" s="100">
        <f>O123/INTGRATE!$N$293</f>
        <v>0</v>
      </c>
      <c r="S123" s="665">
        <f t="shared" si="38"/>
        <v>0</v>
      </c>
      <c r="T123" s="403"/>
      <c r="U123" s="136"/>
      <c r="V123" s="836" t="str">
        <f>B123&amp;D123</f>
        <v>552SXSILO</v>
      </c>
      <c r="W123" s="823">
        <v>320008</v>
      </c>
      <c r="X123" s="386"/>
      <c r="Y123" s="386">
        <v>0</v>
      </c>
      <c r="Z123" s="100">
        <v>0</v>
      </c>
      <c r="AA123" s="100">
        <v>0</v>
      </c>
      <c r="AB123" s="100">
        <v>0</v>
      </c>
      <c r="AC123" s="100">
        <v>0</v>
      </c>
      <c r="AD123" s="100">
        <v>0</v>
      </c>
      <c r="AE123" s="100">
        <v>0</v>
      </c>
      <c r="AF123" s="100">
        <v>0</v>
      </c>
      <c r="AG123" s="100"/>
      <c r="AH123" s="425"/>
      <c r="AI123" s="100"/>
      <c r="AJ123" s="100"/>
      <c r="AK123" s="100"/>
      <c r="AL123" s="100"/>
      <c r="AM123" s="100"/>
      <c r="AN123" s="100"/>
      <c r="AO123" s="425"/>
      <c r="AP123" s="100"/>
      <c r="AQ123" s="425"/>
      <c r="AR123" s="100"/>
      <c r="AS123" s="100"/>
      <c r="AT123" s="100"/>
      <c r="AU123" s="100"/>
      <c r="AV123" s="100"/>
      <c r="AW123" s="100"/>
      <c r="AX123" s="230"/>
      <c r="AY123" s="100"/>
      <c r="AZ123" s="100"/>
      <c r="BA123" s="100"/>
      <c r="BB123" s="100"/>
      <c r="BC123" s="276">
        <f t="shared" si="23"/>
        <v>0</v>
      </c>
      <c r="BD123" s="786">
        <f t="shared" si="24"/>
        <v>0</v>
      </c>
      <c r="BE123" s="786">
        <f t="shared" si="25"/>
        <v>0</v>
      </c>
      <c r="BF123" s="328"/>
      <c r="BH123" s="436"/>
    </row>
    <row r="124" spans="1:60" s="38" customFormat="1" ht="15" customHeight="1">
      <c r="A124" s="91">
        <v>112</v>
      </c>
      <c r="B124" s="170" t="s">
        <v>62</v>
      </c>
      <c r="C124" s="538" t="s">
        <v>61</v>
      </c>
      <c r="D124" s="615" t="s">
        <v>66</v>
      </c>
      <c r="E124" s="100">
        <v>0</v>
      </c>
      <c r="F124" s="425">
        <f>+J124</f>
        <v>0</v>
      </c>
      <c r="G124" s="425"/>
      <c r="H124" s="100">
        <f>SUMIF(CBIN!$A:$A,BRAN!$V:$V,CBIN!$G:$G)</f>
        <v>0</v>
      </c>
      <c r="I124" s="100">
        <f>SUMIF(data!$D:$D,$B124&amp;$D124,data!$J:$J)</f>
        <v>0</v>
      </c>
      <c r="J124" s="100">
        <f>SUMIF(data!$D:$D,$B124&amp;$D124,data!$K:$K)</f>
        <v>0</v>
      </c>
      <c r="K124" s="100">
        <f>SUMIF(AJOUT!$A:$A,BRAN!$V:$V,AJOUT!$L:$L)</f>
        <v>0</v>
      </c>
      <c r="L124" s="100"/>
      <c r="M124" s="1158">
        <v>0</v>
      </c>
      <c r="N124" s="652">
        <f t="shared" si="26"/>
        <v>0</v>
      </c>
      <c r="O124" s="1159">
        <f t="shared" si="27"/>
        <v>0</v>
      </c>
      <c r="P124" s="804"/>
      <c r="Q124" s="804"/>
      <c r="R124" s="100">
        <f>O124/INTGRATE!$N$293</f>
        <v>0</v>
      </c>
      <c r="S124" s="665">
        <f>IF(R124=0,0,N124/R124)</f>
        <v>0</v>
      </c>
      <c r="T124" s="403"/>
      <c r="U124" s="136"/>
      <c r="V124" s="836" t="str">
        <f>B124&amp;D124</f>
        <v>552SXProSILO</v>
      </c>
      <c r="W124" s="823"/>
      <c r="X124" s="386"/>
      <c r="Y124" s="386">
        <v>0</v>
      </c>
      <c r="Z124" s="100">
        <v>0</v>
      </c>
      <c r="AA124" s="100">
        <v>0</v>
      </c>
      <c r="AB124" s="100">
        <v>0</v>
      </c>
      <c r="AC124" s="100">
        <v>0</v>
      </c>
      <c r="AD124" s="100">
        <v>0</v>
      </c>
      <c r="AE124" s="100">
        <v>0</v>
      </c>
      <c r="AF124" s="100">
        <v>0</v>
      </c>
      <c r="AG124" s="100"/>
      <c r="AH124" s="425"/>
      <c r="AI124" s="100"/>
      <c r="AJ124" s="100"/>
      <c r="AK124" s="100"/>
      <c r="AL124" s="100"/>
      <c r="AM124" s="100"/>
      <c r="AN124" s="100"/>
      <c r="AO124" s="425"/>
      <c r="AP124" s="100"/>
      <c r="AQ124" s="425"/>
      <c r="AR124" s="100"/>
      <c r="AS124" s="100"/>
      <c r="AT124" s="100"/>
      <c r="AU124" s="100"/>
      <c r="AV124" s="100"/>
      <c r="AW124" s="100"/>
      <c r="AX124" s="230"/>
      <c r="AY124" s="100"/>
      <c r="AZ124" s="100"/>
      <c r="BA124" s="100"/>
      <c r="BB124" s="100"/>
      <c r="BC124" s="276">
        <f t="shared" si="23"/>
        <v>0</v>
      </c>
      <c r="BD124" s="786">
        <f t="shared" si="24"/>
        <v>0</v>
      </c>
      <c r="BE124" s="786">
        <f t="shared" si="25"/>
        <v>0</v>
      </c>
      <c r="BF124" s="328"/>
      <c r="BH124" s="436"/>
    </row>
    <row r="125" spans="1:60" s="38" customFormat="1" ht="15" customHeight="1">
      <c r="A125" s="91">
        <v>113</v>
      </c>
      <c r="B125" s="170" t="s">
        <v>62</v>
      </c>
      <c r="C125" s="538" t="s">
        <v>61</v>
      </c>
      <c r="D125" s="615">
        <v>25</v>
      </c>
      <c r="E125" s="100">
        <v>0</v>
      </c>
      <c r="F125" s="425">
        <f>+J125</f>
        <v>0</v>
      </c>
      <c r="G125" s="425"/>
      <c r="H125" s="100">
        <f>SUMIF(CBIN!$A:$A,BRAN!$V:$V,CBIN!$G:$G)</f>
        <v>0</v>
      </c>
      <c r="I125" s="100">
        <f>SUMIF(data!$D:$D,$B125&amp;$D125,data!$J:$J)</f>
        <v>0</v>
      </c>
      <c r="J125" s="100">
        <f>SUMIF(data!$D:$D,$B125&amp;$D125,data!$K:$K)</f>
        <v>0</v>
      </c>
      <c r="K125" s="100">
        <f>SUMIF(AJOUT!$A:$A,BRAN!$V:$V,AJOUT!$L:$L)</f>
        <v>0</v>
      </c>
      <c r="L125" s="100">
        <f>SUMIF(CBOUT!$A:$A,BRAN!$V:$V,CBOUT!$G:$G)</f>
        <v>0</v>
      </c>
      <c r="M125" s="1158">
        <v>0</v>
      </c>
      <c r="N125" s="652">
        <f t="shared" si="26"/>
        <v>0</v>
      </c>
      <c r="O125" s="1159">
        <f t="shared" si="27"/>
        <v>0</v>
      </c>
      <c r="P125" s="804"/>
      <c r="Q125" s="804"/>
      <c r="R125" s="100">
        <f>O125/INTGRATE!$N$293</f>
        <v>0</v>
      </c>
      <c r="S125" s="665">
        <f t="shared" si="38"/>
        <v>0</v>
      </c>
      <c r="T125" s="403"/>
      <c r="U125" s="136"/>
      <c r="V125" s="836" t="str">
        <f>B125&amp;D125</f>
        <v>552SXPro25</v>
      </c>
      <c r="W125" s="823"/>
      <c r="X125" s="386"/>
      <c r="Y125" s="386">
        <v>0</v>
      </c>
      <c r="Z125" s="100">
        <v>0</v>
      </c>
      <c r="AA125" s="100">
        <v>0</v>
      </c>
      <c r="AB125" s="100">
        <v>0</v>
      </c>
      <c r="AC125" s="100">
        <v>0</v>
      </c>
      <c r="AD125" s="100">
        <v>0</v>
      </c>
      <c r="AE125" s="100">
        <v>0</v>
      </c>
      <c r="AF125" s="100">
        <v>0</v>
      </c>
      <c r="AG125" s="100"/>
      <c r="AH125" s="425"/>
      <c r="AI125" s="100"/>
      <c r="AJ125" s="100"/>
      <c r="AK125" s="100"/>
      <c r="AL125" s="100"/>
      <c r="AM125" s="100"/>
      <c r="AN125" s="100"/>
      <c r="AO125" s="425"/>
      <c r="AP125" s="100"/>
      <c r="AQ125" s="425"/>
      <c r="AR125" s="100"/>
      <c r="AS125" s="100"/>
      <c r="AT125" s="100"/>
      <c r="AU125" s="100"/>
      <c r="AV125" s="100"/>
      <c r="AW125" s="100"/>
      <c r="AX125" s="230"/>
      <c r="AY125" s="100"/>
      <c r="AZ125" s="100"/>
      <c r="BA125" s="100"/>
      <c r="BB125" s="100"/>
      <c r="BC125" s="276">
        <f t="shared" si="23"/>
        <v>0</v>
      </c>
      <c r="BD125" s="786">
        <f t="shared" si="24"/>
        <v>0</v>
      </c>
      <c r="BE125" s="786">
        <f t="shared" si="25"/>
        <v>0</v>
      </c>
      <c r="BF125" s="328"/>
      <c r="BH125" s="436"/>
    </row>
    <row r="126" spans="1:60" s="38" customFormat="1" ht="15" customHeight="1">
      <c r="A126" s="91">
        <v>114</v>
      </c>
      <c r="B126" s="94">
        <v>553</v>
      </c>
      <c r="C126" s="94" t="s">
        <v>64</v>
      </c>
      <c r="D126" s="91">
        <v>25</v>
      </c>
      <c r="E126" s="100">
        <v>627</v>
      </c>
      <c r="F126" s="100">
        <f>SUMIF(pro!$A:$A,$V:$V,pro!$N:$N)</f>
        <v>0</v>
      </c>
      <c r="G126" s="100"/>
      <c r="H126" s="100">
        <f>SUMIF(CBIN!$A:$A,BRAN!$V:$V,CBIN!$G:$G)</f>
        <v>0</v>
      </c>
      <c r="I126" s="100">
        <f>SUMIF(data!$D:$D,$B126&amp;$D126,data!$J:$J)</f>
        <v>0</v>
      </c>
      <c r="J126" s="100">
        <f>SUMIF(data!$D:$D,$B126&amp;$D126,data!$K:$K)</f>
        <v>0</v>
      </c>
      <c r="K126" s="100">
        <f>SUMIF(AJOUT!$A:$A,BRAN!$V:$V,AJOUT!$L:$L)</f>
        <v>0</v>
      </c>
      <c r="L126" s="100">
        <f>SUMIF(CBOUT!$A:$A,BRAN!$V:$V,CBOUT!$G:$G)</f>
        <v>0</v>
      </c>
      <c r="M126" s="1158">
        <f>E126+F126+H126-I126-L126+G126-K126</f>
        <v>627</v>
      </c>
      <c r="N126" s="652">
        <f t="shared" si="26"/>
        <v>15675</v>
      </c>
      <c r="O126" s="1159">
        <f t="shared" si="27"/>
        <v>62975</v>
      </c>
      <c r="P126" s="804"/>
      <c r="Q126" s="804"/>
      <c r="R126" s="100">
        <f>O126/INTGRATE!$N$293</f>
        <v>6997.2222222222226</v>
      </c>
      <c r="S126" s="665">
        <f t="shared" si="38"/>
        <v>2.2401746724890828</v>
      </c>
      <c r="T126" s="403"/>
      <c r="U126" s="136"/>
      <c r="V126" s="836" t="str">
        <f t="shared" si="39"/>
        <v>55325</v>
      </c>
      <c r="W126" s="823">
        <v>332301</v>
      </c>
      <c r="X126" s="386"/>
      <c r="Y126" s="386">
        <v>13150</v>
      </c>
      <c r="Z126" s="100">
        <v>5350</v>
      </c>
      <c r="AA126" s="100">
        <v>2025</v>
      </c>
      <c r="AB126" s="100">
        <v>13675</v>
      </c>
      <c r="AC126" s="100">
        <v>8825</v>
      </c>
      <c r="AD126" s="100">
        <v>5125</v>
      </c>
      <c r="AE126" s="100">
        <v>9025</v>
      </c>
      <c r="AF126" s="100">
        <v>5800</v>
      </c>
      <c r="AG126" s="100"/>
      <c r="AH126" s="100"/>
      <c r="AI126" s="100"/>
      <c r="AJ126" s="100"/>
      <c r="AK126" s="100"/>
      <c r="AL126" s="100"/>
      <c r="AM126" s="100"/>
      <c r="AN126" s="100"/>
      <c r="AO126" s="100"/>
      <c r="AP126" s="100"/>
      <c r="AQ126" s="100"/>
      <c r="AR126" s="100"/>
      <c r="AS126" s="100"/>
      <c r="AT126" s="100"/>
      <c r="AU126" s="100"/>
      <c r="AV126" s="100"/>
      <c r="AW126" s="100"/>
      <c r="AX126" s="230"/>
      <c r="AY126" s="100"/>
      <c r="AZ126" s="100"/>
      <c r="BA126" s="100"/>
      <c r="BB126" s="100"/>
      <c r="BC126" s="276">
        <f t="shared" si="23"/>
        <v>62975</v>
      </c>
      <c r="BD126" s="786">
        <f t="shared" si="24"/>
        <v>8</v>
      </c>
      <c r="BE126" s="786">
        <f t="shared" si="25"/>
        <v>7871.875</v>
      </c>
      <c r="BH126" s="436"/>
    </row>
    <row r="127" spans="1:60" s="38" customFormat="1" ht="15" customHeight="1">
      <c r="A127" s="91">
        <v>115</v>
      </c>
      <c r="B127" s="94">
        <v>553</v>
      </c>
      <c r="C127" s="163" t="s">
        <v>64</v>
      </c>
      <c r="D127" s="528" t="s">
        <v>66</v>
      </c>
      <c r="E127" s="425">
        <v>0</v>
      </c>
      <c r="F127" s="425">
        <f>+J127</f>
        <v>0</v>
      </c>
      <c r="G127" s="425"/>
      <c r="H127" s="100">
        <f>SUMIF(CBIN!$A:$A,BRAN!$V:$V,CBIN!$G:$G)</f>
        <v>0</v>
      </c>
      <c r="I127" s="100">
        <f>SUMIF(data!$D:$D,$B127&amp;$D127,data!$J:$J)</f>
        <v>0</v>
      </c>
      <c r="J127" s="100">
        <f>SUMIF(data!$D:$D,$B127&amp;$D127,data!$K:$K)</f>
        <v>0</v>
      </c>
      <c r="K127" s="100">
        <f>SUMIF(AJOUT!$A:$A,BRAN!$V:$V,AJOUT!$L:$L)</f>
        <v>0</v>
      </c>
      <c r="L127" s="100">
        <f>SUMIF(CBOUT!$A:$A,BRAN!$V:$V,CBOUT!$G:$G)</f>
        <v>0</v>
      </c>
      <c r="M127" s="528">
        <v>0</v>
      </c>
      <c r="N127" s="652">
        <f t="shared" si="26"/>
        <v>0</v>
      </c>
      <c r="O127" s="1159">
        <f t="shared" si="27"/>
        <v>0</v>
      </c>
      <c r="P127" s="427"/>
      <c r="Q127" s="427"/>
      <c r="R127" s="425">
        <f>O127/INTGRATE!$N$293</f>
        <v>0</v>
      </c>
      <c r="S127" s="665">
        <f t="shared" si="38"/>
        <v>0</v>
      </c>
      <c r="T127" s="403"/>
      <c r="U127" s="136"/>
      <c r="V127" s="836" t="str">
        <f t="shared" si="39"/>
        <v>553SILO</v>
      </c>
      <c r="W127" s="823">
        <v>332301</v>
      </c>
      <c r="X127" s="386"/>
      <c r="Y127" s="386">
        <v>0</v>
      </c>
      <c r="Z127" s="100">
        <v>0</v>
      </c>
      <c r="AA127" s="100">
        <v>0</v>
      </c>
      <c r="AB127" s="100">
        <v>0</v>
      </c>
      <c r="AC127" s="100">
        <v>0</v>
      </c>
      <c r="AD127" s="100">
        <v>0</v>
      </c>
      <c r="AE127" s="100">
        <v>0</v>
      </c>
      <c r="AF127" s="100">
        <v>0</v>
      </c>
      <c r="AG127" s="100"/>
      <c r="AH127" s="425"/>
      <c r="AI127" s="100"/>
      <c r="AJ127" s="100"/>
      <c r="AK127" s="100"/>
      <c r="AL127" s="100"/>
      <c r="AM127" s="100"/>
      <c r="AN127" s="100"/>
      <c r="AO127" s="425"/>
      <c r="AP127" s="100"/>
      <c r="AQ127" s="425"/>
      <c r="AR127" s="100"/>
      <c r="AS127" s="100"/>
      <c r="AT127" s="100"/>
      <c r="AU127" s="100"/>
      <c r="AV127" s="100"/>
      <c r="AW127" s="100"/>
      <c r="AX127" s="230"/>
      <c r="AY127" s="100"/>
      <c r="AZ127" s="100"/>
      <c r="BA127" s="100"/>
      <c r="BB127" s="100"/>
      <c r="BC127" s="276">
        <f t="shared" si="23"/>
        <v>0</v>
      </c>
      <c r="BD127" s="786">
        <f t="shared" si="24"/>
        <v>0</v>
      </c>
      <c r="BE127" s="786">
        <f t="shared" si="25"/>
        <v>0</v>
      </c>
      <c r="BH127" s="436"/>
    </row>
    <row r="128" spans="1:60" s="38" customFormat="1" ht="15" customHeight="1">
      <c r="A128" s="91">
        <v>116</v>
      </c>
      <c r="B128" s="94" t="s">
        <v>166</v>
      </c>
      <c r="C128" s="163" t="s">
        <v>64</v>
      </c>
      <c r="D128" s="528" t="s">
        <v>66</v>
      </c>
      <c r="E128" s="425">
        <v>0</v>
      </c>
      <c r="F128" s="425">
        <f>+J128</f>
        <v>0</v>
      </c>
      <c r="G128" s="425"/>
      <c r="H128" s="100">
        <f>SUMIF(CBIN!$A:$A,BRAN!$V:$V,CBIN!$G:$G)</f>
        <v>0</v>
      </c>
      <c r="I128" s="100">
        <f>SUMIF(data!$D:$D,$B128&amp;$D128,data!$J:$J)</f>
        <v>0</v>
      </c>
      <c r="J128" s="100">
        <f>SUMIF(data!$D:$D,$B128&amp;$D128,data!$K:$K)</f>
        <v>0</v>
      </c>
      <c r="K128" s="100">
        <f>SUMIF(AJOUT!$A:$A,BRAN!$V:$V,AJOUT!$L:$L)</f>
        <v>0</v>
      </c>
      <c r="L128" s="100">
        <f>SUMIF(CBOUT!$A:$A,BRAN!$V:$V,CBOUT!$G:$G)</f>
        <v>0</v>
      </c>
      <c r="M128" s="528">
        <v>0</v>
      </c>
      <c r="N128" s="652">
        <f t="shared" si="26"/>
        <v>0</v>
      </c>
      <c r="O128" s="1159">
        <f t="shared" si="27"/>
        <v>109810</v>
      </c>
      <c r="P128" s="427"/>
      <c r="Q128" s="427"/>
      <c r="R128" s="425">
        <f>O128/INTGRATE!$N$293</f>
        <v>12201.111111111111</v>
      </c>
      <c r="S128" s="665">
        <f t="shared" si="38"/>
        <v>0</v>
      </c>
      <c r="T128" s="403"/>
      <c r="U128" s="136"/>
      <c r="V128" s="836" t="str">
        <f t="shared" si="39"/>
        <v>553SSILO</v>
      </c>
      <c r="W128" s="823">
        <v>332302</v>
      </c>
      <c r="X128" s="386"/>
      <c r="Y128" s="386">
        <v>9960</v>
      </c>
      <c r="Z128" s="100">
        <v>9940</v>
      </c>
      <c r="AA128" s="100">
        <v>27210</v>
      </c>
      <c r="AB128" s="100">
        <v>9860</v>
      </c>
      <c r="AC128" s="100">
        <v>34900</v>
      </c>
      <c r="AD128" s="100">
        <v>0</v>
      </c>
      <c r="AE128" s="100">
        <v>17940</v>
      </c>
      <c r="AF128" s="100">
        <v>0</v>
      </c>
      <c r="AG128" s="100"/>
      <c r="AH128" s="425"/>
      <c r="AI128" s="100"/>
      <c r="AJ128" s="100"/>
      <c r="AK128" s="100"/>
      <c r="AL128" s="100"/>
      <c r="AM128" s="100"/>
      <c r="AN128" s="100"/>
      <c r="AO128" s="425"/>
      <c r="AP128" s="100"/>
      <c r="AQ128" s="425"/>
      <c r="AR128" s="100"/>
      <c r="AS128" s="100"/>
      <c r="AT128" s="100"/>
      <c r="AU128" s="100"/>
      <c r="AV128" s="100"/>
      <c r="AW128" s="100"/>
      <c r="AX128" s="230"/>
      <c r="AY128" s="100"/>
      <c r="AZ128" s="100"/>
      <c r="BA128" s="100"/>
      <c r="BB128" s="100"/>
      <c r="BC128" s="276">
        <f t="shared" si="23"/>
        <v>109810</v>
      </c>
      <c r="BD128" s="786">
        <f t="shared" si="24"/>
        <v>6</v>
      </c>
      <c r="BE128" s="786">
        <f t="shared" si="25"/>
        <v>18301.666666666668</v>
      </c>
      <c r="BH128" s="436"/>
    </row>
    <row r="129" spans="1:151" s="38" customFormat="1" ht="15" customHeight="1">
      <c r="A129" s="91">
        <v>117</v>
      </c>
      <c r="B129" s="94" t="s">
        <v>67</v>
      </c>
      <c r="C129" s="163" t="s">
        <v>68</v>
      </c>
      <c r="D129" s="617">
        <v>25</v>
      </c>
      <c r="E129" s="561">
        <v>0</v>
      </c>
      <c r="F129" s="100">
        <f>SUMIF(pro!$A:$A,$V:$V,pro!$N:$N)</f>
        <v>0</v>
      </c>
      <c r="G129" s="100"/>
      <c r="H129" s="100">
        <f>SUMIF(CBIN!$A:$A,BRAN!$V:$V,CBIN!$G:$G)</f>
        <v>0</v>
      </c>
      <c r="I129" s="100">
        <f>SUMIF(data!$D:$D,$B129&amp;$D129,data!$J:$J)</f>
        <v>0</v>
      </c>
      <c r="J129" s="100">
        <f>SUMIF(data!$D:$D,$B129&amp;$D129,data!$K:$K)</f>
        <v>0</v>
      </c>
      <c r="K129" s="100">
        <f>SUMIF(AJOUT!$A:$A,BRAN!$V:$V,AJOUT!$L:$L)</f>
        <v>0</v>
      </c>
      <c r="L129" s="100">
        <f>SUMIF(CBOUT!$A:$A,BRAN!$V:$V,CBOUT!$G:$G)</f>
        <v>0</v>
      </c>
      <c r="M129" s="1158">
        <f>E129+F129+H129-I129-L129+G129-K129</f>
        <v>0</v>
      </c>
      <c r="N129" s="652">
        <f t="shared" si="26"/>
        <v>0</v>
      </c>
      <c r="O129" s="1159">
        <f t="shared" si="27"/>
        <v>0</v>
      </c>
      <c r="P129" s="804"/>
      <c r="Q129" s="804"/>
      <c r="R129" s="100">
        <f>O129/INTGRATE!$N$293</f>
        <v>0</v>
      </c>
      <c r="S129" s="665">
        <f>IF(R129=0,0,N129/R129)</f>
        <v>0</v>
      </c>
      <c r="T129" s="403"/>
      <c r="U129" s="136"/>
      <c r="V129" s="836" t="str">
        <f>B129&amp;D129</f>
        <v>553SPro25</v>
      </c>
      <c r="W129" s="823">
        <v>332121</v>
      </c>
      <c r="X129" s="386"/>
      <c r="Y129" s="386">
        <v>0</v>
      </c>
      <c r="Z129" s="100">
        <v>0</v>
      </c>
      <c r="AA129" s="100">
        <v>0</v>
      </c>
      <c r="AB129" s="100">
        <v>0</v>
      </c>
      <c r="AC129" s="100">
        <v>0</v>
      </c>
      <c r="AD129" s="100">
        <v>0</v>
      </c>
      <c r="AE129" s="100">
        <v>0</v>
      </c>
      <c r="AF129" s="100">
        <v>0</v>
      </c>
      <c r="AG129" s="100"/>
      <c r="AH129" s="425"/>
      <c r="AI129" s="100"/>
      <c r="AJ129" s="100"/>
      <c r="AK129" s="100"/>
      <c r="AL129" s="100"/>
      <c r="AM129" s="100"/>
      <c r="AN129" s="100"/>
      <c r="AO129" s="100"/>
      <c r="AP129" s="100"/>
      <c r="AQ129" s="100"/>
      <c r="AR129" s="100"/>
      <c r="AS129" s="100"/>
      <c r="AT129" s="100"/>
      <c r="AU129" s="100"/>
      <c r="AV129" s="100"/>
      <c r="AW129" s="100"/>
      <c r="AX129" s="230"/>
      <c r="AY129" s="100"/>
      <c r="AZ129" s="100"/>
      <c r="BA129" s="100"/>
      <c r="BB129" s="100"/>
      <c r="BC129" s="276">
        <f t="shared" si="23"/>
        <v>0</v>
      </c>
      <c r="BD129" s="786">
        <f t="shared" si="24"/>
        <v>0</v>
      </c>
      <c r="BE129" s="786">
        <f t="shared" si="25"/>
        <v>0</v>
      </c>
      <c r="BH129" s="436"/>
    </row>
    <row r="130" spans="1:151" s="38" customFormat="1" ht="15" customHeight="1">
      <c r="A130" s="91">
        <v>118</v>
      </c>
      <c r="B130" s="94" t="s">
        <v>67</v>
      </c>
      <c r="C130" s="163" t="s">
        <v>64</v>
      </c>
      <c r="D130" s="528" t="s">
        <v>66</v>
      </c>
      <c r="E130" s="561"/>
      <c r="F130" s="425">
        <f>+J130</f>
        <v>0</v>
      </c>
      <c r="G130" s="425"/>
      <c r="H130" s="100">
        <f>SUMIF(CBIN!$A:$A,BRAN!$V:$V,CBIN!$G:$G)</f>
        <v>0</v>
      </c>
      <c r="I130" s="100">
        <f>SUMIF(data!$D:$D,$B130&amp;$D130,data!$J:$J)</f>
        <v>0</v>
      </c>
      <c r="J130" s="100">
        <f>SUMIF(data!$D:$D,$B130&amp;$D130,data!$K:$K)</f>
        <v>0</v>
      </c>
      <c r="K130" s="100"/>
      <c r="L130" s="100"/>
      <c r="M130" s="1158"/>
      <c r="N130" s="652">
        <f t="shared" si="26"/>
        <v>0</v>
      </c>
      <c r="O130" s="1159">
        <f t="shared" si="27"/>
        <v>0</v>
      </c>
      <c r="P130" s="804"/>
      <c r="Q130" s="804"/>
      <c r="R130" s="100">
        <f>O130/INTGRATE!$N$293</f>
        <v>0</v>
      </c>
      <c r="S130" s="665">
        <f>IF(R130=0,0,N130/R130)</f>
        <v>0</v>
      </c>
      <c r="T130" s="403"/>
      <c r="U130" s="136"/>
      <c r="V130" s="836" t="str">
        <f>B130&amp;D130</f>
        <v>553SProSILO</v>
      </c>
      <c r="W130" s="823">
        <v>332121</v>
      </c>
      <c r="X130" s="386"/>
      <c r="Y130" s="386">
        <v>0</v>
      </c>
      <c r="Z130" s="100">
        <v>0</v>
      </c>
      <c r="AA130" s="100">
        <v>0</v>
      </c>
      <c r="AB130" s="100">
        <v>0</v>
      </c>
      <c r="AC130" s="100">
        <v>0</v>
      </c>
      <c r="AD130" s="100">
        <v>0</v>
      </c>
      <c r="AE130" s="100">
        <v>0</v>
      </c>
      <c r="AF130" s="100">
        <v>0</v>
      </c>
      <c r="AG130" s="100"/>
      <c r="AH130" s="425"/>
      <c r="AI130" s="100"/>
      <c r="AJ130" s="100"/>
      <c r="AK130" s="100"/>
      <c r="AL130" s="100"/>
      <c r="AM130" s="100"/>
      <c r="AN130" s="100"/>
      <c r="AO130" s="425"/>
      <c r="AP130" s="100"/>
      <c r="AQ130" s="100"/>
      <c r="AR130" s="100"/>
      <c r="AS130" s="100"/>
      <c r="AT130" s="100"/>
      <c r="AU130" s="100"/>
      <c r="AV130" s="100"/>
      <c r="AW130" s="100"/>
      <c r="AX130" s="230"/>
      <c r="AY130" s="100"/>
      <c r="AZ130" s="100"/>
      <c r="BA130" s="100"/>
      <c r="BB130" s="100"/>
      <c r="BC130" s="276">
        <f t="shared" si="23"/>
        <v>0</v>
      </c>
      <c r="BD130" s="786">
        <f t="shared" si="24"/>
        <v>0</v>
      </c>
      <c r="BE130" s="786">
        <f t="shared" si="25"/>
        <v>0</v>
      </c>
      <c r="BH130" s="436"/>
    </row>
    <row r="131" spans="1:151" s="38" customFormat="1" ht="15" customHeight="1">
      <c r="A131" s="91">
        <v>119</v>
      </c>
      <c r="B131" s="94" t="s">
        <v>166</v>
      </c>
      <c r="C131" s="94" t="s">
        <v>64</v>
      </c>
      <c r="D131" s="91">
        <v>25</v>
      </c>
      <c r="E131" s="100">
        <v>783</v>
      </c>
      <c r="F131" s="100">
        <f>SUMIF(pro!$A:$A,$V:$V,pro!$N:$N)</f>
        <v>2512</v>
      </c>
      <c r="G131" s="100"/>
      <c r="H131" s="100">
        <f>SUMIF(CBIN!$A:$A,BRAN!$V:$V,CBIN!$G:$G)</f>
        <v>0</v>
      </c>
      <c r="I131" s="100">
        <f>SUMIF(data!$D:$D,$B131&amp;$D131,data!$J:$J)</f>
        <v>0</v>
      </c>
      <c r="J131" s="100">
        <f>SUMIF(data!$D:$D,$B131&amp;$D131,data!$K:$K)</f>
        <v>0</v>
      </c>
      <c r="K131" s="100">
        <f>SUMIF(AJOUT!$A:$A,BRAN!$V:$V,AJOUT!$L:$L)</f>
        <v>0</v>
      </c>
      <c r="L131" s="100">
        <f>SUMIF(CBOUT!$A:$A,BRAN!$V:$V,CBOUT!$G:$G)</f>
        <v>0</v>
      </c>
      <c r="M131" s="1158">
        <f>E131+F131+H131-I131-L131+G131-K131</f>
        <v>3295</v>
      </c>
      <c r="N131" s="652">
        <f t="shared" si="26"/>
        <v>82375</v>
      </c>
      <c r="O131" s="1159">
        <f t="shared" si="27"/>
        <v>112225</v>
      </c>
      <c r="P131" s="804"/>
      <c r="Q131" s="804"/>
      <c r="R131" s="100">
        <f>O131/INTGRATE!$N$293</f>
        <v>12469.444444444445</v>
      </c>
      <c r="S131" s="665">
        <f t="shared" si="38"/>
        <v>6.6061483626642898</v>
      </c>
      <c r="T131" s="403"/>
      <c r="U131" s="136"/>
      <c r="V131" s="836" t="str">
        <f t="shared" si="39"/>
        <v>553S25</v>
      </c>
      <c r="W131" s="823">
        <v>332101</v>
      </c>
      <c r="X131" s="386"/>
      <c r="Y131" s="386">
        <v>20000</v>
      </c>
      <c r="Z131" s="100">
        <v>0</v>
      </c>
      <c r="AA131" s="100">
        <v>10050</v>
      </c>
      <c r="AB131" s="100">
        <v>19975</v>
      </c>
      <c r="AC131" s="100">
        <v>10925</v>
      </c>
      <c r="AD131" s="100">
        <v>5500</v>
      </c>
      <c r="AE131" s="100">
        <v>31650</v>
      </c>
      <c r="AF131" s="100">
        <v>14125</v>
      </c>
      <c r="AG131" s="100"/>
      <c r="AH131" s="100"/>
      <c r="AI131" s="100"/>
      <c r="AJ131" s="100"/>
      <c r="AK131" s="100"/>
      <c r="AL131" s="100"/>
      <c r="AM131" s="100"/>
      <c r="AN131" s="100"/>
      <c r="AO131" s="100"/>
      <c r="AP131" s="100"/>
      <c r="AQ131" s="100"/>
      <c r="AR131" s="100"/>
      <c r="AS131" s="100"/>
      <c r="AT131" s="100"/>
      <c r="AU131" s="100"/>
      <c r="AV131" s="100"/>
      <c r="AW131" s="100"/>
      <c r="AX131" s="230"/>
      <c r="AY131" s="100"/>
      <c r="AZ131" s="100"/>
      <c r="BA131" s="100"/>
      <c r="BB131" s="100"/>
      <c r="BC131" s="276">
        <f t="shared" si="23"/>
        <v>112225</v>
      </c>
      <c r="BD131" s="786">
        <f t="shared" si="24"/>
        <v>7</v>
      </c>
      <c r="BE131" s="786">
        <f t="shared" si="25"/>
        <v>16032.142857142857</v>
      </c>
      <c r="BH131" s="436"/>
    </row>
    <row r="132" spans="1:151" s="38" customFormat="1" ht="15" customHeight="1">
      <c r="A132" s="91">
        <v>120</v>
      </c>
      <c r="B132" s="171">
        <v>562</v>
      </c>
      <c r="C132" s="172" t="s">
        <v>64</v>
      </c>
      <c r="D132" s="173">
        <v>25</v>
      </c>
      <c r="E132" s="100">
        <v>957</v>
      </c>
      <c r="F132" s="100">
        <f>SUMIF(pro!$A:$A,$V:$V,pro!$N:$N)</f>
        <v>0</v>
      </c>
      <c r="G132" s="100"/>
      <c r="H132" s="100">
        <f>SUMIF(CBIN!$A:$A,BRAN!$V:$V,CBIN!$G:$G)</f>
        <v>0</v>
      </c>
      <c r="I132" s="100">
        <f>SUMIF(data!$D:$D,$B132&amp;$D132,data!$J:$J)</f>
        <v>0</v>
      </c>
      <c r="J132" s="100">
        <f>SUMIF(data!$D:$D,$B132&amp;$D132,data!$K:$K)</f>
        <v>0</v>
      </c>
      <c r="K132" s="100">
        <f>SUMIF(AJOUT!$A:$A,BRAN!$V:$V,AJOUT!$L:$L)</f>
        <v>0</v>
      </c>
      <c r="L132" s="100">
        <f>SUMIF(CBOUT!$A:$A,BRAN!$V:$V,CBOUT!$G:$G)</f>
        <v>0</v>
      </c>
      <c r="M132" s="1158">
        <f>E132+F132+H132-I132-L132+G132-K132</f>
        <v>957</v>
      </c>
      <c r="N132" s="652">
        <f t="shared" si="26"/>
        <v>23925</v>
      </c>
      <c r="O132" s="1159">
        <f t="shared" si="27"/>
        <v>25025</v>
      </c>
      <c r="P132" s="100"/>
      <c r="Q132" s="100"/>
      <c r="R132" s="100">
        <f>O132/INTGRATE!$N$293</f>
        <v>2780.5555555555557</v>
      </c>
      <c r="S132" s="665">
        <f t="shared" si="38"/>
        <v>8.604395604395604</v>
      </c>
      <c r="T132" s="403"/>
      <c r="U132" s="136"/>
      <c r="V132" s="836" t="str">
        <f t="shared" si="39"/>
        <v>56225</v>
      </c>
      <c r="W132" s="823">
        <v>362001</v>
      </c>
      <c r="X132" s="386"/>
      <c r="Y132" s="386">
        <v>0</v>
      </c>
      <c r="Z132" s="100">
        <v>0</v>
      </c>
      <c r="AA132" s="100">
        <v>0</v>
      </c>
      <c r="AB132" s="100">
        <v>24400</v>
      </c>
      <c r="AC132" s="100">
        <v>0</v>
      </c>
      <c r="AD132" s="100">
        <v>625</v>
      </c>
      <c r="AE132" s="100">
        <v>0</v>
      </c>
      <c r="AF132" s="100">
        <v>0</v>
      </c>
      <c r="AG132" s="100"/>
      <c r="AH132" s="100"/>
      <c r="AI132" s="100"/>
      <c r="AJ132" s="100"/>
      <c r="AK132" s="100"/>
      <c r="AL132" s="100"/>
      <c r="AM132" s="100"/>
      <c r="AN132" s="100"/>
      <c r="AO132" s="100"/>
      <c r="AP132" s="100"/>
      <c r="AQ132" s="100"/>
      <c r="AR132" s="100"/>
      <c r="AS132" s="100"/>
      <c r="AT132" s="100"/>
      <c r="AU132" s="100"/>
      <c r="AV132" s="100"/>
      <c r="AW132" s="100"/>
      <c r="AX132" s="230"/>
      <c r="AY132" s="100"/>
      <c r="AZ132" s="100"/>
      <c r="BA132" s="100"/>
      <c r="BB132" s="100"/>
      <c r="BC132" s="276">
        <f t="shared" si="23"/>
        <v>25025</v>
      </c>
      <c r="BD132" s="786">
        <f t="shared" si="24"/>
        <v>2</v>
      </c>
      <c r="BE132" s="786">
        <f t="shared" si="25"/>
        <v>12512.5</v>
      </c>
      <c r="BF132" s="328"/>
      <c r="BH132" s="436"/>
    </row>
    <row r="133" spans="1:151" s="38" customFormat="1" ht="15" customHeight="1">
      <c r="A133" s="91">
        <v>121</v>
      </c>
      <c r="B133" s="171" t="s">
        <v>167</v>
      </c>
      <c r="C133" s="172" t="s">
        <v>64</v>
      </c>
      <c r="D133" s="173">
        <v>25</v>
      </c>
      <c r="E133" s="100">
        <v>312</v>
      </c>
      <c r="F133" s="100">
        <f>SUMIF(pro!$A:$A,$V:$V,pro!$N:$N)</f>
        <v>0</v>
      </c>
      <c r="G133" s="100"/>
      <c r="H133" s="100">
        <f>SUMIF(CBIN!$A:$A,BRAN!$V:$V,CBIN!$G:$G)</f>
        <v>0</v>
      </c>
      <c r="I133" s="100">
        <f>SUMIF(data!$D:$D,$B133&amp;$D133,data!$J:$J)</f>
        <v>0</v>
      </c>
      <c r="J133" s="100">
        <f>SUMIF(data!$D:$D,$B133&amp;$D133,data!$K:$K)</f>
        <v>0</v>
      </c>
      <c r="K133" s="100">
        <f>SUMIF(AJOUT!$A:$A,BRAN!$V:$V,AJOUT!$L:$L)</f>
        <v>0</v>
      </c>
      <c r="L133" s="100">
        <f>SUMIF(CBOUT!$A:$A,BRAN!$V:$V,CBOUT!$G:$G)</f>
        <v>0</v>
      </c>
      <c r="M133" s="1158">
        <f>E133+F133+H133-I133-L133+G133-K133</f>
        <v>312</v>
      </c>
      <c r="N133" s="652">
        <f t="shared" si="26"/>
        <v>7800</v>
      </c>
      <c r="O133" s="1159">
        <f t="shared" si="27"/>
        <v>6575</v>
      </c>
      <c r="P133" s="100"/>
      <c r="Q133" s="100"/>
      <c r="R133" s="100">
        <f>O133/INTGRATE!$N$293</f>
        <v>730.55555555555554</v>
      </c>
      <c r="S133" s="665">
        <f t="shared" si="38"/>
        <v>10.67680608365019</v>
      </c>
      <c r="T133" s="403"/>
      <c r="U133" s="136"/>
      <c r="V133" s="836" t="str">
        <f t="shared" si="39"/>
        <v>562P25</v>
      </c>
      <c r="W133" s="823">
        <v>364201</v>
      </c>
      <c r="X133" s="386"/>
      <c r="Y133" s="386">
        <v>375</v>
      </c>
      <c r="Z133" s="100">
        <v>675</v>
      </c>
      <c r="AA133" s="100">
        <v>4150</v>
      </c>
      <c r="AB133" s="100">
        <v>125</v>
      </c>
      <c r="AC133" s="100">
        <v>0</v>
      </c>
      <c r="AD133" s="100">
        <v>750</v>
      </c>
      <c r="AE133" s="100">
        <v>500</v>
      </c>
      <c r="AF133" s="100">
        <v>0</v>
      </c>
      <c r="AG133" s="100"/>
      <c r="AH133" s="100"/>
      <c r="AI133" s="100"/>
      <c r="AJ133" s="100"/>
      <c r="AK133" s="100"/>
      <c r="AL133" s="100"/>
      <c r="AM133" s="100"/>
      <c r="AN133" s="100"/>
      <c r="AO133" s="100"/>
      <c r="AP133" s="100"/>
      <c r="AQ133" s="100"/>
      <c r="AR133" s="100"/>
      <c r="AS133" s="100"/>
      <c r="AT133" s="100"/>
      <c r="AU133" s="100"/>
      <c r="AV133" s="100"/>
      <c r="AW133" s="100"/>
      <c r="AX133" s="230"/>
      <c r="AY133" s="100"/>
      <c r="AZ133" s="100"/>
      <c r="BA133" s="100"/>
      <c r="BB133" s="100"/>
      <c r="BC133" s="276">
        <f t="shared" si="23"/>
        <v>6575</v>
      </c>
      <c r="BD133" s="786">
        <f t="shared" si="24"/>
        <v>6</v>
      </c>
      <c r="BE133" s="786">
        <f t="shared" si="25"/>
        <v>1095.8333333333333</v>
      </c>
      <c r="BH133" s="436"/>
    </row>
    <row r="134" spans="1:151" s="38" customFormat="1" ht="15" customHeight="1">
      <c r="A134" s="91">
        <v>122</v>
      </c>
      <c r="B134" s="171" t="s">
        <v>167</v>
      </c>
      <c r="C134" s="172" t="s">
        <v>64</v>
      </c>
      <c r="D134" s="614" t="s">
        <v>66</v>
      </c>
      <c r="E134" s="100">
        <v>0</v>
      </c>
      <c r="F134" s="425">
        <f>+J134</f>
        <v>0</v>
      </c>
      <c r="G134" s="425"/>
      <c r="H134" s="100">
        <f>SUMIF(CBIN!$A:$A,BRAN!$V:$V,CBIN!$G:$G)</f>
        <v>0</v>
      </c>
      <c r="I134" s="100">
        <f>SUMIF(data!$D:$D,$B134&amp;$D134,data!$J:$J)</f>
        <v>0</v>
      </c>
      <c r="J134" s="425">
        <f>SUMIF(data!$D:$D,$B134&amp;$D134,data!$K:$K)</f>
        <v>0</v>
      </c>
      <c r="K134" s="100">
        <f>SUMIF(AJOUT!$A:$A,BRAN!$V:$V,AJOUT!$L:$L)</f>
        <v>0</v>
      </c>
      <c r="L134" s="100">
        <f>SUMIF(CBOUT!$A:$A,BRAN!$V:$V,CBOUT!$G:$G)</f>
        <v>0</v>
      </c>
      <c r="M134" s="528">
        <v>0</v>
      </c>
      <c r="N134" s="652">
        <f t="shared" si="26"/>
        <v>0</v>
      </c>
      <c r="O134" s="1159">
        <f t="shared" si="27"/>
        <v>12040</v>
      </c>
      <c r="P134" s="425"/>
      <c r="Q134" s="425"/>
      <c r="R134" s="425">
        <f>O134/INTGRATE!$N$293</f>
        <v>1337.7777777777778</v>
      </c>
      <c r="S134" s="665">
        <f t="shared" si="38"/>
        <v>0</v>
      </c>
      <c r="T134" s="403"/>
      <c r="U134" s="136"/>
      <c r="V134" s="836" t="str">
        <f t="shared" si="39"/>
        <v>562PSILO</v>
      </c>
      <c r="W134" s="823">
        <v>364201</v>
      </c>
      <c r="X134" s="386"/>
      <c r="Y134" s="386">
        <v>0</v>
      </c>
      <c r="Z134" s="100">
        <v>0</v>
      </c>
      <c r="AA134" s="100">
        <v>0</v>
      </c>
      <c r="AB134" s="100">
        <v>0</v>
      </c>
      <c r="AC134" s="100">
        <v>12040</v>
      </c>
      <c r="AD134" s="100">
        <v>0</v>
      </c>
      <c r="AE134" s="100">
        <v>0</v>
      </c>
      <c r="AF134" s="100">
        <v>0</v>
      </c>
      <c r="AG134" s="100"/>
      <c r="AH134" s="425"/>
      <c r="AI134" s="100"/>
      <c r="AJ134" s="100"/>
      <c r="AK134" s="100"/>
      <c r="AL134" s="100"/>
      <c r="AM134" s="100"/>
      <c r="AN134" s="100"/>
      <c r="AO134" s="425"/>
      <c r="AP134" s="100"/>
      <c r="AQ134" s="425"/>
      <c r="AR134" s="100"/>
      <c r="AS134" s="100"/>
      <c r="AT134" s="100"/>
      <c r="AU134" s="100"/>
      <c r="AV134" s="100"/>
      <c r="AW134" s="100"/>
      <c r="AX134" s="230"/>
      <c r="AY134" s="100"/>
      <c r="AZ134" s="100"/>
      <c r="BA134" s="100"/>
      <c r="BB134" s="100"/>
      <c r="BC134" s="276">
        <f t="shared" si="23"/>
        <v>12040</v>
      </c>
      <c r="BD134" s="786">
        <f t="shared" si="24"/>
        <v>1</v>
      </c>
      <c r="BE134" s="786">
        <f t="shared" si="25"/>
        <v>12040</v>
      </c>
      <c r="BH134" s="436"/>
    </row>
    <row r="135" spans="1:151" s="38" customFormat="1" ht="15" customHeight="1">
      <c r="A135" s="91">
        <v>123</v>
      </c>
      <c r="B135" s="171" t="s">
        <v>168</v>
      </c>
      <c r="C135" s="172" t="s">
        <v>64</v>
      </c>
      <c r="D135" s="614" t="s">
        <v>66</v>
      </c>
      <c r="E135" s="100"/>
      <c r="F135" s="425">
        <f>+J135</f>
        <v>0</v>
      </c>
      <c r="G135" s="425"/>
      <c r="H135" s="100"/>
      <c r="I135" s="100"/>
      <c r="J135" s="425">
        <f>SUMIF(data!$D:$D,$B135&amp;$D135,data!$K:$K)</f>
        <v>0</v>
      </c>
      <c r="K135" s="100"/>
      <c r="L135" s="100"/>
      <c r="M135" s="528"/>
      <c r="N135" s="652"/>
      <c r="O135" s="1159">
        <f>SUM(X135:BB135)</f>
        <v>0</v>
      </c>
      <c r="P135" s="425"/>
      <c r="Q135" s="425"/>
      <c r="R135" s="425">
        <f>O135/INTGRATE!$N$293</f>
        <v>0</v>
      </c>
      <c r="S135" s="665">
        <f>IF(R135=0,0,N135/R135)</f>
        <v>0</v>
      </c>
      <c r="T135" s="403"/>
      <c r="U135" s="136"/>
      <c r="V135" s="836" t="str">
        <f t="shared" si="39"/>
        <v>562PXSILO</v>
      </c>
      <c r="W135" s="823">
        <v>364208</v>
      </c>
      <c r="X135" s="386"/>
      <c r="Y135" s="386">
        <v>0</v>
      </c>
      <c r="Z135" s="100">
        <v>0</v>
      </c>
      <c r="AA135" s="100">
        <v>0</v>
      </c>
      <c r="AB135" s="100">
        <v>0</v>
      </c>
      <c r="AC135" s="100">
        <v>0</v>
      </c>
      <c r="AD135" s="100">
        <v>0</v>
      </c>
      <c r="AE135" s="100">
        <v>0</v>
      </c>
      <c r="AF135" s="100">
        <v>0</v>
      </c>
      <c r="AG135" s="100"/>
      <c r="AH135" s="425"/>
      <c r="AI135" s="100"/>
      <c r="AJ135" s="100"/>
      <c r="AK135" s="100"/>
      <c r="AL135" s="100"/>
      <c r="AM135" s="100"/>
      <c r="AN135" s="100"/>
      <c r="AO135" s="425"/>
      <c r="AP135" s="100"/>
      <c r="AQ135" s="425"/>
      <c r="AR135" s="100"/>
      <c r="AS135" s="100"/>
      <c r="AT135" s="100"/>
      <c r="AU135" s="100"/>
      <c r="AV135" s="100"/>
      <c r="AW135" s="100"/>
      <c r="AX135" s="230"/>
      <c r="AY135" s="100"/>
      <c r="AZ135" s="100"/>
      <c r="BA135" s="100"/>
      <c r="BB135" s="100"/>
      <c r="BC135" s="276">
        <f t="shared" si="23"/>
        <v>0</v>
      </c>
      <c r="BD135" s="786">
        <f t="shared" si="24"/>
        <v>0</v>
      </c>
      <c r="BE135" s="786">
        <f t="shared" si="25"/>
        <v>0</v>
      </c>
      <c r="BH135" s="436"/>
    </row>
    <row r="136" spans="1:151" s="38" customFormat="1" ht="15" customHeight="1">
      <c r="A136" s="91">
        <v>124</v>
      </c>
      <c r="B136" s="171">
        <v>566</v>
      </c>
      <c r="C136" s="172" t="s">
        <v>64</v>
      </c>
      <c r="D136" s="614" t="s">
        <v>66</v>
      </c>
      <c r="E136" s="425">
        <v>0</v>
      </c>
      <c r="F136" s="425">
        <f>+J136</f>
        <v>0</v>
      </c>
      <c r="G136" s="425"/>
      <c r="H136" s="100">
        <f>SUMIF(CBIN!$A:$A,BRAN!$V:$V,CBIN!$G:$G)</f>
        <v>0</v>
      </c>
      <c r="I136" s="100">
        <f>SUMIF(data!$D:$D,$B136&amp;$D136,data!$J:$J)</f>
        <v>0</v>
      </c>
      <c r="J136" s="100">
        <f>SUMIF(data!$D:$D,$B136&amp;$D136,data!$K:$K)</f>
        <v>0</v>
      </c>
      <c r="K136" s="100">
        <f>SUMIF(AJOUT!$A:$A,BRAN!$V:$V,AJOUT!$L:$L)</f>
        <v>0</v>
      </c>
      <c r="L136" s="100">
        <f>SUMIF(CBOUT!$A:$A,BRAN!$V:$V,CBOUT!$G:$G)</f>
        <v>0</v>
      </c>
      <c r="M136" s="528">
        <v>0</v>
      </c>
      <c r="N136" s="652">
        <f t="shared" si="26"/>
        <v>0</v>
      </c>
      <c r="O136" s="1159">
        <f t="shared" si="27"/>
        <v>36390</v>
      </c>
      <c r="P136" s="425"/>
      <c r="Q136" s="425"/>
      <c r="R136" s="425">
        <f>O136/INTGRATE!$N$293</f>
        <v>4043.3333333333335</v>
      </c>
      <c r="S136" s="665">
        <f t="shared" si="38"/>
        <v>0</v>
      </c>
      <c r="T136" s="403"/>
      <c r="U136" s="136"/>
      <c r="V136" s="836" t="str">
        <f t="shared" si="39"/>
        <v>566SILO</v>
      </c>
      <c r="W136" s="823">
        <v>364201</v>
      </c>
      <c r="X136" s="386"/>
      <c r="Y136" s="386">
        <v>16830</v>
      </c>
      <c r="Z136" s="100">
        <v>0</v>
      </c>
      <c r="AA136" s="100">
        <v>5630</v>
      </c>
      <c r="AB136" s="100">
        <v>0</v>
      </c>
      <c r="AC136" s="100">
        <v>0</v>
      </c>
      <c r="AD136" s="100">
        <v>0</v>
      </c>
      <c r="AE136" s="100">
        <v>13930</v>
      </c>
      <c r="AF136" s="100">
        <v>0</v>
      </c>
      <c r="AG136" s="100"/>
      <c r="AH136" s="100"/>
      <c r="AI136" s="100"/>
      <c r="AJ136" s="100"/>
      <c r="AK136" s="100"/>
      <c r="AL136" s="100"/>
      <c r="AM136" s="100"/>
      <c r="AN136" s="100"/>
      <c r="AO136" s="100"/>
      <c r="AP136" s="100"/>
      <c r="AQ136" s="100"/>
      <c r="AR136" s="100"/>
      <c r="AS136" s="100"/>
      <c r="AT136" s="100"/>
      <c r="AU136" s="100"/>
      <c r="AV136" s="100"/>
      <c r="AW136" s="100"/>
      <c r="AX136" s="230"/>
      <c r="AY136" s="100"/>
      <c r="AZ136" s="100"/>
      <c r="BA136" s="100"/>
      <c r="BB136" s="100"/>
      <c r="BC136" s="276">
        <f t="shared" si="23"/>
        <v>36390</v>
      </c>
      <c r="BD136" s="786">
        <f t="shared" si="24"/>
        <v>3</v>
      </c>
      <c r="BE136" s="786">
        <f t="shared" si="25"/>
        <v>12130</v>
      </c>
      <c r="BH136" s="436"/>
    </row>
    <row r="137" spans="1:151" s="38" customFormat="1" ht="15" customHeight="1">
      <c r="A137" s="91">
        <v>125</v>
      </c>
      <c r="B137" s="171">
        <v>566</v>
      </c>
      <c r="C137" s="172" t="s">
        <v>64</v>
      </c>
      <c r="D137" s="173">
        <v>25</v>
      </c>
      <c r="E137" s="100">
        <v>2212</v>
      </c>
      <c r="F137" s="100">
        <f>SUMIF(pro!$A:$A,$V:$V,pro!$N:$N)</f>
        <v>3247</v>
      </c>
      <c r="G137" s="100"/>
      <c r="H137" s="100">
        <f>SUMIF(CBIN!$A:$A,BRAN!$V:$V,CBIN!$G:$G)</f>
        <v>0</v>
      </c>
      <c r="I137" s="100">
        <f>SUMIF(data!$D:$D,$B137&amp;$D137,data!$J:$J)</f>
        <v>0</v>
      </c>
      <c r="J137" s="100">
        <f>SUMIF(data!$D:$D,$B137&amp;$D137,data!$K:$K)</f>
        <v>0</v>
      </c>
      <c r="K137" s="100">
        <f>SUMIF(AJOUT!$A:$A,BRAN!$V:$V,AJOUT!$L:$L)</f>
        <v>0</v>
      </c>
      <c r="L137" s="100">
        <f>SUMIF(CBOUT!$A:$A,BRAN!$V:$V,CBOUT!$G:$G)</f>
        <v>0</v>
      </c>
      <c r="M137" s="1158">
        <f>E137+F137+H137-I137-L137+G137-K137</f>
        <v>5459</v>
      </c>
      <c r="N137" s="652">
        <f t="shared" si="26"/>
        <v>136475</v>
      </c>
      <c r="O137" s="1159">
        <f t="shared" si="27"/>
        <v>150225</v>
      </c>
      <c r="P137" s="100"/>
      <c r="Q137" s="100"/>
      <c r="R137" s="100">
        <f>O137/INTGRATE!$N$293</f>
        <v>16691.666666666668</v>
      </c>
      <c r="S137" s="665">
        <f t="shared" si="38"/>
        <v>8.1762356465302037</v>
      </c>
      <c r="T137" s="403"/>
      <c r="U137" s="136"/>
      <c r="V137" s="836" t="str">
        <f t="shared" si="39"/>
        <v>56625</v>
      </c>
      <c r="W137" s="823">
        <v>366201</v>
      </c>
      <c r="X137" s="386"/>
      <c r="Y137" s="386">
        <v>32000</v>
      </c>
      <c r="Z137" s="100">
        <v>2750</v>
      </c>
      <c r="AA137" s="100">
        <v>32725</v>
      </c>
      <c r="AB137" s="100">
        <v>19850</v>
      </c>
      <c r="AC137" s="100">
        <v>15700</v>
      </c>
      <c r="AD137" s="100">
        <v>17425</v>
      </c>
      <c r="AE137" s="100">
        <v>23925</v>
      </c>
      <c r="AF137" s="100">
        <v>5850</v>
      </c>
      <c r="AG137" s="100"/>
      <c r="AH137" s="100"/>
      <c r="AI137" s="100"/>
      <c r="AJ137" s="100"/>
      <c r="AK137" s="100"/>
      <c r="AL137" s="100"/>
      <c r="AM137" s="100"/>
      <c r="AN137" s="100"/>
      <c r="AO137" s="100"/>
      <c r="AP137" s="100"/>
      <c r="AQ137" s="100"/>
      <c r="AR137" s="100"/>
      <c r="AS137" s="100"/>
      <c r="AT137" s="100"/>
      <c r="AU137" s="100"/>
      <c r="AV137" s="100"/>
      <c r="AW137" s="100"/>
      <c r="AX137" s="230"/>
      <c r="AY137" s="100"/>
      <c r="AZ137" s="100"/>
      <c r="BA137" s="100"/>
      <c r="BB137" s="100"/>
      <c r="BC137" s="276">
        <f t="shared" si="23"/>
        <v>150225</v>
      </c>
      <c r="BD137" s="786">
        <f t="shared" si="24"/>
        <v>8</v>
      </c>
      <c r="BE137" s="786">
        <f t="shared" si="25"/>
        <v>18778.125</v>
      </c>
      <c r="BH137" s="436"/>
    </row>
    <row r="138" spans="1:151" s="38" customFormat="1" ht="15" customHeight="1">
      <c r="A138" s="91">
        <v>126</v>
      </c>
      <c r="B138" s="171" t="s">
        <v>169</v>
      </c>
      <c r="C138" s="172" t="s">
        <v>64</v>
      </c>
      <c r="D138" s="173">
        <v>25</v>
      </c>
      <c r="E138" s="100">
        <v>0</v>
      </c>
      <c r="F138" s="100">
        <f>SUMIF(pro!$A:$A,$V:$V,pro!$N:$N)</f>
        <v>0</v>
      </c>
      <c r="G138" s="100"/>
      <c r="H138" s="100">
        <f>SUMIF(CBIN!$A:$A,BRAN!$V:$V,CBIN!$G:$G)</f>
        <v>0</v>
      </c>
      <c r="I138" s="100">
        <f>SUMIF(data!$D:$D,$B138&amp;$D138,data!$J:$J)</f>
        <v>0</v>
      </c>
      <c r="J138" s="100">
        <f>SUMIF(data!$D:$D,$B138&amp;$D138,data!$K:$K)</f>
        <v>0</v>
      </c>
      <c r="K138" s="100">
        <f>SUMIF(AJOUT!$A:$A,BRAN!$V:$V,AJOUT!$L:$L)</f>
        <v>0</v>
      </c>
      <c r="L138" s="100"/>
      <c r="M138" s="1158">
        <f>E138+F138+H138-I138-L138+G138-K138</f>
        <v>0</v>
      </c>
      <c r="N138" s="652">
        <f t="shared" si="26"/>
        <v>0</v>
      </c>
      <c r="O138" s="1159">
        <f t="shared" si="27"/>
        <v>0</v>
      </c>
      <c r="P138" s="100"/>
      <c r="Q138" s="100"/>
      <c r="R138" s="100">
        <f>O138/INTGRATE!$N$293</f>
        <v>0</v>
      </c>
      <c r="S138" s="665">
        <f>IF(R138=0,0,N138/R138)</f>
        <v>0</v>
      </c>
      <c r="T138" s="403"/>
      <c r="U138" s="136"/>
      <c r="V138" s="836" t="str">
        <f t="shared" si="39"/>
        <v>566X25</v>
      </c>
      <c r="W138" s="823">
        <v>366208</v>
      </c>
      <c r="X138" s="386"/>
      <c r="Y138" s="386">
        <v>0</v>
      </c>
      <c r="Z138" s="100">
        <v>0</v>
      </c>
      <c r="AA138" s="100">
        <v>0</v>
      </c>
      <c r="AB138" s="100">
        <v>0</v>
      </c>
      <c r="AC138" s="100">
        <v>0</v>
      </c>
      <c r="AD138" s="100">
        <v>0</v>
      </c>
      <c r="AE138" s="100">
        <v>0</v>
      </c>
      <c r="AF138" s="100">
        <v>0</v>
      </c>
      <c r="AG138" s="100"/>
      <c r="AH138" s="100"/>
      <c r="AI138" s="100"/>
      <c r="AJ138" s="100"/>
      <c r="AK138" s="100"/>
      <c r="AL138" s="100"/>
      <c r="AM138" s="100"/>
      <c r="AN138" s="100"/>
      <c r="AO138" s="100"/>
      <c r="AP138" s="100"/>
      <c r="AQ138" s="100"/>
      <c r="AR138" s="100"/>
      <c r="AS138" s="100"/>
      <c r="AT138" s="100"/>
      <c r="AU138" s="100"/>
      <c r="AV138" s="100"/>
      <c r="AW138" s="100"/>
      <c r="AX138" s="230"/>
      <c r="AY138" s="100"/>
      <c r="AZ138" s="100"/>
      <c r="BA138" s="100"/>
      <c r="BB138" s="100"/>
      <c r="BC138" s="276">
        <f t="shared" si="23"/>
        <v>0</v>
      </c>
      <c r="BD138" s="786">
        <f t="shared" si="24"/>
        <v>0</v>
      </c>
      <c r="BE138" s="786">
        <f t="shared" si="25"/>
        <v>0</v>
      </c>
      <c r="BH138" s="436"/>
    </row>
    <row r="139" spans="1:151" s="38" customFormat="1" ht="15" customHeight="1">
      <c r="A139" s="91">
        <v>127</v>
      </c>
      <c r="B139" s="171" t="s">
        <v>169</v>
      </c>
      <c r="C139" s="172" t="s">
        <v>64</v>
      </c>
      <c r="D139" s="616" t="s">
        <v>66</v>
      </c>
      <c r="E139" s="100"/>
      <c r="F139" s="100">
        <f>J139</f>
        <v>0</v>
      </c>
      <c r="G139" s="100"/>
      <c r="H139" s="100"/>
      <c r="I139" s="100"/>
      <c r="J139" s="100">
        <f>SUMIF(data!$D:$D,$B139&amp;$D139,data!$K:$K)</f>
        <v>0</v>
      </c>
      <c r="K139" s="100"/>
      <c r="L139" s="100"/>
      <c r="M139" s="1158"/>
      <c r="N139" s="652">
        <f t="shared" si="26"/>
        <v>0</v>
      </c>
      <c r="O139" s="1159">
        <f t="shared" si="27"/>
        <v>0</v>
      </c>
      <c r="P139" s="100"/>
      <c r="Q139" s="100"/>
      <c r="R139" s="100">
        <f>O139/INTGRATE!$N$293</f>
        <v>0</v>
      </c>
      <c r="S139" s="665">
        <f>IF(R139=0,0,N139/R139)</f>
        <v>0</v>
      </c>
      <c r="T139" s="403"/>
      <c r="U139" s="136"/>
      <c r="V139" s="836" t="str">
        <f t="shared" si="39"/>
        <v>566XSILO</v>
      </c>
      <c r="W139" s="823">
        <v>366208</v>
      </c>
      <c r="X139" s="386"/>
      <c r="Y139" s="386">
        <v>0</v>
      </c>
      <c r="Z139" s="100">
        <v>0</v>
      </c>
      <c r="AA139" s="100">
        <v>0</v>
      </c>
      <c r="AB139" s="100">
        <v>0</v>
      </c>
      <c r="AC139" s="100">
        <v>0</v>
      </c>
      <c r="AD139" s="100">
        <v>0</v>
      </c>
      <c r="AE139" s="100">
        <v>0</v>
      </c>
      <c r="AF139" s="100">
        <v>0</v>
      </c>
      <c r="AG139" s="100"/>
      <c r="AH139" s="100"/>
      <c r="AI139" s="100"/>
      <c r="AJ139" s="100"/>
      <c r="AK139" s="100"/>
      <c r="AL139" s="100"/>
      <c r="AM139" s="100"/>
      <c r="AN139" s="100"/>
      <c r="AO139" s="100"/>
      <c r="AP139" s="100"/>
      <c r="AQ139" s="100"/>
      <c r="AR139" s="100"/>
      <c r="AS139" s="100"/>
      <c r="AT139" s="100"/>
      <c r="AU139" s="100"/>
      <c r="AV139" s="100"/>
      <c r="AW139" s="100"/>
      <c r="AX139" s="230"/>
      <c r="AY139" s="100"/>
      <c r="AZ139" s="100"/>
      <c r="BA139" s="100"/>
      <c r="BB139" s="100"/>
      <c r="BC139" s="276">
        <f t="shared" si="23"/>
        <v>0</v>
      </c>
      <c r="BD139" s="786">
        <f t="shared" si="24"/>
        <v>0</v>
      </c>
      <c r="BE139" s="786">
        <f t="shared" si="25"/>
        <v>0</v>
      </c>
      <c r="BH139" s="436"/>
    </row>
    <row r="140" spans="1:151" s="38" customFormat="1" ht="15" customHeight="1">
      <c r="A140" s="91">
        <v>128</v>
      </c>
      <c r="B140" s="171">
        <f>567</f>
        <v>567</v>
      </c>
      <c r="C140" s="172" t="s">
        <v>64</v>
      </c>
      <c r="D140" s="173">
        <v>25</v>
      </c>
      <c r="E140" s="100">
        <v>296</v>
      </c>
      <c r="F140" s="100">
        <f>SUMIF(pro!$A:$A,$V:$V,pro!$N:$N)</f>
        <v>0</v>
      </c>
      <c r="G140" s="100"/>
      <c r="H140" s="100">
        <f>SUMIF(CBIN!$A:$A,BRAN!$V:$V,CBIN!$G:$G)</f>
        <v>0</v>
      </c>
      <c r="I140" s="100">
        <f>SUMIF(data!$D:$D,$B140&amp;$D140,data!$J:$J)</f>
        <v>0</v>
      </c>
      <c r="J140" s="100">
        <f>SUMIF(data!$D:$D,$B140&amp;$D140,data!$K:$K)</f>
        <v>0</v>
      </c>
      <c r="K140" s="100">
        <f>SUMIF(AJOUT!$A:$A,BRAN!$V:$V,AJOUT!$L:$L)</f>
        <v>0</v>
      </c>
      <c r="L140" s="100">
        <f>SUMIF(CBOUT!$A:$A,BRAN!$V:$V,CBOUT!$G:$G)</f>
        <v>0</v>
      </c>
      <c r="M140" s="1158">
        <f>E140+F140+H140-I140-L140+G140-K140</f>
        <v>296</v>
      </c>
      <c r="N140" s="652">
        <f t="shared" si="26"/>
        <v>7400</v>
      </c>
      <c r="O140" s="1159">
        <f t="shared" si="27"/>
        <v>37475</v>
      </c>
      <c r="P140" s="100"/>
      <c r="Q140" s="100"/>
      <c r="R140" s="100">
        <f>O140/INTGRATE!$N$293</f>
        <v>4163.8888888888887</v>
      </c>
      <c r="S140" s="665">
        <f t="shared" si="38"/>
        <v>1.7771847898599067</v>
      </c>
      <c r="T140" s="402"/>
      <c r="U140" s="136"/>
      <c r="V140" s="836" t="str">
        <f t="shared" si="39"/>
        <v>56725</v>
      </c>
      <c r="W140" s="823">
        <v>367201</v>
      </c>
      <c r="X140" s="386"/>
      <c r="Y140" s="386">
        <v>5475</v>
      </c>
      <c r="Z140" s="100">
        <v>750</v>
      </c>
      <c r="AA140" s="100">
        <v>6975</v>
      </c>
      <c r="AB140" s="100">
        <v>6200</v>
      </c>
      <c r="AC140" s="100">
        <v>5000</v>
      </c>
      <c r="AD140" s="100">
        <v>775</v>
      </c>
      <c r="AE140" s="100">
        <v>7550</v>
      </c>
      <c r="AF140" s="100">
        <v>4750</v>
      </c>
      <c r="AG140" s="100"/>
      <c r="AH140" s="100"/>
      <c r="AI140" s="100"/>
      <c r="AJ140" s="100"/>
      <c r="AK140" s="100"/>
      <c r="AL140" s="100"/>
      <c r="AM140" s="100"/>
      <c r="AN140" s="100"/>
      <c r="AO140" s="100"/>
      <c r="AP140" s="100"/>
      <c r="AQ140" s="100"/>
      <c r="AR140" s="100"/>
      <c r="AS140" s="100"/>
      <c r="AT140" s="100"/>
      <c r="AU140" s="100"/>
      <c r="AV140" s="100"/>
      <c r="AW140" s="100"/>
      <c r="AX140" s="230"/>
      <c r="AY140" s="100"/>
      <c r="AZ140" s="100"/>
      <c r="BA140" s="100"/>
      <c r="BB140" s="100"/>
      <c r="BC140" s="276">
        <f t="shared" si="23"/>
        <v>37475</v>
      </c>
      <c r="BD140" s="786">
        <f t="shared" si="24"/>
        <v>8</v>
      </c>
      <c r="BE140" s="786">
        <f t="shared" si="25"/>
        <v>4684.375</v>
      </c>
      <c r="BH140" s="436"/>
    </row>
    <row r="141" spans="1:151" s="38" customFormat="1" ht="15" customHeight="1">
      <c r="A141" s="91">
        <v>129</v>
      </c>
      <c r="B141" s="171" t="s">
        <v>170</v>
      </c>
      <c r="C141" s="172" t="s">
        <v>64</v>
      </c>
      <c r="D141" s="614" t="s">
        <v>66</v>
      </c>
      <c r="E141" s="529"/>
      <c r="F141" s="425">
        <f>+J141</f>
        <v>0</v>
      </c>
      <c r="G141" s="425"/>
      <c r="H141" s="100">
        <f>SUMIF(CBIN!$A:$A,BRAN!$V:$V,CBIN!$G:$G)</f>
        <v>0</v>
      </c>
      <c r="I141" s="100">
        <f>SUMIF(data!$D:$D,$B141&amp;$D141,data!$J:$J)</f>
        <v>0</v>
      </c>
      <c r="J141" s="100">
        <f>SUMIF(data!$D:$D,$B141&amp;$D141,data!$K:$K)</f>
        <v>0</v>
      </c>
      <c r="K141" s="100">
        <f>SUMIF(AJOUT!$A:$A,BRAN!$V:$V,AJOUT!$L:$L)</f>
        <v>0</v>
      </c>
      <c r="L141" s="100">
        <f>SUMIF(CBOUT!$A:$A,BRAN!$V:$V,CBOUT!$G:$G)</f>
        <v>0</v>
      </c>
      <c r="M141" s="528"/>
      <c r="N141" s="652">
        <f t="shared" si="26"/>
        <v>0</v>
      </c>
      <c r="O141" s="1159">
        <f t="shared" si="27"/>
        <v>12020</v>
      </c>
      <c r="P141" s="425"/>
      <c r="Q141" s="425"/>
      <c r="R141" s="425">
        <f>O141/INTGRATE!$N$293</f>
        <v>1335.5555555555557</v>
      </c>
      <c r="S141" s="665">
        <f t="shared" si="38"/>
        <v>0</v>
      </c>
      <c r="T141" s="403"/>
      <c r="U141" s="136"/>
      <c r="V141" s="836" t="str">
        <f t="shared" si="39"/>
        <v>567SSILO</v>
      </c>
      <c r="W141" s="823">
        <v>367101</v>
      </c>
      <c r="X141" s="386"/>
      <c r="Y141" s="386">
        <v>0</v>
      </c>
      <c r="Z141" s="100">
        <v>0</v>
      </c>
      <c r="AA141" s="100">
        <v>0</v>
      </c>
      <c r="AB141" s="100">
        <v>0</v>
      </c>
      <c r="AC141" s="100">
        <v>12020</v>
      </c>
      <c r="AD141" s="100">
        <v>0</v>
      </c>
      <c r="AE141" s="100">
        <v>0</v>
      </c>
      <c r="AF141" s="100">
        <v>0</v>
      </c>
      <c r="AG141" s="100"/>
      <c r="AH141" s="425"/>
      <c r="AI141" s="100"/>
      <c r="AJ141" s="100"/>
      <c r="AK141" s="100"/>
      <c r="AL141" s="100"/>
      <c r="AM141" s="100"/>
      <c r="AN141" s="100"/>
      <c r="AO141" s="425"/>
      <c r="AP141" s="100"/>
      <c r="AQ141" s="425"/>
      <c r="AR141" s="100"/>
      <c r="AS141" s="100"/>
      <c r="AT141" s="100"/>
      <c r="AU141" s="100"/>
      <c r="AV141" s="100"/>
      <c r="AW141" s="100"/>
      <c r="AX141" s="230"/>
      <c r="AY141" s="100"/>
      <c r="AZ141" s="100"/>
      <c r="BA141" s="100"/>
      <c r="BB141" s="100"/>
      <c r="BC141" s="276">
        <f t="shared" si="23"/>
        <v>12020</v>
      </c>
      <c r="BD141" s="786">
        <f t="shared" si="24"/>
        <v>1</v>
      </c>
      <c r="BE141" s="786">
        <f t="shared" si="25"/>
        <v>12020</v>
      </c>
      <c r="BH141" s="436"/>
    </row>
    <row r="142" spans="1:151" s="38" customFormat="1" ht="15" customHeight="1">
      <c r="A142" s="91">
        <v>130</v>
      </c>
      <c r="B142" s="171" t="s">
        <v>171</v>
      </c>
      <c r="C142" s="172" t="s">
        <v>64</v>
      </c>
      <c r="D142" s="614" t="s">
        <v>66</v>
      </c>
      <c r="E142" s="529"/>
      <c r="F142" s="425">
        <f>+J142</f>
        <v>0</v>
      </c>
      <c r="G142" s="425"/>
      <c r="H142" s="100"/>
      <c r="I142" s="100"/>
      <c r="J142" s="425">
        <f>SUMIF(data!$D:$D,$B142&amp;$D142,data!$K:$K)</f>
        <v>0</v>
      </c>
      <c r="K142" s="100"/>
      <c r="L142" s="100"/>
      <c r="M142" s="528"/>
      <c r="N142" s="652">
        <f t="shared" si="26"/>
        <v>0</v>
      </c>
      <c r="O142" s="1159">
        <f t="shared" si="27"/>
        <v>0</v>
      </c>
      <c r="P142" s="425"/>
      <c r="Q142" s="425"/>
      <c r="R142" s="425">
        <f>O142/INTGRATE!$N$293</f>
        <v>0</v>
      </c>
      <c r="S142" s="665">
        <f>IF(R142=0,0,N142/R142)</f>
        <v>0</v>
      </c>
      <c r="T142" s="403"/>
      <c r="U142" s="136"/>
      <c r="V142" s="836" t="str">
        <f t="shared" si="39"/>
        <v>567SXSILO</v>
      </c>
      <c r="W142" s="823">
        <v>367108</v>
      </c>
      <c r="X142" s="386"/>
      <c r="Y142" s="386">
        <v>0</v>
      </c>
      <c r="Z142" s="100">
        <v>0</v>
      </c>
      <c r="AA142" s="100">
        <v>0</v>
      </c>
      <c r="AB142" s="100">
        <v>0</v>
      </c>
      <c r="AC142" s="100">
        <v>0</v>
      </c>
      <c r="AD142" s="100">
        <v>0</v>
      </c>
      <c r="AE142" s="100">
        <v>0</v>
      </c>
      <c r="AF142" s="100">
        <v>0</v>
      </c>
      <c r="AG142" s="100"/>
      <c r="AH142" s="425"/>
      <c r="AI142" s="100"/>
      <c r="AJ142" s="100"/>
      <c r="AK142" s="100"/>
      <c r="AL142" s="100"/>
      <c r="AM142" s="100"/>
      <c r="AN142" s="100"/>
      <c r="AO142" s="425"/>
      <c r="AP142" s="100"/>
      <c r="AQ142" s="425"/>
      <c r="AR142" s="100"/>
      <c r="AS142" s="100"/>
      <c r="AT142" s="100"/>
      <c r="AU142" s="100"/>
      <c r="AV142" s="100"/>
      <c r="AW142" s="100"/>
      <c r="AX142" s="230"/>
      <c r="AY142" s="100"/>
      <c r="AZ142" s="100"/>
      <c r="BA142" s="100"/>
      <c r="BB142" s="100"/>
      <c r="BC142" s="276">
        <f t="shared" si="23"/>
        <v>0</v>
      </c>
      <c r="BD142" s="786">
        <f t="shared" si="24"/>
        <v>0</v>
      </c>
      <c r="BE142" s="786">
        <f t="shared" si="25"/>
        <v>0</v>
      </c>
      <c r="BH142" s="436"/>
    </row>
    <row r="143" spans="1:151" s="38" customFormat="1" ht="15" customHeight="1">
      <c r="A143" s="91">
        <v>131</v>
      </c>
      <c r="B143" s="171" t="s">
        <v>170</v>
      </c>
      <c r="C143" s="172" t="s">
        <v>64</v>
      </c>
      <c r="D143" s="173">
        <v>25</v>
      </c>
      <c r="E143" s="717">
        <v>2022</v>
      </c>
      <c r="F143" s="100">
        <f>SUMIF(pro!$A:$A,$V:$V,pro!$N:$N)</f>
        <v>0</v>
      </c>
      <c r="G143" s="100"/>
      <c r="H143" s="100">
        <f>SUMIF(CBIN!$A:$A,BRAN!$V:$V,CBIN!$G:$G)</f>
        <v>0</v>
      </c>
      <c r="I143" s="100">
        <f>SUMIF(data!$D:$D,$B143&amp;$D143,data!$J:$J)</f>
        <v>0</v>
      </c>
      <c r="J143" s="100">
        <f>SUMIF(data!$D:$D,$B143&amp;$D143,data!$K:$K)</f>
        <v>0</v>
      </c>
      <c r="K143" s="100">
        <f>SUMIF(AJOUT!$A:$A,BRAN!$V:$V,AJOUT!$L:$L)</f>
        <v>0</v>
      </c>
      <c r="L143" s="100">
        <f>SUMIF(CBOUT!$A:$A,BRAN!$V:$V,CBOUT!$G:$G)</f>
        <v>0</v>
      </c>
      <c r="M143" s="1158">
        <f t="shared" ref="M143:M149" si="43">E143+F143+H143-I143-L143+G143-K143</f>
        <v>2022</v>
      </c>
      <c r="N143" s="652">
        <f t="shared" si="26"/>
        <v>50550</v>
      </c>
      <c r="O143" s="1159">
        <f t="shared" si="27"/>
        <v>148400</v>
      </c>
      <c r="P143" s="100"/>
      <c r="Q143" s="100"/>
      <c r="R143" s="100">
        <f>O143/INTGRATE!$N$293</f>
        <v>16488.888888888891</v>
      </c>
      <c r="S143" s="665">
        <f t="shared" si="38"/>
        <v>3.0657008086253366</v>
      </c>
      <c r="T143" s="403"/>
      <c r="U143" s="136"/>
      <c r="V143" s="836" t="str">
        <f t="shared" si="39"/>
        <v>567S25</v>
      </c>
      <c r="W143" s="823">
        <v>367101</v>
      </c>
      <c r="X143" s="386"/>
      <c r="Y143" s="386">
        <v>32975</v>
      </c>
      <c r="Z143" s="100">
        <v>1375</v>
      </c>
      <c r="AA143" s="100">
        <v>28125</v>
      </c>
      <c r="AB143" s="100">
        <v>36250</v>
      </c>
      <c r="AC143" s="100">
        <v>12600</v>
      </c>
      <c r="AD143" s="100">
        <v>10000</v>
      </c>
      <c r="AE143" s="100">
        <v>24750</v>
      </c>
      <c r="AF143" s="100">
        <v>2325</v>
      </c>
      <c r="AG143" s="100"/>
      <c r="AH143" s="100"/>
      <c r="AI143" s="100"/>
      <c r="AJ143" s="100"/>
      <c r="AK143" s="100"/>
      <c r="AL143" s="100"/>
      <c r="AM143" s="100"/>
      <c r="AN143" s="100"/>
      <c r="AO143" s="100"/>
      <c r="AP143" s="100"/>
      <c r="AQ143" s="100"/>
      <c r="AR143" s="100"/>
      <c r="AS143" s="100"/>
      <c r="AT143" s="100"/>
      <c r="AU143" s="100"/>
      <c r="AV143" s="100"/>
      <c r="AW143" s="100"/>
      <c r="AX143" s="230"/>
      <c r="AY143" s="100"/>
      <c r="AZ143" s="100"/>
      <c r="BA143" s="100"/>
      <c r="BB143" s="100"/>
      <c r="BC143" s="276">
        <f t="shared" si="23"/>
        <v>148400</v>
      </c>
      <c r="BD143" s="786">
        <f t="shared" si="24"/>
        <v>8</v>
      </c>
      <c r="BE143" s="786">
        <f t="shared" si="25"/>
        <v>18550</v>
      </c>
      <c r="BH143" s="436"/>
    </row>
    <row r="144" spans="1:151" s="95" customFormat="1" ht="15" customHeight="1">
      <c r="A144" s="91">
        <v>132</v>
      </c>
      <c r="B144" s="410">
        <v>584</v>
      </c>
      <c r="C144" s="464" t="s">
        <v>64</v>
      </c>
      <c r="D144" s="1174">
        <v>25</v>
      </c>
      <c r="E144" s="717">
        <v>741</v>
      </c>
      <c r="F144" s="100">
        <f>SUMIF(pro!$A:$A,$V:$V,pro!$N:$N)</f>
        <v>0</v>
      </c>
      <c r="G144" s="100"/>
      <c r="H144" s="100">
        <f>SUMIF(CBIN!$A:$A,BRAN!$V:$V,CBIN!$G:$G)</f>
        <v>0</v>
      </c>
      <c r="I144" s="100">
        <f>SUMIF(data!$D:$D,$B144&amp;$D144,data!$J:$J)</f>
        <v>0</v>
      </c>
      <c r="J144" s="100">
        <f>SUMIF(data!$D:$D,$B144&amp;$D144,data!$K:$K)</f>
        <v>0</v>
      </c>
      <c r="K144" s="100">
        <f>SUMIF(AJOUT!$A:$A,BRAN!$V:$V,AJOUT!$L:$L)</f>
        <v>0</v>
      </c>
      <c r="L144" s="100">
        <f>SUMIF(CBOUT!$A:$A,BRAN!$V:$V,CBOUT!$G:$G)</f>
        <v>0</v>
      </c>
      <c r="M144" s="1158">
        <f t="shared" si="43"/>
        <v>741</v>
      </c>
      <c r="N144" s="652">
        <f t="shared" si="26"/>
        <v>18525</v>
      </c>
      <c r="O144" s="1159">
        <f t="shared" si="27"/>
        <v>3575</v>
      </c>
      <c r="P144" s="804"/>
      <c r="Q144" s="804"/>
      <c r="R144" s="100">
        <f>O144/INTGRATE!$N$293</f>
        <v>397.22222222222223</v>
      </c>
      <c r="S144" s="665">
        <f t="shared" si="38"/>
        <v>46.636363636363633</v>
      </c>
      <c r="T144" s="403"/>
      <c r="U144" s="136"/>
      <c r="V144" s="836" t="str">
        <f t="shared" si="39"/>
        <v>58425</v>
      </c>
      <c r="W144" s="823">
        <v>433001</v>
      </c>
      <c r="X144" s="386"/>
      <c r="Y144" s="386">
        <v>625</v>
      </c>
      <c r="Z144" s="100">
        <v>0</v>
      </c>
      <c r="AA144" s="100">
        <v>425</v>
      </c>
      <c r="AB144" s="100">
        <v>750</v>
      </c>
      <c r="AC144" s="100">
        <v>800</v>
      </c>
      <c r="AD144" s="100">
        <v>25</v>
      </c>
      <c r="AE144" s="100">
        <v>450</v>
      </c>
      <c r="AF144" s="100">
        <v>500</v>
      </c>
      <c r="AG144" s="100"/>
      <c r="AH144" s="100"/>
      <c r="AI144" s="100"/>
      <c r="AJ144" s="100"/>
      <c r="AK144" s="100"/>
      <c r="AL144" s="100"/>
      <c r="AM144" s="100"/>
      <c r="AN144" s="100"/>
      <c r="AO144" s="100"/>
      <c r="AP144" s="100"/>
      <c r="AQ144" s="100"/>
      <c r="AR144" s="100"/>
      <c r="AS144" s="100"/>
      <c r="AT144" s="100"/>
      <c r="AU144" s="100"/>
      <c r="AV144" s="100"/>
      <c r="AW144" s="100"/>
      <c r="AX144" s="230"/>
      <c r="AY144" s="100"/>
      <c r="AZ144" s="100"/>
      <c r="BA144" s="100"/>
      <c r="BB144" s="100"/>
      <c r="BC144" s="276">
        <f t="shared" si="23"/>
        <v>3575</v>
      </c>
      <c r="BD144" s="786">
        <f t="shared" si="24"/>
        <v>7</v>
      </c>
      <c r="BE144" s="786">
        <f t="shared" si="25"/>
        <v>510.71428571428572</v>
      </c>
      <c r="BF144" s="38"/>
      <c r="BG144" s="38"/>
      <c r="BH144" s="436"/>
      <c r="BI144" s="38"/>
      <c r="BJ144" s="38"/>
      <c r="BK144" s="38"/>
      <c r="BL144" s="38"/>
      <c r="BM144" s="38"/>
      <c r="BN144" s="38"/>
      <c r="BO144" s="38"/>
      <c r="BP144" s="38"/>
      <c r="BQ144" s="38"/>
      <c r="BR144" s="38"/>
      <c r="BS144" s="38"/>
      <c r="BT144" s="38"/>
      <c r="BU144" s="38"/>
      <c r="BV144" s="38"/>
      <c r="BW144" s="38"/>
      <c r="BX144" s="38"/>
      <c r="BY144" s="38"/>
      <c r="BZ144" s="38"/>
      <c r="CA144" s="38"/>
      <c r="CB144" s="38"/>
      <c r="CC144" s="38"/>
      <c r="CD144" s="38"/>
      <c r="CE144" s="38"/>
      <c r="CF144" s="38"/>
      <c r="CG144" s="38"/>
      <c r="CH144" s="38"/>
      <c r="CI144" s="38"/>
      <c r="CJ144" s="38"/>
      <c r="CK144" s="38"/>
      <c r="CL144" s="38"/>
      <c r="CM144" s="38"/>
      <c r="CN144" s="38"/>
      <c r="CO144" s="38"/>
      <c r="CP144" s="38"/>
      <c r="CQ144" s="38"/>
      <c r="CR144" s="38"/>
      <c r="CS144" s="38"/>
      <c r="CT144" s="38"/>
      <c r="CU144" s="38"/>
      <c r="CV144" s="38"/>
      <c r="CW144" s="38"/>
      <c r="CX144" s="38"/>
      <c r="CY144" s="38"/>
      <c r="CZ144" s="38"/>
      <c r="DA144" s="38"/>
      <c r="DB144" s="38"/>
      <c r="DC144" s="38"/>
      <c r="DD144" s="38"/>
      <c r="DE144" s="38"/>
      <c r="DF144" s="38"/>
      <c r="DG144" s="38"/>
      <c r="DH144" s="38"/>
      <c r="DI144" s="38"/>
      <c r="DJ144" s="38"/>
      <c r="DK144" s="38"/>
      <c r="DL144" s="38"/>
      <c r="DM144" s="38"/>
      <c r="DN144" s="38"/>
      <c r="DO144" s="38"/>
      <c r="DP144" s="38"/>
      <c r="DQ144" s="38"/>
      <c r="DR144" s="38"/>
      <c r="DS144" s="38"/>
      <c r="DT144" s="38"/>
      <c r="DU144" s="38"/>
      <c r="DV144" s="38"/>
      <c r="DW144" s="38"/>
      <c r="DX144" s="38"/>
      <c r="DY144" s="38"/>
      <c r="DZ144" s="38"/>
      <c r="EA144" s="38"/>
      <c r="EB144" s="38"/>
      <c r="EC144" s="38"/>
      <c r="ED144" s="38"/>
      <c r="EE144" s="38"/>
      <c r="EF144" s="38"/>
      <c r="EG144" s="38"/>
      <c r="EH144" s="38"/>
      <c r="EI144" s="38"/>
      <c r="EJ144" s="38"/>
      <c r="EK144" s="38"/>
      <c r="EL144" s="38"/>
      <c r="EM144" s="38"/>
      <c r="EN144" s="38"/>
      <c r="EO144" s="38"/>
      <c r="EP144" s="38"/>
      <c r="EQ144" s="38"/>
      <c r="ER144" s="38"/>
      <c r="ES144" s="38"/>
      <c r="ET144" s="38"/>
      <c r="EU144" s="38"/>
    </row>
    <row r="145" spans="1:151" s="95" customFormat="1" ht="15" customHeight="1">
      <c r="A145" s="91">
        <v>133</v>
      </c>
      <c r="B145" s="410" t="s">
        <v>172</v>
      </c>
      <c r="C145" s="464" t="s">
        <v>64</v>
      </c>
      <c r="D145" s="1174">
        <v>25</v>
      </c>
      <c r="E145" s="717">
        <v>0</v>
      </c>
      <c r="F145" s="100">
        <f>SUMIF(pro!$A:$A,$V:$V,pro!$N:$N)</f>
        <v>0</v>
      </c>
      <c r="G145" s="100"/>
      <c r="H145" s="100">
        <f>SUMIF(CBIN!$A:$A,BRAN!$V:$V,CBIN!$G:$G)</f>
        <v>0</v>
      </c>
      <c r="I145" s="100">
        <f>SUMIF(data!$D:$D,$B145&amp;$D145,data!$J:$J)</f>
        <v>0</v>
      </c>
      <c r="J145" s="100">
        <f>SUMIF(data!$D:$D,$B145&amp;$D145,data!$K:$K)</f>
        <v>0</v>
      </c>
      <c r="K145" s="100">
        <f>SUMIF(AJOUT!$A:$A,BRAN!$V:$V,AJOUT!$L:$L)</f>
        <v>0</v>
      </c>
      <c r="L145" s="100">
        <f>SUMIF(CBOUT!$A:$A,BRAN!$V:$V,CBOUT!$G:$G)</f>
        <v>0</v>
      </c>
      <c r="M145" s="1158">
        <f t="shared" si="43"/>
        <v>0</v>
      </c>
      <c r="N145" s="652">
        <f t="shared" si="26"/>
        <v>0</v>
      </c>
      <c r="O145" s="1159">
        <f t="shared" si="27"/>
        <v>0</v>
      </c>
      <c r="P145" s="804"/>
      <c r="Q145" s="804"/>
      <c r="R145" s="100">
        <f>O145/INTGRATE!$N$293</f>
        <v>0</v>
      </c>
      <c r="S145" s="665">
        <f>IF(R145=0,0,N145/R145)</f>
        <v>0</v>
      </c>
      <c r="T145" s="403"/>
      <c r="U145" s="136"/>
      <c r="V145" s="836" t="str">
        <f t="shared" si="39"/>
        <v>571 O125</v>
      </c>
      <c r="W145" s="823">
        <v>411001</v>
      </c>
      <c r="X145" s="389"/>
      <c r="Y145" s="389">
        <v>0</v>
      </c>
      <c r="Z145" s="100">
        <v>0</v>
      </c>
      <c r="AA145" s="100">
        <v>0</v>
      </c>
      <c r="AB145" s="100">
        <v>0</v>
      </c>
      <c r="AC145" s="100">
        <v>0</v>
      </c>
      <c r="AD145" s="100">
        <v>0</v>
      </c>
      <c r="AE145" s="100">
        <v>0</v>
      </c>
      <c r="AF145" s="100">
        <v>0</v>
      </c>
      <c r="AG145" s="100"/>
      <c r="AH145" s="100"/>
      <c r="AI145" s="100"/>
      <c r="AJ145" s="100"/>
      <c r="AK145" s="100"/>
      <c r="AL145" s="100"/>
      <c r="AM145" s="100"/>
      <c r="AN145" s="100"/>
      <c r="AO145" s="100"/>
      <c r="AP145" s="100"/>
      <c r="AQ145" s="100"/>
      <c r="AR145" s="100"/>
      <c r="AS145" s="100"/>
      <c r="AT145" s="100"/>
      <c r="AU145" s="100"/>
      <c r="AV145" s="100"/>
      <c r="AW145" s="100"/>
      <c r="AX145" s="230"/>
      <c r="AY145" s="100"/>
      <c r="AZ145" s="100"/>
      <c r="BA145" s="100"/>
      <c r="BB145" s="100"/>
      <c r="BC145" s="276">
        <f t="shared" si="23"/>
        <v>0</v>
      </c>
      <c r="BD145" s="786">
        <f t="shared" si="24"/>
        <v>0</v>
      </c>
      <c r="BE145" s="786">
        <f t="shared" si="25"/>
        <v>0</v>
      </c>
      <c r="BF145" s="38"/>
      <c r="BG145" s="38"/>
      <c r="BH145" s="436"/>
      <c r="BI145" s="38"/>
      <c r="BJ145" s="38"/>
      <c r="BK145" s="38"/>
      <c r="BL145" s="38"/>
      <c r="BM145" s="38"/>
      <c r="BN145" s="38"/>
      <c r="BO145" s="38"/>
      <c r="BP145" s="38"/>
      <c r="BQ145" s="38"/>
      <c r="BR145" s="38"/>
      <c r="BS145" s="38"/>
      <c r="BT145" s="38"/>
      <c r="BU145" s="38"/>
      <c r="BV145" s="38"/>
      <c r="BW145" s="38"/>
      <c r="BX145" s="38"/>
      <c r="BY145" s="38"/>
      <c r="BZ145" s="38"/>
      <c r="CA145" s="38"/>
      <c r="CB145" s="38"/>
      <c r="CC145" s="38"/>
      <c r="CD145" s="38"/>
      <c r="CE145" s="38"/>
      <c r="CF145" s="38"/>
      <c r="CG145" s="38"/>
      <c r="CH145" s="38"/>
      <c r="CI145" s="38"/>
      <c r="CJ145" s="38"/>
      <c r="CK145" s="38"/>
      <c r="CL145" s="38"/>
      <c r="CM145" s="38"/>
      <c r="CN145" s="38"/>
      <c r="CO145" s="38"/>
      <c r="CP145" s="38"/>
      <c r="CQ145" s="38"/>
      <c r="CR145" s="38"/>
      <c r="CS145" s="38"/>
      <c r="CT145" s="38"/>
      <c r="CU145" s="38"/>
      <c r="CV145" s="38"/>
      <c r="CW145" s="38"/>
      <c r="CX145" s="38"/>
      <c r="CY145" s="38"/>
      <c r="CZ145" s="38"/>
      <c r="DA145" s="38"/>
      <c r="DB145" s="38"/>
      <c r="DC145" s="38"/>
      <c r="DD145" s="38"/>
      <c r="DE145" s="38"/>
      <c r="DF145" s="38"/>
      <c r="DG145" s="38"/>
      <c r="DH145" s="38"/>
      <c r="DI145" s="38"/>
      <c r="DJ145" s="38"/>
      <c r="DK145" s="38"/>
      <c r="DL145" s="38"/>
      <c r="DM145" s="38"/>
      <c r="DN145" s="38"/>
      <c r="DO145" s="38"/>
      <c r="DP145" s="38"/>
      <c r="DQ145" s="38"/>
      <c r="DR145" s="38"/>
      <c r="DS145" s="38"/>
      <c r="DT145" s="38"/>
      <c r="DU145" s="38"/>
      <c r="DV145" s="38"/>
      <c r="DW145" s="38"/>
      <c r="DX145" s="38"/>
      <c r="DY145" s="38"/>
      <c r="DZ145" s="38"/>
      <c r="EA145" s="38"/>
      <c r="EB145" s="38"/>
      <c r="EC145" s="38"/>
      <c r="ED145" s="38"/>
      <c r="EE145" s="38"/>
      <c r="EF145" s="38"/>
      <c r="EG145" s="38"/>
      <c r="EH145" s="38"/>
      <c r="EI145" s="38"/>
      <c r="EJ145" s="38"/>
      <c r="EK145" s="38"/>
      <c r="EL145" s="38"/>
      <c r="EM145" s="38"/>
      <c r="EN145" s="38"/>
      <c r="EO145" s="38"/>
      <c r="EP145" s="38"/>
      <c r="EQ145" s="38"/>
      <c r="ER145" s="38"/>
      <c r="ES145" s="38"/>
      <c r="ET145" s="38"/>
      <c r="EU145" s="38"/>
    </row>
    <row r="146" spans="1:151" s="95" customFormat="1" ht="15" customHeight="1">
      <c r="A146" s="91">
        <v>134</v>
      </c>
      <c r="B146" s="410" t="s">
        <v>173</v>
      </c>
      <c r="C146" s="464" t="s">
        <v>64</v>
      </c>
      <c r="D146" s="1174">
        <v>25</v>
      </c>
      <c r="E146" s="717">
        <v>0</v>
      </c>
      <c r="F146" s="100">
        <f>SUMIF(pro!$A:$A,$V:$V,pro!$N:$N)</f>
        <v>0</v>
      </c>
      <c r="G146" s="100"/>
      <c r="H146" s="100">
        <f>SUMIF(CBIN!$A:$A,BRAN!$V:$V,CBIN!$G:$G)</f>
        <v>0</v>
      </c>
      <c r="I146" s="100">
        <f>SUMIF(data!$D:$D,$B146&amp;$D146,data!$J:$J)</f>
        <v>0</v>
      </c>
      <c r="J146" s="100">
        <f>SUMIF(data!$D:$D,$B146&amp;$D146,data!$K:$K)</f>
        <v>0</v>
      </c>
      <c r="K146" s="100">
        <f>SUMIF(AJOUT!$A:$A,BRAN!$V:$V,AJOUT!$L:$L)</f>
        <v>0</v>
      </c>
      <c r="L146" s="100">
        <f>SUMIF(CBOUT!$A:$A,BRAN!$V:$V,CBOUT!$G:$G)</f>
        <v>0</v>
      </c>
      <c r="M146" s="1158">
        <f t="shared" si="43"/>
        <v>0</v>
      </c>
      <c r="N146" s="652">
        <f t="shared" si="26"/>
        <v>0</v>
      </c>
      <c r="O146" s="1159">
        <f t="shared" si="27"/>
        <v>0</v>
      </c>
      <c r="P146" s="804"/>
      <c r="Q146" s="804"/>
      <c r="R146" s="100">
        <f>O146/INTGRATE!$N$293</f>
        <v>0</v>
      </c>
      <c r="S146" s="665">
        <f t="shared" si="38"/>
        <v>0</v>
      </c>
      <c r="T146" s="403"/>
      <c r="U146" s="136"/>
      <c r="V146" s="836" t="str">
        <f t="shared" si="39"/>
        <v>585S25</v>
      </c>
      <c r="W146" s="823">
        <v>433011</v>
      </c>
      <c r="X146" s="389"/>
      <c r="Y146" s="389">
        <v>0</v>
      </c>
      <c r="Z146" s="100">
        <v>0</v>
      </c>
      <c r="AA146" s="100">
        <v>0</v>
      </c>
      <c r="AB146" s="100">
        <v>0</v>
      </c>
      <c r="AC146" s="100">
        <v>0</v>
      </c>
      <c r="AD146" s="100">
        <v>0</v>
      </c>
      <c r="AE146" s="100">
        <v>0</v>
      </c>
      <c r="AF146" s="100">
        <v>0</v>
      </c>
      <c r="AG146" s="100"/>
      <c r="AH146" s="100"/>
      <c r="AI146" s="100"/>
      <c r="AJ146" s="100"/>
      <c r="AK146" s="100"/>
      <c r="AL146" s="100"/>
      <c r="AM146" s="100"/>
      <c r="AN146" s="100"/>
      <c r="AO146" s="100"/>
      <c r="AP146" s="100"/>
      <c r="AQ146" s="100"/>
      <c r="AR146" s="100"/>
      <c r="AS146" s="100"/>
      <c r="AT146" s="100"/>
      <c r="AU146" s="100"/>
      <c r="AV146" s="100"/>
      <c r="AW146" s="100"/>
      <c r="AX146" s="230"/>
      <c r="AY146" s="100"/>
      <c r="AZ146" s="100"/>
      <c r="BA146" s="100"/>
      <c r="BB146" s="100"/>
      <c r="BC146" s="276">
        <f t="shared" si="23"/>
        <v>0</v>
      </c>
      <c r="BD146" s="786">
        <f t="shared" si="24"/>
        <v>0</v>
      </c>
      <c r="BE146" s="786">
        <f t="shared" si="25"/>
        <v>0</v>
      </c>
      <c r="BF146" s="38"/>
      <c r="BG146" s="38"/>
      <c r="BH146" s="436"/>
      <c r="BI146" s="38"/>
      <c r="BJ146" s="38"/>
      <c r="BK146" s="38"/>
      <c r="BL146" s="38"/>
      <c r="BM146" s="38"/>
      <c r="BN146" s="38"/>
      <c r="BO146" s="38"/>
      <c r="BP146" s="38"/>
      <c r="BQ146" s="38"/>
      <c r="BR146" s="38"/>
      <c r="BS146" s="38"/>
      <c r="BT146" s="38"/>
      <c r="BU146" s="38"/>
      <c r="BV146" s="38"/>
      <c r="BW146" s="38"/>
      <c r="BX146" s="38"/>
      <c r="BY146" s="38"/>
      <c r="BZ146" s="38"/>
      <c r="CA146" s="38"/>
      <c r="CB146" s="38"/>
      <c r="CC146" s="38"/>
      <c r="CD146" s="38"/>
      <c r="CE146" s="38"/>
      <c r="CF146" s="38"/>
      <c r="CG146" s="38"/>
      <c r="CH146" s="38"/>
      <c r="CI146" s="38"/>
      <c r="CJ146" s="38"/>
      <c r="CK146" s="38"/>
      <c r="CL146" s="38"/>
      <c r="CM146" s="38"/>
      <c r="CN146" s="38"/>
      <c r="CO146" s="38"/>
      <c r="CP146" s="38"/>
      <c r="CQ146" s="38"/>
      <c r="CR146" s="38"/>
      <c r="CS146" s="38"/>
      <c r="CT146" s="38"/>
      <c r="CU146" s="38"/>
      <c r="CV146" s="38"/>
      <c r="CW146" s="38"/>
      <c r="CX146" s="38"/>
      <c r="CY146" s="38"/>
      <c r="CZ146" s="38"/>
      <c r="DA146" s="38"/>
      <c r="DB146" s="38"/>
      <c r="DC146" s="38"/>
      <c r="DD146" s="38"/>
      <c r="DE146" s="38"/>
      <c r="DF146" s="38"/>
      <c r="DG146" s="38"/>
      <c r="DH146" s="38"/>
      <c r="DI146" s="38"/>
      <c r="DJ146" s="38"/>
      <c r="DK146" s="38"/>
      <c r="DL146" s="38"/>
      <c r="DM146" s="38"/>
      <c r="DN146" s="38"/>
      <c r="DO146" s="38"/>
      <c r="DP146" s="38"/>
      <c r="DQ146" s="38"/>
      <c r="DR146" s="38"/>
      <c r="DS146" s="38"/>
      <c r="DT146" s="38"/>
      <c r="DU146" s="38"/>
      <c r="DV146" s="38"/>
      <c r="DW146" s="38"/>
      <c r="DX146" s="38"/>
      <c r="DY146" s="38"/>
      <c r="DZ146" s="38"/>
      <c r="EA146" s="38"/>
      <c r="EB146" s="38"/>
      <c r="EC146" s="38"/>
      <c r="ED146" s="38"/>
      <c r="EE146" s="38"/>
      <c r="EF146" s="38"/>
      <c r="EG146" s="38"/>
      <c r="EH146" s="38"/>
      <c r="EI146" s="38"/>
      <c r="EJ146" s="38"/>
      <c r="EK146" s="38"/>
      <c r="EL146" s="38"/>
      <c r="EM146" s="38"/>
      <c r="EN146" s="38"/>
      <c r="EO146" s="38"/>
      <c r="EP146" s="38"/>
      <c r="EQ146" s="38"/>
      <c r="ER146" s="38"/>
      <c r="ES146" s="38"/>
      <c r="ET146" s="38"/>
      <c r="EU146" s="38"/>
    </row>
    <row r="147" spans="1:151" s="95" customFormat="1" ht="15" customHeight="1">
      <c r="A147" s="91">
        <v>135</v>
      </c>
      <c r="B147" s="410">
        <v>596</v>
      </c>
      <c r="C147" s="464" t="s">
        <v>64</v>
      </c>
      <c r="D147" s="1174">
        <v>25</v>
      </c>
      <c r="E147" s="717">
        <v>0</v>
      </c>
      <c r="F147" s="100">
        <f>SUMIF(pro!$A:$A,$V:$V,pro!$N:$N)</f>
        <v>0</v>
      </c>
      <c r="G147" s="100"/>
      <c r="H147" s="100">
        <f>SUMIF(CBIN!$A:$A,BRAN!$V:$V,CBIN!$G:$G)</f>
        <v>0</v>
      </c>
      <c r="I147" s="100">
        <f>SUMIF(data!$D:$D,$B147&amp;$D147,data!$J:$J)</f>
        <v>0</v>
      </c>
      <c r="J147" s="100">
        <f>SUMIF(data!$D:$D,$B147&amp;$D147,data!$K:$K)</f>
        <v>0</v>
      </c>
      <c r="K147" s="100">
        <f>SUMIF(AJOUT!$A:$A,BRAN!$V:$V,AJOUT!$L:$L)</f>
        <v>0</v>
      </c>
      <c r="L147" s="100">
        <f>SUMIF(CBOUT!$A:$A,BRAN!$V:$V,CBOUT!$G:$G)</f>
        <v>0</v>
      </c>
      <c r="M147" s="1158">
        <f t="shared" si="43"/>
        <v>0</v>
      </c>
      <c r="N147" s="652">
        <f t="shared" si="26"/>
        <v>0</v>
      </c>
      <c r="O147" s="1159">
        <f t="shared" si="27"/>
        <v>0</v>
      </c>
      <c r="P147" s="804"/>
      <c r="Q147" s="804"/>
      <c r="R147" s="100">
        <f>O147/INTGRATE!$N$293</f>
        <v>0</v>
      </c>
      <c r="S147" s="665">
        <f t="shared" si="38"/>
        <v>0</v>
      </c>
      <c r="T147" s="403"/>
      <c r="U147" s="136"/>
      <c r="V147" s="836" t="str">
        <f t="shared" si="39"/>
        <v>59625</v>
      </c>
      <c r="W147" s="823">
        <v>424001</v>
      </c>
      <c r="X147" s="389"/>
      <c r="Y147" s="389">
        <v>0</v>
      </c>
      <c r="Z147" s="100">
        <v>0</v>
      </c>
      <c r="AA147" s="100">
        <v>0</v>
      </c>
      <c r="AB147" s="100">
        <v>0</v>
      </c>
      <c r="AC147" s="100">
        <v>0</v>
      </c>
      <c r="AD147" s="100">
        <v>0</v>
      </c>
      <c r="AE147" s="100">
        <v>0</v>
      </c>
      <c r="AF147" s="100">
        <v>0</v>
      </c>
      <c r="AG147" s="100"/>
      <c r="AH147" s="100"/>
      <c r="AI147" s="100"/>
      <c r="AJ147" s="100"/>
      <c r="AK147" s="100"/>
      <c r="AL147" s="100"/>
      <c r="AM147" s="100"/>
      <c r="AN147" s="100"/>
      <c r="AO147" s="100"/>
      <c r="AP147" s="100"/>
      <c r="AQ147" s="100"/>
      <c r="AR147" s="100"/>
      <c r="AS147" s="100"/>
      <c r="AT147" s="100"/>
      <c r="AU147" s="100"/>
      <c r="AV147" s="100"/>
      <c r="AW147" s="100"/>
      <c r="AX147" s="230"/>
      <c r="AY147" s="100"/>
      <c r="AZ147" s="100"/>
      <c r="BA147" s="100"/>
      <c r="BB147" s="100"/>
      <c r="BC147" s="276">
        <f t="shared" ref="BC147:BC149" si="44">SUM(X147:BB147)</f>
        <v>0</v>
      </c>
      <c r="BD147" s="786">
        <f t="shared" ref="BD147:BD149" si="45">COUNTIF(X147:BB147,"&gt;0")</f>
        <v>0</v>
      </c>
      <c r="BE147" s="786">
        <f t="shared" ref="BE147:BE149" si="46">IFERROR(BC147/BD147,0)</f>
        <v>0</v>
      </c>
      <c r="BF147" s="38"/>
      <c r="BG147" s="38"/>
      <c r="BH147" s="436"/>
      <c r="BI147" s="38"/>
      <c r="BJ147" s="38"/>
      <c r="BK147" s="38"/>
      <c r="BL147" s="38"/>
      <c r="BM147" s="38"/>
      <c r="BN147" s="38"/>
      <c r="BO147" s="38"/>
      <c r="BP147" s="38"/>
      <c r="BQ147" s="38"/>
      <c r="BR147" s="38"/>
      <c r="BS147" s="38"/>
      <c r="BT147" s="38"/>
      <c r="BU147" s="38"/>
      <c r="BV147" s="38"/>
      <c r="BW147" s="38"/>
      <c r="BX147" s="38"/>
      <c r="BY147" s="38"/>
      <c r="BZ147" s="38"/>
      <c r="CA147" s="38"/>
      <c r="CB147" s="38"/>
      <c r="CC147" s="38"/>
      <c r="CD147" s="38"/>
      <c r="CE147" s="38"/>
      <c r="CF147" s="38"/>
      <c r="CG147" s="38"/>
      <c r="CH147" s="38"/>
      <c r="CI147" s="38"/>
      <c r="CJ147" s="38"/>
      <c r="CK147" s="38"/>
      <c r="CL147" s="38"/>
      <c r="CM147" s="38"/>
      <c r="CN147" s="38"/>
      <c r="CO147" s="38"/>
      <c r="CP147" s="38"/>
      <c r="CQ147" s="38"/>
      <c r="CR147" s="38"/>
      <c r="CS147" s="38"/>
      <c r="CT147" s="38"/>
      <c r="CU147" s="38"/>
      <c r="CV147" s="38"/>
      <c r="CW147" s="38"/>
      <c r="CX147" s="38"/>
      <c r="CY147" s="38"/>
      <c r="CZ147" s="38"/>
      <c r="DA147" s="38"/>
      <c r="DB147" s="38"/>
      <c r="DC147" s="38"/>
      <c r="DD147" s="38"/>
      <c r="DE147" s="38"/>
      <c r="DF147" s="38"/>
      <c r="DG147" s="38"/>
      <c r="DH147" s="38"/>
      <c r="DI147" s="38"/>
      <c r="DJ147" s="38"/>
      <c r="DK147" s="38"/>
      <c r="DL147" s="38"/>
      <c r="DM147" s="38"/>
      <c r="DN147" s="38"/>
      <c r="DO147" s="38"/>
      <c r="DP147" s="38"/>
      <c r="DQ147" s="38"/>
      <c r="DR147" s="38"/>
      <c r="DS147" s="38"/>
      <c r="DT147" s="38"/>
      <c r="DU147" s="38"/>
      <c r="DV147" s="38"/>
      <c r="DW147" s="38"/>
      <c r="DX147" s="38"/>
      <c r="DY147" s="38"/>
      <c r="DZ147" s="38"/>
      <c r="EA147" s="38"/>
      <c r="EB147" s="38"/>
      <c r="EC147" s="38"/>
      <c r="ED147" s="38"/>
      <c r="EE147" s="38"/>
      <c r="EF147" s="38"/>
      <c r="EG147" s="38"/>
      <c r="EH147" s="38"/>
      <c r="EI147" s="38"/>
      <c r="EJ147" s="38"/>
      <c r="EK147" s="38"/>
      <c r="EL147" s="38"/>
      <c r="EM147" s="38"/>
      <c r="EN147" s="38"/>
      <c r="EO147" s="38"/>
      <c r="EP147" s="38"/>
      <c r="EQ147" s="38"/>
      <c r="ER147" s="38"/>
      <c r="ES147" s="38"/>
      <c r="ET147" s="38"/>
      <c r="EU147" s="38"/>
    </row>
    <row r="148" spans="1:151" s="95" customFormat="1" ht="15" customHeight="1">
      <c r="A148" s="91">
        <v>136</v>
      </c>
      <c r="B148" s="410">
        <v>594</v>
      </c>
      <c r="C148" s="464" t="s">
        <v>64</v>
      </c>
      <c r="D148" s="1174">
        <v>25</v>
      </c>
      <c r="E148" s="717">
        <v>561</v>
      </c>
      <c r="F148" s="100">
        <f>SUMIF(pro!$A:$A,$V:$V,pro!$N:$N)</f>
        <v>0</v>
      </c>
      <c r="G148" s="100"/>
      <c r="H148" s="100">
        <f>SUMIF(CBIN!$A:$A,BRAN!$V:$V,CBIN!$G:$G)</f>
        <v>0</v>
      </c>
      <c r="I148" s="100">
        <f>SUMIF(data!$D:$D,$B148&amp;$D148,data!$J:$J)</f>
        <v>0</v>
      </c>
      <c r="J148" s="100">
        <f>SUMIF(data!$D:$D,$B148&amp;$D148,data!$K:$K)</f>
        <v>0</v>
      </c>
      <c r="K148" s="100">
        <f>SUMIF(AJOUT!$A:$A,BRAN!$V:$V,AJOUT!$L:$L)</f>
        <v>0</v>
      </c>
      <c r="L148" s="100">
        <f>SUMIF(CBOUT!$A:$A,BRAN!$V:$V,CBOUT!$G:$G)</f>
        <v>0</v>
      </c>
      <c r="M148" s="1158">
        <f t="shared" si="43"/>
        <v>561</v>
      </c>
      <c r="N148" s="652">
        <f t="shared" si="26"/>
        <v>14025</v>
      </c>
      <c r="O148" s="1159">
        <f t="shared" si="27"/>
        <v>3500</v>
      </c>
      <c r="P148" s="804"/>
      <c r="Q148" s="804"/>
      <c r="R148" s="100">
        <f>O148/INTGRATE!$N$293</f>
        <v>388.88888888888891</v>
      </c>
      <c r="S148" s="665">
        <f t="shared" si="38"/>
        <v>36.06428571428571</v>
      </c>
      <c r="T148" s="403"/>
      <c r="U148" s="136"/>
      <c r="V148" s="836" t="str">
        <f t="shared" si="39"/>
        <v>59425</v>
      </c>
      <c r="W148" s="823">
        <v>422001</v>
      </c>
      <c r="X148" s="389"/>
      <c r="Y148" s="389">
        <v>0</v>
      </c>
      <c r="Z148" s="100">
        <v>2500</v>
      </c>
      <c r="AA148" s="100">
        <v>0</v>
      </c>
      <c r="AB148" s="100">
        <v>0</v>
      </c>
      <c r="AC148" s="100">
        <v>1000</v>
      </c>
      <c r="AD148" s="100">
        <v>0</v>
      </c>
      <c r="AE148" s="100">
        <v>0</v>
      </c>
      <c r="AF148" s="100">
        <v>0</v>
      </c>
      <c r="AG148" s="100"/>
      <c r="AH148" s="100"/>
      <c r="AI148" s="100"/>
      <c r="AJ148" s="100"/>
      <c r="AK148" s="100"/>
      <c r="AL148" s="100"/>
      <c r="AM148" s="100"/>
      <c r="AN148" s="100"/>
      <c r="AO148" s="100"/>
      <c r="AP148" s="100"/>
      <c r="AQ148" s="100"/>
      <c r="AR148" s="100"/>
      <c r="AS148" s="100"/>
      <c r="AT148" s="100"/>
      <c r="AU148" s="100"/>
      <c r="AV148" s="100"/>
      <c r="AW148" s="100"/>
      <c r="AX148" s="230"/>
      <c r="AY148" s="100"/>
      <c r="AZ148" s="100"/>
      <c r="BA148" s="100"/>
      <c r="BB148" s="100"/>
      <c r="BC148" s="276">
        <f t="shared" si="44"/>
        <v>3500</v>
      </c>
      <c r="BD148" s="786">
        <f t="shared" si="45"/>
        <v>2</v>
      </c>
      <c r="BE148" s="786">
        <f t="shared" si="46"/>
        <v>1750</v>
      </c>
      <c r="BF148" s="38"/>
      <c r="BG148" s="38"/>
      <c r="BH148" s="436"/>
      <c r="BI148" s="38"/>
      <c r="BJ148" s="38"/>
      <c r="BK148" s="38"/>
      <c r="BL148" s="38"/>
      <c r="BM148" s="38"/>
      <c r="BN148" s="38"/>
      <c r="BO148" s="38"/>
      <c r="BP148" s="38"/>
      <c r="BQ148" s="38"/>
      <c r="BR148" s="38"/>
      <c r="BS148" s="38"/>
      <c r="BT148" s="38"/>
      <c r="BU148" s="38"/>
      <c r="BV148" s="38"/>
      <c r="BW148" s="38"/>
      <c r="BX148" s="38"/>
      <c r="BY148" s="38"/>
      <c r="BZ148" s="38"/>
      <c r="CA148" s="38"/>
      <c r="CB148" s="38"/>
      <c r="CC148" s="38"/>
      <c r="CD148" s="38"/>
      <c r="CE148" s="38"/>
      <c r="CF148" s="38"/>
      <c r="CG148" s="38"/>
      <c r="CH148" s="38"/>
      <c r="CI148" s="38"/>
      <c r="CJ148" s="38"/>
      <c r="CK148" s="38"/>
      <c r="CL148" s="38"/>
      <c r="CM148" s="38"/>
      <c r="CN148" s="38"/>
      <c r="CO148" s="38"/>
      <c r="CP148" s="38"/>
      <c r="CQ148" s="38"/>
      <c r="CR148" s="38"/>
      <c r="CS148" s="38"/>
      <c r="CT148" s="38"/>
      <c r="CU148" s="38"/>
      <c r="CV148" s="38"/>
      <c r="CW148" s="38"/>
      <c r="CX148" s="38"/>
      <c r="CY148" s="38"/>
      <c r="CZ148" s="38"/>
      <c r="DA148" s="38"/>
      <c r="DB148" s="38"/>
      <c r="DC148" s="38"/>
      <c r="DD148" s="38"/>
      <c r="DE148" s="38"/>
      <c r="DF148" s="38"/>
      <c r="DG148" s="38"/>
      <c r="DH148" s="38"/>
      <c r="DI148" s="38"/>
      <c r="DJ148" s="38"/>
      <c r="DK148" s="38"/>
      <c r="DL148" s="38"/>
      <c r="DM148" s="38"/>
      <c r="DN148" s="38"/>
      <c r="DO148" s="38"/>
      <c r="DP148" s="38"/>
      <c r="DQ148" s="38"/>
      <c r="DR148" s="38"/>
      <c r="DS148" s="38"/>
      <c r="DT148" s="38"/>
      <c r="DU148" s="38"/>
      <c r="DV148" s="38"/>
      <c r="DW148" s="38"/>
      <c r="DX148" s="38"/>
      <c r="DY148" s="38"/>
      <c r="DZ148" s="38"/>
      <c r="EA148" s="38"/>
      <c r="EB148" s="38"/>
      <c r="EC148" s="38"/>
      <c r="ED148" s="38"/>
      <c r="EE148" s="38"/>
      <c r="EF148" s="38"/>
      <c r="EG148" s="38"/>
      <c r="EH148" s="38"/>
      <c r="EI148" s="38"/>
      <c r="EJ148" s="38"/>
      <c r="EK148" s="38"/>
      <c r="EL148" s="38"/>
      <c r="EM148" s="38"/>
      <c r="EN148" s="38"/>
      <c r="EO148" s="38"/>
      <c r="EP148" s="38"/>
      <c r="EQ148" s="38"/>
      <c r="ER148" s="38"/>
      <c r="ES148" s="38"/>
      <c r="ET148" s="38"/>
      <c r="EU148" s="38"/>
    </row>
    <row r="149" spans="1:151" s="95" customFormat="1" ht="15" customHeight="1">
      <c r="A149" s="91">
        <v>137</v>
      </c>
      <c r="B149" s="410">
        <v>595</v>
      </c>
      <c r="C149" s="464" t="s">
        <v>64</v>
      </c>
      <c r="D149" s="1174">
        <v>25</v>
      </c>
      <c r="E149" s="717">
        <v>1431</v>
      </c>
      <c r="F149" s="100">
        <f>SUMIF(pro!$A:$A,$V:$V,pro!$N:$N)</f>
        <v>0</v>
      </c>
      <c r="G149" s="100"/>
      <c r="H149" s="100">
        <f>SUMIF(CBIN!$A:$A,BRAN!$V:$V,CBIN!$G:$G)</f>
        <v>0</v>
      </c>
      <c r="I149" s="100">
        <f>SUMIF(data!$D:$D,$B149&amp;$D149,data!$J:$J)</f>
        <v>0</v>
      </c>
      <c r="J149" s="100">
        <f>SUMIF(data!$D:$D,$B149&amp;$D149,data!$K:$K)</f>
        <v>0</v>
      </c>
      <c r="K149" s="100">
        <f>SUMIF(AJOUT!$A:$A,BRAN!$V:$V,AJOUT!$L:$L)</f>
        <v>0</v>
      </c>
      <c r="L149" s="100">
        <f>SUMIF(CBOUT!$A:$A,BRAN!$V:$V,CBOUT!$G:$G)</f>
        <v>0</v>
      </c>
      <c r="M149" s="1158">
        <f t="shared" si="43"/>
        <v>1431</v>
      </c>
      <c r="N149" s="652">
        <f t="shared" si="26"/>
        <v>35775</v>
      </c>
      <c r="O149" s="1159">
        <f t="shared" si="27"/>
        <v>65100</v>
      </c>
      <c r="P149" s="804"/>
      <c r="Q149" s="804"/>
      <c r="R149" s="100">
        <f>O149/INTGRATE!$N$293</f>
        <v>7233.333333333333</v>
      </c>
      <c r="S149" s="665">
        <f t="shared" si="38"/>
        <v>4.9458525345622126</v>
      </c>
      <c r="T149" s="511"/>
      <c r="U149" s="136"/>
      <c r="V149" s="836" t="str">
        <f t="shared" si="39"/>
        <v>59525</v>
      </c>
      <c r="W149" s="823">
        <v>423001</v>
      </c>
      <c r="X149" s="389"/>
      <c r="Y149" s="389">
        <v>2000</v>
      </c>
      <c r="Z149" s="157">
        <v>1375</v>
      </c>
      <c r="AA149" s="157">
        <v>11925</v>
      </c>
      <c r="AB149" s="157">
        <v>10875</v>
      </c>
      <c r="AC149" s="157">
        <v>3300</v>
      </c>
      <c r="AD149" s="157">
        <v>7875</v>
      </c>
      <c r="AE149" s="157">
        <v>16050</v>
      </c>
      <c r="AF149" s="157">
        <v>11700</v>
      </c>
      <c r="AG149" s="157"/>
      <c r="AH149" s="100"/>
      <c r="AI149" s="157"/>
      <c r="AJ149" s="157"/>
      <c r="AK149" s="157"/>
      <c r="AL149" s="157"/>
      <c r="AM149" s="157"/>
      <c r="AN149" s="157"/>
      <c r="AO149" s="100"/>
      <c r="AP149" s="157"/>
      <c r="AQ149" s="100"/>
      <c r="AR149" s="157"/>
      <c r="AS149" s="157"/>
      <c r="AT149" s="157"/>
      <c r="AU149" s="157"/>
      <c r="AV149" s="157"/>
      <c r="AW149" s="157"/>
      <c r="AX149" s="230"/>
      <c r="AY149" s="157"/>
      <c r="AZ149" s="157"/>
      <c r="BA149" s="157"/>
      <c r="BB149" s="157"/>
      <c r="BC149" s="276">
        <f t="shared" si="44"/>
        <v>65100</v>
      </c>
      <c r="BD149" s="786">
        <f t="shared" si="45"/>
        <v>8</v>
      </c>
      <c r="BE149" s="786">
        <f t="shared" si="46"/>
        <v>8137.5</v>
      </c>
      <c r="BF149" s="38"/>
      <c r="BG149" s="38"/>
      <c r="BH149" s="436"/>
      <c r="BI149" s="38"/>
      <c r="BJ149" s="38"/>
      <c r="BK149" s="38"/>
      <c r="BL149" s="38"/>
      <c r="BM149" s="38"/>
      <c r="BN149" s="38"/>
      <c r="BO149" s="38"/>
      <c r="BP149" s="38"/>
      <c r="BQ149" s="38"/>
      <c r="BR149" s="38"/>
      <c r="BS149" s="38"/>
      <c r="BT149" s="38"/>
      <c r="BU149" s="38"/>
      <c r="BV149" s="38"/>
      <c r="BW149" s="38"/>
      <c r="BX149" s="38"/>
      <c r="BY149" s="38"/>
      <c r="BZ149" s="38"/>
      <c r="CA149" s="38"/>
      <c r="CB149" s="38"/>
      <c r="CC149" s="38"/>
      <c r="CD149" s="38"/>
      <c r="CE149" s="38"/>
      <c r="CF149" s="38"/>
      <c r="CG149" s="38"/>
      <c r="CH149" s="38"/>
      <c r="CI149" s="38"/>
      <c r="CJ149" s="38"/>
      <c r="CK149" s="38"/>
      <c r="CL149" s="38"/>
      <c r="CM149" s="38"/>
      <c r="CN149" s="38"/>
      <c r="CO149" s="38"/>
      <c r="CP149" s="38"/>
      <c r="CQ149" s="38"/>
      <c r="CR149" s="38"/>
      <c r="CS149" s="38"/>
      <c r="CT149" s="38"/>
      <c r="CU149" s="38"/>
      <c r="CV149" s="38"/>
      <c r="CW149" s="38"/>
      <c r="CX149" s="38"/>
      <c r="CY149" s="38"/>
      <c r="CZ149" s="38"/>
      <c r="DA149" s="38"/>
      <c r="DB149" s="38"/>
      <c r="DC149" s="38"/>
      <c r="DD149" s="38"/>
      <c r="DE149" s="38"/>
      <c r="DF149" s="38"/>
      <c r="DG149" s="38"/>
      <c r="DH149" s="38"/>
      <c r="DI149" s="38"/>
      <c r="DJ149" s="38"/>
      <c r="DK149" s="38"/>
      <c r="DL149" s="38"/>
      <c r="DM149" s="38"/>
      <c r="DN149" s="38"/>
      <c r="DO149" s="38"/>
      <c r="DP149" s="38"/>
      <c r="DQ149" s="38"/>
      <c r="DR149" s="38"/>
      <c r="DS149" s="38"/>
      <c r="DT149" s="38"/>
      <c r="DU149" s="38"/>
      <c r="DV149" s="38"/>
      <c r="DW149" s="38"/>
      <c r="DX149" s="38"/>
      <c r="DY149" s="38"/>
      <c r="DZ149" s="38"/>
      <c r="EA149" s="38"/>
      <c r="EB149" s="38"/>
      <c r="EC149" s="38"/>
      <c r="ED149" s="38"/>
      <c r="EE149" s="38"/>
      <c r="EF149" s="38"/>
      <c r="EG149" s="38"/>
      <c r="EH149" s="38"/>
      <c r="EI149" s="38"/>
      <c r="EJ149" s="38"/>
      <c r="EK149" s="38"/>
      <c r="EL149" s="38"/>
      <c r="EM149" s="38"/>
      <c r="EN149" s="38"/>
      <c r="EO149" s="38"/>
      <c r="EP149" s="38"/>
      <c r="EQ149" s="38"/>
      <c r="ER149" s="38"/>
      <c r="ES149" s="38"/>
      <c r="ET149" s="38"/>
      <c r="EU149" s="38"/>
    </row>
    <row r="150" spans="1:151" s="63" customFormat="1" ht="18" customHeight="1">
      <c r="A150" s="1099" t="s">
        <v>69</v>
      </c>
      <c r="B150" s="1100"/>
      <c r="C150" s="1100"/>
      <c r="D150" s="1101"/>
      <c r="E150" s="64"/>
      <c r="F150" s="64"/>
      <c r="G150" s="64"/>
      <c r="H150" s="64"/>
      <c r="I150" s="64"/>
      <c r="J150" s="64"/>
      <c r="K150" s="64"/>
      <c r="L150" s="64"/>
      <c r="M150" s="588"/>
      <c r="N150" s="64"/>
      <c r="O150" s="124"/>
      <c r="P150" s="64">
        <f>SUM(P13:P19)</f>
        <v>1302835</v>
      </c>
      <c r="Q150" s="64">
        <f>SUM(Q13:Q19)</f>
        <v>2756385</v>
      </c>
      <c r="R150" s="64"/>
      <c r="S150" s="99"/>
      <c r="T150" s="1105"/>
      <c r="U150" s="137"/>
      <c r="V150" s="834" t="str">
        <f t="shared" si="39"/>
        <v/>
      </c>
      <c r="W150" s="831"/>
      <c r="X150" s="557">
        <f t="shared" ref="X150:BB150" si="47">SUM(X13:X149)</f>
        <v>0</v>
      </c>
      <c r="Y150" s="557">
        <f t="shared" si="47"/>
        <v>492560</v>
      </c>
      <c r="Z150" s="557">
        <f t="shared" si="47"/>
        <v>134085</v>
      </c>
      <c r="AA150" s="557">
        <f t="shared" si="47"/>
        <v>467085</v>
      </c>
      <c r="AB150" s="557">
        <f t="shared" si="47"/>
        <v>403845</v>
      </c>
      <c r="AC150" s="557">
        <f t="shared" si="47"/>
        <v>376520</v>
      </c>
      <c r="AD150" s="557">
        <f t="shared" si="47"/>
        <v>300575</v>
      </c>
      <c r="AE150" s="557">
        <f t="shared" si="47"/>
        <v>373040</v>
      </c>
      <c r="AF150" s="557">
        <f t="shared" si="47"/>
        <v>208675</v>
      </c>
      <c r="AG150" s="557">
        <f t="shared" si="47"/>
        <v>0</v>
      </c>
      <c r="AH150" s="557">
        <f t="shared" si="47"/>
        <v>0</v>
      </c>
      <c r="AI150" s="557">
        <f t="shared" si="47"/>
        <v>0</v>
      </c>
      <c r="AJ150" s="557">
        <f t="shared" si="47"/>
        <v>0</v>
      </c>
      <c r="AK150" s="557">
        <f t="shared" si="47"/>
        <v>0</v>
      </c>
      <c r="AL150" s="557">
        <f t="shared" si="47"/>
        <v>0</v>
      </c>
      <c r="AM150" s="557">
        <f t="shared" si="47"/>
        <v>0</v>
      </c>
      <c r="AN150" s="557">
        <f t="shared" si="47"/>
        <v>0</v>
      </c>
      <c r="AO150" s="557">
        <f t="shared" si="47"/>
        <v>0</v>
      </c>
      <c r="AP150" s="557">
        <f t="shared" si="47"/>
        <v>0</v>
      </c>
      <c r="AQ150" s="557">
        <f t="shared" si="47"/>
        <v>0</v>
      </c>
      <c r="AR150" s="557">
        <f t="shared" si="47"/>
        <v>0</v>
      </c>
      <c r="AS150" s="557">
        <f t="shared" si="47"/>
        <v>0</v>
      </c>
      <c r="AT150" s="557">
        <f t="shared" si="47"/>
        <v>0</v>
      </c>
      <c r="AU150" s="557">
        <f t="shared" si="47"/>
        <v>0</v>
      </c>
      <c r="AV150" s="557">
        <f t="shared" si="47"/>
        <v>0</v>
      </c>
      <c r="AW150" s="557">
        <f t="shared" si="47"/>
        <v>0</v>
      </c>
      <c r="AX150" s="557">
        <f t="shared" ref="AX150" si="48">SUM(AX13:AX149)</f>
        <v>0</v>
      </c>
      <c r="AY150" s="557">
        <f t="shared" si="47"/>
        <v>0</v>
      </c>
      <c r="AZ150" s="557">
        <f t="shared" si="47"/>
        <v>0</v>
      </c>
      <c r="BA150" s="557">
        <f t="shared" si="47"/>
        <v>0</v>
      </c>
      <c r="BB150" s="557">
        <f t="shared" si="47"/>
        <v>0</v>
      </c>
      <c r="BC150" s="766">
        <f t="shared" ref="BC150:BC167" si="49">SUM(X150:BB150)</f>
        <v>2756385</v>
      </c>
      <c r="BD150" s="788"/>
      <c r="BE150" s="788"/>
      <c r="BH150" s="437"/>
    </row>
    <row r="151" spans="1:151" s="63" customFormat="1" ht="18" customHeight="1">
      <c r="A151" s="1099" t="s">
        <v>70</v>
      </c>
      <c r="B151" s="1100"/>
      <c r="C151" s="1100"/>
      <c r="D151" s="1101"/>
      <c r="E151" s="589">
        <f>+E36</f>
        <v>116</v>
      </c>
      <c r="F151" s="64">
        <f t="shared" ref="F151:O151" si="50">+F36</f>
        <v>0</v>
      </c>
      <c r="G151" s="64">
        <f t="shared" si="50"/>
        <v>0</v>
      </c>
      <c r="H151" s="64">
        <f t="shared" si="50"/>
        <v>0</v>
      </c>
      <c r="I151" s="64">
        <f t="shared" si="50"/>
        <v>0</v>
      </c>
      <c r="J151" s="64">
        <f t="shared" si="50"/>
        <v>0</v>
      </c>
      <c r="K151" s="64">
        <f t="shared" si="50"/>
        <v>0</v>
      </c>
      <c r="L151" s="64">
        <f t="shared" si="50"/>
        <v>0</v>
      </c>
      <c r="M151" s="589">
        <f t="shared" si="50"/>
        <v>116</v>
      </c>
      <c r="N151" s="64">
        <f t="shared" si="50"/>
        <v>1160</v>
      </c>
      <c r="O151" s="589">
        <f t="shared" si="50"/>
        <v>1120</v>
      </c>
      <c r="P151" s="64"/>
      <c r="Q151" s="64"/>
      <c r="R151" s="64">
        <f>+R36</f>
        <v>124.44444444444444</v>
      </c>
      <c r="S151" s="64">
        <f>+S36</f>
        <v>9.3214285714285712</v>
      </c>
      <c r="T151" s="1106"/>
      <c r="U151" s="137"/>
      <c r="V151" s="834"/>
      <c r="W151" s="831"/>
      <c r="X151" s="79"/>
      <c r="Y151" s="79"/>
      <c r="Z151" s="79"/>
      <c r="AA151" s="79"/>
      <c r="AB151" s="79"/>
      <c r="AC151" s="79"/>
      <c r="AD151" s="79"/>
      <c r="AE151" s="79"/>
      <c r="AF151" s="79"/>
      <c r="AG151" s="79"/>
      <c r="AH151" s="79"/>
      <c r="AI151" s="79"/>
      <c r="AJ151" s="79"/>
      <c r="AK151" s="79"/>
      <c r="AL151" s="79"/>
      <c r="AM151" s="79"/>
      <c r="AN151" s="79"/>
      <c r="AO151" s="79"/>
      <c r="AP151" s="79"/>
      <c r="AQ151" s="79"/>
      <c r="AR151" s="79"/>
      <c r="AS151" s="79"/>
      <c r="AT151" s="79"/>
      <c r="AU151" s="79"/>
      <c r="AV151" s="79"/>
      <c r="AW151" s="79"/>
      <c r="AX151" s="79"/>
      <c r="AY151" s="79"/>
      <c r="AZ151" s="79"/>
      <c r="BA151" s="79"/>
      <c r="BB151" s="79"/>
      <c r="BC151" s="79"/>
      <c r="BD151" s="79"/>
      <c r="BE151" s="79"/>
      <c r="BF151" s="79"/>
      <c r="BG151" s="79"/>
      <c r="BH151" s="437"/>
    </row>
    <row r="152" spans="1:151" s="63" customFormat="1" ht="18" customHeight="1">
      <c r="A152" s="1099" t="s">
        <v>71</v>
      </c>
      <c r="B152" s="1100"/>
      <c r="C152" s="1100"/>
      <c r="D152" s="1101"/>
      <c r="E152" s="589">
        <f>SUM(E13:E22)</f>
        <v>40</v>
      </c>
      <c r="F152" s="64">
        <f t="shared" ref="F152:O152" si="51">SUM(F13:F22)</f>
        <v>0</v>
      </c>
      <c r="G152" s="64">
        <f t="shared" si="51"/>
        <v>0</v>
      </c>
      <c r="H152" s="64">
        <f t="shared" si="51"/>
        <v>0</v>
      </c>
      <c r="I152" s="64">
        <f t="shared" si="51"/>
        <v>0</v>
      </c>
      <c r="J152" s="64">
        <f t="shared" si="51"/>
        <v>0</v>
      </c>
      <c r="K152" s="64">
        <f t="shared" si="51"/>
        <v>0</v>
      </c>
      <c r="L152" s="64">
        <f t="shared" si="51"/>
        <v>0</v>
      </c>
      <c r="M152" s="589">
        <f t="shared" si="51"/>
        <v>40</v>
      </c>
      <c r="N152" s="64">
        <f t="shared" si="51"/>
        <v>1000</v>
      </c>
      <c r="O152" s="589">
        <f t="shared" si="51"/>
        <v>2950</v>
      </c>
      <c r="P152" s="64"/>
      <c r="Q152" s="64"/>
      <c r="R152" s="64">
        <f>SUM(R13:R22)</f>
        <v>327.77777777777777</v>
      </c>
      <c r="S152" s="64">
        <f>SUM(S13:S22)</f>
        <v>3.0508474576271185</v>
      </c>
      <c r="T152" s="1106"/>
      <c r="U152" s="64">
        <f>SUM(U13:U22)*25</f>
        <v>0</v>
      </c>
      <c r="V152" s="837" t="str">
        <f t="shared" ref="V152:V162" si="52">B152&amp;D152</f>
        <v/>
      </c>
      <c r="W152" s="838"/>
      <c r="X152" s="79"/>
      <c r="Y152" s="79"/>
      <c r="Z152" s="79"/>
      <c r="AA152" s="79"/>
      <c r="AB152" s="79"/>
      <c r="AC152" s="79"/>
      <c r="AD152" s="79"/>
      <c r="AE152" s="79"/>
      <c r="AF152" s="79"/>
      <c r="AG152" s="79"/>
      <c r="AH152" s="79"/>
      <c r="AI152" s="79"/>
      <c r="AJ152" s="79"/>
      <c r="AK152" s="79"/>
      <c r="AL152" s="79"/>
      <c r="AM152" s="79"/>
      <c r="AN152" s="79"/>
      <c r="AO152" s="79"/>
      <c r="AP152" s="79"/>
      <c r="AQ152" s="79"/>
      <c r="AR152" s="79"/>
      <c r="AS152" s="79"/>
      <c r="AT152" s="79"/>
      <c r="AU152" s="79"/>
      <c r="AV152" s="79"/>
      <c r="AW152" s="79"/>
      <c r="AX152" s="79"/>
      <c r="AY152" s="79"/>
      <c r="AZ152" s="79"/>
      <c r="BA152" s="79"/>
      <c r="BB152" s="79"/>
      <c r="BC152" s="79"/>
      <c r="BD152" s="79"/>
      <c r="BE152" s="79"/>
      <c r="BF152" s="79"/>
      <c r="BG152" s="79"/>
      <c r="BH152" s="437"/>
    </row>
    <row r="153" spans="1:151" s="63" customFormat="1" ht="18" customHeight="1">
      <c r="A153" s="1099" t="s">
        <v>72</v>
      </c>
      <c r="B153" s="1100"/>
      <c r="C153" s="1100"/>
      <c r="D153" s="1101"/>
      <c r="E153" s="64">
        <f>E106+E66+E100-E62+E65+E49-E46+E54+E71+E113+E99+E91+E95+E97-E31-E139+SUM(E23:E33,E37,E38:E47,E79,E51,E55:E63,E72,E69,E74:E77,E81:E83,E86:E88,E90,E103,E108:E109,E129,E116,E119:E126,E131:E133,E137:E140,E143:E149,E68,E117)-E123+E93-E120+E111+E104-E124</f>
        <v>39476</v>
      </c>
      <c r="F153" s="64">
        <f>F106+F66+F100-F62+F65+F49-F46+F54+F71+F113+F99+F91+F95+F97-F31-F139+SUM(F23:F33,F37,F38:F47,F79,F51,F55:F63,F72,F69,F74:F77,F81:F83,F86:F88,F90,F103,F108:F109,F129,F116,F119:F126,F131:F133,F137:F140,F143:F149,F68,F117)-F123+F93-F120+F111+F104-F124</f>
        <v>12551</v>
      </c>
      <c r="G153" s="64">
        <f t="shared" ref="G153:N153" si="53">G106+G66+G100-G62+G65+G49-G46+G54+G71+G113+G99+G91+G95+G97-G31-G139+SUM(G23:G33,G37,G38:G47,G79,G51,G55:G63,G72,G69,G74:G77,G81:G83,G86:G88,G90,G103,G108:G109,G129,G116,G119:G126,G131:G133,G137:G140,G143:G149,G68,G117)-G123+G93-G120+G111+G104-G124</f>
        <v>0</v>
      </c>
      <c r="H153" s="64">
        <f t="shared" si="53"/>
        <v>0</v>
      </c>
      <c r="I153" s="64">
        <f t="shared" si="53"/>
        <v>0</v>
      </c>
      <c r="J153" s="64">
        <f t="shared" si="53"/>
        <v>0</v>
      </c>
      <c r="K153" s="64">
        <f t="shared" si="53"/>
        <v>0</v>
      </c>
      <c r="L153" s="64">
        <f t="shared" si="53"/>
        <v>0</v>
      </c>
      <c r="M153" s="64">
        <f t="shared" si="53"/>
        <v>52027</v>
      </c>
      <c r="N153" s="64">
        <f t="shared" si="53"/>
        <v>1300675</v>
      </c>
      <c r="O153" s="64">
        <f>O113+O99+O91+O95+O97-O31+SUM(O23:O33,O37,O38:O47,O79,O51,O55:O63,O72,O69,O74:O77,O81:O83,O86:O88,O90,O103,O108:O109,O129,O116,O119:O126,O131:O133,O137:O140,O143:O149,O68,O117)-O123+O93-O120+O111+O104-O124</f>
        <v>2269220</v>
      </c>
      <c r="P153" s="64">
        <f>P113+P99+P91+P95+P97-P31+SUM(P23:P33,P37,P38:P47,P79,P51,P55:P63,P72,P69,P74:P77,P81:P83,P86:P88,P90,P103,P108:P109,P129,P116,P119:P126,P131:P133,P137:P140,P143:P149,P68,P117)-P123+P93-P120+P111+P104-P124</f>
        <v>575150</v>
      </c>
      <c r="Q153" s="64">
        <f>Q113+Q99+Q91+Q95+Q97-Q31+SUM(Q23:Q33,Q37,Q38:Q47,Q79,Q51,Q55:Q63,Q72,Q69,Q74:Q77,Q81:Q83,Q86:Q88,Q90,Q103,Q108:Q109,Q129,Q116,Q119:Q126,Q131:Q133,Q137:Q140,Q143:Q149,Q68,Q117)-Q123+Q93-Q120+Q111+Q104-Q124</f>
        <v>1345375</v>
      </c>
      <c r="R153" s="64">
        <f>SUM(R23:R33,R37,R38:R47,R79,R51,R55:R63,R72,R69,R74:R77,R81:R83,R86:R88,R90,R103,R108:R109,R129,R116,R119:R126,R131:R133,R137:R140,R143:R149,R68,R117)-R123+R93-R120+R111+R104</f>
        <v>248049.44444444441</v>
      </c>
      <c r="S153" s="64">
        <f>SUM(S23:S33,S37,S38:S47,S79,S51,S55:S63,S72,S74:S77,S81:S83,S86:S88,S90,S103,S108:S109,S116,S119:S126,S131:S133,S137:S140,S143:S149,S68,S117)-S123</f>
        <v>321.56856627878142</v>
      </c>
      <c r="T153" s="1106"/>
      <c r="U153" s="398">
        <f>SUM(U23:U76,U81:U149)*25</f>
        <v>0</v>
      </c>
      <c r="V153" s="834" t="str">
        <f t="shared" si="52"/>
        <v/>
      </c>
      <c r="W153" s="831"/>
      <c r="X153" s="79"/>
      <c r="Y153" s="79"/>
      <c r="Z153" s="79"/>
      <c r="AA153" s="79"/>
      <c r="AB153" s="79"/>
      <c r="AC153" s="79"/>
      <c r="AD153" s="79"/>
      <c r="AE153" s="79"/>
      <c r="AF153" s="79"/>
      <c r="AG153" s="79"/>
      <c r="AH153" s="79"/>
      <c r="AI153" s="79"/>
      <c r="AJ153" s="79"/>
      <c r="AK153" s="79"/>
      <c r="AL153" s="79"/>
      <c r="AM153" s="79"/>
      <c r="AN153" s="79"/>
      <c r="AO153" s="79"/>
      <c r="AP153" s="79"/>
      <c r="AQ153" s="79"/>
      <c r="AR153" s="79"/>
      <c r="AS153" s="79"/>
      <c r="AT153" s="79"/>
      <c r="AU153" s="79"/>
      <c r="AV153" s="79"/>
      <c r="AW153" s="79"/>
      <c r="AX153" s="79"/>
      <c r="AY153" s="79"/>
      <c r="AZ153" s="79"/>
      <c r="BA153" s="79"/>
      <c r="BB153" s="79"/>
      <c r="BC153" s="79"/>
      <c r="BD153" s="79"/>
      <c r="BE153" s="79"/>
      <c r="BF153" s="79"/>
      <c r="BG153" s="79"/>
      <c r="BH153" s="437"/>
    </row>
    <row r="154" spans="1:151" s="63" customFormat="1" ht="18" customHeight="1">
      <c r="A154" s="1099" t="s">
        <v>73</v>
      </c>
      <c r="B154" s="1100"/>
      <c r="C154" s="1100"/>
      <c r="D154" s="1101"/>
      <c r="E154" s="64">
        <f>SUM(E13:E149)-E151-E152-E153-E155</f>
        <v>0</v>
      </c>
      <c r="F154" s="64">
        <f>SUM(F13:F149)-F151-F152-F153-F155</f>
        <v>0</v>
      </c>
      <c r="G154" s="64">
        <f t="shared" ref="G154:N154" si="54">SUM(G13:G149)-G151-G152-G153-G155</f>
        <v>0</v>
      </c>
      <c r="H154" s="64">
        <f t="shared" si="54"/>
        <v>0</v>
      </c>
      <c r="I154" s="64">
        <f t="shared" si="54"/>
        <v>0</v>
      </c>
      <c r="J154" s="64">
        <f t="shared" si="54"/>
        <v>0</v>
      </c>
      <c r="K154" s="64">
        <f t="shared" si="54"/>
        <v>0</v>
      </c>
      <c r="L154" s="64">
        <f t="shared" si="54"/>
        <v>0</v>
      </c>
      <c r="M154" s="64">
        <f t="shared" si="54"/>
        <v>0</v>
      </c>
      <c r="N154" s="64">
        <f t="shared" si="54"/>
        <v>0</v>
      </c>
      <c r="O154" s="64">
        <f>SUM(O13:O149)-O151-O152-O153-O155-O65-O66</f>
        <v>77845</v>
      </c>
      <c r="P154" s="64">
        <f>SUM(P13:P149)-P151-P152-P153-P155-P65-P66</f>
        <v>1302835</v>
      </c>
      <c r="Q154" s="64">
        <f>SUM(Q13:Q149)-Q151-Q152-Q153-Q155-Q65-Q66</f>
        <v>2756385</v>
      </c>
      <c r="R154" s="64">
        <f>SUM(R13:R149)-R151-R152-R153-R155-R65-R66</f>
        <v>12735.555555555626</v>
      </c>
      <c r="S154" s="64">
        <f>SUM(S13:S149)-S151-S152-S153-S155</f>
        <v>55.514924371313043</v>
      </c>
      <c r="T154" s="1106"/>
      <c r="U154" s="137">
        <f>SUM(U78:U78)*40</f>
        <v>0</v>
      </c>
      <c r="V154" s="834" t="str">
        <f t="shared" si="52"/>
        <v/>
      </c>
      <c r="W154" s="831"/>
      <c r="X154" s="79"/>
      <c r="Y154" s="79"/>
      <c r="Z154" s="79"/>
      <c r="AA154" s="79"/>
      <c r="AB154" s="79"/>
      <c r="AC154" s="79"/>
      <c r="AD154" s="79"/>
      <c r="AE154" s="79"/>
      <c r="AF154" s="79"/>
      <c r="AG154" s="79"/>
      <c r="AH154" s="79"/>
      <c r="AI154" s="79"/>
      <c r="AJ154" s="79"/>
      <c r="AK154" s="79"/>
      <c r="AL154" s="79"/>
      <c r="AM154" s="79"/>
      <c r="AN154" s="79"/>
      <c r="AO154" s="79"/>
      <c r="AP154" s="79"/>
      <c r="AQ154" s="79"/>
      <c r="AR154" s="79"/>
      <c r="AS154" s="79"/>
      <c r="AT154" s="79"/>
      <c r="AU154" s="79"/>
      <c r="AV154" s="79"/>
      <c r="AW154" s="79"/>
      <c r="AX154" s="79"/>
      <c r="AY154" s="79"/>
      <c r="AZ154" s="79"/>
      <c r="BA154" s="79"/>
      <c r="BB154" s="79"/>
      <c r="BC154" s="79"/>
      <c r="BD154" s="79"/>
      <c r="BE154" s="79"/>
      <c r="BF154" s="79"/>
      <c r="BG154" s="79"/>
      <c r="BH154" s="437"/>
    </row>
    <row r="155" spans="1:151" s="63" customFormat="1" ht="18" customHeight="1">
      <c r="A155" s="1099" t="s">
        <v>74</v>
      </c>
      <c r="B155" s="1100"/>
      <c r="C155" s="1100"/>
      <c r="D155" s="1101"/>
      <c r="E155" s="64">
        <f>E34+E35+E48+E52+E64+E67+E73+E84+E85+E89+E102+E107+E112+E118+E127+E128+E134+E136+E141+E123+E120+E105+E110+E130+E94+E31+E124+E101+E114</f>
        <v>0</v>
      </c>
      <c r="F155" s="64">
        <f>F92+F96+F115+F70+F62+F50+F142+F135+F53+F34+F35+F48+F52+F64+F67+F73+F84+F85+F89+F102+F107+F112+F118+F127+F128+F134+F136+F141+F123+F120+F105+F110+F130+F94+F31+F124+F101+F114+F98+F139+F46</f>
        <v>0</v>
      </c>
      <c r="G155" s="64">
        <f t="shared" ref="G155:J155" si="55">G92+G96+G115+G70+G62+G50+G142+G135+G53+G34+G35+G48+G52+G64+G67+G73+G84+G85+G89+G102+G107+G112+G118+G127+G128+G134+G136+G141+G123+G120+G105+G110+G130+G94+G31+G124+G101+G114+G98+G139+G46</f>
        <v>0</v>
      </c>
      <c r="H155" s="64">
        <f t="shared" si="55"/>
        <v>0</v>
      </c>
      <c r="I155" s="64">
        <f t="shared" si="55"/>
        <v>0</v>
      </c>
      <c r="J155" s="64">
        <f t="shared" si="55"/>
        <v>0</v>
      </c>
      <c r="K155" s="64">
        <f>K53+K34+K35+K48+K52+K64+K67+K73+K84+K85+K89+K102+K107+K112+K118+K127+K128+K134+K136+K141+K123+K120+K105+K110+K130+K94+K31+K124+K101+K114+K98+K139+K46</f>
        <v>0</v>
      </c>
      <c r="L155" s="64">
        <f>L53+L34+L35+L48+L52+L64+L67+L73+L84+L85+L89+L102+L107+L112+L118+L127+L128+L134+L136+L141+L123+L120+L105+L110+L130+L94+L31+L124+L101+L114+L98+L139+L46</f>
        <v>0</v>
      </c>
      <c r="M155" s="64">
        <f>M34+M35+M48+M52+M64+M67+M73+M84+M85+M89+M102+M107+M112+M118+M127+M128+M134+M136+M141+M123+M120+M105+M110+M130+M94+M31+M124+M101+M114</f>
        <v>0</v>
      </c>
      <c r="N155" s="64">
        <f>N34+N35+N48+N52+N64+N67+N73+N84+N85+N89+N102+N107+N112+N118+N127+N128+N134+N136+N141+N123+N120+N105+N110+N130+N94+N31+N124+N101+N114</f>
        <v>0</v>
      </c>
      <c r="O155" s="64">
        <f>O34+O35+O48+O52+O64+O67+O73+O84+O85+O89+O102+O107+O112+O118+O127+O128+O134+O136+O141+O123+O120+O105+O110+O130+O94+O31+O124+O101</f>
        <v>401500</v>
      </c>
      <c r="P155" s="64">
        <f>P34+P35+P48+P52+P64+P67+P73+P84+P85+P89+P102+P107+P112+P118+P127+P128+P134+P136+P141+P123+P120+P105+P110+P130+P94+P31+P124+P101</f>
        <v>0</v>
      </c>
      <c r="Q155" s="64">
        <f>Q34+Q35+Q48+Q52+Q64+Q67+Q73+Q84+Q85+Q89+Q102+Q107+Q112+Q118+Q127+Q128+Q134+Q136+Q141+Q123+Q120+Q105+Q110+Q130+Q94+Q31+Q124+Q101</f>
        <v>0</v>
      </c>
      <c r="R155" s="64">
        <f>R34+R35+R48+R52+R64+R67+R73+R84+R85+R89+R102+R107+R112+R118+R127+R128+R134+R136+R141+R123+R120+R105+R110+R130+R94+R31+R124+R101</f>
        <v>44611.111111111109</v>
      </c>
      <c r="S155" s="64">
        <f>S34+S35+S48+S52+S64+S67+S73+S84+S85+S89+S102+S107+S112+S118+S127+S128+S134+S136+S141+S123+S120+S105+S110+S130+S94+S31+S124+S101</f>
        <v>0</v>
      </c>
      <c r="T155" s="1106"/>
      <c r="U155" s="137"/>
      <c r="V155" s="834" t="str">
        <f t="shared" si="52"/>
        <v/>
      </c>
      <c r="W155" s="831"/>
      <c r="X155" s="79"/>
      <c r="Y155" s="79"/>
      <c r="Z155" s="79"/>
      <c r="AA155" s="79"/>
      <c r="AB155" s="79"/>
      <c r="AC155" s="79"/>
      <c r="AD155" s="79"/>
      <c r="AE155" s="79"/>
      <c r="AF155" s="79"/>
      <c r="AG155" s="79"/>
      <c r="AH155" s="79"/>
      <c r="AI155" s="79"/>
      <c r="AJ155" s="79"/>
      <c r="AK155" s="79"/>
      <c r="AL155" s="79"/>
      <c r="AM155" s="79"/>
      <c r="AN155" s="79"/>
      <c r="AO155" s="79"/>
      <c r="AP155" s="79"/>
      <c r="AQ155" s="79"/>
      <c r="AR155" s="79"/>
      <c r="AS155" s="79"/>
      <c r="AT155" s="79"/>
      <c r="AU155" s="79"/>
      <c r="AV155" s="79"/>
      <c r="AW155" s="79"/>
      <c r="AX155" s="79"/>
      <c r="AY155" s="79"/>
      <c r="AZ155" s="79"/>
      <c r="BA155" s="79"/>
      <c r="BB155" s="79"/>
      <c r="BC155" s="79"/>
      <c r="BD155" s="79"/>
      <c r="BE155" s="79"/>
      <c r="BF155" s="79"/>
      <c r="BG155" s="79"/>
      <c r="BH155" s="437"/>
    </row>
    <row r="156" spans="1:151" s="126" customFormat="1" ht="18" customHeight="1">
      <c r="A156" s="1109" t="s">
        <v>75</v>
      </c>
      <c r="B156" s="1110"/>
      <c r="C156" s="1110"/>
      <c r="D156" s="1111"/>
      <c r="E156" s="127">
        <f>SUM(E13:E149)</f>
        <v>39632</v>
      </c>
      <c r="F156" s="127">
        <f>SUM(F150:F154)</f>
        <v>12551</v>
      </c>
      <c r="G156" s="127">
        <f>SUM(G150:G154)</f>
        <v>0</v>
      </c>
      <c r="H156" s="127">
        <f>SUM(H13:H149)</f>
        <v>0</v>
      </c>
      <c r="I156" s="127">
        <f>SUM(I150:I154)</f>
        <v>0</v>
      </c>
      <c r="J156" s="127">
        <f>SUM(J150:J154)</f>
        <v>0</v>
      </c>
      <c r="K156" s="127">
        <f>SUM(K150:K154)</f>
        <v>0</v>
      </c>
      <c r="L156" s="127">
        <f>SUM(L150:L154)</f>
        <v>0</v>
      </c>
      <c r="M156" s="127">
        <f>SUM(M13:M149)</f>
        <v>52183</v>
      </c>
      <c r="N156" s="127">
        <f>SUM(N13:N149)</f>
        <v>1302835</v>
      </c>
      <c r="O156" s="1112">
        <f>SUM(O13:O149)</f>
        <v>2756385</v>
      </c>
      <c r="P156" s="186"/>
      <c r="Q156" s="186"/>
      <c r="R156" s="1095">
        <f>SUM(R13:R149)</f>
        <v>306265</v>
      </c>
      <c r="S156" s="1097" t="s">
        <v>76</v>
      </c>
      <c r="T156" s="1106"/>
      <c r="U156" s="1160"/>
      <c r="V156" s="834" t="str">
        <f t="shared" si="52"/>
        <v/>
      </c>
      <c r="W156" s="831"/>
      <c r="X156" s="278"/>
      <c r="Y156" s="278"/>
      <c r="Z156" s="278"/>
      <c r="AA156" s="278"/>
      <c r="AB156" s="278"/>
      <c r="AC156" s="278"/>
      <c r="AD156" s="278"/>
      <c r="AE156" s="278"/>
      <c r="AF156" s="278"/>
      <c r="AG156" s="278"/>
      <c r="AH156" s="278"/>
      <c r="AI156" s="278"/>
      <c r="AJ156" s="278"/>
      <c r="AK156" s="278"/>
      <c r="AL156" s="278"/>
      <c r="AM156" s="278"/>
      <c r="AN156" s="278"/>
      <c r="AO156" s="278"/>
      <c r="AP156" s="278"/>
      <c r="AQ156" s="278"/>
      <c r="AR156" s="278"/>
      <c r="AS156" s="278"/>
      <c r="AT156" s="278"/>
      <c r="AU156" s="278"/>
      <c r="AV156" s="278"/>
      <c r="AW156" s="278"/>
      <c r="AX156" s="278"/>
      <c r="AY156" s="278"/>
      <c r="AZ156" s="278"/>
      <c r="BA156" s="278"/>
      <c r="BB156" s="278"/>
      <c r="BC156" s="278"/>
      <c r="BD156" s="278"/>
      <c r="BE156" s="278"/>
      <c r="BF156" s="278"/>
      <c r="BG156" s="278"/>
      <c r="BH156" s="437"/>
      <c r="BI156" s="353"/>
      <c r="BJ156" s="353"/>
      <c r="BK156" s="353"/>
      <c r="BL156" s="353"/>
      <c r="BM156" s="353"/>
      <c r="BN156" s="353"/>
      <c r="BO156" s="353"/>
      <c r="BP156" s="353"/>
      <c r="BQ156" s="353"/>
      <c r="BR156" s="353"/>
      <c r="BS156" s="353"/>
      <c r="BT156" s="353"/>
      <c r="BU156" s="353"/>
      <c r="BV156" s="353"/>
      <c r="BW156" s="353"/>
      <c r="BX156" s="353"/>
      <c r="BY156" s="353"/>
      <c r="BZ156" s="353"/>
      <c r="CA156" s="353"/>
      <c r="CB156" s="353"/>
      <c r="CC156" s="353"/>
      <c r="CD156" s="353"/>
      <c r="CE156" s="353"/>
      <c r="CF156" s="353"/>
      <c r="CG156" s="353"/>
      <c r="CH156" s="353"/>
      <c r="CI156" s="353"/>
      <c r="CJ156" s="353"/>
      <c r="CK156" s="353"/>
      <c r="CL156" s="353"/>
      <c r="CM156" s="353"/>
      <c r="CN156" s="353"/>
      <c r="CO156" s="353"/>
      <c r="CP156" s="353"/>
      <c r="CQ156" s="353"/>
      <c r="CR156" s="353"/>
      <c r="CS156" s="353"/>
      <c r="CT156" s="353"/>
      <c r="CU156" s="353"/>
      <c r="CV156" s="353"/>
      <c r="CW156" s="353"/>
      <c r="CX156" s="353"/>
      <c r="CY156" s="353"/>
      <c r="CZ156" s="353"/>
      <c r="DA156" s="353"/>
      <c r="DB156" s="353"/>
      <c r="DC156" s="353"/>
      <c r="DD156" s="353"/>
      <c r="DE156" s="353"/>
      <c r="DF156" s="353"/>
      <c r="DG156" s="353"/>
      <c r="DH156" s="353"/>
      <c r="DI156" s="353"/>
      <c r="DJ156" s="353"/>
      <c r="DK156" s="353"/>
      <c r="DL156" s="353"/>
      <c r="DM156" s="353"/>
      <c r="DN156" s="353"/>
      <c r="DO156" s="353"/>
      <c r="DP156" s="353"/>
      <c r="DQ156" s="353"/>
      <c r="DR156" s="353"/>
      <c r="DS156" s="353"/>
      <c r="DT156" s="353"/>
      <c r="DU156" s="353"/>
      <c r="DV156" s="353"/>
      <c r="DW156" s="353"/>
      <c r="DX156" s="353"/>
      <c r="DY156" s="353"/>
      <c r="DZ156" s="353"/>
      <c r="EA156" s="353"/>
      <c r="EB156" s="353"/>
      <c r="EC156" s="353"/>
      <c r="ED156" s="353"/>
      <c r="EE156" s="353"/>
      <c r="EF156" s="353"/>
      <c r="EG156" s="353"/>
      <c r="EH156" s="353"/>
      <c r="EI156" s="353"/>
      <c r="EJ156" s="353"/>
      <c r="EK156" s="353"/>
      <c r="EL156" s="353"/>
      <c r="EM156" s="353"/>
      <c r="EN156" s="353"/>
      <c r="EO156" s="353"/>
      <c r="EP156" s="353"/>
      <c r="EQ156" s="353"/>
      <c r="ER156" s="353"/>
      <c r="ES156" s="353"/>
      <c r="ET156" s="353"/>
      <c r="EU156" s="353"/>
    </row>
    <row r="157" spans="1:151" s="86" customFormat="1" ht="15" customHeight="1">
      <c r="A157" s="1099" t="s">
        <v>77</v>
      </c>
      <c r="B157" s="1100"/>
      <c r="C157" s="1100"/>
      <c r="D157" s="1101"/>
      <c r="E157" s="121">
        <f>E151*10+E152*25+E153*25+E154*40+E155</f>
        <v>989060</v>
      </c>
      <c r="F157" s="121">
        <f>F151*10+F152*25+F153*25+F154*40+F155</f>
        <v>313775</v>
      </c>
      <c r="G157" s="121">
        <f>SUM(G152:G153)*25+G154*40+G64+G73+G67+G52+G151*10</f>
        <v>0</v>
      </c>
      <c r="H157" s="121">
        <f>SUM(H152:H153)*25+H154*40+H64+H73+H67+H52+H151*10</f>
        <v>0</v>
      </c>
      <c r="I157" s="121">
        <f>SUM(I13:I149)</f>
        <v>0</v>
      </c>
      <c r="J157" s="121">
        <f>SUM(J13:J149)</f>
        <v>0</v>
      </c>
      <c r="K157" s="121">
        <f>SUM(K152:K153)*25+K154*40+K64+K73+K67+K52+K151*10</f>
        <v>0</v>
      </c>
      <c r="L157" s="121">
        <f>SUM(L152:L153)*25+L154*40+L64+L73+L67+L52+L151*10</f>
        <v>0</v>
      </c>
      <c r="M157" s="471">
        <f>SUM(M152:M153)*25+M154*40+M64+M73+M67+M52+M151*10</f>
        <v>1302835</v>
      </c>
      <c r="N157" s="121">
        <f>SUM(N13:N149)</f>
        <v>1302835</v>
      </c>
      <c r="O157" s="1113"/>
      <c r="P157" s="187"/>
      <c r="Q157" s="187"/>
      <c r="R157" s="1096"/>
      <c r="S157" s="1098"/>
      <c r="T157" s="1107"/>
      <c r="U157" s="138">
        <f>+U150+U152+U153+U154</f>
        <v>0</v>
      </c>
      <c r="V157" s="834" t="str">
        <f t="shared" si="52"/>
        <v/>
      </c>
      <c r="W157" s="831"/>
      <c r="X157" s="128"/>
      <c r="Y157" s="128"/>
      <c r="Z157" s="128"/>
      <c r="AA157" s="128"/>
      <c r="AB157" s="128"/>
      <c r="AC157" s="128"/>
      <c r="AD157" s="128"/>
      <c r="AE157" s="128"/>
      <c r="AF157" s="128"/>
      <c r="AG157" s="128"/>
      <c r="AH157" s="128"/>
      <c r="AI157" s="128"/>
      <c r="AJ157" s="128"/>
      <c r="AK157" s="128"/>
      <c r="AL157" s="128"/>
      <c r="AM157" s="128"/>
      <c r="AN157" s="128"/>
      <c r="AO157" s="128"/>
      <c r="AP157" s="128"/>
      <c r="AQ157" s="128"/>
      <c r="AR157" s="128"/>
      <c r="AS157" s="128"/>
      <c r="AT157" s="128"/>
      <c r="AU157" s="128"/>
      <c r="AV157" s="128"/>
      <c r="AW157" s="128"/>
      <c r="AX157" s="128"/>
      <c r="AY157" s="128"/>
      <c r="AZ157" s="128"/>
      <c r="BA157" s="128"/>
      <c r="BB157" s="128"/>
      <c r="BC157" s="128"/>
      <c r="BD157" s="128"/>
      <c r="BE157" s="128"/>
      <c r="BF157" s="128"/>
      <c r="BG157" s="128"/>
      <c r="BH157" s="437"/>
    </row>
    <row r="158" spans="1:151" s="38" customFormat="1" ht="15" customHeight="1">
      <c r="A158" s="286" t="s">
        <v>174</v>
      </c>
      <c r="B158" s="37"/>
      <c r="C158" s="37"/>
      <c r="D158" s="37"/>
      <c r="E158" s="130"/>
      <c r="F158" s="130"/>
      <c r="G158" s="130"/>
      <c r="H158" s="37"/>
      <c r="J158" s="130"/>
      <c r="K158" s="130"/>
      <c r="L158" s="37"/>
      <c r="M158" s="472"/>
      <c r="N158" s="37"/>
      <c r="O158" s="37"/>
      <c r="P158" s="37"/>
      <c r="Q158" s="37"/>
      <c r="R158" s="37"/>
      <c r="S158" s="37"/>
      <c r="T158" s="458"/>
      <c r="U158" s="139"/>
      <c r="V158" s="839" t="str">
        <f t="shared" si="52"/>
        <v/>
      </c>
      <c r="W158" s="823"/>
      <c r="X158" s="79"/>
      <c r="Y158" s="79"/>
      <c r="Z158" s="79"/>
      <c r="AA158" s="79"/>
      <c r="AB158" s="79"/>
      <c r="AC158" s="79"/>
      <c r="AD158" s="79"/>
      <c r="AE158" s="79"/>
      <c r="AF158" s="79"/>
      <c r="AG158" s="79"/>
      <c r="AH158" s="79"/>
      <c r="AI158" s="79"/>
      <c r="AJ158" s="79"/>
      <c r="AK158" s="80"/>
      <c r="AL158" s="80"/>
      <c r="AM158" s="80"/>
      <c r="AN158" s="80"/>
      <c r="AO158" s="80"/>
      <c r="AP158" s="80"/>
      <c r="AQ158" s="80"/>
      <c r="AR158" s="80"/>
      <c r="AS158" s="80"/>
      <c r="AT158" s="80"/>
      <c r="AU158" s="80"/>
      <c r="AV158" s="80"/>
      <c r="AW158" s="80"/>
      <c r="AX158" s="80"/>
      <c r="AY158" s="80"/>
      <c r="AZ158" s="80"/>
      <c r="BA158" s="80"/>
      <c r="BB158" s="80"/>
      <c r="BC158" s="80"/>
      <c r="BD158" s="80"/>
      <c r="BE158" s="80"/>
      <c r="BH158" s="436"/>
    </row>
    <row r="159" spans="1:151" s="38" customFormat="1" ht="15" customHeight="1">
      <c r="A159" s="286" t="s">
        <v>175</v>
      </c>
      <c r="E159" s="85"/>
      <c r="F159" s="623"/>
      <c r="M159" s="465"/>
      <c r="N159" s="85"/>
      <c r="T159" s="459"/>
      <c r="U159" s="131"/>
      <c r="V159" s="839" t="str">
        <f t="shared" si="52"/>
        <v/>
      </c>
      <c r="W159" s="823"/>
      <c r="X159" s="79"/>
      <c r="Y159" s="79"/>
      <c r="Z159" s="79"/>
      <c r="AA159" s="79"/>
      <c r="AB159" s="79"/>
      <c r="AC159" s="79"/>
      <c r="AD159" s="79"/>
      <c r="AE159" s="79"/>
      <c r="AF159" s="79"/>
      <c r="AG159" s="79"/>
      <c r="AH159" s="79"/>
      <c r="AI159" s="79"/>
      <c r="AJ159" s="79"/>
      <c r="AK159" s="80"/>
      <c r="AL159" s="80"/>
      <c r="AM159" s="80"/>
      <c r="AN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  <c r="AY159" s="80"/>
      <c r="AZ159" s="80"/>
      <c r="BA159" s="80"/>
      <c r="BB159" s="80"/>
      <c r="BC159" s="80"/>
      <c r="BD159" s="80"/>
      <c r="BE159" s="80"/>
      <c r="BH159" s="436"/>
    </row>
    <row r="160" spans="1:151" s="38" customFormat="1" ht="15" customHeight="1">
      <c r="A160" s="286" t="s">
        <v>176</v>
      </c>
      <c r="B160" s="362"/>
      <c r="C160" s="362"/>
      <c r="D160" s="362"/>
      <c r="E160" s="362"/>
      <c r="F160" s="362"/>
      <c r="G160" s="362"/>
      <c r="H160" s="362"/>
      <c r="I160" s="362"/>
      <c r="J160" s="362"/>
      <c r="K160" s="362"/>
      <c r="L160" s="362"/>
      <c r="M160" s="473"/>
      <c r="N160" s="362"/>
      <c r="O160" s="362"/>
      <c r="P160" s="362"/>
      <c r="Q160" s="362"/>
      <c r="R160" s="362"/>
      <c r="S160" s="362"/>
      <c r="T160" s="460"/>
      <c r="U160" s="131"/>
      <c r="V160" s="839" t="str">
        <f t="shared" si="52"/>
        <v/>
      </c>
      <c r="W160" s="823"/>
      <c r="X160" s="79"/>
      <c r="Y160" s="79"/>
      <c r="Z160" s="79"/>
      <c r="AA160" s="79"/>
      <c r="AB160" s="79"/>
      <c r="AC160" s="79"/>
      <c r="AD160" s="79"/>
      <c r="AE160" s="79"/>
      <c r="AF160" s="79"/>
      <c r="AG160" s="79"/>
      <c r="AH160" s="79"/>
      <c r="AI160" s="79"/>
      <c r="AJ160" s="79"/>
      <c r="AK160" s="80"/>
      <c r="AL160" s="80"/>
      <c r="AM160" s="80"/>
      <c r="AN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  <c r="AY160" s="80"/>
      <c r="AZ160" s="80"/>
      <c r="BA160" s="80"/>
      <c r="BB160" s="80"/>
      <c r="BC160" s="80"/>
      <c r="BD160" s="80"/>
      <c r="BE160" s="80"/>
      <c r="BH160" s="436"/>
    </row>
    <row r="161" spans="1:151" s="63" customFormat="1" ht="15" customHeight="1">
      <c r="A161" s="443" t="s">
        <v>20</v>
      </c>
      <c r="B161" s="443"/>
      <c r="C161" s="443"/>
      <c r="D161" s="443"/>
      <c r="E161" s="443"/>
      <c r="F161" s="443"/>
      <c r="G161" s="443"/>
      <c r="H161" s="443"/>
      <c r="I161" s="443"/>
      <c r="J161" s="443"/>
      <c r="K161" s="443"/>
      <c r="L161" s="443"/>
      <c r="M161" s="468"/>
      <c r="N161" s="443"/>
      <c r="O161" s="443"/>
      <c r="P161" s="443"/>
      <c r="Q161" s="443"/>
      <c r="R161" s="443"/>
      <c r="S161" s="443"/>
      <c r="T161" s="78"/>
      <c r="U161" s="139"/>
      <c r="V161" s="839" t="str">
        <f t="shared" si="52"/>
        <v/>
      </c>
      <c r="W161" s="823"/>
      <c r="X161" s="83"/>
      <c r="Y161" s="83"/>
      <c r="Z161" s="83"/>
      <c r="AA161" s="83"/>
      <c r="AB161" s="83"/>
      <c r="AC161" s="83"/>
      <c r="AD161" s="83"/>
      <c r="AE161" s="83"/>
      <c r="AF161" s="83"/>
      <c r="AG161" s="83"/>
      <c r="AH161" s="83"/>
      <c r="AI161" s="83"/>
      <c r="AJ161" s="83"/>
      <c r="AK161" s="83"/>
      <c r="AL161" s="83"/>
      <c r="AM161" s="83"/>
      <c r="AN161" s="83"/>
      <c r="AO161" s="83"/>
      <c r="AP161" s="83"/>
      <c r="AQ161" s="83"/>
      <c r="AR161" s="83"/>
      <c r="AS161" s="83"/>
      <c r="AT161" s="83"/>
      <c r="AU161" s="83"/>
      <c r="AV161" s="83"/>
      <c r="AW161" s="83"/>
      <c r="AX161" s="83"/>
      <c r="AY161" s="83"/>
      <c r="AZ161" s="83"/>
      <c r="BA161" s="83"/>
      <c r="BB161" s="83"/>
      <c r="BC161" s="83"/>
      <c r="BD161" s="83"/>
      <c r="BE161" s="83"/>
      <c r="BH161" s="437"/>
    </row>
    <row r="162" spans="1:151" s="63" customFormat="1" ht="15" customHeight="1">
      <c r="A162" s="444" t="s">
        <v>177</v>
      </c>
      <c r="B162" s="444"/>
      <c r="C162" s="444"/>
      <c r="D162" s="444"/>
      <c r="E162" s="444"/>
      <c r="F162" s="444"/>
      <c r="G162" s="444"/>
      <c r="H162" s="444"/>
      <c r="I162" s="444"/>
      <c r="J162" s="444"/>
      <c r="K162" s="444"/>
      <c r="L162" s="444"/>
      <c r="M162" s="469"/>
      <c r="N162" s="444"/>
      <c r="O162" s="444"/>
      <c r="P162" s="444"/>
      <c r="Q162" s="444"/>
      <c r="R162" s="444"/>
      <c r="S162" s="444"/>
      <c r="T162" s="457"/>
      <c r="U162" s="140"/>
      <c r="V162" s="839" t="str">
        <f t="shared" si="52"/>
        <v/>
      </c>
      <c r="W162" s="823"/>
      <c r="X162" s="83"/>
      <c r="Y162" s="83"/>
      <c r="Z162" s="83"/>
      <c r="AA162" s="83"/>
      <c r="AB162" s="83"/>
      <c r="AC162" s="83"/>
      <c r="AD162" s="83"/>
      <c r="AE162" s="83"/>
      <c r="AF162" s="83"/>
      <c r="AG162" s="83"/>
      <c r="AH162" s="83"/>
      <c r="AI162" s="83"/>
      <c r="AJ162" s="83"/>
      <c r="AK162" s="83"/>
      <c r="AL162" s="83"/>
      <c r="AM162" s="83"/>
      <c r="AN162" s="83"/>
      <c r="AO162" s="83"/>
      <c r="AP162" s="83"/>
      <c r="AQ162" s="83"/>
      <c r="AR162" s="83"/>
      <c r="AS162" s="83"/>
      <c r="AT162" s="83"/>
      <c r="AU162" s="83"/>
      <c r="AV162" s="83"/>
      <c r="AW162" s="83"/>
      <c r="AX162" s="83"/>
      <c r="AY162" s="83"/>
      <c r="AZ162" s="83"/>
      <c r="BA162" s="83"/>
      <c r="BB162" s="83"/>
      <c r="BC162" s="83"/>
      <c r="BD162" s="83"/>
      <c r="BE162" s="83"/>
      <c r="BH162" s="437"/>
    </row>
    <row r="163" spans="1:151" s="63" customFormat="1" ht="28.5" customHeight="1">
      <c r="A163" s="925" t="s">
        <v>22</v>
      </c>
      <c r="B163" s="916" t="s">
        <v>23</v>
      </c>
      <c r="C163" s="916" t="s">
        <v>24</v>
      </c>
      <c r="D163" s="928" t="s">
        <v>178</v>
      </c>
      <c r="E163" s="61" t="s">
        <v>26</v>
      </c>
      <c r="F163" s="931" t="s">
        <v>27</v>
      </c>
      <c r="G163" s="936"/>
      <c r="H163" s="932"/>
      <c r="I163" s="931" t="s">
        <v>28</v>
      </c>
      <c r="J163" s="936"/>
      <c r="K163" s="936"/>
      <c r="L163" s="936"/>
      <c r="M163" s="931" t="s">
        <v>29</v>
      </c>
      <c r="N163" s="932"/>
      <c r="O163" s="183" t="s">
        <v>30</v>
      </c>
      <c r="P163" s="183"/>
      <c r="Q163" s="183"/>
      <c r="R163" s="183" t="s">
        <v>31</v>
      </c>
      <c r="S163" s="928" t="s">
        <v>32</v>
      </c>
      <c r="T163" s="1049" t="s">
        <v>33</v>
      </c>
      <c r="U163" s="881" t="s">
        <v>34</v>
      </c>
      <c r="V163" s="830"/>
      <c r="W163" s="831"/>
      <c r="X163" s="83"/>
      <c r="Y163" s="83"/>
      <c r="Z163" s="83"/>
      <c r="AA163" s="83"/>
      <c r="AB163" s="83"/>
      <c r="AC163" s="83"/>
      <c r="AD163" s="83"/>
      <c r="AE163" s="83"/>
      <c r="AF163" s="83"/>
      <c r="AG163" s="83"/>
      <c r="AH163" s="83"/>
      <c r="AI163" s="83"/>
      <c r="AJ163" s="83"/>
      <c r="AK163" s="83"/>
      <c r="AL163" s="83"/>
      <c r="AM163" s="83"/>
      <c r="AN163" s="83"/>
      <c r="AO163" s="83"/>
      <c r="AP163" s="83"/>
      <c r="AQ163" s="83"/>
      <c r="AR163" s="83"/>
      <c r="AS163" s="83"/>
      <c r="AT163" s="83"/>
      <c r="AU163" s="83"/>
      <c r="AV163" s="83"/>
      <c r="AW163" s="83"/>
      <c r="AX163" s="83"/>
      <c r="AY163" s="83"/>
      <c r="AZ163" s="83"/>
      <c r="BA163" s="83"/>
      <c r="BB163" s="83"/>
      <c r="BC163" s="83"/>
      <c r="BD163" s="83"/>
      <c r="BE163" s="83"/>
      <c r="BH163" s="437"/>
    </row>
    <row r="164" spans="1:151" s="63" customFormat="1" ht="49.5" customHeight="1">
      <c r="A164" s="926"/>
      <c r="B164" s="917"/>
      <c r="C164" s="917"/>
      <c r="D164" s="929" t="s">
        <v>35</v>
      </c>
      <c r="E164" s="64" t="s">
        <v>36</v>
      </c>
      <c r="F164" s="680" t="s">
        <v>37</v>
      </c>
      <c r="G164" s="512" t="s">
        <v>38</v>
      </c>
      <c r="H164" s="681" t="s">
        <v>39</v>
      </c>
      <c r="I164" s="931" t="s">
        <v>40</v>
      </c>
      <c r="J164" s="936"/>
      <c r="K164" s="512" t="s">
        <v>41</v>
      </c>
      <c r="L164" s="681" t="s">
        <v>42</v>
      </c>
      <c r="M164" s="931" t="s">
        <v>43</v>
      </c>
      <c r="N164" s="932"/>
      <c r="O164" s="683" t="s">
        <v>44</v>
      </c>
      <c r="P164" s="184"/>
      <c r="Q164" s="184"/>
      <c r="R164" s="683" t="s">
        <v>45</v>
      </c>
      <c r="S164" s="929"/>
      <c r="T164" s="1050"/>
      <c r="U164" s="882"/>
      <c r="V164" s="830" t="str">
        <f t="shared" ref="V164:V202" si="56">B164&amp;D164</f>
        <v>SIZE</v>
      </c>
      <c r="W164" s="831"/>
      <c r="X164" s="83"/>
      <c r="Y164" s="83"/>
      <c r="Z164" s="83"/>
      <c r="AA164" s="83"/>
      <c r="AB164" s="83"/>
      <c r="AC164" s="83"/>
      <c r="AD164" s="83"/>
      <c r="AE164" s="83"/>
      <c r="AF164" s="83"/>
      <c r="AG164" s="83"/>
      <c r="AH164" s="83"/>
      <c r="AI164" s="83"/>
      <c r="AJ164" s="83"/>
      <c r="AK164" s="83"/>
      <c r="AL164" s="83"/>
      <c r="AM164" s="83"/>
      <c r="AN164" s="83"/>
      <c r="AO164" s="83"/>
      <c r="AP164" s="83"/>
      <c r="AQ164" s="83"/>
      <c r="AR164" s="83"/>
      <c r="AS164" s="83"/>
      <c r="AT164" s="83"/>
      <c r="AU164" s="83"/>
      <c r="AV164" s="83"/>
      <c r="AW164" s="83"/>
      <c r="AX164" s="83"/>
      <c r="AY164" s="83"/>
      <c r="AZ164" s="83"/>
      <c r="BA164" s="83"/>
      <c r="BB164" s="83"/>
      <c r="BC164" s="83"/>
      <c r="BD164" s="83"/>
      <c r="BE164" s="83"/>
      <c r="BH164" s="437"/>
    </row>
    <row r="165" spans="1:151" s="63" customFormat="1" ht="18.75" customHeight="1">
      <c r="A165" s="927"/>
      <c r="B165" s="918"/>
      <c r="C165" s="918"/>
      <c r="D165" s="930" t="s">
        <v>46</v>
      </c>
      <c r="E165" s="64" t="s">
        <v>47</v>
      </c>
      <c r="F165" s="64" t="s">
        <v>47</v>
      </c>
      <c r="G165" s="64" t="s">
        <v>47</v>
      </c>
      <c r="H165" s="64" t="s">
        <v>47</v>
      </c>
      <c r="I165" s="64" t="s">
        <v>47</v>
      </c>
      <c r="J165" s="64" t="s">
        <v>46</v>
      </c>
      <c r="K165" s="64" t="s">
        <v>47</v>
      </c>
      <c r="L165" s="64" t="s">
        <v>47</v>
      </c>
      <c r="M165" s="64" t="s">
        <v>47</v>
      </c>
      <c r="N165" s="65" t="s">
        <v>46</v>
      </c>
      <c r="O165" s="65" t="s">
        <v>46</v>
      </c>
      <c r="P165" s="185"/>
      <c r="Q165" s="185"/>
      <c r="R165" s="65" t="s">
        <v>48</v>
      </c>
      <c r="S165" s="930"/>
      <c r="T165" s="1051"/>
      <c r="U165" s="684" t="s">
        <v>47</v>
      </c>
      <c r="V165" s="835" t="str">
        <f t="shared" si="56"/>
        <v>(Kg)</v>
      </c>
      <c r="W165" s="831"/>
      <c r="X165" s="311">
        <v>1</v>
      </c>
      <c r="Y165" s="89">
        <v>2</v>
      </c>
      <c r="Z165" s="311">
        <v>3</v>
      </c>
      <c r="AA165" s="89">
        <v>4</v>
      </c>
      <c r="AB165" s="311">
        <v>5</v>
      </c>
      <c r="AC165" s="89">
        <v>6</v>
      </c>
      <c r="AD165" s="311">
        <v>7</v>
      </c>
      <c r="AE165" s="89">
        <v>8</v>
      </c>
      <c r="AF165" s="311">
        <v>9</v>
      </c>
      <c r="AG165" s="89">
        <v>10</v>
      </c>
      <c r="AH165" s="311">
        <v>11</v>
      </c>
      <c r="AI165" s="89">
        <v>12</v>
      </c>
      <c r="AJ165" s="311">
        <v>13</v>
      </c>
      <c r="AK165" s="89">
        <v>14</v>
      </c>
      <c r="AL165" s="311">
        <v>15</v>
      </c>
      <c r="AM165" s="89">
        <v>16</v>
      </c>
      <c r="AN165" s="311">
        <v>17</v>
      </c>
      <c r="AO165" s="89">
        <v>18</v>
      </c>
      <c r="AP165" s="311">
        <v>19</v>
      </c>
      <c r="AQ165" s="89">
        <v>20</v>
      </c>
      <c r="AR165" s="311">
        <v>21</v>
      </c>
      <c r="AS165" s="89">
        <v>22</v>
      </c>
      <c r="AT165" s="311">
        <v>23</v>
      </c>
      <c r="AU165" s="89">
        <v>24</v>
      </c>
      <c r="AV165" s="311">
        <v>25</v>
      </c>
      <c r="AW165" s="89">
        <v>26</v>
      </c>
      <c r="AX165" s="311">
        <v>27</v>
      </c>
      <c r="AY165" s="89">
        <v>28</v>
      </c>
      <c r="AZ165" s="311">
        <v>29</v>
      </c>
      <c r="BA165" s="89">
        <v>30</v>
      </c>
      <c r="BB165" s="506">
        <v>31</v>
      </c>
      <c r="BC165" s="106" t="s">
        <v>49</v>
      </c>
      <c r="BD165" s="785" t="s">
        <v>85</v>
      </c>
      <c r="BE165" s="785" t="s">
        <v>86</v>
      </c>
      <c r="BG165" s="38"/>
      <c r="BH165" s="437"/>
    </row>
    <row r="166" spans="1:151" s="38" customFormat="1" ht="15" customHeight="1">
      <c r="A166" s="91">
        <v>1</v>
      </c>
      <c r="B166" s="360">
        <v>884</v>
      </c>
      <c r="C166" s="360" t="s">
        <v>79</v>
      </c>
      <c r="D166" s="1169">
        <v>25</v>
      </c>
      <c r="E166" s="100">
        <v>197</v>
      </c>
      <c r="F166" s="100">
        <f>SUMIF(pro!$A:$A,$V:$V,pro!$N:$N)</f>
        <v>0</v>
      </c>
      <c r="G166" s="100"/>
      <c r="H166" s="100">
        <f>SUMIF(CBIN!$A:$A,BRAN!$V:$V,CBIN!$G:$G)</f>
        <v>0</v>
      </c>
      <c r="I166" s="100">
        <f>SUMIF(data!$D:$D,$B166&amp;$D166,data!$J:$J)</f>
        <v>0</v>
      </c>
      <c r="J166" s="100">
        <f>SUMIF(data!$D:$D,$B166&amp;$D166,data!$K:$K)</f>
        <v>0</v>
      </c>
      <c r="K166" s="100">
        <f>SUMIF(AJOUT!$A:$A,BRAN!$V:$V,AJOUT!$L:$L)</f>
        <v>0</v>
      </c>
      <c r="L166" s="100">
        <f>SUMIF(CBOUT!$A:$A,BRAN!$V:$V,CBOUT!$G:$G)</f>
        <v>0</v>
      </c>
      <c r="M166" s="1158">
        <f>E166+F166+H166-I166-L166+G166-K166</f>
        <v>197</v>
      </c>
      <c r="N166" s="100">
        <f>M166*D166</f>
        <v>4925</v>
      </c>
      <c r="O166" s="1159">
        <f t="shared" ref="O166:O192" si="57">SUM(X166:BB166)</f>
        <v>10625</v>
      </c>
      <c r="P166" s="804"/>
      <c r="Q166" s="804"/>
      <c r="R166" s="804">
        <f>O166/INTGRATE!$N$293</f>
        <v>1180.5555555555557</v>
      </c>
      <c r="S166" s="665">
        <f>IF(R166=0,0,N166/R166)</f>
        <v>4.1717647058823522</v>
      </c>
      <c r="T166" s="544"/>
      <c r="U166" s="141"/>
      <c r="V166" s="840" t="str">
        <f t="shared" si="56"/>
        <v>88425</v>
      </c>
      <c r="W166" s="831">
        <v>433000</v>
      </c>
      <c r="X166" s="91"/>
      <c r="Y166" s="91">
        <v>0</v>
      </c>
      <c r="Z166" s="100">
        <v>1250</v>
      </c>
      <c r="AA166" s="100">
        <v>3625</v>
      </c>
      <c r="AB166" s="100">
        <v>0</v>
      </c>
      <c r="AC166" s="100">
        <v>0</v>
      </c>
      <c r="AD166" s="100">
        <v>3125</v>
      </c>
      <c r="AE166" s="100">
        <v>0</v>
      </c>
      <c r="AF166" s="100">
        <v>2625</v>
      </c>
      <c r="AG166" s="100"/>
      <c r="AH166" s="100"/>
      <c r="AI166" s="100"/>
      <c r="AJ166" s="100"/>
      <c r="AK166" s="100"/>
      <c r="AL166" s="100"/>
      <c r="AM166" s="100"/>
      <c r="AN166" s="100"/>
      <c r="AO166" s="100"/>
      <c r="AP166" s="100"/>
      <c r="AQ166" s="100"/>
      <c r="AR166" s="100"/>
      <c r="AS166" s="100"/>
      <c r="AT166" s="100"/>
      <c r="AU166" s="100"/>
      <c r="AV166" s="100"/>
      <c r="AW166" s="100"/>
      <c r="AX166" s="100"/>
      <c r="AY166" s="100"/>
      <c r="AZ166" s="100"/>
      <c r="BA166" s="100"/>
      <c r="BB166" s="100"/>
      <c r="BC166" s="276">
        <f t="shared" si="49"/>
        <v>10625</v>
      </c>
      <c r="BD166" s="786">
        <f>COUNTIF(X166:BB166,"&gt;0")</f>
        <v>4</v>
      </c>
      <c r="BE166" s="786">
        <f>IFERROR(BC166/BD166,0)</f>
        <v>2656.25</v>
      </c>
      <c r="BH166" s="436"/>
    </row>
    <row r="167" spans="1:151" s="38" customFormat="1" ht="15" customHeight="1">
      <c r="A167" s="91">
        <v>2</v>
      </c>
      <c r="B167" s="360" t="s">
        <v>179</v>
      </c>
      <c r="C167" s="360" t="s">
        <v>79</v>
      </c>
      <c r="D167" s="1169">
        <v>25</v>
      </c>
      <c r="E167" s="100">
        <v>138</v>
      </c>
      <c r="F167" s="100">
        <f>SUMIF(pro!$A:$A,$V:$V,pro!$N:$N)</f>
        <v>0</v>
      </c>
      <c r="G167" s="100"/>
      <c r="H167" s="100">
        <f>SUMIF(CBIN!$A:$A,BRAN!$V:$V,CBIN!$G:$G)</f>
        <v>0</v>
      </c>
      <c r="I167" s="100">
        <f>SUMIF(data!$D:$D,$B167&amp;$D167,data!$J:$J)</f>
        <v>0</v>
      </c>
      <c r="J167" s="100">
        <f>SUMIF(data!$D:$D,$B167&amp;$D167,data!$K:$K)</f>
        <v>0</v>
      </c>
      <c r="K167" s="100">
        <f>SUMIF(AJOUT!$A:$A,BRAN!$V:$V,AJOUT!$L:$L)</f>
        <v>0</v>
      </c>
      <c r="L167" s="100">
        <f>SUMIF(CBOUT!$A:$A,BRAN!$V:$V,CBOUT!$G:$G)</f>
        <v>0</v>
      </c>
      <c r="M167" s="1158">
        <f t="shared" ref="M167:M191" si="58">E167+F167+H167-I167-L167+G167-K167</f>
        <v>138</v>
      </c>
      <c r="N167" s="100">
        <f t="shared" ref="N167:N192" si="59">M167*D167</f>
        <v>3450</v>
      </c>
      <c r="O167" s="1159">
        <f t="shared" si="57"/>
        <v>1375</v>
      </c>
      <c r="P167" s="804">
        <f>+SUM(N166:N167)</f>
        <v>8375</v>
      </c>
      <c r="Q167" s="804">
        <f>+SUM(O166:O167)</f>
        <v>12000</v>
      </c>
      <c r="R167" s="804">
        <f>O167/INTGRATE!$N$293</f>
        <v>152.77777777777777</v>
      </c>
      <c r="S167" s="665">
        <f>IF(R167=0,0,N167/R167)</f>
        <v>22.581818181818182</v>
      </c>
      <c r="T167" s="402"/>
      <c r="U167" s="141"/>
      <c r="V167" s="840" t="str">
        <f t="shared" si="56"/>
        <v>885S25</v>
      </c>
      <c r="W167" s="831">
        <v>433010</v>
      </c>
      <c r="X167" s="91"/>
      <c r="Y167" s="91">
        <v>0</v>
      </c>
      <c r="Z167" s="100">
        <v>0</v>
      </c>
      <c r="AA167" s="100">
        <v>0</v>
      </c>
      <c r="AB167" s="100">
        <v>0</v>
      </c>
      <c r="AC167" s="100">
        <v>0</v>
      </c>
      <c r="AD167" s="100">
        <v>750</v>
      </c>
      <c r="AE167" s="100">
        <v>0</v>
      </c>
      <c r="AF167" s="100">
        <v>625</v>
      </c>
      <c r="AG167" s="100"/>
      <c r="AH167" s="100"/>
      <c r="AI167" s="100"/>
      <c r="AJ167" s="100"/>
      <c r="AK167" s="100"/>
      <c r="AL167" s="100"/>
      <c r="AM167" s="100"/>
      <c r="AN167" s="100"/>
      <c r="AO167" s="100"/>
      <c r="AP167" s="100"/>
      <c r="AQ167" s="100"/>
      <c r="AR167" s="100"/>
      <c r="AS167" s="100"/>
      <c r="AT167" s="100"/>
      <c r="AU167" s="100"/>
      <c r="AV167" s="100"/>
      <c r="AW167" s="100"/>
      <c r="AX167" s="100"/>
      <c r="AY167" s="100"/>
      <c r="AZ167" s="100"/>
      <c r="BB167" s="100"/>
      <c r="BC167" s="276">
        <f t="shared" si="49"/>
        <v>1375</v>
      </c>
      <c r="BD167" s="786">
        <f t="shared" ref="BD167" si="60">COUNTIF(X167:BB167,"&gt;0")</f>
        <v>2</v>
      </c>
      <c r="BE167" s="786">
        <f t="shared" ref="BE167" si="61">IFERROR(BC167/BD167,0)</f>
        <v>687.5</v>
      </c>
      <c r="BH167" s="436"/>
    </row>
    <row r="168" spans="1:151" s="101" customFormat="1" ht="15" customHeight="1">
      <c r="A168" s="91">
        <v>3</v>
      </c>
      <c r="B168" s="167">
        <v>910</v>
      </c>
      <c r="C168" s="167" t="s">
        <v>132</v>
      </c>
      <c r="D168" s="166">
        <v>25</v>
      </c>
      <c r="E168" s="100">
        <v>0</v>
      </c>
      <c r="F168" s="100">
        <f>SUMIF(pro!$A:$A,$V:$V,pro!$N:$N)</f>
        <v>0</v>
      </c>
      <c r="G168" s="100"/>
      <c r="H168" s="100">
        <f>SUMIF(CBIN!$A:$A,BRAN!$V:$V,CBIN!$G:$G)</f>
        <v>0</v>
      </c>
      <c r="I168" s="100">
        <f>SUMIF(data!$D:$D,$B168&amp;$D168,data!$J:$J)</f>
        <v>0</v>
      </c>
      <c r="J168" s="100">
        <f>SUMIF(data!$D:$D,$B168&amp;$D168,data!$K:$K)</f>
        <v>0</v>
      </c>
      <c r="K168" s="100">
        <f>SUMIF(AJOUT!$A:$A,BRAN!$V:$V,AJOUT!$L:$L)</f>
        <v>0</v>
      </c>
      <c r="L168" s="100">
        <f>SUMIF(CBOUT!$A:$A,BRAN!$V:$V,CBOUT!$G:$G)</f>
        <v>0</v>
      </c>
      <c r="M168" s="1158">
        <f t="shared" si="58"/>
        <v>0</v>
      </c>
      <c r="N168" s="100">
        <f t="shared" si="59"/>
        <v>0</v>
      </c>
      <c r="O168" s="1159">
        <f t="shared" si="57"/>
        <v>0</v>
      </c>
      <c r="P168" s="804">
        <f>+N170+N169</f>
        <v>0</v>
      </c>
      <c r="Q168" s="804">
        <f>+O170+O169</f>
        <v>0</v>
      </c>
      <c r="R168" s="804">
        <f>O168/INTGRATE!$N$293</f>
        <v>0</v>
      </c>
      <c r="S168" s="665">
        <f>IF(R168=0,0,(N42+N168)/(R168+R42))</f>
        <v>0</v>
      </c>
      <c r="T168" s="402"/>
      <c r="U168" s="141"/>
      <c r="V168" s="840" t="str">
        <f t="shared" si="56"/>
        <v>91025</v>
      </c>
      <c r="W168" s="831">
        <v>112001</v>
      </c>
      <c r="X168" s="91"/>
      <c r="Y168" s="91">
        <v>0</v>
      </c>
      <c r="Z168" s="100">
        <v>0</v>
      </c>
      <c r="AA168" s="100">
        <v>0</v>
      </c>
      <c r="AB168" s="100">
        <v>0</v>
      </c>
      <c r="AC168" s="100">
        <v>0</v>
      </c>
      <c r="AD168" s="100">
        <v>0</v>
      </c>
      <c r="AE168" s="100">
        <v>0</v>
      </c>
      <c r="AF168" s="100">
        <v>0</v>
      </c>
      <c r="AG168" s="100"/>
      <c r="AH168" s="100"/>
      <c r="AI168" s="100"/>
      <c r="AJ168" s="100"/>
      <c r="AK168" s="100"/>
      <c r="AL168" s="100"/>
      <c r="AM168" s="100"/>
      <c r="AN168" s="100"/>
      <c r="AO168" s="100"/>
      <c r="AP168" s="100"/>
      <c r="AQ168" s="100"/>
      <c r="AR168" s="100"/>
      <c r="AS168" s="100"/>
      <c r="AT168" s="100"/>
      <c r="AU168" s="100"/>
      <c r="AV168" s="100"/>
      <c r="AW168" s="100"/>
      <c r="AX168" s="100"/>
      <c r="AY168" s="100"/>
      <c r="AZ168" s="100"/>
      <c r="BA168" s="100"/>
      <c r="BB168" s="100"/>
      <c r="BC168" s="276">
        <f t="shared" ref="BC168:BC192" si="62">SUM(X168:BB168)</f>
        <v>0</v>
      </c>
      <c r="BD168" s="786">
        <f t="shared" ref="BD168:BD192" si="63">COUNTIF(X168:BB168,"&gt;0")</f>
        <v>0</v>
      </c>
      <c r="BE168" s="786">
        <f t="shared" ref="BE168:BE192" si="64">IFERROR(BC168/BD168,0)</f>
        <v>0</v>
      </c>
      <c r="BF168" s="38"/>
      <c r="BG168" s="38"/>
      <c r="BH168" s="436"/>
      <c r="BI168" s="38"/>
      <c r="BJ168" s="38"/>
      <c r="BK168" s="38"/>
      <c r="BL168" s="38"/>
      <c r="BM168" s="38"/>
      <c r="BN168" s="38"/>
      <c r="BO168" s="38"/>
      <c r="BP168" s="38"/>
      <c r="BQ168" s="38"/>
      <c r="BR168" s="38"/>
      <c r="BS168" s="38"/>
      <c r="BT168" s="38"/>
      <c r="BU168" s="38"/>
      <c r="BV168" s="38"/>
      <c r="BW168" s="38"/>
      <c r="BX168" s="38"/>
      <c r="BY168" s="38"/>
      <c r="BZ168" s="38"/>
      <c r="CA168" s="38"/>
      <c r="CB168" s="38"/>
      <c r="CC168" s="38"/>
      <c r="CD168" s="38"/>
      <c r="CE168" s="38"/>
      <c r="CF168" s="38"/>
      <c r="CG168" s="38"/>
      <c r="CH168" s="38"/>
      <c r="CI168" s="38"/>
      <c r="CJ168" s="38"/>
      <c r="CK168" s="38"/>
      <c r="CL168" s="38"/>
      <c r="CM168" s="38"/>
      <c r="CN168" s="38"/>
      <c r="CO168" s="38"/>
      <c r="CP168" s="38"/>
      <c r="CQ168" s="38"/>
      <c r="CR168" s="38"/>
      <c r="CS168" s="38"/>
      <c r="CT168" s="38"/>
      <c r="CU168" s="38"/>
      <c r="CV168" s="38"/>
      <c r="CW168" s="38"/>
      <c r="CX168" s="38"/>
      <c r="CY168" s="38"/>
      <c r="CZ168" s="38"/>
      <c r="DA168" s="38"/>
      <c r="DB168" s="38"/>
      <c r="DC168" s="38"/>
      <c r="DD168" s="38"/>
      <c r="DE168" s="38"/>
      <c r="DF168" s="38"/>
      <c r="DG168" s="38"/>
      <c r="DH168" s="38"/>
      <c r="DI168" s="38"/>
      <c r="DJ168" s="38"/>
      <c r="DK168" s="38"/>
      <c r="DL168" s="38"/>
      <c r="DM168" s="38"/>
      <c r="DN168" s="38"/>
      <c r="DO168" s="38"/>
      <c r="DP168" s="38"/>
      <c r="DQ168" s="38"/>
      <c r="DR168" s="38"/>
      <c r="DS168" s="38"/>
      <c r="DT168" s="38"/>
      <c r="DU168" s="38"/>
      <c r="DV168" s="38"/>
      <c r="DW168" s="38"/>
      <c r="DX168" s="38"/>
      <c r="DY168" s="38"/>
      <c r="DZ168" s="38"/>
      <c r="EA168" s="38"/>
      <c r="EB168" s="38"/>
      <c r="EC168" s="38"/>
      <c r="ED168" s="38"/>
      <c r="EE168" s="38"/>
      <c r="EF168" s="38"/>
      <c r="EG168" s="38"/>
      <c r="EH168" s="38"/>
      <c r="EI168" s="38"/>
      <c r="EJ168" s="38"/>
      <c r="EK168" s="38"/>
      <c r="EL168" s="38"/>
      <c r="EM168" s="38"/>
      <c r="EN168" s="38"/>
      <c r="EO168" s="38"/>
      <c r="EP168" s="38"/>
      <c r="EQ168" s="38"/>
      <c r="ER168" s="38"/>
      <c r="ES168" s="38"/>
      <c r="ET168" s="38"/>
      <c r="EU168" s="38"/>
    </row>
    <row r="169" spans="1:151" s="101" customFormat="1" ht="15" customHeight="1">
      <c r="A169" s="91">
        <v>4</v>
      </c>
      <c r="B169" s="167" t="s">
        <v>180</v>
      </c>
      <c r="C169" s="167" t="s">
        <v>55</v>
      </c>
      <c r="D169" s="166">
        <v>25</v>
      </c>
      <c r="E169" s="100">
        <v>0</v>
      </c>
      <c r="F169" s="100">
        <f>SUMIF(pro!$A:$A,$V:$V,pro!$N:$N)</f>
        <v>0</v>
      </c>
      <c r="G169" s="100"/>
      <c r="H169" s="100">
        <f>SUMIF(CBIN!$A:$A,BRAN!$V:$V,CBIN!$G:$G)</f>
        <v>0</v>
      </c>
      <c r="I169" s="100">
        <f>SUMIF(data!$D:$D,$B169&amp;$D169,data!$J:$J)</f>
        <v>0</v>
      </c>
      <c r="J169" s="100">
        <f>SUMIF(data!$D:$D,$B169&amp;$D169,data!$K:$K)</f>
        <v>0</v>
      </c>
      <c r="K169" s="100">
        <f>SUMIF(AJOUT!$A:$A,BRAN!$V:$V,AJOUT!$L:$L)</f>
        <v>0</v>
      </c>
      <c r="L169" s="100">
        <f>SUMIF(CBOUT!$A:$A,BRAN!$V:$V,CBOUT!$G:$G)</f>
        <v>0</v>
      </c>
      <c r="M169" s="1158">
        <f>E169+F169+H169-I169-L169+G169-K169</f>
        <v>0</v>
      </c>
      <c r="N169" s="100">
        <f t="shared" si="59"/>
        <v>0</v>
      </c>
      <c r="O169" s="1159">
        <f>SUM(X169:BB169)</f>
        <v>0</v>
      </c>
      <c r="P169" s="804">
        <f>+N168</f>
        <v>0</v>
      </c>
      <c r="Q169" s="804"/>
      <c r="R169" s="804">
        <f>O169/INTGRATE!$N$293</f>
        <v>0</v>
      </c>
      <c r="S169" s="665">
        <f>IF(R169=0,0,(N43+N169)/(R169+R43))</f>
        <v>0</v>
      </c>
      <c r="T169" s="402"/>
      <c r="U169" s="141"/>
      <c r="V169" s="840" t="str">
        <f>B169&amp;D169</f>
        <v>911B25</v>
      </c>
      <c r="W169" s="831" t="s">
        <v>140</v>
      </c>
      <c r="X169" s="91"/>
      <c r="Y169" s="91">
        <v>0</v>
      </c>
      <c r="Z169" s="100">
        <v>0</v>
      </c>
      <c r="AA169" s="100">
        <v>0</v>
      </c>
      <c r="AB169" s="100">
        <v>0</v>
      </c>
      <c r="AC169" s="100">
        <v>0</v>
      </c>
      <c r="AD169" s="100">
        <v>0</v>
      </c>
      <c r="AE169" s="100">
        <v>0</v>
      </c>
      <c r="AF169" s="100">
        <v>0</v>
      </c>
      <c r="AG169" s="100"/>
      <c r="AH169" s="100"/>
      <c r="AI169" s="100"/>
      <c r="AJ169" s="100"/>
      <c r="AK169" s="100"/>
      <c r="AL169" s="100"/>
      <c r="AM169" s="100"/>
      <c r="AN169" s="100"/>
      <c r="AO169" s="100"/>
      <c r="AP169" s="100"/>
      <c r="AQ169" s="100"/>
      <c r="AR169" s="100"/>
      <c r="AS169" s="100"/>
      <c r="AT169" s="100"/>
      <c r="AU169" s="100"/>
      <c r="AV169" s="100"/>
      <c r="AW169" s="100"/>
      <c r="AX169" s="100"/>
      <c r="AY169" s="100"/>
      <c r="AZ169" s="100"/>
      <c r="BA169" s="100"/>
      <c r="BB169" s="100"/>
      <c r="BC169" s="276">
        <f t="shared" si="62"/>
        <v>0</v>
      </c>
      <c r="BD169" s="786">
        <f t="shared" si="63"/>
        <v>0</v>
      </c>
      <c r="BE169" s="786">
        <f t="shared" si="64"/>
        <v>0</v>
      </c>
      <c r="BF169" s="38"/>
      <c r="BG169" s="38"/>
      <c r="BH169" s="436"/>
      <c r="BI169" s="38"/>
      <c r="BJ169" s="38"/>
      <c r="BK169" s="38"/>
      <c r="BL169" s="38"/>
      <c r="BM169" s="38"/>
      <c r="BN169" s="38"/>
      <c r="BO169" s="38"/>
      <c r="BP169" s="38"/>
      <c r="BQ169" s="38"/>
      <c r="BR169" s="38"/>
      <c r="BS169" s="38"/>
      <c r="BT169" s="38"/>
      <c r="BU169" s="38"/>
      <c r="BV169" s="38"/>
      <c r="BW169" s="38"/>
      <c r="BX169" s="38"/>
      <c r="BY169" s="38"/>
      <c r="BZ169" s="38"/>
      <c r="CA169" s="38"/>
      <c r="CB169" s="38"/>
      <c r="CC169" s="38"/>
      <c r="CD169" s="38"/>
      <c r="CE169" s="38"/>
      <c r="CF169" s="38"/>
      <c r="CG169" s="38"/>
      <c r="CH169" s="38"/>
      <c r="CI169" s="38"/>
      <c r="CJ169" s="38"/>
      <c r="CK169" s="38"/>
      <c r="CL169" s="38"/>
      <c r="CM169" s="38"/>
      <c r="CN169" s="38"/>
      <c r="CO169" s="38"/>
      <c r="CP169" s="38"/>
      <c r="CQ169" s="38"/>
      <c r="CR169" s="38"/>
      <c r="CS169" s="38"/>
      <c r="CT169" s="38"/>
      <c r="CU169" s="38"/>
      <c r="CV169" s="38"/>
      <c r="CW169" s="38"/>
      <c r="CX169" s="38"/>
      <c r="CY169" s="38"/>
      <c r="CZ169" s="38"/>
      <c r="DA169" s="38"/>
      <c r="DB169" s="38"/>
      <c r="DC169" s="38"/>
      <c r="DD169" s="38"/>
      <c r="DE169" s="38"/>
      <c r="DF169" s="38"/>
      <c r="DG169" s="38"/>
      <c r="DH169" s="38"/>
      <c r="DI169" s="38"/>
      <c r="DJ169" s="38"/>
      <c r="DK169" s="38"/>
      <c r="DL169" s="38"/>
      <c r="DM169" s="38"/>
      <c r="DN169" s="38"/>
      <c r="DO169" s="38"/>
      <c r="DP169" s="38"/>
      <c r="DQ169" s="38"/>
      <c r="DR169" s="38"/>
      <c r="DS169" s="38"/>
      <c r="DT169" s="38"/>
      <c r="DU169" s="38"/>
      <c r="DV169" s="38"/>
      <c r="DW169" s="38"/>
      <c r="DX169" s="38"/>
      <c r="DY169" s="38"/>
      <c r="DZ169" s="38"/>
      <c r="EA169" s="38"/>
      <c r="EB169" s="38"/>
      <c r="EC169" s="38"/>
      <c r="ED169" s="38"/>
      <c r="EE169" s="38"/>
      <c r="EF169" s="38"/>
      <c r="EG169" s="38"/>
      <c r="EH169" s="38"/>
      <c r="EI169" s="38"/>
      <c r="EJ169" s="38"/>
      <c r="EK169" s="38"/>
      <c r="EL169" s="38"/>
      <c r="EM169" s="38"/>
      <c r="EN169" s="38"/>
      <c r="EO169" s="38"/>
      <c r="EP169" s="38"/>
      <c r="EQ169" s="38"/>
      <c r="ER169" s="38"/>
      <c r="ES169" s="38"/>
      <c r="ET169" s="38"/>
      <c r="EU169" s="38"/>
    </row>
    <row r="170" spans="1:151" s="101" customFormat="1" ht="15" customHeight="1">
      <c r="A170" s="91">
        <v>5</v>
      </c>
      <c r="B170" s="551">
        <v>948</v>
      </c>
      <c r="C170" s="551" t="s">
        <v>55</v>
      </c>
      <c r="D170" s="552">
        <v>25</v>
      </c>
      <c r="E170" s="100">
        <v>0</v>
      </c>
      <c r="F170" s="100">
        <f>SUMIF(pro!$A:$A,$V:$V,pro!$N:$N)</f>
        <v>0</v>
      </c>
      <c r="G170" s="100"/>
      <c r="H170" s="100">
        <f>SUMIF(CBIN!$A:$A,BRAN!$V:$V,CBIN!$G:$G)</f>
        <v>0</v>
      </c>
      <c r="I170" s="100">
        <f>SUMIF(data!$D:$D,$B170&amp;$D170,data!$J:$J)</f>
        <v>0</v>
      </c>
      <c r="J170" s="100">
        <f>SUMIF(data!$D:$D,$B170&amp;$D170,data!$K:$K)</f>
        <v>0</v>
      </c>
      <c r="K170" s="100">
        <f>SUMIF(AJOUT!$A:$A,BRAN!$V:$V,AJOUT!$L:$L)</f>
        <v>0</v>
      </c>
      <c r="L170" s="100">
        <f>SUMIF(CBOUT!$A:$A,BRAN!$V:$V,CBOUT!$G:$G)</f>
        <v>0</v>
      </c>
      <c r="M170" s="1158">
        <f>E170+F170+H170-I170-L170+G170-K170</f>
        <v>0</v>
      </c>
      <c r="N170" s="100">
        <f t="shared" si="59"/>
        <v>0</v>
      </c>
      <c r="O170" s="1159">
        <f>SUM(X170:BB170)</f>
        <v>0</v>
      </c>
      <c r="P170" s="804">
        <f>SUM(N178:N181)+N176</f>
        <v>11100</v>
      </c>
      <c r="Q170" s="804">
        <f>SUM(O178:O181)+O176</f>
        <v>38025</v>
      </c>
      <c r="R170" s="804">
        <f>O170/INTGRATE!$N$293</f>
        <v>0</v>
      </c>
      <c r="S170" s="665">
        <f>IF(R170=0,0,(N56+N170)/(R170+R56))</f>
        <v>0</v>
      </c>
      <c r="T170" s="402"/>
      <c r="U170" s="136"/>
      <c r="V170" s="840" t="str">
        <f t="shared" si="56"/>
        <v>94825</v>
      </c>
      <c r="W170" s="823">
        <v>201101</v>
      </c>
      <c r="X170" s="91"/>
      <c r="Y170" s="91">
        <v>0</v>
      </c>
      <c r="Z170" s="100">
        <v>0</v>
      </c>
      <c r="AA170" s="100">
        <v>0</v>
      </c>
      <c r="AB170" s="100">
        <v>0</v>
      </c>
      <c r="AC170" s="100">
        <v>0</v>
      </c>
      <c r="AD170" s="100">
        <v>0</v>
      </c>
      <c r="AE170" s="100">
        <v>0</v>
      </c>
      <c r="AF170" s="100">
        <v>0</v>
      </c>
      <c r="AG170" s="100"/>
      <c r="AH170" s="100"/>
      <c r="AI170" s="100"/>
      <c r="AJ170" s="100"/>
      <c r="AK170" s="100"/>
      <c r="AL170" s="100"/>
      <c r="AM170" s="100"/>
      <c r="AN170" s="100"/>
      <c r="AO170" s="100"/>
      <c r="AP170" s="100"/>
      <c r="AQ170" s="100"/>
      <c r="AR170" s="100"/>
      <c r="AS170" s="100"/>
      <c r="AT170" s="100"/>
      <c r="AU170" s="100"/>
      <c r="AV170" s="100"/>
      <c r="AW170" s="100"/>
      <c r="AX170" s="100"/>
      <c r="AY170" s="100"/>
      <c r="AZ170" s="100"/>
      <c r="BA170" s="100"/>
      <c r="BB170" s="100"/>
      <c r="BC170" s="276">
        <f t="shared" si="62"/>
        <v>0</v>
      </c>
      <c r="BD170" s="786">
        <f t="shared" si="63"/>
        <v>0</v>
      </c>
      <c r="BE170" s="786">
        <f t="shared" si="64"/>
        <v>0</v>
      </c>
      <c r="BF170" s="38"/>
      <c r="BG170" s="38"/>
      <c r="BH170" s="436"/>
      <c r="BI170" s="38"/>
      <c r="BJ170" s="38"/>
      <c r="BK170" s="38"/>
      <c r="BL170" s="38"/>
      <c r="BM170" s="38"/>
      <c r="BN170" s="38"/>
      <c r="BO170" s="38"/>
      <c r="BP170" s="38"/>
      <c r="BQ170" s="38"/>
      <c r="BR170" s="38"/>
      <c r="BS170" s="38"/>
      <c r="BT170" s="38"/>
      <c r="BU170" s="38"/>
      <c r="BV170" s="38"/>
      <c r="BW170" s="38"/>
      <c r="BX170" s="38"/>
      <c r="BY170" s="38"/>
      <c r="BZ170" s="38"/>
      <c r="CA170" s="38"/>
      <c r="CB170" s="38"/>
      <c r="CC170" s="38"/>
      <c r="CD170" s="38"/>
      <c r="CE170" s="38"/>
      <c r="CF170" s="38"/>
      <c r="CG170" s="38"/>
      <c r="CH170" s="38"/>
      <c r="CI170" s="38"/>
      <c r="CJ170" s="38"/>
      <c r="CK170" s="38"/>
      <c r="CL170" s="38"/>
      <c r="CM170" s="38"/>
      <c r="CN170" s="38"/>
      <c r="CO170" s="38"/>
      <c r="CP170" s="38"/>
      <c r="CQ170" s="38"/>
      <c r="CR170" s="38"/>
      <c r="CS170" s="38"/>
      <c r="CT170" s="38"/>
      <c r="CU170" s="38"/>
      <c r="CV170" s="38"/>
      <c r="CW170" s="38"/>
      <c r="CX170" s="38"/>
      <c r="CY170" s="38"/>
      <c r="CZ170" s="38"/>
      <c r="DA170" s="38"/>
      <c r="DB170" s="38"/>
      <c r="DC170" s="38"/>
      <c r="DD170" s="38"/>
      <c r="DE170" s="38"/>
      <c r="DF170" s="38"/>
      <c r="DG170" s="38"/>
      <c r="DH170" s="38"/>
      <c r="DI170" s="38"/>
      <c r="DJ170" s="38"/>
      <c r="DK170" s="38"/>
      <c r="DL170" s="38"/>
      <c r="DM170" s="38"/>
      <c r="DN170" s="38"/>
      <c r="DO170" s="38"/>
      <c r="DP170" s="38"/>
      <c r="DQ170" s="38"/>
      <c r="DR170" s="38"/>
      <c r="DS170" s="38"/>
      <c r="DT170" s="38"/>
      <c r="DU170" s="38"/>
      <c r="DV170" s="38"/>
      <c r="DW170" s="38"/>
      <c r="DX170" s="38"/>
      <c r="DY170" s="38"/>
      <c r="DZ170" s="38"/>
      <c r="EA170" s="38"/>
      <c r="EB170" s="38"/>
      <c r="EC170" s="38"/>
      <c r="ED170" s="38"/>
      <c r="EE170" s="38"/>
      <c r="EF170" s="38"/>
      <c r="EG170" s="38"/>
      <c r="EH170" s="38"/>
      <c r="EI170" s="38"/>
      <c r="EJ170" s="38"/>
      <c r="EK170" s="38"/>
      <c r="EL170" s="38"/>
      <c r="EM170" s="38"/>
      <c r="EN170" s="38"/>
      <c r="EO170" s="38"/>
      <c r="EP170" s="38"/>
      <c r="EQ170" s="38"/>
      <c r="ER170" s="38"/>
      <c r="ES170" s="38"/>
      <c r="ET170" s="38"/>
      <c r="EU170" s="38"/>
    </row>
    <row r="171" spans="1:151" s="101" customFormat="1" ht="15" customHeight="1">
      <c r="A171" s="91">
        <v>6</v>
      </c>
      <c r="B171" s="551" t="s">
        <v>181</v>
      </c>
      <c r="C171" s="551" t="s">
        <v>64</v>
      </c>
      <c r="D171" s="552">
        <v>25</v>
      </c>
      <c r="E171" s="100">
        <v>0</v>
      </c>
      <c r="F171" s="100">
        <f>SUMIF(pro!$A:$A,$V:$V,pro!$N:$N)</f>
        <v>0</v>
      </c>
      <c r="G171" s="100"/>
      <c r="H171" s="100">
        <f>SUMIF(CBIN!$A:$A,BRAN!$V:$V,CBIN!$G:$G)</f>
        <v>0</v>
      </c>
      <c r="I171" s="100">
        <f>SUMIF(data!$D:$D,$B171&amp;$D171,data!$J:$J)</f>
        <v>0</v>
      </c>
      <c r="J171" s="100">
        <f>SUMIF(data!$D:$D,$B171&amp;$D171,data!$K:$K)</f>
        <v>0</v>
      </c>
      <c r="K171" s="100">
        <f>SUMIF(AJOUT!$A:$A,BRAN!$V:$V,AJOUT!$L:$L)</f>
        <v>0</v>
      </c>
      <c r="L171" s="100">
        <f>SUMIF(CBOUT!$A:$A,BRAN!$V:$V,CBOUT!$G:$G)</f>
        <v>0</v>
      </c>
      <c r="M171" s="1158">
        <f>E171+F171+H171-I171-L171+G171-K171</f>
        <v>0</v>
      </c>
      <c r="N171" s="100">
        <f t="shared" si="59"/>
        <v>0</v>
      </c>
      <c r="O171" s="1159">
        <f t="shared" si="57"/>
        <v>0</v>
      </c>
      <c r="P171" s="804">
        <f>+SUM(N166:N192)-P167-P168-P170</f>
        <v>53000</v>
      </c>
      <c r="Q171" s="804">
        <f>+SUM(O166:O192)-Q167-Q168-Q170</f>
        <v>132625</v>
      </c>
      <c r="R171" s="804">
        <f>O171/INTGRATE!$N$293</f>
        <v>0</v>
      </c>
      <c r="S171" s="665">
        <f>IF(R171=0,0,(N56+N171)/(R171+R56))</f>
        <v>0</v>
      </c>
      <c r="T171" s="402"/>
      <c r="U171" s="136"/>
      <c r="V171" s="840" t="str">
        <f t="shared" si="56"/>
        <v>949M25</v>
      </c>
      <c r="W171" s="823">
        <v>203201</v>
      </c>
      <c r="X171" s="91"/>
      <c r="Y171" s="91">
        <v>0</v>
      </c>
      <c r="Z171" s="100">
        <v>0</v>
      </c>
      <c r="AA171" s="100">
        <v>0</v>
      </c>
      <c r="AB171" s="100">
        <v>0</v>
      </c>
      <c r="AC171" s="100">
        <v>0</v>
      </c>
      <c r="AD171" s="100">
        <v>0</v>
      </c>
      <c r="AE171" s="100">
        <v>0</v>
      </c>
      <c r="AF171" s="100">
        <v>0</v>
      </c>
      <c r="AG171" s="100"/>
      <c r="AH171" s="100"/>
      <c r="AI171" s="100"/>
      <c r="AJ171" s="100"/>
      <c r="AK171" s="100"/>
      <c r="AL171" s="100"/>
      <c r="AM171" s="100"/>
      <c r="AN171" s="100"/>
      <c r="AO171" s="100"/>
      <c r="AP171" s="100"/>
      <c r="AQ171" s="100"/>
      <c r="AR171" s="100"/>
      <c r="AS171" s="100"/>
      <c r="AT171" s="100"/>
      <c r="AU171" s="100"/>
      <c r="AV171" s="100"/>
      <c r="AW171" s="100"/>
      <c r="AX171" s="100"/>
      <c r="AY171" s="100"/>
      <c r="AZ171" s="100"/>
      <c r="BA171" s="100"/>
      <c r="BB171" s="100"/>
      <c r="BC171" s="276">
        <f t="shared" si="62"/>
        <v>0</v>
      </c>
      <c r="BD171" s="786">
        <f t="shared" si="63"/>
        <v>0</v>
      </c>
      <c r="BE171" s="786">
        <f t="shared" si="64"/>
        <v>0</v>
      </c>
      <c r="BF171" s="38"/>
      <c r="BG171" s="38"/>
      <c r="BH171" s="436"/>
      <c r="BI171" s="38"/>
      <c r="BJ171" s="38"/>
      <c r="BK171" s="38"/>
      <c r="BL171" s="38"/>
      <c r="BM171" s="38"/>
      <c r="BN171" s="38"/>
      <c r="BO171" s="38"/>
      <c r="BP171" s="38"/>
      <c r="BQ171" s="38"/>
      <c r="BR171" s="38"/>
      <c r="BS171" s="38"/>
      <c r="BT171" s="38"/>
      <c r="BU171" s="38"/>
      <c r="BV171" s="38"/>
      <c r="BW171" s="38"/>
      <c r="BX171" s="38"/>
      <c r="BY171" s="38"/>
      <c r="BZ171" s="38"/>
      <c r="CA171" s="38"/>
      <c r="CB171" s="38"/>
      <c r="CC171" s="38"/>
      <c r="CD171" s="38"/>
      <c r="CE171" s="38"/>
      <c r="CF171" s="38"/>
      <c r="CG171" s="38"/>
      <c r="CH171" s="38"/>
      <c r="CI171" s="38"/>
      <c r="CJ171" s="38"/>
      <c r="CK171" s="38"/>
      <c r="CL171" s="38"/>
      <c r="CM171" s="38"/>
      <c r="CN171" s="38"/>
      <c r="CO171" s="38"/>
      <c r="CP171" s="38"/>
      <c r="CQ171" s="38"/>
      <c r="CR171" s="38"/>
      <c r="CS171" s="38"/>
      <c r="CT171" s="38"/>
      <c r="CU171" s="38"/>
      <c r="CV171" s="38"/>
      <c r="CW171" s="38"/>
      <c r="CX171" s="38"/>
      <c r="CY171" s="38"/>
      <c r="CZ171" s="38"/>
      <c r="DA171" s="38"/>
      <c r="DB171" s="38"/>
      <c r="DC171" s="38"/>
      <c r="DD171" s="38"/>
      <c r="DE171" s="38"/>
      <c r="DF171" s="38"/>
      <c r="DG171" s="38"/>
      <c r="DH171" s="38"/>
      <c r="DI171" s="38"/>
      <c r="DJ171" s="38"/>
      <c r="DK171" s="38"/>
      <c r="DL171" s="38"/>
      <c r="DM171" s="38"/>
      <c r="DN171" s="38"/>
      <c r="DO171" s="38"/>
      <c r="DP171" s="38"/>
      <c r="DQ171" s="38"/>
      <c r="DR171" s="38"/>
      <c r="DS171" s="38"/>
      <c r="DT171" s="38"/>
      <c r="DU171" s="38"/>
      <c r="DV171" s="38"/>
      <c r="DW171" s="38"/>
      <c r="DX171" s="38"/>
      <c r="DY171" s="38"/>
      <c r="DZ171" s="38"/>
      <c r="EA171" s="38"/>
      <c r="EB171" s="38"/>
      <c r="EC171" s="38"/>
      <c r="ED171" s="38"/>
      <c r="EE171" s="38"/>
      <c r="EF171" s="38"/>
      <c r="EG171" s="38"/>
      <c r="EH171" s="38"/>
      <c r="EI171" s="38"/>
      <c r="EJ171" s="38"/>
      <c r="EK171" s="38"/>
      <c r="EL171" s="38"/>
      <c r="EM171" s="38"/>
      <c r="EN171" s="38"/>
      <c r="EO171" s="38"/>
      <c r="EP171" s="38"/>
      <c r="EQ171" s="38"/>
      <c r="ER171" s="38"/>
      <c r="ES171" s="38"/>
      <c r="ET171" s="38"/>
      <c r="EU171" s="38"/>
    </row>
    <row r="172" spans="1:151" s="101" customFormat="1" ht="15" customHeight="1">
      <c r="A172" s="91">
        <v>7</v>
      </c>
      <c r="B172" s="551">
        <v>949</v>
      </c>
      <c r="C172" s="551" t="s">
        <v>64</v>
      </c>
      <c r="D172" s="552">
        <v>25</v>
      </c>
      <c r="E172" s="100">
        <v>261</v>
      </c>
      <c r="F172" s="100">
        <f>SUMIF(pro!$A:$A,$V:$V,pro!$N:$N)</f>
        <v>444</v>
      </c>
      <c r="G172" s="100"/>
      <c r="H172" s="100">
        <f>SUMIF(CBIN!$A:$A,BRAN!$V:$V,CBIN!$G:$G)</f>
        <v>0</v>
      </c>
      <c r="I172" s="100">
        <f>SUMIF(data!$D:$D,$B172&amp;$D172,data!$J:$J)</f>
        <v>0</v>
      </c>
      <c r="J172" s="100">
        <f>SUMIF(data!$D:$D,$B172&amp;$D172,data!$K:$K)</f>
        <v>0</v>
      </c>
      <c r="K172" s="100">
        <f>SUMIF(AJOUT!$A:$A,BRAN!$V:$V,AJOUT!$L:$L)</f>
        <v>0</v>
      </c>
      <c r="L172" s="100">
        <f>SUMIF(CBOUT!$A:$A,BRAN!$V:$V,CBOUT!$G:$G)</f>
        <v>0</v>
      </c>
      <c r="M172" s="1158">
        <f>E172+F172+H172-I172-L172+G172-K172</f>
        <v>705</v>
      </c>
      <c r="N172" s="100">
        <f t="shared" si="59"/>
        <v>17625</v>
      </c>
      <c r="O172" s="1159">
        <f>SUM(X172:BB172)</f>
        <v>38475</v>
      </c>
      <c r="P172" s="804"/>
      <c r="Q172" s="804"/>
      <c r="R172" s="804">
        <f>O172/INTGRATE!$N$293</f>
        <v>4275</v>
      </c>
      <c r="S172" s="665">
        <f>IF(R172=0,0,(N57+N172)/(R172+R57))</f>
        <v>3.3482849604221636</v>
      </c>
      <c r="T172" s="402"/>
      <c r="U172" s="136"/>
      <c r="V172" s="840" t="str">
        <f t="shared" si="56"/>
        <v>94925</v>
      </c>
      <c r="W172" s="823">
        <v>203101</v>
      </c>
      <c r="X172" s="91"/>
      <c r="Y172" s="91">
        <v>4850</v>
      </c>
      <c r="Z172" s="100">
        <v>0</v>
      </c>
      <c r="AA172" s="100">
        <v>0</v>
      </c>
      <c r="AB172" s="100">
        <v>10500</v>
      </c>
      <c r="AC172" s="100">
        <v>6750</v>
      </c>
      <c r="AD172" s="100">
        <v>2500</v>
      </c>
      <c r="AE172" s="100">
        <v>0</v>
      </c>
      <c r="AF172" s="100">
        <v>13875</v>
      </c>
      <c r="AG172" s="100"/>
      <c r="AH172" s="100"/>
      <c r="AI172" s="100"/>
      <c r="AJ172" s="100"/>
      <c r="AK172" s="100"/>
      <c r="AL172" s="100"/>
      <c r="AM172" s="100"/>
      <c r="AN172" s="100"/>
      <c r="AO172" s="100"/>
      <c r="AP172" s="100"/>
      <c r="AQ172" s="100"/>
      <c r="AR172" s="100"/>
      <c r="AS172" s="100"/>
      <c r="AT172" s="100"/>
      <c r="AU172" s="100"/>
      <c r="AV172" s="100"/>
      <c r="AW172" s="100"/>
      <c r="AX172" s="100"/>
      <c r="AY172" s="100"/>
      <c r="AZ172" s="100"/>
      <c r="BA172" s="100"/>
      <c r="BB172" s="100"/>
      <c r="BC172" s="276">
        <f t="shared" si="62"/>
        <v>38475</v>
      </c>
      <c r="BD172" s="786">
        <f t="shared" si="63"/>
        <v>5</v>
      </c>
      <c r="BE172" s="786">
        <f t="shared" si="64"/>
        <v>7695</v>
      </c>
      <c r="BF172" s="38"/>
      <c r="BG172" s="38"/>
      <c r="BH172" s="436"/>
      <c r="BI172" s="38"/>
      <c r="BJ172" s="38"/>
      <c r="BK172" s="38"/>
      <c r="BL172" s="38"/>
      <c r="BM172" s="38"/>
      <c r="BN172" s="38"/>
      <c r="BO172" s="38"/>
      <c r="BP172" s="38"/>
      <c r="BQ172" s="38"/>
      <c r="BR172" s="38"/>
      <c r="BS172" s="38"/>
      <c r="BT172" s="38"/>
      <c r="BU172" s="38"/>
      <c r="BV172" s="38"/>
      <c r="BW172" s="38"/>
      <c r="BX172" s="38"/>
      <c r="BY172" s="38"/>
      <c r="BZ172" s="38"/>
      <c r="CA172" s="38"/>
      <c r="CB172" s="38"/>
      <c r="CC172" s="38"/>
      <c r="CD172" s="38"/>
      <c r="CE172" s="38"/>
      <c r="CF172" s="38"/>
      <c r="CG172" s="38"/>
      <c r="CH172" s="38"/>
      <c r="CI172" s="38"/>
      <c r="CJ172" s="38"/>
      <c r="CK172" s="38"/>
      <c r="CL172" s="38"/>
      <c r="CM172" s="38"/>
      <c r="CN172" s="38"/>
      <c r="CO172" s="38"/>
      <c r="CP172" s="38"/>
      <c r="CQ172" s="38"/>
      <c r="CR172" s="38"/>
      <c r="CS172" s="38"/>
      <c r="CT172" s="38"/>
      <c r="CU172" s="38"/>
      <c r="CV172" s="38"/>
      <c r="CW172" s="38"/>
      <c r="CX172" s="38"/>
      <c r="CY172" s="38"/>
      <c r="CZ172" s="38"/>
      <c r="DA172" s="38"/>
      <c r="DB172" s="38"/>
      <c r="DC172" s="38"/>
      <c r="DD172" s="38"/>
      <c r="DE172" s="38"/>
      <c r="DF172" s="38"/>
      <c r="DG172" s="38"/>
      <c r="DH172" s="38"/>
      <c r="DI172" s="38"/>
      <c r="DJ172" s="38"/>
      <c r="DK172" s="38"/>
      <c r="DL172" s="38"/>
      <c r="DM172" s="38"/>
      <c r="DN172" s="38"/>
      <c r="DO172" s="38"/>
      <c r="DP172" s="38"/>
      <c r="DQ172" s="38"/>
      <c r="DR172" s="38"/>
      <c r="DS172" s="38"/>
      <c r="DT172" s="38"/>
      <c r="DU172" s="38"/>
      <c r="DV172" s="38"/>
      <c r="DW172" s="38"/>
      <c r="DX172" s="38"/>
      <c r="DY172" s="38"/>
      <c r="DZ172" s="38"/>
      <c r="EA172" s="38"/>
      <c r="EB172" s="38"/>
      <c r="EC172" s="38"/>
      <c r="ED172" s="38"/>
      <c r="EE172" s="38"/>
      <c r="EF172" s="38"/>
      <c r="EG172" s="38"/>
      <c r="EH172" s="38"/>
      <c r="EI172" s="38"/>
      <c r="EJ172" s="38"/>
      <c r="EK172" s="38"/>
      <c r="EL172" s="38"/>
      <c r="EM172" s="38"/>
      <c r="EN172" s="38"/>
      <c r="EO172" s="38"/>
      <c r="EP172" s="38"/>
      <c r="EQ172" s="38"/>
      <c r="ER172" s="38"/>
      <c r="ES172" s="38"/>
      <c r="ET172" s="38"/>
      <c r="EU172" s="38"/>
    </row>
    <row r="173" spans="1:151" s="101" customFormat="1" ht="15" customHeight="1">
      <c r="A173" s="91">
        <v>8</v>
      </c>
      <c r="B173" s="551">
        <v>944</v>
      </c>
      <c r="C173" s="551" t="s">
        <v>64</v>
      </c>
      <c r="D173" s="552">
        <v>25</v>
      </c>
      <c r="E173" s="100">
        <v>59</v>
      </c>
      <c r="F173" s="100">
        <f>SUMIF(pro!$A:$A,$V:$V,pro!$N:$N)</f>
        <v>0</v>
      </c>
      <c r="G173" s="100"/>
      <c r="H173" s="100">
        <f>SUMIF(CBIN!$A:$A,BRAN!$V:$V,CBIN!$G:$G)</f>
        <v>0</v>
      </c>
      <c r="I173" s="100">
        <f>SUMIF(data!$D:$D,$B173&amp;$D173,data!$J:$J)</f>
        <v>0</v>
      </c>
      <c r="J173" s="100">
        <f>SUMIF(data!$D:$D,$B173&amp;$D173,data!$K:$K)</f>
        <v>0</v>
      </c>
      <c r="K173" s="100">
        <f>SUMIF(AJOUT!$A:$A,BRAN!$V:$V,AJOUT!$L:$L)</f>
        <v>0</v>
      </c>
      <c r="L173" s="100">
        <f>SUMIF(CBOUT!$A:$A,BRAN!$V:$V,CBOUT!$G:$G)</f>
        <v>0</v>
      </c>
      <c r="M173" s="1158">
        <f>E173+F173+H173-I173-L173+G173-K173</f>
        <v>59</v>
      </c>
      <c r="N173" s="100">
        <f t="shared" si="59"/>
        <v>1475</v>
      </c>
      <c r="O173" s="1159">
        <f>SUM(X173:BB173)</f>
        <v>4750</v>
      </c>
      <c r="P173" s="804"/>
      <c r="Q173" s="804"/>
      <c r="R173" s="804">
        <f>O173/INTGRATE!$N$293</f>
        <v>527.77777777777783</v>
      </c>
      <c r="S173" s="665">
        <f>IF(R173=0,0,(N58+N173)/(R173+R58))</f>
        <v>9.6154919748778784</v>
      </c>
      <c r="T173" s="402"/>
      <c r="U173" s="136"/>
      <c r="V173" s="840" t="str">
        <f t="shared" si="56"/>
        <v>94425</v>
      </c>
      <c r="W173" s="831">
        <v>216201</v>
      </c>
      <c r="X173" s="91"/>
      <c r="Y173" s="91">
        <v>4750</v>
      </c>
      <c r="Z173" s="100">
        <v>0</v>
      </c>
      <c r="AA173" s="100">
        <v>0</v>
      </c>
      <c r="AB173" s="100">
        <v>0</v>
      </c>
      <c r="AC173" s="100">
        <v>0</v>
      </c>
      <c r="AD173" s="100">
        <v>0</v>
      </c>
      <c r="AE173" s="100">
        <v>0</v>
      </c>
      <c r="AF173" s="100">
        <v>0</v>
      </c>
      <c r="AG173" s="100"/>
      <c r="AH173" s="100"/>
      <c r="AI173" s="100"/>
      <c r="AJ173" s="100"/>
      <c r="AK173" s="100"/>
      <c r="AL173" s="100"/>
      <c r="AM173" s="100"/>
      <c r="AN173" s="100"/>
      <c r="AO173" s="100"/>
      <c r="AP173" s="100"/>
      <c r="AQ173" s="100"/>
      <c r="AR173" s="100"/>
      <c r="AS173" s="100"/>
      <c r="AT173" s="100"/>
      <c r="AU173" s="100"/>
      <c r="AV173" s="100"/>
      <c r="AW173" s="100"/>
      <c r="AX173" s="100"/>
      <c r="AY173" s="100"/>
      <c r="AZ173" s="100"/>
      <c r="BA173" s="100"/>
      <c r="BB173" s="100"/>
      <c r="BC173" s="276">
        <f t="shared" si="62"/>
        <v>4750</v>
      </c>
      <c r="BD173" s="786">
        <f t="shared" si="63"/>
        <v>1</v>
      </c>
      <c r="BE173" s="786">
        <f t="shared" si="64"/>
        <v>4750</v>
      </c>
      <c r="BF173" s="38"/>
      <c r="BG173" s="38"/>
      <c r="BH173" s="436"/>
      <c r="BI173" s="38"/>
      <c r="BJ173" s="38"/>
      <c r="BK173" s="38"/>
      <c r="BL173" s="38"/>
      <c r="BM173" s="38"/>
      <c r="BN173" s="38"/>
      <c r="BO173" s="38"/>
      <c r="BP173" s="38"/>
      <c r="BQ173" s="38"/>
      <c r="BR173" s="38"/>
      <c r="BS173" s="38"/>
      <c r="BT173" s="38"/>
      <c r="BU173" s="38"/>
      <c r="BV173" s="38"/>
      <c r="BW173" s="38"/>
      <c r="BX173" s="38"/>
      <c r="BY173" s="38"/>
      <c r="BZ173" s="38"/>
      <c r="CA173" s="38"/>
      <c r="CB173" s="38"/>
      <c r="CC173" s="38"/>
      <c r="CD173" s="38"/>
      <c r="CE173" s="38"/>
      <c r="CF173" s="38"/>
      <c r="CG173" s="38"/>
      <c r="CH173" s="38"/>
      <c r="CI173" s="38"/>
      <c r="CJ173" s="38"/>
      <c r="CK173" s="38"/>
      <c r="CL173" s="38"/>
      <c r="CM173" s="38"/>
      <c r="CN173" s="38"/>
      <c r="CO173" s="38"/>
      <c r="CP173" s="38"/>
      <c r="CQ173" s="38"/>
      <c r="CR173" s="38"/>
      <c r="CS173" s="38"/>
      <c r="CT173" s="38"/>
      <c r="CU173" s="38"/>
      <c r="CV173" s="38"/>
      <c r="CW173" s="38"/>
      <c r="CX173" s="38"/>
      <c r="CY173" s="38"/>
      <c r="CZ173" s="38"/>
      <c r="DA173" s="38"/>
      <c r="DB173" s="38"/>
      <c r="DC173" s="38"/>
      <c r="DD173" s="38"/>
      <c r="DE173" s="38"/>
      <c r="DF173" s="38"/>
      <c r="DG173" s="38"/>
      <c r="DH173" s="38"/>
      <c r="DI173" s="38"/>
      <c r="DJ173" s="38"/>
      <c r="DK173" s="38"/>
      <c r="DL173" s="38"/>
      <c r="DM173" s="38"/>
      <c r="DN173" s="38"/>
      <c r="DO173" s="38"/>
      <c r="DP173" s="38"/>
      <c r="DQ173" s="38"/>
      <c r="DR173" s="38"/>
      <c r="DS173" s="38"/>
      <c r="DT173" s="38"/>
      <c r="DU173" s="38"/>
      <c r="DV173" s="38"/>
      <c r="DW173" s="38"/>
      <c r="DX173" s="38"/>
      <c r="DY173" s="38"/>
      <c r="DZ173" s="38"/>
      <c r="EA173" s="38"/>
      <c r="EB173" s="38"/>
      <c r="EC173" s="38"/>
      <c r="ED173" s="38"/>
      <c r="EE173" s="38"/>
      <c r="EF173" s="38"/>
      <c r="EG173" s="38"/>
      <c r="EH173" s="38"/>
      <c r="EI173" s="38"/>
      <c r="EJ173" s="38"/>
      <c r="EK173" s="38"/>
      <c r="EL173" s="38"/>
      <c r="EM173" s="38"/>
      <c r="EN173" s="38"/>
      <c r="EO173" s="38"/>
      <c r="EP173" s="38"/>
      <c r="EQ173" s="38"/>
      <c r="ER173" s="38"/>
      <c r="ES173" s="38"/>
      <c r="ET173" s="38"/>
      <c r="EU173" s="38"/>
    </row>
    <row r="174" spans="1:151" s="101" customFormat="1" ht="15.75" customHeight="1">
      <c r="A174" s="91">
        <v>9</v>
      </c>
      <c r="B174" s="102">
        <v>944</v>
      </c>
      <c r="C174" s="102" t="s">
        <v>64</v>
      </c>
      <c r="D174" s="103">
        <v>40</v>
      </c>
      <c r="E174" s="100">
        <v>0</v>
      </c>
      <c r="F174" s="100">
        <f>SUMIF(pro!$A:$A,$V:$V,pro!$N:$N)</f>
        <v>0</v>
      </c>
      <c r="G174" s="100"/>
      <c r="H174" s="100">
        <f>SUMIF(CBIN!$A:$A,BRAN!$V:$V,CBIN!$G:$G)</f>
        <v>0</v>
      </c>
      <c r="I174" s="100">
        <f>SUMIF(data!$D:$D,$B174&amp;$D174,data!$J:$J)</f>
        <v>0</v>
      </c>
      <c r="J174" s="100">
        <f>SUMIF(data!$D:$D,$B174&amp;$D174,data!$K:$K)</f>
        <v>0</v>
      </c>
      <c r="K174" s="100">
        <f>SUMIF(AJOUT!$A:$A,BRAN!$V:$V,AJOUT!$L:$L)</f>
        <v>0</v>
      </c>
      <c r="L174" s="100">
        <f>SUMIF(CBOUT!$A:$A,BRAN!$V:$V,CBOUT!$G:$G)</f>
        <v>0</v>
      </c>
      <c r="M174" s="1158">
        <f t="shared" si="58"/>
        <v>0</v>
      </c>
      <c r="N174" s="100">
        <f t="shared" si="59"/>
        <v>0</v>
      </c>
      <c r="O174" s="1159">
        <f t="shared" si="57"/>
        <v>0</v>
      </c>
      <c r="P174" s="804"/>
      <c r="Q174" s="804"/>
      <c r="R174" s="804">
        <f>O174/INTGRATE!$N$293</f>
        <v>0</v>
      </c>
      <c r="S174" s="665">
        <f t="shared" ref="S174:S192" si="65">IF(R174=0,0,N174/R174)</f>
        <v>0</v>
      </c>
      <c r="T174" s="402"/>
      <c r="U174" s="141"/>
      <c r="V174" s="840" t="str">
        <f t="shared" si="56"/>
        <v>94440</v>
      </c>
      <c r="W174" s="831">
        <v>216201</v>
      </c>
      <c r="X174" s="559"/>
      <c r="Y174" s="559">
        <v>0</v>
      </c>
      <c r="Z174" s="100">
        <v>0</v>
      </c>
      <c r="AA174" s="100">
        <v>0</v>
      </c>
      <c r="AB174" s="100">
        <v>0</v>
      </c>
      <c r="AC174" s="100">
        <v>0</v>
      </c>
      <c r="AD174" s="100">
        <v>0</v>
      </c>
      <c r="AE174" s="100">
        <v>0</v>
      </c>
      <c r="AF174" s="100">
        <v>0</v>
      </c>
      <c r="AG174" s="100"/>
      <c r="AH174" s="100"/>
      <c r="AI174" s="100"/>
      <c r="AJ174" s="100"/>
      <c r="AK174" s="100"/>
      <c r="AL174" s="100"/>
      <c r="AM174" s="100"/>
      <c r="AN174" s="100"/>
      <c r="AO174" s="100"/>
      <c r="AP174" s="100"/>
      <c r="AQ174" s="100"/>
      <c r="AR174" s="100"/>
      <c r="AS174" s="100"/>
      <c r="AT174" s="100"/>
      <c r="AU174" s="100"/>
      <c r="AV174" s="100"/>
      <c r="AW174" s="100"/>
      <c r="AX174" s="100"/>
      <c r="AY174" s="100"/>
      <c r="AZ174" s="100"/>
      <c r="BA174" s="100"/>
      <c r="BB174" s="100"/>
      <c r="BC174" s="276">
        <f t="shared" si="62"/>
        <v>0</v>
      </c>
      <c r="BD174" s="786">
        <f t="shared" si="63"/>
        <v>0</v>
      </c>
      <c r="BE174" s="786">
        <f t="shared" si="64"/>
        <v>0</v>
      </c>
      <c r="BF174" s="63"/>
      <c r="BG174" s="38"/>
      <c r="BH174" s="437"/>
      <c r="BI174" s="63"/>
      <c r="BJ174" s="63"/>
      <c r="BK174" s="63"/>
      <c r="BL174" s="38"/>
      <c r="BM174" s="38"/>
      <c r="BN174" s="38"/>
      <c r="BO174" s="38"/>
      <c r="BP174" s="38"/>
      <c r="BQ174" s="38"/>
      <c r="BR174" s="38"/>
      <c r="BS174" s="38"/>
      <c r="BT174" s="38"/>
      <c r="BU174" s="38"/>
      <c r="BV174" s="38"/>
      <c r="BW174" s="38"/>
      <c r="BX174" s="38"/>
      <c r="BY174" s="38"/>
      <c r="BZ174" s="38"/>
      <c r="CA174" s="38"/>
      <c r="CB174" s="38"/>
      <c r="CC174" s="38"/>
      <c r="CD174" s="38"/>
      <c r="CE174" s="38"/>
      <c r="CF174" s="38"/>
      <c r="CG174" s="38"/>
      <c r="CH174" s="38"/>
      <c r="CI174" s="38"/>
      <c r="CJ174" s="38"/>
      <c r="CK174" s="38"/>
      <c r="CL174" s="38"/>
      <c r="CM174" s="38"/>
      <c r="CN174" s="38"/>
      <c r="CO174" s="38"/>
      <c r="CP174" s="38"/>
      <c r="CQ174" s="38"/>
      <c r="CR174" s="38"/>
      <c r="CS174" s="38"/>
      <c r="CT174" s="38"/>
      <c r="CU174" s="38"/>
      <c r="CV174" s="38"/>
      <c r="CW174" s="38"/>
      <c r="CX174" s="38"/>
      <c r="CY174" s="38"/>
      <c r="CZ174" s="38"/>
      <c r="DA174" s="38"/>
      <c r="DB174" s="38"/>
      <c r="DC174" s="38"/>
      <c r="DD174" s="38"/>
      <c r="DE174" s="38"/>
      <c r="DF174" s="38"/>
      <c r="DG174" s="38"/>
      <c r="DH174" s="38"/>
      <c r="DI174" s="38"/>
      <c r="DJ174" s="38"/>
      <c r="DK174" s="38"/>
      <c r="DL174" s="38"/>
      <c r="DM174" s="38"/>
      <c r="DN174" s="38"/>
      <c r="DO174" s="38"/>
      <c r="DP174" s="38"/>
      <c r="DQ174" s="38"/>
      <c r="DR174" s="38"/>
      <c r="DS174" s="38"/>
      <c r="DT174" s="38"/>
      <c r="DU174" s="38"/>
      <c r="DV174" s="38"/>
      <c r="DW174" s="38"/>
      <c r="DX174" s="38"/>
      <c r="DY174" s="38"/>
      <c r="DZ174" s="38"/>
      <c r="EA174" s="38"/>
      <c r="EB174" s="38"/>
      <c r="EC174" s="38"/>
      <c r="ED174" s="38"/>
      <c r="EE174" s="38"/>
      <c r="EF174" s="38"/>
      <c r="EG174" s="38"/>
      <c r="EH174" s="38"/>
      <c r="EI174" s="38"/>
      <c r="EJ174" s="38"/>
      <c r="EK174" s="38"/>
      <c r="EL174" s="38"/>
      <c r="EM174" s="38"/>
      <c r="EN174" s="38"/>
      <c r="EO174" s="38"/>
      <c r="EP174" s="38"/>
      <c r="EQ174" s="38"/>
      <c r="ER174" s="38"/>
      <c r="ES174" s="38"/>
      <c r="ET174" s="38"/>
      <c r="EU174" s="38"/>
    </row>
    <row r="175" spans="1:151" s="105" customFormat="1" ht="15" customHeight="1">
      <c r="A175" s="91">
        <v>10</v>
      </c>
      <c r="B175" s="102">
        <v>945</v>
      </c>
      <c r="C175" s="102" t="s">
        <v>64</v>
      </c>
      <c r="D175" s="103">
        <v>40</v>
      </c>
      <c r="E175" s="100">
        <v>0</v>
      </c>
      <c r="F175" s="100">
        <f>SUMIF(pro!$A:$A,$V:$V,pro!$N:$N)</f>
        <v>0</v>
      </c>
      <c r="G175" s="100"/>
      <c r="H175" s="100">
        <f>SUMIF(CBIN!$A:$A,BRAN!$V:$V,CBIN!$G:$G)</f>
        <v>0</v>
      </c>
      <c r="I175" s="100">
        <f>SUMIF(data!$D:$D,$B175&amp;$D175,data!$J:$J)</f>
        <v>0</v>
      </c>
      <c r="J175" s="100">
        <f>SUMIF(data!$D:$D,$B175&amp;$D175,data!$K:$K)</f>
        <v>0</v>
      </c>
      <c r="K175" s="100">
        <f>SUMIF(AJOUT!$A:$A,BRAN!$V:$V,AJOUT!$L:$L)</f>
        <v>0</v>
      </c>
      <c r="L175" s="100">
        <f>SUMIF(CBOUT!$A:$A,BRAN!$V:$V,CBOUT!$G:$G)</f>
        <v>0</v>
      </c>
      <c r="M175" s="1158">
        <f t="shared" si="58"/>
        <v>0</v>
      </c>
      <c r="N175" s="100">
        <f t="shared" si="59"/>
        <v>0</v>
      </c>
      <c r="O175" s="1159">
        <f t="shared" si="57"/>
        <v>0</v>
      </c>
      <c r="P175" s="804"/>
      <c r="Q175" s="804"/>
      <c r="R175" s="804">
        <f>O175/INTGRATE!$N$293</f>
        <v>0</v>
      </c>
      <c r="S175" s="665">
        <f t="shared" si="65"/>
        <v>0</v>
      </c>
      <c r="T175" s="402"/>
      <c r="U175" s="141"/>
      <c r="V175" s="840" t="str">
        <f t="shared" si="56"/>
        <v>94540</v>
      </c>
      <c r="W175" s="831">
        <v>216251</v>
      </c>
      <c r="X175" s="91"/>
      <c r="Y175" s="91">
        <v>0</v>
      </c>
      <c r="Z175" s="100">
        <v>0</v>
      </c>
      <c r="AA175" s="100">
        <v>0</v>
      </c>
      <c r="AB175" s="100">
        <v>0</v>
      </c>
      <c r="AC175" s="100">
        <v>0</v>
      </c>
      <c r="AD175" s="100">
        <v>0</v>
      </c>
      <c r="AE175" s="100">
        <v>0</v>
      </c>
      <c r="AF175" s="100">
        <v>0</v>
      </c>
      <c r="AG175" s="100"/>
      <c r="AH175" s="100"/>
      <c r="AI175" s="100"/>
      <c r="AJ175" s="100"/>
      <c r="AK175" s="100"/>
      <c r="AL175" s="100"/>
      <c r="AM175" s="100"/>
      <c r="AN175" s="100"/>
      <c r="AO175" s="100"/>
      <c r="AP175" s="100"/>
      <c r="AQ175" s="100"/>
      <c r="AR175" s="100"/>
      <c r="AS175" s="100"/>
      <c r="AT175" s="100"/>
      <c r="AU175" s="100"/>
      <c r="AV175" s="100"/>
      <c r="AW175" s="100"/>
      <c r="AX175" s="100"/>
      <c r="AY175" s="100"/>
      <c r="AZ175" s="100"/>
      <c r="BA175" s="100"/>
      <c r="BB175" s="100"/>
      <c r="BC175" s="276">
        <f t="shared" si="62"/>
        <v>0</v>
      </c>
      <c r="BD175" s="786">
        <f t="shared" si="63"/>
        <v>0</v>
      </c>
      <c r="BE175" s="786">
        <f t="shared" si="64"/>
        <v>0</v>
      </c>
      <c r="BF175" s="104"/>
      <c r="BG175" s="38"/>
      <c r="BH175" s="437"/>
      <c r="BI175" s="104"/>
      <c r="BJ175" s="104"/>
      <c r="BK175" s="104"/>
      <c r="BL175" s="104"/>
      <c r="BM175" s="104"/>
      <c r="BN175" s="104"/>
      <c r="BO175" s="104"/>
      <c r="BP175" s="104"/>
      <c r="BQ175" s="104"/>
      <c r="BR175" s="104"/>
      <c r="BS175" s="104"/>
      <c r="BT175" s="104"/>
      <c r="BU175" s="104"/>
      <c r="BV175" s="104"/>
      <c r="BW175" s="104"/>
      <c r="BX175" s="104"/>
      <c r="BY175" s="104"/>
      <c r="BZ175" s="104"/>
      <c r="CA175" s="104"/>
      <c r="CB175" s="104"/>
      <c r="CC175" s="104"/>
      <c r="CD175" s="104"/>
      <c r="CE175" s="104"/>
      <c r="CF175" s="104"/>
      <c r="CG175" s="104"/>
      <c r="CH175" s="104"/>
      <c r="CI175" s="104"/>
      <c r="CJ175" s="104"/>
      <c r="CK175" s="104"/>
      <c r="CL175" s="104"/>
      <c r="CM175" s="104"/>
      <c r="CN175" s="104"/>
      <c r="CO175" s="104"/>
      <c r="CP175" s="104"/>
      <c r="CQ175" s="104"/>
      <c r="CR175" s="104"/>
      <c r="CS175" s="104"/>
      <c r="CT175" s="104"/>
      <c r="CU175" s="104"/>
      <c r="CV175" s="104"/>
      <c r="CW175" s="104"/>
      <c r="CX175" s="104"/>
      <c r="CY175" s="104"/>
      <c r="CZ175" s="104"/>
      <c r="DA175" s="104"/>
      <c r="DB175" s="104"/>
      <c r="DC175" s="104"/>
      <c r="DD175" s="104"/>
      <c r="DE175" s="104"/>
      <c r="DF175" s="104"/>
      <c r="DG175" s="104"/>
      <c r="DH175" s="104"/>
      <c r="DI175" s="104"/>
      <c r="DJ175" s="104"/>
      <c r="DK175" s="104"/>
      <c r="DL175" s="104"/>
      <c r="DM175" s="104"/>
      <c r="DN175" s="104"/>
      <c r="DO175" s="104"/>
      <c r="DP175" s="104"/>
      <c r="DQ175" s="104"/>
      <c r="DR175" s="104"/>
      <c r="DS175" s="104"/>
      <c r="DT175" s="104"/>
      <c r="DU175" s="104"/>
      <c r="DV175" s="104"/>
      <c r="DW175" s="104"/>
      <c r="DX175" s="104"/>
      <c r="DY175" s="104"/>
      <c r="DZ175" s="104"/>
      <c r="EA175" s="104"/>
      <c r="EB175" s="104"/>
      <c r="EC175" s="104"/>
      <c r="ED175" s="104"/>
      <c r="EE175" s="104"/>
      <c r="EF175" s="104"/>
      <c r="EG175" s="104"/>
      <c r="EH175" s="104"/>
      <c r="EI175" s="104"/>
      <c r="EJ175" s="104"/>
      <c r="EK175" s="104"/>
      <c r="EL175" s="104"/>
      <c r="EM175" s="104"/>
      <c r="EN175" s="104"/>
      <c r="EO175" s="104"/>
      <c r="EP175" s="104"/>
      <c r="EQ175" s="104"/>
      <c r="ER175" s="104"/>
      <c r="ES175" s="104"/>
      <c r="ET175" s="104"/>
      <c r="EU175" s="104"/>
    </row>
    <row r="176" spans="1:151" s="38" customFormat="1" ht="15" customHeight="1">
      <c r="A176" s="91">
        <v>11</v>
      </c>
      <c r="B176" s="170">
        <v>951</v>
      </c>
      <c r="C176" s="538" t="s">
        <v>61</v>
      </c>
      <c r="D176" s="164">
        <v>25</v>
      </c>
      <c r="E176" s="100">
        <v>2</v>
      </c>
      <c r="F176" s="100">
        <f>SUMIF(pro!$A:$A,$V:$V,pro!$N:$N)</f>
        <v>0</v>
      </c>
      <c r="G176" s="100"/>
      <c r="H176" s="100">
        <f>SUMIF(CBIN!$A:$A,BRAN!$V:$V,CBIN!$G:$G)</f>
        <v>0</v>
      </c>
      <c r="I176" s="100">
        <f>SUMIF(data!$D:$D,$B176&amp;$D176,data!$J:$J)</f>
        <v>0</v>
      </c>
      <c r="J176" s="100">
        <f>SUMIF(data!$D:$D,$B176&amp;$D176,data!$K:$K)</f>
        <v>0</v>
      </c>
      <c r="K176" s="100">
        <f>SUMIF(AJOUT!$A:$A,BRAN!$V:$V,AJOUT!$L:$L)</f>
        <v>0</v>
      </c>
      <c r="L176" s="100">
        <f>SUMIF(CBOUT!$A:$A,BRAN!$V:$V,CBOUT!$G:$G)</f>
        <v>0</v>
      </c>
      <c r="M176" s="1158">
        <f t="shared" si="58"/>
        <v>2</v>
      </c>
      <c r="N176" s="100">
        <f t="shared" si="59"/>
        <v>50</v>
      </c>
      <c r="O176" s="1159">
        <f t="shared" si="57"/>
        <v>9900</v>
      </c>
      <c r="P176" s="804"/>
      <c r="Q176" s="804"/>
      <c r="R176" s="804">
        <f>O176/INTGRATE!$N$293</f>
        <v>1100</v>
      </c>
      <c r="S176" s="665">
        <f t="shared" si="65"/>
        <v>4.5454545454545456E-2</v>
      </c>
      <c r="T176" s="402"/>
      <c r="U176" s="141"/>
      <c r="V176" s="840" t="str">
        <f t="shared" si="56"/>
        <v>95125</v>
      </c>
      <c r="W176" s="831">
        <v>314001</v>
      </c>
      <c r="X176" s="91"/>
      <c r="Y176" s="91">
        <v>1925</v>
      </c>
      <c r="Z176" s="100">
        <v>600</v>
      </c>
      <c r="AA176" s="100">
        <v>550</v>
      </c>
      <c r="AB176" s="100">
        <v>3625</v>
      </c>
      <c r="AC176" s="100">
        <v>750</v>
      </c>
      <c r="AD176" s="100">
        <v>75</v>
      </c>
      <c r="AE176" s="100">
        <v>2375</v>
      </c>
      <c r="AF176" s="100">
        <v>0</v>
      </c>
      <c r="AG176" s="100"/>
      <c r="AH176" s="100"/>
      <c r="AI176" s="100"/>
      <c r="AJ176" s="100"/>
      <c r="AK176" s="100"/>
      <c r="AL176" s="100"/>
      <c r="AM176" s="100"/>
      <c r="AN176" s="100"/>
      <c r="AO176" s="100"/>
      <c r="AP176" s="100"/>
      <c r="AQ176" s="100"/>
      <c r="AR176" s="100"/>
      <c r="AS176" s="100"/>
      <c r="AT176" s="100"/>
      <c r="AU176" s="100"/>
      <c r="AV176" s="100"/>
      <c r="AW176" s="100"/>
      <c r="AX176" s="100"/>
      <c r="AY176" s="100"/>
      <c r="AZ176" s="100"/>
      <c r="BA176" s="100"/>
      <c r="BB176" s="100"/>
      <c r="BC176" s="276">
        <f t="shared" si="62"/>
        <v>9900</v>
      </c>
      <c r="BD176" s="786">
        <f t="shared" si="63"/>
        <v>7</v>
      </c>
      <c r="BE176" s="786">
        <f t="shared" si="64"/>
        <v>1414.2857142857142</v>
      </c>
      <c r="BH176" s="436"/>
    </row>
    <row r="177" spans="1:60" s="38" customFormat="1" ht="15" customHeight="1">
      <c r="A177" s="91">
        <v>12</v>
      </c>
      <c r="B177" s="94">
        <v>952</v>
      </c>
      <c r="C177" s="94" t="s">
        <v>64</v>
      </c>
      <c r="D177" s="91">
        <v>25</v>
      </c>
      <c r="E177" s="100">
        <v>535</v>
      </c>
      <c r="F177" s="100">
        <f>SUMIF(pro!$A:$A,$V:$V,pro!$N:$N)</f>
        <v>0</v>
      </c>
      <c r="G177" s="100"/>
      <c r="H177" s="100">
        <f>SUMIF(CBIN!$A:$A,BRAN!$V:$V,CBIN!$G:$G)</f>
        <v>0</v>
      </c>
      <c r="I177" s="100">
        <f>SUMIF(data!$D:$D,$B177&amp;$D177,data!$J:$J)</f>
        <v>0</v>
      </c>
      <c r="J177" s="100">
        <f>SUMIF(data!$D:$D,$B177&amp;$D177,data!$K:$K)</f>
        <v>0</v>
      </c>
      <c r="K177" s="100">
        <f>SUMIF(AJOUT!$A:$A,BRAN!$V:$V,AJOUT!$L:$L)</f>
        <v>0</v>
      </c>
      <c r="L177" s="100">
        <f>SUMIF(CBOUT!$A:$A,BRAN!$V:$V,CBOUT!$G:$G)</f>
        <v>0</v>
      </c>
      <c r="M177" s="1158">
        <f t="shared" si="58"/>
        <v>535</v>
      </c>
      <c r="N177" s="100">
        <f t="shared" si="59"/>
        <v>13375</v>
      </c>
      <c r="O177" s="1159">
        <f t="shared" si="57"/>
        <v>29775</v>
      </c>
      <c r="P177" s="804"/>
      <c r="Q177" s="804"/>
      <c r="R177" s="804">
        <f>O177/INTGRATE!$N$293</f>
        <v>3308.3333333333335</v>
      </c>
      <c r="S177" s="665">
        <f t="shared" si="65"/>
        <v>4.0428211586901766</v>
      </c>
      <c r="T177" s="403"/>
      <c r="U177" s="141"/>
      <c r="V177" s="840" t="str">
        <f t="shared" si="56"/>
        <v>95225</v>
      </c>
      <c r="W177" s="831">
        <v>321001</v>
      </c>
      <c r="X177" s="91"/>
      <c r="Y177" s="91">
        <v>7150</v>
      </c>
      <c r="Z177" s="100">
        <v>2775</v>
      </c>
      <c r="AA177" s="100">
        <v>3125</v>
      </c>
      <c r="AB177" s="100">
        <v>7100</v>
      </c>
      <c r="AC177" s="100">
        <v>0</v>
      </c>
      <c r="AD177" s="100">
        <v>1600</v>
      </c>
      <c r="AE177" s="100">
        <v>6525</v>
      </c>
      <c r="AF177" s="100">
        <v>1500</v>
      </c>
      <c r="AG177" s="100"/>
      <c r="AH177" s="100"/>
      <c r="AI177" s="100"/>
      <c r="AJ177" s="100"/>
      <c r="AK177" s="100"/>
      <c r="AL177" s="100"/>
      <c r="AM177" s="100"/>
      <c r="AN177" s="100"/>
      <c r="AO177" s="100"/>
      <c r="AP177" s="100"/>
      <c r="AQ177" s="100"/>
      <c r="AR177" s="100"/>
      <c r="AS177" s="100"/>
      <c r="AT177" s="100"/>
      <c r="AU177" s="100"/>
      <c r="AV177" s="100"/>
      <c r="AW177" s="100"/>
      <c r="AX177" s="100"/>
      <c r="AY177" s="100"/>
      <c r="AZ177" s="100"/>
      <c r="BA177" s="100"/>
      <c r="BB177" s="100"/>
      <c r="BC177" s="276">
        <f t="shared" si="62"/>
        <v>29775</v>
      </c>
      <c r="BD177" s="786">
        <f t="shared" si="63"/>
        <v>7</v>
      </c>
      <c r="BE177" s="786">
        <f t="shared" si="64"/>
        <v>4253.5714285714284</v>
      </c>
      <c r="BH177" s="436"/>
    </row>
    <row r="178" spans="1:60" s="38" customFormat="1" ht="15" customHeight="1">
      <c r="A178" s="91">
        <v>13</v>
      </c>
      <c r="B178" s="94" t="s">
        <v>182</v>
      </c>
      <c r="C178" s="92" t="s">
        <v>61</v>
      </c>
      <c r="D178" s="91">
        <v>25</v>
      </c>
      <c r="E178" s="100">
        <v>0</v>
      </c>
      <c r="F178" s="100">
        <f>SUMIF(pro!$A:$A,$V:$V,pro!$N:$N)</f>
        <v>0</v>
      </c>
      <c r="G178" s="100"/>
      <c r="H178" s="100">
        <f>SUMIF(CBIN!$A:$A,BRAN!$V:$V,CBIN!$G:$G)</f>
        <v>0</v>
      </c>
      <c r="I178" s="100">
        <f>SUMIF(data!$D:$D,$B178&amp;$D178,data!$J:$J)</f>
        <v>0</v>
      </c>
      <c r="J178" s="100">
        <f>SUMIF(data!$D:$D,$B178&amp;$D178,data!$K:$K)</f>
        <v>0</v>
      </c>
      <c r="K178" s="100">
        <f>SUMIF(AJOUT!$A:$A,BRAN!$V:$V,AJOUT!$L:$L)</f>
        <v>0</v>
      </c>
      <c r="L178" s="100">
        <f>SUMIF(CBOUT!$A:$A,BRAN!$V:$V,CBOUT!$G:$G)</f>
        <v>0</v>
      </c>
      <c r="M178" s="1158">
        <f>E178+F178+H178-I178-L178+G178-K178</f>
        <v>0</v>
      </c>
      <c r="N178" s="100">
        <f t="shared" si="59"/>
        <v>0</v>
      </c>
      <c r="O178" s="1159">
        <f>SUM(X178:BB178)</f>
        <v>0</v>
      </c>
      <c r="P178" s="804"/>
      <c r="Q178" s="804"/>
      <c r="R178" s="804">
        <f>O178/INTGRATE!$N$293</f>
        <v>0</v>
      </c>
      <c r="S178" s="665">
        <f t="shared" si="65"/>
        <v>0</v>
      </c>
      <c r="T178" s="403"/>
      <c r="U178" s="141"/>
      <c r="V178" s="840" t="str">
        <f t="shared" si="56"/>
        <v>952M25</v>
      </c>
      <c r="W178" s="831">
        <v>321012</v>
      </c>
      <c r="X178" s="91"/>
      <c r="Y178" s="91">
        <v>0</v>
      </c>
      <c r="Z178" s="100">
        <v>0</v>
      </c>
      <c r="AA178" s="100">
        <v>0</v>
      </c>
      <c r="AB178" s="100">
        <v>0</v>
      </c>
      <c r="AC178" s="100">
        <v>0</v>
      </c>
      <c r="AD178" s="100">
        <v>0</v>
      </c>
      <c r="AE178" s="100">
        <v>0</v>
      </c>
      <c r="AF178" s="100">
        <v>0</v>
      </c>
      <c r="AG178" s="100"/>
      <c r="AH178" s="100"/>
      <c r="AI178" s="100"/>
      <c r="AJ178" s="100"/>
      <c r="AK178" s="100"/>
      <c r="AL178" s="100"/>
      <c r="AM178" s="100"/>
      <c r="AN178" s="100"/>
      <c r="AO178" s="100"/>
      <c r="AP178" s="100"/>
      <c r="AQ178" s="100"/>
      <c r="AR178" s="100"/>
      <c r="AS178" s="100"/>
      <c r="AT178" s="100"/>
      <c r="AU178" s="100"/>
      <c r="AV178" s="100"/>
      <c r="AW178" s="100"/>
      <c r="AX178" s="100"/>
      <c r="AY178" s="100"/>
      <c r="AZ178" s="100"/>
      <c r="BA178" s="100"/>
      <c r="BB178" s="100"/>
      <c r="BC178" s="276">
        <f t="shared" si="62"/>
        <v>0</v>
      </c>
      <c r="BD178" s="786">
        <f t="shared" si="63"/>
        <v>0</v>
      </c>
      <c r="BE178" s="786">
        <f t="shared" si="64"/>
        <v>0</v>
      </c>
      <c r="BH178" s="436"/>
    </row>
    <row r="179" spans="1:60" s="38" customFormat="1" ht="15" customHeight="1">
      <c r="A179" s="91">
        <v>14</v>
      </c>
      <c r="B179" s="170" t="s">
        <v>183</v>
      </c>
      <c r="C179" s="538" t="s">
        <v>61</v>
      </c>
      <c r="D179" s="164">
        <v>25</v>
      </c>
      <c r="E179" s="100">
        <v>0</v>
      </c>
      <c r="F179" s="100">
        <f>SUMIF(pro!$A:$A,$V:$V,pro!$N:$N)</f>
        <v>0</v>
      </c>
      <c r="G179" s="100"/>
      <c r="H179" s="100">
        <f>SUMIF(CBIN!$A:$A,BRAN!$V:$V,CBIN!$G:$G)</f>
        <v>0</v>
      </c>
      <c r="I179" s="100">
        <f>SUMIF(data!$D:$D,$B179&amp;$D179,data!$J:$J)</f>
        <v>0</v>
      </c>
      <c r="J179" s="100">
        <f>SUMIF(data!$D:$D,$B179&amp;$D179,data!$K:$K)</f>
        <v>0</v>
      </c>
      <c r="K179" s="100">
        <f>SUMIF(AJOUT!$A:$A,BRAN!$V:$V,AJOUT!$L:$L)</f>
        <v>0</v>
      </c>
      <c r="L179" s="100">
        <f>SUMIF(CBOUT!$A:$A,BRAN!$V:$V,CBOUT!$G:$G)</f>
        <v>0</v>
      </c>
      <c r="M179" s="1158">
        <f>E179+F179+H179-I179-L179+G179-K179</f>
        <v>0</v>
      </c>
      <c r="N179" s="100">
        <f t="shared" si="59"/>
        <v>0</v>
      </c>
      <c r="O179" s="1159">
        <f>SUM(X179:BB179)</f>
        <v>0</v>
      </c>
      <c r="P179" s="804"/>
      <c r="Q179" s="804"/>
      <c r="R179" s="804">
        <f>O179/INTGRATE!$N$293</f>
        <v>0</v>
      </c>
      <c r="S179" s="665">
        <f t="shared" si="65"/>
        <v>0</v>
      </c>
      <c r="T179" s="403"/>
      <c r="U179" s="141"/>
      <c r="V179" s="840" t="str">
        <f t="shared" si="56"/>
        <v>952MX25</v>
      </c>
      <c r="W179" s="831">
        <v>321018</v>
      </c>
      <c r="X179" s="91"/>
      <c r="Y179" s="91">
        <v>0</v>
      </c>
      <c r="Z179" s="100">
        <v>0</v>
      </c>
      <c r="AA179" s="100">
        <v>0</v>
      </c>
      <c r="AB179" s="100">
        <v>0</v>
      </c>
      <c r="AC179" s="100">
        <v>0</v>
      </c>
      <c r="AD179" s="100">
        <v>0</v>
      </c>
      <c r="AE179" s="100">
        <v>0</v>
      </c>
      <c r="AF179" s="100">
        <v>0</v>
      </c>
      <c r="AG179" s="100"/>
      <c r="AH179" s="100"/>
      <c r="AI179" s="100"/>
      <c r="AJ179" s="100"/>
      <c r="AK179" s="100"/>
      <c r="AL179" s="100"/>
      <c r="AM179" s="100"/>
      <c r="AN179" s="100"/>
      <c r="AO179" s="100"/>
      <c r="AP179" s="100"/>
      <c r="AQ179" s="100"/>
      <c r="AR179" s="100"/>
      <c r="AS179" s="100"/>
      <c r="AT179" s="100"/>
      <c r="AU179" s="100"/>
      <c r="AV179" s="100"/>
      <c r="AW179" s="100"/>
      <c r="AX179" s="100"/>
      <c r="AY179" s="100"/>
      <c r="AZ179" s="100"/>
      <c r="BA179" s="100"/>
      <c r="BB179" s="100"/>
      <c r="BC179" s="276">
        <f t="shared" si="62"/>
        <v>0</v>
      </c>
      <c r="BD179" s="786">
        <f t="shared" si="63"/>
        <v>0</v>
      </c>
      <c r="BE179" s="786">
        <f t="shared" si="64"/>
        <v>0</v>
      </c>
      <c r="BH179" s="436"/>
    </row>
    <row r="180" spans="1:60" s="38" customFormat="1" ht="15" customHeight="1">
      <c r="A180" s="91">
        <v>15</v>
      </c>
      <c r="B180" s="94" t="s">
        <v>184</v>
      </c>
      <c r="C180" s="92" t="s">
        <v>61</v>
      </c>
      <c r="D180" s="91">
        <v>25</v>
      </c>
      <c r="E180" s="100">
        <v>3</v>
      </c>
      <c r="F180" s="100">
        <f>SUMIF(pro!$A:$A,$V:$V,pro!$N:$N)</f>
        <v>439</v>
      </c>
      <c r="G180" s="100"/>
      <c r="H180" s="100">
        <f>SUMIF(CBIN!$A:$A,BRAN!$V:$V,CBIN!$G:$G)</f>
        <v>0</v>
      </c>
      <c r="I180" s="100">
        <f>SUMIF(data!$D:$D,$B180&amp;$D180,data!$J:$J)</f>
        <v>0</v>
      </c>
      <c r="J180" s="100">
        <f>SUMIF(data!$D:$D,$B180&amp;$D180,data!$K:$K)</f>
        <v>0</v>
      </c>
      <c r="K180" s="100">
        <f>SUMIF(AJOUT!$A:$A,BRAN!$V:$V,AJOUT!$L:$L)</f>
        <v>0</v>
      </c>
      <c r="L180" s="100">
        <f>SUMIF(CBOUT!$A:$A,BRAN!$V:$V,CBOUT!$G:$G)</f>
        <v>0</v>
      </c>
      <c r="M180" s="1158">
        <f t="shared" si="58"/>
        <v>442</v>
      </c>
      <c r="N180" s="100">
        <f t="shared" si="59"/>
        <v>11050</v>
      </c>
      <c r="O180" s="1159">
        <f t="shared" si="57"/>
        <v>28125</v>
      </c>
      <c r="P180" s="804"/>
      <c r="Q180" s="804"/>
      <c r="R180" s="804">
        <f>O180/INTGRATE!$N$293</f>
        <v>3125</v>
      </c>
      <c r="S180" s="665">
        <f t="shared" si="65"/>
        <v>3.536</v>
      </c>
      <c r="T180" s="402"/>
      <c r="U180" s="141"/>
      <c r="V180" s="841" t="str">
        <f t="shared" si="56"/>
        <v>952S25</v>
      </c>
      <c r="W180" s="842">
        <v>320001</v>
      </c>
      <c r="X180" s="91"/>
      <c r="Y180" s="91">
        <v>1250</v>
      </c>
      <c r="Z180" s="100">
        <v>1250</v>
      </c>
      <c r="AA180" s="100">
        <v>750</v>
      </c>
      <c r="AB180" s="100">
        <v>9875</v>
      </c>
      <c r="AC180" s="100">
        <v>1100</v>
      </c>
      <c r="AD180" s="100">
        <v>900</v>
      </c>
      <c r="AE180" s="100">
        <v>11250</v>
      </c>
      <c r="AF180" s="100">
        <v>1750</v>
      </c>
      <c r="AG180" s="100"/>
      <c r="AH180" s="100"/>
      <c r="AI180" s="100"/>
      <c r="AJ180" s="100"/>
      <c r="AK180" s="100"/>
      <c r="AL180" s="100"/>
      <c r="AM180" s="100"/>
      <c r="AN180" s="100"/>
      <c r="AO180" s="100"/>
      <c r="AP180" s="100"/>
      <c r="AQ180" s="100"/>
      <c r="AR180" s="100"/>
      <c r="AS180" s="100"/>
      <c r="AT180" s="100"/>
      <c r="AU180" s="100"/>
      <c r="AV180" s="100"/>
      <c r="AW180" s="100"/>
      <c r="AX180" s="100"/>
      <c r="AY180" s="100"/>
      <c r="AZ180" s="100"/>
      <c r="BA180" s="100"/>
      <c r="BB180" s="100"/>
      <c r="BC180" s="276">
        <f t="shared" si="62"/>
        <v>28125</v>
      </c>
      <c r="BD180" s="786">
        <f t="shared" si="63"/>
        <v>8</v>
      </c>
      <c r="BE180" s="786">
        <f t="shared" si="64"/>
        <v>3515.625</v>
      </c>
      <c r="BH180" s="436"/>
    </row>
    <row r="181" spans="1:60" s="38" customFormat="1" ht="15" customHeight="1">
      <c r="A181" s="91">
        <v>16</v>
      </c>
      <c r="B181" s="170" t="s">
        <v>185</v>
      </c>
      <c r="C181" s="538" t="s">
        <v>61</v>
      </c>
      <c r="D181" s="164">
        <v>25</v>
      </c>
      <c r="E181" s="100">
        <v>0</v>
      </c>
      <c r="F181" s="100">
        <f>SUMIF(pro!$A:$A,$V:$V,pro!$N:$N)</f>
        <v>0</v>
      </c>
      <c r="G181" s="100"/>
      <c r="H181" s="100">
        <f>SUMIF(CBIN!$A:$A,BRAN!$V:$V,CBIN!$G:$G)</f>
        <v>0</v>
      </c>
      <c r="I181" s="100">
        <f>SUMIF(data!$D:$D,$B181&amp;$D181,data!$J:$J)</f>
        <v>0</v>
      </c>
      <c r="J181" s="100">
        <f>SUMIF(data!$D:$D,$B181&amp;$D181,data!$K:$K)</f>
        <v>0</v>
      </c>
      <c r="K181" s="100">
        <f>SUMIF(AJOUT!$A:$A,BRAN!$V:$V,AJOUT!$L:$L)</f>
        <v>0</v>
      </c>
      <c r="L181" s="100">
        <f>SUMIF(CBOUT!$A:$A,BRAN!$V:$V,CBOUT!$G:$G)</f>
        <v>0</v>
      </c>
      <c r="M181" s="1158">
        <f>E181+F181+H181-I181-L181+G181-K181</f>
        <v>0</v>
      </c>
      <c r="N181" s="100">
        <f t="shared" si="59"/>
        <v>0</v>
      </c>
      <c r="O181" s="1159">
        <f t="shared" si="57"/>
        <v>0</v>
      </c>
      <c r="P181" s="804"/>
      <c r="Q181" s="804"/>
      <c r="R181" s="804">
        <f>O181/INTGRATE!$N$293</f>
        <v>0</v>
      </c>
      <c r="S181" s="665">
        <f t="shared" si="65"/>
        <v>0</v>
      </c>
      <c r="T181" s="402"/>
      <c r="U181" s="141"/>
      <c r="V181" s="841" t="str">
        <f t="shared" si="56"/>
        <v>952SX25</v>
      </c>
      <c r="W181" s="823">
        <v>320008</v>
      </c>
      <c r="X181" s="91"/>
      <c r="Y181" s="91">
        <v>0</v>
      </c>
      <c r="Z181" s="100">
        <v>0</v>
      </c>
      <c r="AA181" s="100">
        <v>0</v>
      </c>
      <c r="AB181" s="100">
        <v>0</v>
      </c>
      <c r="AC181" s="100">
        <v>0</v>
      </c>
      <c r="AD181" s="100">
        <v>0</v>
      </c>
      <c r="AE181" s="100">
        <v>0</v>
      </c>
      <c r="AF181" s="100">
        <v>0</v>
      </c>
      <c r="AG181" s="100"/>
      <c r="AH181" s="100"/>
      <c r="AI181" s="100"/>
      <c r="AJ181" s="100"/>
      <c r="AK181" s="100"/>
      <c r="AL181" s="100"/>
      <c r="AM181" s="100"/>
      <c r="AN181" s="100"/>
      <c r="AO181" s="100"/>
      <c r="AP181" s="100"/>
      <c r="AQ181" s="100"/>
      <c r="AR181" s="100"/>
      <c r="AS181" s="100"/>
      <c r="AT181" s="100"/>
      <c r="AU181" s="100"/>
      <c r="AV181" s="100"/>
      <c r="AW181" s="100"/>
      <c r="AX181" s="100"/>
      <c r="AY181" s="100"/>
      <c r="AZ181" s="100"/>
      <c r="BA181" s="100"/>
      <c r="BB181" s="100"/>
      <c r="BC181" s="276">
        <f t="shared" si="62"/>
        <v>0</v>
      </c>
      <c r="BD181" s="786">
        <f t="shared" si="63"/>
        <v>0</v>
      </c>
      <c r="BE181" s="786">
        <f t="shared" si="64"/>
        <v>0</v>
      </c>
      <c r="BH181" s="436"/>
    </row>
    <row r="182" spans="1:60" s="38" customFormat="1" ht="15" customHeight="1">
      <c r="A182" s="91">
        <v>17</v>
      </c>
      <c r="B182" s="94">
        <v>953</v>
      </c>
      <c r="C182" s="94" t="s">
        <v>64</v>
      </c>
      <c r="D182" s="91">
        <v>25</v>
      </c>
      <c r="E182" s="100">
        <v>104</v>
      </c>
      <c r="F182" s="100">
        <f>SUMIF(pro!$A:$A,$V:$V,pro!$N:$N)</f>
        <v>0</v>
      </c>
      <c r="G182" s="100"/>
      <c r="H182" s="100">
        <f>SUMIF(CBIN!$A:$A,BRAN!$V:$V,CBIN!$G:$G)</f>
        <v>0</v>
      </c>
      <c r="I182" s="100">
        <f>SUMIF(data!$D:$D,$B182&amp;$D182,data!$J:$J)</f>
        <v>0</v>
      </c>
      <c r="J182" s="100">
        <f>SUMIF(data!$D:$D,$B182&amp;$D182,data!$K:$K)</f>
        <v>0</v>
      </c>
      <c r="K182" s="100">
        <f>SUMIF(AJOUT!$A:$A,BRAN!$V:$V,AJOUT!$L:$L)</f>
        <v>0</v>
      </c>
      <c r="L182" s="100">
        <f>SUMIF(CBOUT!$A:$A,BRAN!$V:$V,CBOUT!$G:$G)</f>
        <v>0</v>
      </c>
      <c r="M182" s="1158">
        <f t="shared" si="58"/>
        <v>104</v>
      </c>
      <c r="N182" s="100">
        <f t="shared" si="59"/>
        <v>2600</v>
      </c>
      <c r="O182" s="1159">
        <f t="shared" si="57"/>
        <v>22100</v>
      </c>
      <c r="P182" s="804"/>
      <c r="Q182" s="804"/>
      <c r="R182" s="804">
        <f>O182/INTGRATE!$N$293</f>
        <v>2455.5555555555557</v>
      </c>
      <c r="S182" s="665">
        <f t="shared" si="65"/>
        <v>1.0588235294117647</v>
      </c>
      <c r="T182" s="403"/>
      <c r="U182" s="141"/>
      <c r="V182" s="836" t="str">
        <f t="shared" si="56"/>
        <v>95325</v>
      </c>
      <c r="W182" s="823">
        <v>332301</v>
      </c>
      <c r="X182" s="91"/>
      <c r="Y182" s="91">
        <v>1750</v>
      </c>
      <c r="Z182" s="100">
        <v>1525</v>
      </c>
      <c r="AA182" s="100">
        <v>0</v>
      </c>
      <c r="AB182" s="100">
        <v>5000</v>
      </c>
      <c r="AC182" s="100">
        <v>5325</v>
      </c>
      <c r="AD182" s="100">
        <v>250</v>
      </c>
      <c r="AE182" s="100">
        <v>8250</v>
      </c>
      <c r="AF182" s="100">
        <v>0</v>
      </c>
      <c r="AG182" s="100"/>
      <c r="AH182" s="100"/>
      <c r="AI182" s="100"/>
      <c r="AJ182" s="100"/>
      <c r="AK182" s="100"/>
      <c r="AL182" s="100"/>
      <c r="AM182" s="100"/>
      <c r="AN182" s="100"/>
      <c r="AO182" s="100"/>
      <c r="AP182" s="100"/>
      <c r="AQ182" s="100"/>
      <c r="AR182" s="100"/>
      <c r="AS182" s="100"/>
      <c r="AT182" s="100"/>
      <c r="AU182" s="100"/>
      <c r="AV182" s="100"/>
      <c r="AW182" s="100"/>
      <c r="AX182" s="100"/>
      <c r="AY182" s="100"/>
      <c r="AZ182" s="100"/>
      <c r="BA182" s="100"/>
      <c r="BB182" s="100"/>
      <c r="BC182" s="276">
        <f t="shared" si="62"/>
        <v>22100</v>
      </c>
      <c r="BD182" s="786">
        <f t="shared" si="63"/>
        <v>6</v>
      </c>
      <c r="BE182" s="786">
        <f t="shared" si="64"/>
        <v>3683.3333333333335</v>
      </c>
      <c r="BH182" s="436"/>
    </row>
    <row r="183" spans="1:60" s="38" customFormat="1" ht="15" customHeight="1">
      <c r="A183" s="91">
        <v>18</v>
      </c>
      <c r="B183" s="94" t="s">
        <v>186</v>
      </c>
      <c r="C183" s="94" t="s">
        <v>64</v>
      </c>
      <c r="D183" s="91">
        <v>25</v>
      </c>
      <c r="E183" s="100">
        <v>0</v>
      </c>
      <c r="F183" s="100">
        <f>SUMIF(pro!$A:$A,$V:$V,pro!$N:$N)</f>
        <v>0</v>
      </c>
      <c r="G183" s="100"/>
      <c r="H183" s="100">
        <f>SUMIF(CBIN!$A:$A,BRAN!$V:$V,CBIN!$G:$G)</f>
        <v>0</v>
      </c>
      <c r="I183" s="100">
        <f>SUMIF(data!$D:$D,$B183&amp;$D183,data!$J:$J)</f>
        <v>0</v>
      </c>
      <c r="J183" s="100">
        <f>SUMIF(data!$D:$D,$B183&amp;$D183,data!$K:$K)</f>
        <v>0</v>
      </c>
      <c r="K183" s="100">
        <f>SUMIF(AJOUT!$A:$A,BRAN!$V:$V,AJOUT!$L:$L)</f>
        <v>0</v>
      </c>
      <c r="L183" s="100">
        <f>SUMIF(CBOUT!$A:$A,BRAN!$V:$V,CBOUT!$G:$G)</f>
        <v>0</v>
      </c>
      <c r="M183" s="1158">
        <f t="shared" si="58"/>
        <v>0</v>
      </c>
      <c r="N183" s="100">
        <f t="shared" si="59"/>
        <v>0</v>
      </c>
      <c r="O183" s="1159">
        <f t="shared" si="57"/>
        <v>0</v>
      </c>
      <c r="P183" s="804"/>
      <c r="Q183" s="804"/>
      <c r="R183" s="804">
        <f>O183/INTGRATE!$N$293</f>
        <v>0</v>
      </c>
      <c r="S183" s="665">
        <f t="shared" si="65"/>
        <v>0</v>
      </c>
      <c r="T183" s="404"/>
      <c r="U183" s="141"/>
      <c r="V183" s="840" t="str">
        <f t="shared" si="56"/>
        <v>953S25</v>
      </c>
      <c r="W183" s="831">
        <v>332101</v>
      </c>
      <c r="X183" s="91"/>
      <c r="Y183" s="91">
        <v>0</v>
      </c>
      <c r="Z183" s="100">
        <v>0</v>
      </c>
      <c r="AA183" s="100">
        <v>0</v>
      </c>
      <c r="AB183" s="100">
        <v>0</v>
      </c>
      <c r="AC183" s="100">
        <v>0</v>
      </c>
      <c r="AD183" s="100">
        <v>0</v>
      </c>
      <c r="AE183" s="100">
        <v>0</v>
      </c>
      <c r="AF183" s="100">
        <v>0</v>
      </c>
      <c r="AG183" s="100"/>
      <c r="AH183" s="100"/>
      <c r="AI183" s="100"/>
      <c r="AJ183" s="100"/>
      <c r="AK183" s="100"/>
      <c r="AL183" s="100"/>
      <c r="AM183" s="100"/>
      <c r="AN183" s="100"/>
      <c r="AO183" s="100"/>
      <c r="AP183" s="100"/>
      <c r="AQ183" s="100"/>
      <c r="AR183" s="100"/>
      <c r="AS183" s="100"/>
      <c r="AT183" s="100"/>
      <c r="AU183" s="100"/>
      <c r="AV183" s="100"/>
      <c r="AW183" s="100"/>
      <c r="AX183" s="100"/>
      <c r="AY183" s="100"/>
      <c r="AZ183" s="100"/>
      <c r="BA183" s="100"/>
      <c r="BB183" s="100"/>
      <c r="BC183" s="276">
        <f t="shared" si="62"/>
        <v>0</v>
      </c>
      <c r="BD183" s="786">
        <f t="shared" si="63"/>
        <v>0</v>
      </c>
      <c r="BE183" s="786">
        <f t="shared" si="64"/>
        <v>0</v>
      </c>
      <c r="BH183" s="436"/>
    </row>
    <row r="184" spans="1:60" s="38" customFormat="1" ht="15" customHeight="1">
      <c r="A184" s="91">
        <v>19</v>
      </c>
      <c r="B184" s="171">
        <v>966</v>
      </c>
      <c r="C184" s="171" t="s">
        <v>64</v>
      </c>
      <c r="D184" s="173">
        <v>25</v>
      </c>
      <c r="E184" s="100">
        <v>360</v>
      </c>
      <c r="F184" s="100">
        <f>SUMIF(pro!$A:$A,$V:$V,pro!$N:$N)</f>
        <v>0</v>
      </c>
      <c r="G184" s="100"/>
      <c r="H184" s="100">
        <f>SUMIF(CBIN!$A:$A,BRAN!$V:$V,CBIN!$G:$G)</f>
        <v>0</v>
      </c>
      <c r="I184" s="100">
        <f>SUMIF(data!$D:$D,$B184&amp;$D184,data!$J:$J)</f>
        <v>0</v>
      </c>
      <c r="J184" s="100">
        <f>SUMIF(data!$D:$D,$B184&amp;$D184,data!$K:$K)</f>
        <v>0</v>
      </c>
      <c r="K184" s="100">
        <f>SUMIF(AJOUT!$A:$A,BRAN!$V:$V,AJOUT!$L:$L)</f>
        <v>0</v>
      </c>
      <c r="L184" s="100">
        <f>SUMIF(CBOUT!$A:$A,BRAN!$V:$V,CBOUT!$G:$G)</f>
        <v>0</v>
      </c>
      <c r="M184" s="1158">
        <f t="shared" si="58"/>
        <v>360</v>
      </c>
      <c r="N184" s="100">
        <f t="shared" si="59"/>
        <v>9000</v>
      </c>
      <c r="O184" s="1159">
        <f t="shared" si="57"/>
        <v>19750</v>
      </c>
      <c r="P184" s="804"/>
      <c r="Q184" s="804"/>
      <c r="R184" s="804">
        <f>O184/INTGRATE!$N$293</f>
        <v>2194.4444444444443</v>
      </c>
      <c r="S184" s="665">
        <f t="shared" si="65"/>
        <v>4.1012658227848107</v>
      </c>
      <c r="T184" s="402"/>
      <c r="U184" s="141"/>
      <c r="V184" s="840" t="str">
        <f t="shared" si="56"/>
        <v>96625</v>
      </c>
      <c r="W184" s="831">
        <v>366201</v>
      </c>
      <c r="X184" s="91"/>
      <c r="Y184" s="91">
        <v>1500</v>
      </c>
      <c r="Z184" s="100">
        <v>1625</v>
      </c>
      <c r="AA184" s="100">
        <v>5250</v>
      </c>
      <c r="AB184" s="100">
        <v>4250</v>
      </c>
      <c r="AC184" s="100">
        <v>3450</v>
      </c>
      <c r="AD184" s="100">
        <v>750</v>
      </c>
      <c r="AE184" s="100">
        <v>1875</v>
      </c>
      <c r="AF184" s="100">
        <v>1050</v>
      </c>
      <c r="AG184" s="100"/>
      <c r="AH184" s="100"/>
      <c r="AI184" s="100"/>
      <c r="AJ184" s="100"/>
      <c r="AK184" s="100"/>
      <c r="AL184" s="100"/>
      <c r="AM184" s="100"/>
      <c r="AN184" s="100"/>
      <c r="AO184" s="100"/>
      <c r="AP184" s="100"/>
      <c r="AQ184" s="100"/>
      <c r="AR184" s="100"/>
      <c r="AS184" s="100"/>
      <c r="AT184" s="100"/>
      <c r="AU184" s="100"/>
      <c r="AV184" s="100"/>
      <c r="AW184" s="100"/>
      <c r="AX184" s="100"/>
      <c r="AY184" s="100"/>
      <c r="AZ184" s="100"/>
      <c r="BA184" s="100"/>
      <c r="BB184" s="100"/>
      <c r="BC184" s="276">
        <f t="shared" si="62"/>
        <v>19750</v>
      </c>
      <c r="BD184" s="786">
        <f t="shared" si="63"/>
        <v>8</v>
      </c>
      <c r="BE184" s="786">
        <f t="shared" si="64"/>
        <v>2468.75</v>
      </c>
      <c r="BH184" s="436"/>
    </row>
    <row r="185" spans="1:60" s="38" customFormat="1" ht="15" customHeight="1">
      <c r="A185" s="91">
        <v>20</v>
      </c>
      <c r="B185" s="181">
        <v>967</v>
      </c>
      <c r="C185" s="171" t="s">
        <v>64</v>
      </c>
      <c r="D185" s="182">
        <v>25</v>
      </c>
      <c r="E185" s="157">
        <v>0</v>
      </c>
      <c r="F185" s="100">
        <f>SUMIF(pro!$A:$A,$V:$V,pro!$N:$N)</f>
        <v>0</v>
      </c>
      <c r="G185" s="100"/>
      <c r="H185" s="100">
        <f>SUMIF(CBIN!$A:$A,BRAN!$V:$V,CBIN!$G:$G)</f>
        <v>0</v>
      </c>
      <c r="I185" s="100">
        <f>SUMIF(data!$D:$D,$B185&amp;$D185,data!$J:$J)</f>
        <v>0</v>
      </c>
      <c r="J185" s="100">
        <f>SUMIF(data!$D:$D,$B185&amp;$D185,data!$K:$K)</f>
        <v>0</v>
      </c>
      <c r="K185" s="100">
        <f>SUMIF(AJOUT!$A:$A,BRAN!$V:$V,AJOUT!$L:$L)</f>
        <v>0</v>
      </c>
      <c r="L185" s="100">
        <f>SUMIF(CBOUT!$A:$A,BRAN!$V:$V,CBOUT!$G:$G)</f>
        <v>0</v>
      </c>
      <c r="M185" s="1158">
        <f t="shared" si="58"/>
        <v>0</v>
      </c>
      <c r="N185" s="100">
        <f t="shared" si="59"/>
        <v>0</v>
      </c>
      <c r="O185" s="1159">
        <f t="shared" si="57"/>
        <v>5550</v>
      </c>
      <c r="P185" s="804"/>
      <c r="Q185" s="804"/>
      <c r="R185" s="804">
        <f>O185/INTGRATE!$N$293</f>
        <v>616.66666666666663</v>
      </c>
      <c r="S185" s="665">
        <f t="shared" si="65"/>
        <v>0</v>
      </c>
      <c r="T185" s="402"/>
      <c r="U185" s="141"/>
      <c r="V185" s="840" t="str">
        <f t="shared" si="56"/>
        <v>96725</v>
      </c>
      <c r="W185" s="831">
        <v>367201</v>
      </c>
      <c r="X185" s="91"/>
      <c r="Y185" s="91">
        <v>50</v>
      </c>
      <c r="Z185" s="100">
        <v>625</v>
      </c>
      <c r="AA185" s="100">
        <v>1050</v>
      </c>
      <c r="AB185" s="100">
        <v>250</v>
      </c>
      <c r="AC185" s="100">
        <v>1400</v>
      </c>
      <c r="AD185" s="100">
        <v>2175</v>
      </c>
      <c r="AE185" s="100">
        <v>0</v>
      </c>
      <c r="AF185" s="100">
        <v>0</v>
      </c>
      <c r="AG185" s="100"/>
      <c r="AH185" s="100"/>
      <c r="AI185" s="100"/>
      <c r="AJ185" s="100"/>
      <c r="AK185" s="100"/>
      <c r="AL185" s="100"/>
      <c r="AM185" s="100"/>
      <c r="AN185" s="100"/>
      <c r="AO185" s="100"/>
      <c r="AP185" s="100"/>
      <c r="AQ185" s="100"/>
      <c r="AR185" s="100"/>
      <c r="AS185" s="100"/>
      <c r="AT185" s="100"/>
      <c r="AU185" s="100"/>
      <c r="AV185" s="100"/>
      <c r="AW185" s="100"/>
      <c r="AX185" s="100"/>
      <c r="AY185" s="100"/>
      <c r="AZ185" s="100"/>
      <c r="BA185" s="100"/>
      <c r="BB185" s="100"/>
      <c r="BC185" s="276">
        <f t="shared" si="62"/>
        <v>5550</v>
      </c>
      <c r="BD185" s="786">
        <f t="shared" si="63"/>
        <v>6</v>
      </c>
      <c r="BE185" s="786">
        <f t="shared" si="64"/>
        <v>925</v>
      </c>
      <c r="BH185" s="436"/>
    </row>
    <row r="186" spans="1:60" s="38" customFormat="1" ht="15" customHeight="1">
      <c r="A186" s="91">
        <v>21</v>
      </c>
      <c r="B186" s="181" t="s">
        <v>187</v>
      </c>
      <c r="C186" s="181" t="s">
        <v>64</v>
      </c>
      <c r="D186" s="182">
        <v>25</v>
      </c>
      <c r="E186" s="157">
        <v>211</v>
      </c>
      <c r="F186" s="100">
        <f>SUMIF(pro!$A:$A,$V:$V,pro!$N:$N)</f>
        <v>0</v>
      </c>
      <c r="G186" s="157"/>
      <c r="H186" s="100">
        <f>SUMIF(CBIN!$A:$A,BRAN!$V:$V,CBIN!$G:$G)</f>
        <v>0</v>
      </c>
      <c r="I186" s="100">
        <f>SUMIF(data!$D:$D,$B186&amp;$D186,data!$J:$J)</f>
        <v>0</v>
      </c>
      <c r="J186" s="100">
        <f>SUMIF(data!$D:$D,$B186&amp;$D186,data!$K:$K)</f>
        <v>0</v>
      </c>
      <c r="K186" s="100">
        <f>SUMIF(AJOUT!$A:$A,BRAN!$V:$V,AJOUT!$L:$L)</f>
        <v>0</v>
      </c>
      <c r="L186" s="100">
        <f>SUMIF(CBOUT!$A:$A,BRAN!$V:$V,CBOUT!$G:$G)</f>
        <v>0</v>
      </c>
      <c r="M186" s="1158">
        <f t="shared" si="58"/>
        <v>211</v>
      </c>
      <c r="N186" s="100">
        <f t="shared" si="59"/>
        <v>5275</v>
      </c>
      <c r="O186" s="1159">
        <f t="shared" si="57"/>
        <v>4250</v>
      </c>
      <c r="P186" s="804"/>
      <c r="Q186" s="804"/>
      <c r="R186" s="804">
        <f>O186/INTGRATE!$N$293</f>
        <v>472.22222222222223</v>
      </c>
      <c r="S186" s="665">
        <f t="shared" si="65"/>
        <v>11.170588235294117</v>
      </c>
      <c r="T186" s="405"/>
      <c r="U186" s="141"/>
      <c r="V186" s="840" t="str">
        <f t="shared" si="56"/>
        <v>967S25</v>
      </c>
      <c r="W186" s="831">
        <v>367101</v>
      </c>
      <c r="X186" s="560"/>
      <c r="Y186" s="560">
        <v>3000</v>
      </c>
      <c r="Z186" s="100">
        <v>0</v>
      </c>
      <c r="AA186" s="100">
        <v>0</v>
      </c>
      <c r="AB186" s="100">
        <v>1075</v>
      </c>
      <c r="AC186" s="100">
        <v>0</v>
      </c>
      <c r="AD186" s="100">
        <v>0</v>
      </c>
      <c r="AE186" s="100">
        <v>0</v>
      </c>
      <c r="AF186" s="100">
        <v>175</v>
      </c>
      <c r="AG186" s="100"/>
      <c r="AH186" s="100"/>
      <c r="AI186" s="100"/>
      <c r="AJ186" s="100"/>
      <c r="AK186" s="100"/>
      <c r="AL186" s="100"/>
      <c r="AM186" s="100"/>
      <c r="AN186" s="100"/>
      <c r="AO186" s="100"/>
      <c r="AP186" s="100"/>
      <c r="AQ186" s="100"/>
      <c r="AR186" s="100"/>
      <c r="AS186" s="100"/>
      <c r="AT186" s="100"/>
      <c r="AU186" s="100"/>
      <c r="AV186" s="100"/>
      <c r="AW186" s="100"/>
      <c r="AX186" s="100"/>
      <c r="AY186" s="100"/>
      <c r="AZ186" s="100"/>
      <c r="BA186" s="100"/>
      <c r="BB186" s="100"/>
      <c r="BC186" s="276">
        <f t="shared" si="62"/>
        <v>4250</v>
      </c>
      <c r="BD186" s="786">
        <f t="shared" si="63"/>
        <v>3</v>
      </c>
      <c r="BE186" s="786">
        <f t="shared" si="64"/>
        <v>1416.6666666666667</v>
      </c>
      <c r="BF186" s="85"/>
      <c r="BH186" s="436"/>
    </row>
    <row r="187" spans="1:60" s="38" customFormat="1" ht="15" customHeight="1">
      <c r="A187" s="91">
        <v>22</v>
      </c>
      <c r="B187" s="410" t="s">
        <v>188</v>
      </c>
      <c r="C187" s="410" t="s">
        <v>64</v>
      </c>
      <c r="D187" s="410">
        <v>25</v>
      </c>
      <c r="E187" s="157">
        <v>0</v>
      </c>
      <c r="F187" s="100">
        <f>SUMIF(pro!$A:$A,$V:$V,pro!$N:$N)</f>
        <v>0</v>
      </c>
      <c r="G187" s="157"/>
      <c r="H187" s="100">
        <f>SUMIF(CBIN!$A:$A,BRAN!$V:$V,CBIN!$G:$G)</f>
        <v>0</v>
      </c>
      <c r="I187" s="100">
        <f>SUMIF(data!$D:$D,$B187&amp;$D187,data!$J:$J)</f>
        <v>0</v>
      </c>
      <c r="J187" s="100">
        <f>SUMIF(data!$D:$D,$B187&amp;$D187,data!$K:$K)</f>
        <v>0</v>
      </c>
      <c r="K187" s="100">
        <f>SUMIF(AJOUT!$A:$A,BRAN!$V:$V,AJOUT!$L:$L)</f>
        <v>0</v>
      </c>
      <c r="L187" s="100">
        <f>SUMIF(CBOUT!$A:$A,BRAN!$V:$V,CBOUT!$G:$G)</f>
        <v>0</v>
      </c>
      <c r="M187" s="1158">
        <f t="shared" si="58"/>
        <v>0</v>
      </c>
      <c r="N187" s="100">
        <f t="shared" si="59"/>
        <v>0</v>
      </c>
      <c r="O187" s="1159">
        <f t="shared" si="57"/>
        <v>0</v>
      </c>
      <c r="P187" s="804"/>
      <c r="Q187" s="804"/>
      <c r="R187" s="804">
        <f>O187/INTGRATE!$N$293</f>
        <v>0</v>
      </c>
      <c r="S187" s="665">
        <f t="shared" si="65"/>
        <v>0</v>
      </c>
      <c r="T187" s="403"/>
      <c r="U187" s="141"/>
      <c r="V187" s="840" t="str">
        <f t="shared" si="56"/>
        <v>985S25</v>
      </c>
      <c r="W187" s="831">
        <v>433011</v>
      </c>
      <c r="X187" s="560"/>
      <c r="Y187" s="560">
        <v>0</v>
      </c>
      <c r="Z187" s="100">
        <v>0</v>
      </c>
      <c r="AA187" s="100">
        <v>0</v>
      </c>
      <c r="AB187" s="100">
        <v>0</v>
      </c>
      <c r="AC187" s="100">
        <v>0</v>
      </c>
      <c r="AD187" s="100">
        <v>0</v>
      </c>
      <c r="AE187" s="100">
        <v>0</v>
      </c>
      <c r="AF187" s="100">
        <v>0</v>
      </c>
      <c r="AG187" s="100"/>
      <c r="AH187" s="100"/>
      <c r="AI187" s="100"/>
      <c r="AJ187" s="100"/>
      <c r="AK187" s="100"/>
      <c r="AL187" s="100"/>
      <c r="AM187" s="100"/>
      <c r="AN187" s="100"/>
      <c r="AO187" s="100"/>
      <c r="AP187" s="100"/>
      <c r="AQ187" s="100"/>
      <c r="AR187" s="100"/>
      <c r="AS187" s="100"/>
      <c r="AT187" s="100"/>
      <c r="AU187" s="100"/>
      <c r="AV187" s="100"/>
      <c r="AW187" s="100"/>
      <c r="AX187" s="100"/>
      <c r="AY187" s="100"/>
      <c r="AZ187" s="100"/>
      <c r="BA187" s="100"/>
      <c r="BB187" s="100"/>
      <c r="BC187" s="276">
        <f t="shared" si="62"/>
        <v>0</v>
      </c>
      <c r="BD187" s="786">
        <f t="shared" si="63"/>
        <v>0</v>
      </c>
      <c r="BE187" s="786">
        <f t="shared" si="64"/>
        <v>0</v>
      </c>
      <c r="BH187" s="436"/>
    </row>
    <row r="188" spans="1:60" s="38" customFormat="1" ht="15" customHeight="1">
      <c r="A188" s="91">
        <v>23</v>
      </c>
      <c r="B188" s="410">
        <v>996</v>
      </c>
      <c r="C188" s="410" t="s">
        <v>64</v>
      </c>
      <c r="D188" s="410">
        <v>25</v>
      </c>
      <c r="E188" s="157">
        <v>0</v>
      </c>
      <c r="F188" s="100">
        <f>SUMIF(pro!$A:$A,$V:$V,pro!$N:$N)</f>
        <v>0</v>
      </c>
      <c r="G188" s="157"/>
      <c r="H188" s="100">
        <f>SUMIF(CBIN!$A:$A,BRAN!$V:$V,CBIN!$G:$G)</f>
        <v>0</v>
      </c>
      <c r="I188" s="100">
        <f>SUMIF(data!$D:$D,$B188&amp;$D188,data!$J:$J)</f>
        <v>0</v>
      </c>
      <c r="J188" s="100">
        <f>SUMIF(data!$D:$D,$B188&amp;$D188,data!$K:$K)</f>
        <v>0</v>
      </c>
      <c r="K188" s="100">
        <f>SUMIF(AJOUT!$A:$A,BRAN!$V:$V,AJOUT!$L:$L)</f>
        <v>0</v>
      </c>
      <c r="L188" s="100">
        <f>SUMIF(CBOUT!$A:$A,BRAN!$V:$V,CBOUT!$G:$G)</f>
        <v>0</v>
      </c>
      <c r="M188" s="1158">
        <f>E188+F188+H188-I188-L188+G188-K188</f>
        <v>0</v>
      </c>
      <c r="N188" s="100">
        <f t="shared" si="59"/>
        <v>0</v>
      </c>
      <c r="O188" s="1159">
        <f t="shared" si="57"/>
        <v>0</v>
      </c>
      <c r="P188" s="804"/>
      <c r="Q188" s="804"/>
      <c r="R188" s="804">
        <f>O188/INTGRATE!$N$293</f>
        <v>0</v>
      </c>
      <c r="S188" s="665">
        <f t="shared" si="65"/>
        <v>0</v>
      </c>
      <c r="T188" s="405"/>
      <c r="U188" s="141"/>
      <c r="V188" s="840" t="str">
        <f t="shared" si="56"/>
        <v>99625</v>
      </c>
      <c r="W188" s="823">
        <v>424001</v>
      </c>
      <c r="X188" s="560"/>
      <c r="Y188" s="560">
        <v>0</v>
      </c>
      <c r="Z188" s="100">
        <v>0</v>
      </c>
      <c r="AA188" s="100">
        <v>0</v>
      </c>
      <c r="AB188" s="100">
        <v>0</v>
      </c>
      <c r="AC188" s="100">
        <v>0</v>
      </c>
      <c r="AD188" s="100">
        <v>0</v>
      </c>
      <c r="AE188" s="100">
        <v>0</v>
      </c>
      <c r="AF188" s="100">
        <v>0</v>
      </c>
      <c r="AG188" s="100"/>
      <c r="AH188" s="100"/>
      <c r="AI188" s="100"/>
      <c r="AJ188" s="100"/>
      <c r="AK188" s="100"/>
      <c r="AL188" s="100"/>
      <c r="AM188" s="100"/>
      <c r="AN188" s="100"/>
      <c r="AO188" s="100"/>
      <c r="AP188" s="100"/>
      <c r="AQ188" s="100"/>
      <c r="AR188" s="100"/>
      <c r="AS188" s="100"/>
      <c r="AT188" s="100"/>
      <c r="AU188" s="100"/>
      <c r="AV188" s="100"/>
      <c r="AW188" s="100"/>
      <c r="AX188" s="100"/>
      <c r="AY188" s="100"/>
      <c r="AZ188" s="100"/>
      <c r="BA188" s="100"/>
      <c r="BB188" s="100"/>
      <c r="BC188" s="276">
        <f t="shared" si="62"/>
        <v>0</v>
      </c>
      <c r="BD188" s="786">
        <f t="shared" si="63"/>
        <v>0</v>
      </c>
      <c r="BE188" s="786">
        <f t="shared" si="64"/>
        <v>0</v>
      </c>
      <c r="BH188" s="436"/>
    </row>
    <row r="189" spans="1:60" s="38" customFormat="1">
      <c r="A189" s="91">
        <v>24</v>
      </c>
      <c r="B189" s="410">
        <v>995</v>
      </c>
      <c r="C189" s="410" t="s">
        <v>64</v>
      </c>
      <c r="D189" s="410">
        <v>25</v>
      </c>
      <c r="E189" s="157">
        <v>0</v>
      </c>
      <c r="F189" s="100">
        <f>SUMIF(pro!$A:$A,$V:$V,pro!$N:$N)</f>
        <v>0</v>
      </c>
      <c r="G189" s="157"/>
      <c r="H189" s="100">
        <f>SUMIF(CBIN!$A:$A,BRAN!$V:$V,CBIN!$G:$G)</f>
        <v>0</v>
      </c>
      <c r="I189" s="100">
        <f>SUMIF(data!$D:$D,$B189&amp;$D189,data!$J:$J)</f>
        <v>0</v>
      </c>
      <c r="J189" s="100">
        <f>SUMIF(data!$D:$D,$B189&amp;$D189,data!$K:$K)</f>
        <v>0</v>
      </c>
      <c r="K189" s="100">
        <f>SUMIF(AJOUT!$A:$A,BRAN!$V:$V,AJOUT!$L:$L)</f>
        <v>0</v>
      </c>
      <c r="L189" s="100">
        <f>SUMIF(CBOUT!$A:$A,BRAN!$V:$V,CBOUT!$G:$G)</f>
        <v>0</v>
      </c>
      <c r="M189" s="1158">
        <f>E189+F189+H189-I189-L189+G189-K189</f>
        <v>0</v>
      </c>
      <c r="N189" s="100">
        <f t="shared" si="59"/>
        <v>0</v>
      </c>
      <c r="O189" s="1159">
        <f t="shared" si="57"/>
        <v>0</v>
      </c>
      <c r="P189" s="804"/>
      <c r="Q189" s="804"/>
      <c r="R189" s="804">
        <f>O189/INTGRATE!$N$293</f>
        <v>0</v>
      </c>
      <c r="S189" s="665">
        <f t="shared" si="65"/>
        <v>0</v>
      </c>
      <c r="T189" s="405"/>
      <c r="U189" s="141"/>
      <c r="V189" s="840" t="str">
        <f t="shared" si="56"/>
        <v>99525</v>
      </c>
      <c r="W189" s="831">
        <v>423001</v>
      </c>
      <c r="X189" s="560"/>
      <c r="Y189" s="560">
        <v>0</v>
      </c>
      <c r="Z189" s="100">
        <v>0</v>
      </c>
      <c r="AA189" s="100">
        <v>0</v>
      </c>
      <c r="AB189" s="100">
        <v>0</v>
      </c>
      <c r="AC189" s="100">
        <v>0</v>
      </c>
      <c r="AD189" s="100">
        <v>0</v>
      </c>
      <c r="AE189" s="100">
        <v>0</v>
      </c>
      <c r="AF189" s="100">
        <v>0</v>
      </c>
      <c r="AG189" s="100"/>
      <c r="AH189" s="100"/>
      <c r="AI189" s="100"/>
      <c r="AJ189" s="100"/>
      <c r="AK189" s="100"/>
      <c r="AL189" s="100"/>
      <c r="AM189" s="100"/>
      <c r="AN189" s="100"/>
      <c r="AO189" s="100"/>
      <c r="AP189" s="100"/>
      <c r="AQ189" s="100"/>
      <c r="AR189" s="100"/>
      <c r="AS189" s="100"/>
      <c r="AT189" s="100"/>
      <c r="AU189" s="100"/>
      <c r="AV189" s="100"/>
      <c r="AW189" s="100"/>
      <c r="AX189" s="100"/>
      <c r="AY189" s="100"/>
      <c r="AZ189" s="100"/>
      <c r="BA189" s="100"/>
      <c r="BB189" s="100"/>
      <c r="BC189" s="276">
        <f t="shared" si="62"/>
        <v>0</v>
      </c>
      <c r="BD189" s="786">
        <f t="shared" si="63"/>
        <v>0</v>
      </c>
      <c r="BE189" s="786">
        <f t="shared" si="64"/>
        <v>0</v>
      </c>
      <c r="BH189" s="436"/>
    </row>
    <row r="190" spans="1:60" s="38" customFormat="1" ht="15" customHeight="1">
      <c r="A190" s="91">
        <v>25</v>
      </c>
      <c r="B190" s="448" t="s">
        <v>189</v>
      </c>
      <c r="C190" s="448" t="s">
        <v>64</v>
      </c>
      <c r="D190" s="448">
        <v>25</v>
      </c>
      <c r="E190" s="157">
        <v>0</v>
      </c>
      <c r="F190" s="100">
        <f>SUMIF(pro!$A:$A,$V:$V,pro!$N:$N)</f>
        <v>0</v>
      </c>
      <c r="G190" s="157"/>
      <c r="H190" s="100">
        <f>SUMIF(CBIN!$A:$A,BRAN!$V:$V,CBIN!$G:$G)</f>
        <v>0</v>
      </c>
      <c r="I190" s="100">
        <f>SUMIF(data!$D:$D,$B190&amp;$D190,data!$J:$J)</f>
        <v>0</v>
      </c>
      <c r="J190" s="100">
        <f>SUMIF(data!$D:$D,$B190&amp;$D190,data!$K:$K)</f>
        <v>0</v>
      </c>
      <c r="K190" s="100">
        <f>SUMIF(AJOUT!$A:$A,BRAN!$V:$V,AJOUT!$L:$L)</f>
        <v>0</v>
      </c>
      <c r="L190" s="100">
        <f>SUMIF(CBOUT!$A:$A,BRAN!$V:$V,CBOUT!$G:$G)</f>
        <v>0</v>
      </c>
      <c r="M190" s="1158">
        <f t="shared" si="58"/>
        <v>0</v>
      </c>
      <c r="N190" s="100">
        <f t="shared" si="59"/>
        <v>0</v>
      </c>
      <c r="O190" s="1159">
        <f t="shared" si="57"/>
        <v>0</v>
      </c>
      <c r="P190" s="804"/>
      <c r="Q190" s="804"/>
      <c r="R190" s="804">
        <f>O190/INTGRATE!$N$293</f>
        <v>0</v>
      </c>
      <c r="S190" s="665">
        <f t="shared" si="65"/>
        <v>0</v>
      </c>
      <c r="T190" s="461"/>
      <c r="U190" s="141"/>
      <c r="V190" s="840" t="str">
        <f t="shared" si="56"/>
        <v>991-1425</v>
      </c>
      <c r="W190" s="831">
        <v>513001</v>
      </c>
      <c r="X190" s="560"/>
      <c r="Y190" s="560">
        <v>0</v>
      </c>
      <c r="Z190" s="100">
        <v>0</v>
      </c>
      <c r="AA190" s="100">
        <v>0</v>
      </c>
      <c r="AB190" s="100">
        <v>0</v>
      </c>
      <c r="AC190" s="100">
        <v>0</v>
      </c>
      <c r="AD190" s="100">
        <v>0</v>
      </c>
      <c r="AE190" s="100">
        <v>0</v>
      </c>
      <c r="AF190" s="100">
        <v>0</v>
      </c>
      <c r="AG190" s="100"/>
      <c r="AH190" s="100"/>
      <c r="AI190" s="100"/>
      <c r="AJ190" s="100"/>
      <c r="AK190" s="100"/>
      <c r="AL190" s="100"/>
      <c r="AM190" s="100"/>
      <c r="AN190" s="100"/>
      <c r="AO190" s="100"/>
      <c r="AP190" s="100"/>
      <c r="AQ190" s="100"/>
      <c r="AR190" s="100"/>
      <c r="AS190" s="100"/>
      <c r="AT190" s="100"/>
      <c r="AU190" s="100"/>
      <c r="AV190" s="100"/>
      <c r="AW190" s="100"/>
      <c r="AX190" s="100"/>
      <c r="AY190" s="100"/>
      <c r="AZ190" s="100"/>
      <c r="BA190" s="100"/>
      <c r="BB190" s="100"/>
      <c r="BC190" s="276">
        <f t="shared" si="62"/>
        <v>0</v>
      </c>
      <c r="BD190" s="786">
        <f t="shared" si="63"/>
        <v>0</v>
      </c>
      <c r="BE190" s="786">
        <f t="shared" si="64"/>
        <v>0</v>
      </c>
      <c r="BH190" s="436"/>
    </row>
    <row r="191" spans="1:60" s="38" customFormat="1" ht="15" customHeight="1">
      <c r="A191" s="91">
        <v>26</v>
      </c>
      <c r="B191" s="448" t="s">
        <v>190</v>
      </c>
      <c r="C191" s="448" t="s">
        <v>64</v>
      </c>
      <c r="D191" s="448">
        <v>25</v>
      </c>
      <c r="E191" s="157">
        <v>0</v>
      </c>
      <c r="F191" s="100">
        <f>SUMIF(pro!$A:$A,$V:$V,pro!$N:$N)</f>
        <v>0</v>
      </c>
      <c r="G191" s="157"/>
      <c r="H191" s="100">
        <f>SUMIF(CBIN!$A:$A,BRAN!$V:$V,CBIN!$G:$G)</f>
        <v>0</v>
      </c>
      <c r="I191" s="100">
        <f>SUMIF(data!$D:$D,$B191&amp;$D191,data!$J:$J)</f>
        <v>0</v>
      </c>
      <c r="J191" s="100">
        <f>SUMIF(data!$D:$D,$B191&amp;$D191,data!$K:$K)</f>
        <v>0</v>
      </c>
      <c r="K191" s="100">
        <f>SUMIF(AJOUT!$A:$A,BRAN!$V:$V,AJOUT!$L:$L)</f>
        <v>0</v>
      </c>
      <c r="L191" s="100">
        <f>SUMIF(CBOUT!$A:$A,BRAN!$V:$V,CBOUT!$G:$G)</f>
        <v>0</v>
      </c>
      <c r="M191" s="1158">
        <f t="shared" si="58"/>
        <v>0</v>
      </c>
      <c r="N191" s="100">
        <f t="shared" si="59"/>
        <v>0</v>
      </c>
      <c r="O191" s="1159">
        <f t="shared" si="57"/>
        <v>4350</v>
      </c>
      <c r="P191" s="804"/>
      <c r="Q191" s="804"/>
      <c r="R191" s="804">
        <f>O191/INTGRATE!$N$293</f>
        <v>483.33333333333331</v>
      </c>
      <c r="S191" s="665">
        <f t="shared" si="65"/>
        <v>0</v>
      </c>
      <c r="T191" s="461"/>
      <c r="U191" s="141"/>
      <c r="V191" s="840" t="str">
        <f t="shared" si="56"/>
        <v>991-1825</v>
      </c>
      <c r="W191" s="831">
        <v>511001</v>
      </c>
      <c r="X191" s="560"/>
      <c r="Y191" s="560">
        <v>2700</v>
      </c>
      <c r="Z191" s="100">
        <v>0</v>
      </c>
      <c r="AA191" s="100">
        <v>250</v>
      </c>
      <c r="AB191" s="100">
        <v>0</v>
      </c>
      <c r="AC191" s="100">
        <v>750</v>
      </c>
      <c r="AD191" s="100">
        <v>650</v>
      </c>
      <c r="AE191" s="100">
        <v>0</v>
      </c>
      <c r="AF191" s="100">
        <v>0</v>
      </c>
      <c r="AG191" s="100"/>
      <c r="AH191" s="100"/>
      <c r="AI191" s="100"/>
      <c r="AJ191" s="100"/>
      <c r="AK191" s="100"/>
      <c r="AL191" s="100"/>
      <c r="AM191" s="100"/>
      <c r="AN191" s="100"/>
      <c r="AO191" s="100"/>
      <c r="AP191" s="100"/>
      <c r="AQ191" s="100"/>
      <c r="AR191" s="100"/>
      <c r="AS191" s="100"/>
      <c r="AT191" s="100"/>
      <c r="AU191" s="100"/>
      <c r="AV191" s="100"/>
      <c r="AW191" s="100"/>
      <c r="AX191" s="100"/>
      <c r="AY191" s="100"/>
      <c r="AZ191" s="100"/>
      <c r="BA191" s="100"/>
      <c r="BB191" s="100"/>
      <c r="BC191" s="276">
        <f t="shared" si="62"/>
        <v>4350</v>
      </c>
      <c r="BD191" s="786">
        <f t="shared" si="63"/>
        <v>4</v>
      </c>
      <c r="BE191" s="786">
        <f t="shared" si="64"/>
        <v>1087.5</v>
      </c>
      <c r="BH191" s="436"/>
    </row>
    <row r="192" spans="1:60" s="38" customFormat="1" ht="15" customHeight="1">
      <c r="A192" s="91">
        <v>27</v>
      </c>
      <c r="B192" s="410">
        <v>984</v>
      </c>
      <c r="C192" s="780" t="s">
        <v>64</v>
      </c>
      <c r="D192" s="1174">
        <v>25</v>
      </c>
      <c r="E192" s="157">
        <v>146</v>
      </c>
      <c r="F192" s="100">
        <f>SUMIF(pro!$A:$A,$V:$V,pro!$N:$N)</f>
        <v>0</v>
      </c>
      <c r="G192" s="157"/>
      <c r="H192" s="100">
        <f>SUMIF(CBIN!$A:$A,BRAN!$V:$V,CBIN!$G:$G)</f>
        <v>0</v>
      </c>
      <c r="I192" s="100">
        <f>SUMIF(data!$D:$D,$B192&amp;$D192,data!$J:$J)</f>
        <v>0</v>
      </c>
      <c r="J192" s="100">
        <f>SUMIF(data!$D:$D,$B192&amp;$D192,data!$K:$K)</f>
        <v>0</v>
      </c>
      <c r="K192" s="100">
        <f>SUMIF(AJOUT!$A:$A,BRAN!$V:$V,AJOUT!$L:$L)</f>
        <v>0</v>
      </c>
      <c r="L192" s="100">
        <f>SUMIF(CBOUT!$A:$A,BRAN!$V:$V,CBOUT!$G:$G)</f>
        <v>0</v>
      </c>
      <c r="M192" s="1158">
        <f>E192+F192+H192-I192-L192+G192-K192</f>
        <v>146</v>
      </c>
      <c r="N192" s="100">
        <f t="shared" si="59"/>
        <v>3650</v>
      </c>
      <c r="O192" s="1159">
        <f t="shared" si="57"/>
        <v>3625</v>
      </c>
      <c r="P192" s="804"/>
      <c r="Q192" s="804"/>
      <c r="R192" s="804">
        <f>O192/INTGRATE!$N$293</f>
        <v>402.77777777777777</v>
      </c>
      <c r="S192" s="665">
        <f t="shared" si="65"/>
        <v>9.0620689655172413</v>
      </c>
      <c r="T192" s="406"/>
      <c r="U192" s="141"/>
      <c r="V192" s="840" t="str">
        <f t="shared" si="56"/>
        <v>98425</v>
      </c>
      <c r="W192" s="831">
        <v>433001</v>
      </c>
      <c r="X192" s="156"/>
      <c r="Y192" s="156">
        <v>1750</v>
      </c>
      <c r="Z192" s="558">
        <v>0</v>
      </c>
      <c r="AA192" s="558">
        <v>0</v>
      </c>
      <c r="AB192" s="558">
        <v>500</v>
      </c>
      <c r="AC192" s="558"/>
      <c r="AD192" s="100">
        <v>0</v>
      </c>
      <c r="AE192" s="558">
        <v>0</v>
      </c>
      <c r="AF192" s="100">
        <v>1375</v>
      </c>
      <c r="AG192" s="558"/>
      <c r="AH192" s="558"/>
      <c r="AI192" s="558"/>
      <c r="AJ192" s="558"/>
      <c r="AK192" s="558"/>
      <c r="AL192" s="558"/>
      <c r="AM192" s="558"/>
      <c r="AN192" s="558"/>
      <c r="AO192" s="558"/>
      <c r="AP192" s="558"/>
      <c r="AQ192" s="100"/>
      <c r="AR192" s="558"/>
      <c r="AS192" s="558"/>
      <c r="AT192" s="558"/>
      <c r="AU192" s="100"/>
      <c r="AV192" s="558"/>
      <c r="AW192" s="558"/>
      <c r="AX192" s="558"/>
      <c r="AY192" s="558"/>
      <c r="AZ192" s="558"/>
      <c r="BA192" s="558"/>
      <c r="BB192" s="558"/>
      <c r="BC192" s="276">
        <f t="shared" si="62"/>
        <v>3625</v>
      </c>
      <c r="BD192" s="786">
        <f t="shared" si="63"/>
        <v>3</v>
      </c>
      <c r="BE192" s="786">
        <f t="shared" si="64"/>
        <v>1208.3333333333333</v>
      </c>
      <c r="BH192" s="436"/>
    </row>
    <row r="193" spans="1:60" s="63" customFormat="1" ht="15" customHeight="1">
      <c r="A193" s="1099" t="s">
        <v>71</v>
      </c>
      <c r="B193" s="1100"/>
      <c r="C193" s="1100"/>
      <c r="D193" s="1101"/>
      <c r="E193" s="64"/>
      <c r="F193" s="64"/>
      <c r="G193" s="64"/>
      <c r="H193" s="64"/>
      <c r="I193" s="64"/>
      <c r="J193" s="64"/>
      <c r="K193" s="64"/>
      <c r="L193" s="64"/>
      <c r="M193" s="470"/>
      <c r="N193" s="64"/>
      <c r="O193" s="64"/>
      <c r="P193" s="64"/>
      <c r="Q193" s="64"/>
      <c r="R193" s="64"/>
      <c r="S193" s="82"/>
      <c r="T193" s="1105"/>
      <c r="U193" s="137"/>
      <c r="V193" s="840" t="str">
        <f t="shared" si="56"/>
        <v/>
      </c>
      <c r="W193" s="831"/>
      <c r="X193" s="79">
        <f t="shared" ref="X193:BB193" si="66">SUM(X166:X192)</f>
        <v>0</v>
      </c>
      <c r="Y193" s="79">
        <f t="shared" si="66"/>
        <v>30675</v>
      </c>
      <c r="Z193" s="79">
        <f t="shared" si="66"/>
        <v>9650</v>
      </c>
      <c r="AA193" s="79">
        <f t="shared" si="66"/>
        <v>14600</v>
      </c>
      <c r="AB193" s="79">
        <f t="shared" si="66"/>
        <v>42175</v>
      </c>
      <c r="AC193" s="79">
        <f t="shared" si="66"/>
        <v>19525</v>
      </c>
      <c r="AD193" s="79">
        <f t="shared" si="66"/>
        <v>12775</v>
      </c>
      <c r="AE193" s="79">
        <f t="shared" si="66"/>
        <v>30275</v>
      </c>
      <c r="AF193" s="79">
        <f t="shared" si="66"/>
        <v>22975</v>
      </c>
      <c r="AG193" s="79">
        <f t="shared" si="66"/>
        <v>0</v>
      </c>
      <c r="AH193" s="79">
        <f t="shared" si="66"/>
        <v>0</v>
      </c>
      <c r="AI193" s="79">
        <f t="shared" si="66"/>
        <v>0</v>
      </c>
      <c r="AJ193" s="79">
        <f t="shared" si="66"/>
        <v>0</v>
      </c>
      <c r="AK193" s="79">
        <f t="shared" si="66"/>
        <v>0</v>
      </c>
      <c r="AL193" s="79">
        <f t="shared" si="66"/>
        <v>0</v>
      </c>
      <c r="AM193" s="79">
        <f t="shared" si="66"/>
        <v>0</v>
      </c>
      <c r="AN193" s="79">
        <f t="shared" si="66"/>
        <v>0</v>
      </c>
      <c r="AO193" s="79">
        <f t="shared" si="66"/>
        <v>0</v>
      </c>
      <c r="AP193" s="79">
        <f t="shared" si="66"/>
        <v>0</v>
      </c>
      <c r="AQ193" s="79">
        <f t="shared" si="66"/>
        <v>0</v>
      </c>
      <c r="AR193" s="79">
        <f t="shared" si="66"/>
        <v>0</v>
      </c>
      <c r="AS193" s="79">
        <f t="shared" si="66"/>
        <v>0</v>
      </c>
      <c r="AT193" s="79">
        <f t="shared" si="66"/>
        <v>0</v>
      </c>
      <c r="AU193" s="79">
        <f t="shared" si="66"/>
        <v>0</v>
      </c>
      <c r="AV193" s="79">
        <f t="shared" si="66"/>
        <v>0</v>
      </c>
      <c r="AW193" s="79">
        <f t="shared" si="66"/>
        <v>0</v>
      </c>
      <c r="AX193" s="79">
        <f t="shared" si="66"/>
        <v>0</v>
      </c>
      <c r="AY193" s="79">
        <f t="shared" si="66"/>
        <v>0</v>
      </c>
      <c r="AZ193" s="79">
        <f t="shared" si="66"/>
        <v>0</v>
      </c>
      <c r="BA193" s="79">
        <f>SUM(BA166:BA192)</f>
        <v>0</v>
      </c>
      <c r="BB193" s="79">
        <f t="shared" si="66"/>
        <v>0</v>
      </c>
      <c r="BC193" s="532">
        <f>SUM(X193:BB193)</f>
        <v>182650</v>
      </c>
      <c r="BD193" s="789"/>
      <c r="BE193" s="789"/>
      <c r="BH193" s="437"/>
    </row>
    <row r="194" spans="1:60" s="63" customFormat="1" ht="15" customHeight="1">
      <c r="A194" s="1099" t="s">
        <v>72</v>
      </c>
      <c r="B194" s="1100"/>
      <c r="C194" s="1100"/>
      <c r="D194" s="1101"/>
      <c r="E194" s="64">
        <f>SUM(E166:E173,E176:E192)</f>
        <v>2016</v>
      </c>
      <c r="F194" s="64">
        <f>SUM(F166:F173,F176:F192)</f>
        <v>883</v>
      </c>
      <c r="G194" s="64">
        <f t="shared" ref="G194:R194" si="67">SUM(G166:G173,G176:G192)</f>
        <v>0</v>
      </c>
      <c r="H194" s="64">
        <f t="shared" si="67"/>
        <v>0</v>
      </c>
      <c r="I194" s="64">
        <f t="shared" si="67"/>
        <v>0</v>
      </c>
      <c r="J194" s="64">
        <f t="shared" si="67"/>
        <v>0</v>
      </c>
      <c r="K194" s="64">
        <f t="shared" si="67"/>
        <v>0</v>
      </c>
      <c r="L194" s="64">
        <f t="shared" si="67"/>
        <v>0</v>
      </c>
      <c r="M194" s="64">
        <f t="shared" si="67"/>
        <v>2899</v>
      </c>
      <c r="N194" s="64">
        <f t="shared" si="67"/>
        <v>72475</v>
      </c>
      <c r="O194" s="64">
        <f t="shared" si="67"/>
        <v>182650</v>
      </c>
      <c r="P194" s="64">
        <f t="shared" si="67"/>
        <v>72475</v>
      </c>
      <c r="Q194" s="64">
        <f t="shared" si="67"/>
        <v>182650</v>
      </c>
      <c r="R194" s="64">
        <f t="shared" si="67"/>
        <v>20294.444444444445</v>
      </c>
      <c r="S194" s="64">
        <f>SUM(S166:S172,S176:S192)</f>
        <v>63.118890105275362</v>
      </c>
      <c r="T194" s="1106"/>
      <c r="U194" s="137">
        <f>SUM(U166:U168,U176:U192)*25</f>
        <v>0</v>
      </c>
      <c r="V194" s="840" t="str">
        <f t="shared" si="56"/>
        <v/>
      </c>
      <c r="W194" s="831"/>
      <c r="X194" s="79"/>
      <c r="Y194" s="79"/>
      <c r="Z194" s="79"/>
      <c r="AA194" s="79"/>
      <c r="AB194" s="79"/>
      <c r="AC194" s="79"/>
      <c r="AD194" s="79"/>
      <c r="AE194" s="79"/>
      <c r="AF194" s="79"/>
      <c r="AG194" s="79"/>
      <c r="AH194" s="79"/>
      <c r="AI194" s="79"/>
      <c r="AJ194" s="79"/>
      <c r="AK194" s="79"/>
      <c r="AL194" s="79"/>
      <c r="AM194" s="79"/>
      <c r="AN194" s="79"/>
      <c r="AO194" s="79"/>
      <c r="AP194" s="79"/>
      <c r="AQ194" s="79"/>
      <c r="AR194" s="79"/>
      <c r="AS194" s="79"/>
      <c r="AT194" s="79"/>
      <c r="AU194" s="79"/>
      <c r="AV194" s="79"/>
      <c r="AW194" s="79"/>
      <c r="AX194" s="79"/>
      <c r="AY194" s="79"/>
      <c r="AZ194" s="79"/>
      <c r="BA194" s="79"/>
      <c r="BB194" s="79"/>
      <c r="BH194" s="437"/>
    </row>
    <row r="195" spans="1:60" s="63" customFormat="1" ht="15" customHeight="1">
      <c r="A195" s="1099" t="s">
        <v>73</v>
      </c>
      <c r="B195" s="1100"/>
      <c r="C195" s="1100"/>
      <c r="D195" s="1101"/>
      <c r="E195" s="62">
        <f>SUM(E174:E175)</f>
        <v>0</v>
      </c>
      <c r="F195" s="62">
        <f t="shared" ref="F195:P195" si="68">SUM(F174:F175)</f>
        <v>0</v>
      </c>
      <c r="G195" s="62">
        <f t="shared" si="68"/>
        <v>0</v>
      </c>
      <c r="H195" s="62">
        <f t="shared" si="68"/>
        <v>0</v>
      </c>
      <c r="I195" s="62">
        <f t="shared" si="68"/>
        <v>0</v>
      </c>
      <c r="J195" s="62">
        <f t="shared" si="68"/>
        <v>0</v>
      </c>
      <c r="K195" s="62">
        <f t="shared" si="68"/>
        <v>0</v>
      </c>
      <c r="L195" s="62">
        <f t="shared" si="68"/>
        <v>0</v>
      </c>
      <c r="M195" s="474">
        <f t="shared" si="68"/>
        <v>0</v>
      </c>
      <c r="N195" s="62">
        <f t="shared" si="68"/>
        <v>0</v>
      </c>
      <c r="O195" s="62">
        <f t="shared" si="68"/>
        <v>0</v>
      </c>
      <c r="P195" s="62">
        <f t="shared" si="68"/>
        <v>0</v>
      </c>
      <c r="Q195" s="62"/>
      <c r="R195" s="62">
        <f>SUM(R174:R175)</f>
        <v>0</v>
      </c>
      <c r="S195" s="82">
        <f>IF(R195=0,0,N195/R195)</f>
        <v>0</v>
      </c>
      <c r="T195" s="1106"/>
      <c r="U195" s="151">
        <f>SUM(U174:U175)*40</f>
        <v>0</v>
      </c>
      <c r="V195" s="834" t="str">
        <f t="shared" si="56"/>
        <v/>
      </c>
      <c r="W195" s="831"/>
      <c r="X195" s="79"/>
      <c r="Y195" s="79"/>
      <c r="Z195" s="79"/>
      <c r="AA195" s="79"/>
      <c r="AB195" s="79"/>
      <c r="AC195" s="79"/>
      <c r="AD195" s="79"/>
      <c r="AE195" s="79"/>
      <c r="AF195" s="79"/>
      <c r="AG195" s="79"/>
      <c r="AH195" s="79"/>
      <c r="AI195" s="79"/>
      <c r="AJ195" s="79"/>
      <c r="AK195" s="79"/>
      <c r="AL195" s="79"/>
      <c r="AM195" s="79"/>
      <c r="AN195" s="79"/>
      <c r="AO195" s="79"/>
      <c r="AP195" s="79"/>
      <c r="AQ195" s="79"/>
      <c r="AR195" s="79"/>
      <c r="AS195" s="79"/>
      <c r="AT195" s="79"/>
      <c r="AU195" s="79"/>
      <c r="AV195" s="79"/>
      <c r="AW195" s="79"/>
      <c r="AX195" s="79"/>
      <c r="AY195" s="79"/>
      <c r="AZ195" s="79"/>
      <c r="BA195" s="79"/>
      <c r="BB195" s="79"/>
      <c r="BH195" s="437"/>
    </row>
    <row r="196" spans="1:60" s="126" customFormat="1" ht="15" customHeight="1">
      <c r="A196" s="1109" t="s">
        <v>75</v>
      </c>
      <c r="B196" s="1110"/>
      <c r="C196" s="1110"/>
      <c r="D196" s="1111"/>
      <c r="E196" s="125">
        <f>SUM(E193:E195)</f>
        <v>2016</v>
      </c>
      <c r="F196" s="125">
        <f>SUM(F193:F195)</f>
        <v>883</v>
      </c>
      <c r="G196" s="125">
        <f>SUM(G193:G195)</f>
        <v>0</v>
      </c>
      <c r="H196" s="125">
        <f t="shared" ref="H196:N196" si="69">SUM(H193:H195)</f>
        <v>0</v>
      </c>
      <c r="I196" s="125">
        <f>SUM(I193:I195)</f>
        <v>0</v>
      </c>
      <c r="J196" s="125">
        <f>SUM(J193:J195)</f>
        <v>0</v>
      </c>
      <c r="K196" s="125">
        <f>SUM(K193:K195)</f>
        <v>0</v>
      </c>
      <c r="L196" s="125">
        <f t="shared" si="69"/>
        <v>0</v>
      </c>
      <c r="M196" s="475">
        <f t="shared" si="69"/>
        <v>2899</v>
      </c>
      <c r="N196" s="125">
        <f t="shared" si="69"/>
        <v>72475</v>
      </c>
      <c r="O196" s="1112">
        <f>SUM(O166:O192)</f>
        <v>182650</v>
      </c>
      <c r="P196" s="186"/>
      <c r="Q196" s="186"/>
      <c r="R196" s="1095">
        <f>SUM(R166:R192)</f>
        <v>20294.444444444445</v>
      </c>
      <c r="S196" s="1097" t="s">
        <v>191</v>
      </c>
      <c r="T196" s="1106"/>
      <c r="U196" s="143">
        <f>SUM(U166:U192)</f>
        <v>0</v>
      </c>
      <c r="V196" s="834" t="str">
        <f t="shared" si="56"/>
        <v/>
      </c>
      <c r="W196" s="831"/>
      <c r="X196" s="278"/>
      <c r="Y196" s="278"/>
      <c r="Z196" s="278"/>
      <c r="AA196" s="278"/>
      <c r="AB196" s="278"/>
      <c r="AC196" s="278"/>
      <c r="AD196" s="278"/>
      <c r="AE196" s="278"/>
      <c r="AF196" s="278"/>
      <c r="AG196" s="278"/>
      <c r="AH196" s="278"/>
      <c r="AI196" s="278"/>
      <c r="AJ196" s="278"/>
      <c r="AK196" s="278"/>
      <c r="AL196" s="278"/>
      <c r="AM196" s="278"/>
      <c r="AN196" s="278"/>
      <c r="AO196" s="278"/>
      <c r="AP196" s="278"/>
      <c r="AQ196" s="278"/>
      <c r="AR196" s="278"/>
      <c r="AS196" s="278"/>
      <c r="AT196" s="278"/>
      <c r="AU196" s="278"/>
      <c r="AV196" s="278"/>
      <c r="AW196" s="278"/>
      <c r="AX196" s="278"/>
      <c r="AY196" s="278"/>
      <c r="AZ196" s="278"/>
      <c r="BA196" s="278"/>
      <c r="BB196" s="278"/>
      <c r="BC196" s="353"/>
      <c r="BD196" s="353"/>
      <c r="BE196" s="353"/>
      <c r="BF196" s="353"/>
      <c r="BG196" s="353"/>
      <c r="BH196" s="437"/>
    </row>
    <row r="197" spans="1:60" s="86" customFormat="1" ht="15" customHeight="1">
      <c r="A197" s="1099" t="s">
        <v>77</v>
      </c>
      <c r="B197" s="1100"/>
      <c r="C197" s="1100"/>
      <c r="D197" s="1101"/>
      <c r="E197" s="120">
        <f>SUM(E193:E194)*25+E195*40</f>
        <v>50400</v>
      </c>
      <c r="F197" s="120">
        <f>SUM(F193:F194)*25+F195*40</f>
        <v>22075</v>
      </c>
      <c r="G197" s="120">
        <f>SUM(G193:G194)*25+G195*40</f>
        <v>0</v>
      </c>
      <c r="H197" s="120">
        <f>SUM(H193:H194)*25+H195*40</f>
        <v>0</v>
      </c>
      <c r="I197" s="120">
        <f>SUM(I193:I194)*25+I195*40</f>
        <v>0</v>
      </c>
      <c r="J197" s="120">
        <f>SUM(J193:J194)+J195</f>
        <v>0</v>
      </c>
      <c r="K197" s="120">
        <f>+K194*25</f>
        <v>0</v>
      </c>
      <c r="L197" s="120">
        <f>SUM(L193:L194)*25+L195*40</f>
        <v>0</v>
      </c>
      <c r="M197" s="476">
        <f>SUM(M193:M194)*25+M195*40</f>
        <v>72475</v>
      </c>
      <c r="N197" s="120">
        <f>SUM(N193:N194)+N195</f>
        <v>72475</v>
      </c>
      <c r="O197" s="1113"/>
      <c r="P197" s="187"/>
      <c r="Q197" s="187"/>
      <c r="R197" s="1096"/>
      <c r="S197" s="1098"/>
      <c r="T197" s="1107"/>
      <c r="U197" s="144">
        <f>SUM(U193:U195)</f>
        <v>0</v>
      </c>
      <c r="V197" s="834" t="str">
        <f t="shared" si="56"/>
        <v/>
      </c>
      <c r="W197" s="831"/>
      <c r="X197" s="74"/>
      <c r="Y197" s="74"/>
      <c r="Z197" s="74"/>
      <c r="AA197" s="74"/>
      <c r="AB197" s="74"/>
      <c r="AC197" s="74"/>
      <c r="AD197" s="74"/>
      <c r="AE197" s="74"/>
      <c r="AF197" s="74"/>
      <c r="AG197" s="74"/>
      <c r="AH197" s="74"/>
      <c r="AI197" s="74"/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  <c r="AW197" s="74"/>
      <c r="AX197" s="74"/>
      <c r="AY197" s="74"/>
      <c r="AZ197" s="74"/>
      <c r="BA197" s="74"/>
      <c r="BB197" s="74"/>
      <c r="BH197" s="437"/>
    </row>
    <row r="198" spans="1:60" s="86" customFormat="1" ht="15" customHeight="1">
      <c r="A198" s="286" t="s">
        <v>174</v>
      </c>
      <c r="B198" s="37"/>
      <c r="C198" s="37"/>
      <c r="D198" s="37"/>
      <c r="E198" s="130"/>
      <c r="F198" s="130"/>
      <c r="G198" s="130"/>
      <c r="H198" s="37"/>
      <c r="I198" s="37"/>
      <c r="J198" s="37"/>
      <c r="K198" s="37"/>
      <c r="L198" s="37"/>
      <c r="M198" s="472"/>
      <c r="N198" s="37"/>
      <c r="O198" s="37"/>
      <c r="P198" s="37"/>
      <c r="Q198" s="37"/>
      <c r="R198" s="37"/>
      <c r="S198" s="37"/>
      <c r="T198" s="458"/>
      <c r="U198" s="145"/>
      <c r="V198" s="834" t="str">
        <f t="shared" si="56"/>
        <v/>
      </c>
      <c r="W198" s="831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  <c r="AW198" s="74"/>
      <c r="AX198" s="74"/>
      <c r="AY198" s="74"/>
      <c r="AZ198" s="74"/>
      <c r="BA198" s="74"/>
      <c r="BB198" s="74"/>
      <c r="BH198" s="437"/>
    </row>
    <row r="199" spans="1:60" s="86" customFormat="1" ht="15" customHeight="1">
      <c r="A199" s="286" t="s">
        <v>175</v>
      </c>
      <c r="B199" s="38"/>
      <c r="C199" s="38"/>
      <c r="D199" s="38"/>
      <c r="E199" s="38"/>
      <c r="F199" s="38"/>
      <c r="G199" s="38"/>
      <c r="H199" s="38"/>
      <c r="I199" s="38"/>
      <c r="J199" s="38"/>
      <c r="K199" s="38"/>
      <c r="L199" s="38"/>
      <c r="M199" s="465"/>
      <c r="N199" s="38"/>
      <c r="O199" s="38"/>
      <c r="P199" s="38"/>
      <c r="Q199" s="38"/>
      <c r="R199" s="38"/>
      <c r="S199" s="38"/>
      <c r="T199" s="459"/>
      <c r="U199" s="134"/>
      <c r="V199" s="834" t="str">
        <f t="shared" si="56"/>
        <v/>
      </c>
      <c r="W199" s="831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W199" s="74"/>
      <c r="AX199" s="74"/>
      <c r="AY199" s="74"/>
      <c r="AZ199" s="74"/>
      <c r="BA199" s="74"/>
      <c r="BB199" s="74"/>
      <c r="BH199" s="437"/>
    </row>
    <row r="200" spans="1:60" s="86" customFormat="1" ht="15" customHeight="1">
      <c r="A200" s="286" t="s">
        <v>176</v>
      </c>
      <c r="B200" s="362"/>
      <c r="C200" s="362"/>
      <c r="D200" s="362"/>
      <c r="E200" s="362"/>
      <c r="F200" s="362"/>
      <c r="G200" s="362"/>
      <c r="H200" s="362"/>
      <c r="I200" s="362"/>
      <c r="J200" s="362"/>
      <c r="K200" s="362"/>
      <c r="L200" s="362"/>
      <c r="M200" s="473"/>
      <c r="N200" s="362"/>
      <c r="O200" s="362"/>
      <c r="P200" s="362"/>
      <c r="Q200" s="362"/>
      <c r="R200" s="362"/>
      <c r="S200" s="362"/>
      <c r="T200" s="460"/>
      <c r="U200" s="134"/>
      <c r="V200" s="834" t="str">
        <f t="shared" si="56"/>
        <v/>
      </c>
      <c r="W200" s="831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W200" s="74"/>
      <c r="AX200" s="74"/>
      <c r="AY200" s="74"/>
      <c r="AZ200" s="74"/>
      <c r="BA200" s="74"/>
      <c r="BB200" s="74"/>
      <c r="BH200" s="437"/>
    </row>
    <row r="201" spans="1:60" s="38" customFormat="1" ht="15" customHeight="1">
      <c r="A201" s="443" t="s">
        <v>20</v>
      </c>
      <c r="B201" s="443"/>
      <c r="C201" s="443"/>
      <c r="D201" s="443"/>
      <c r="E201" s="443"/>
      <c r="F201" s="443"/>
      <c r="G201" s="443"/>
      <c r="H201" s="443"/>
      <c r="I201" s="443"/>
      <c r="J201" s="443"/>
      <c r="K201" s="443"/>
      <c r="L201" s="443"/>
      <c r="M201" s="468"/>
      <c r="N201" s="443"/>
      <c r="O201" s="443"/>
      <c r="P201" s="443"/>
      <c r="Q201" s="443"/>
      <c r="R201" s="443"/>
      <c r="S201" s="443"/>
      <c r="T201" s="78"/>
      <c r="U201" s="139"/>
      <c r="V201" s="839" t="str">
        <f t="shared" si="56"/>
        <v/>
      </c>
      <c r="W201" s="823"/>
      <c r="X201" s="79"/>
      <c r="Y201" s="79"/>
      <c r="Z201" s="79"/>
      <c r="AA201" s="79"/>
      <c r="AB201" s="79"/>
      <c r="AC201" s="79"/>
      <c r="AD201" s="79"/>
      <c r="AE201" s="79"/>
      <c r="AF201" s="79"/>
      <c r="AG201" s="79"/>
      <c r="AH201" s="79"/>
      <c r="AI201" s="79"/>
      <c r="AJ201" s="79"/>
      <c r="AK201" s="80"/>
      <c r="AL201" s="80"/>
      <c r="AM201" s="80"/>
      <c r="AN201" s="80"/>
      <c r="AO201" s="80"/>
      <c r="AP201" s="80"/>
      <c r="AQ201" s="80"/>
      <c r="AR201" s="80"/>
      <c r="AS201" s="80"/>
      <c r="AT201" s="80"/>
      <c r="AU201" s="80"/>
      <c r="AV201" s="80"/>
      <c r="AW201" s="80"/>
      <c r="AX201" s="80"/>
      <c r="AY201" s="80"/>
      <c r="AZ201" s="80"/>
      <c r="BA201" s="80"/>
      <c r="BH201" s="436"/>
    </row>
    <row r="202" spans="1:60" s="38" customFormat="1" ht="15" customHeight="1">
      <c r="A202" s="444" t="s">
        <v>192</v>
      </c>
      <c r="B202" s="444"/>
      <c r="C202" s="444"/>
      <c r="D202" s="444"/>
      <c r="E202" s="444"/>
      <c r="F202" s="444"/>
      <c r="G202" s="444"/>
      <c r="H202" s="444"/>
      <c r="I202" s="444"/>
      <c r="J202" s="444"/>
      <c r="K202" s="444"/>
      <c r="L202" s="444"/>
      <c r="M202" s="469"/>
      <c r="N202" s="444"/>
      <c r="O202" s="444"/>
      <c r="P202" s="444"/>
      <c r="Q202" s="444"/>
      <c r="R202" s="444"/>
      <c r="S202" s="444"/>
      <c r="T202" s="407"/>
      <c r="U202" s="140"/>
      <c r="V202" s="839" t="str">
        <f t="shared" si="56"/>
        <v/>
      </c>
      <c r="W202" s="823"/>
      <c r="X202" s="80"/>
      <c r="Y202" s="80"/>
      <c r="Z202" s="80"/>
      <c r="AA202" s="80"/>
      <c r="AB202" s="80"/>
      <c r="AC202" s="80"/>
      <c r="AD202" s="80"/>
      <c r="AE202" s="80"/>
      <c r="AF202" s="80"/>
      <c r="AG202" s="80"/>
      <c r="AH202" s="80"/>
      <c r="AI202" s="80"/>
      <c r="AJ202" s="80"/>
      <c r="AK202" s="80"/>
      <c r="AL202" s="80"/>
      <c r="AM202" s="80"/>
      <c r="AN202" s="80"/>
      <c r="AO202" s="80"/>
      <c r="AP202" s="80"/>
      <c r="AQ202" s="80"/>
      <c r="AR202" s="80"/>
      <c r="AS202" s="80"/>
      <c r="AT202" s="80"/>
      <c r="AU202" s="80"/>
      <c r="AV202" s="80"/>
      <c r="AW202" s="80"/>
      <c r="AX202" s="80"/>
      <c r="AY202" s="80"/>
      <c r="AZ202" s="80"/>
      <c r="BA202" s="80"/>
      <c r="BH202" s="436"/>
    </row>
    <row r="203" spans="1:60" s="63" customFormat="1" ht="28.5" customHeight="1">
      <c r="A203" s="925" t="s">
        <v>22</v>
      </c>
      <c r="B203" s="916" t="s">
        <v>23</v>
      </c>
      <c r="C203" s="916" t="s">
        <v>24</v>
      </c>
      <c r="D203" s="928" t="s">
        <v>178</v>
      </c>
      <c r="E203" s="61" t="s">
        <v>26</v>
      </c>
      <c r="F203" s="931" t="s">
        <v>27</v>
      </c>
      <c r="G203" s="936"/>
      <c r="H203" s="932"/>
      <c r="I203" s="931" t="s">
        <v>28</v>
      </c>
      <c r="J203" s="936"/>
      <c r="K203" s="936"/>
      <c r="L203" s="936"/>
      <c r="M203" s="931" t="s">
        <v>29</v>
      </c>
      <c r="N203" s="932"/>
      <c r="O203" s="183" t="s">
        <v>30</v>
      </c>
      <c r="P203" s="183"/>
      <c r="Q203" s="183"/>
      <c r="R203" s="183" t="s">
        <v>31</v>
      </c>
      <c r="S203" s="928" t="s">
        <v>32</v>
      </c>
      <c r="T203" s="1049" t="s">
        <v>33</v>
      </c>
      <c r="U203" s="881" t="s">
        <v>34</v>
      </c>
      <c r="V203" s="830"/>
      <c r="W203" s="831"/>
      <c r="X203" s="83"/>
      <c r="Y203" s="83"/>
      <c r="Z203" s="83"/>
      <c r="AA203" s="83"/>
      <c r="AB203" s="83"/>
      <c r="AC203" s="83"/>
      <c r="AD203" s="83"/>
      <c r="AE203" s="83"/>
      <c r="AF203" s="83"/>
      <c r="AG203" s="83"/>
      <c r="AH203" s="83"/>
      <c r="AI203" s="83"/>
      <c r="AJ203" s="83"/>
      <c r="AK203" s="83"/>
      <c r="AL203" s="83"/>
      <c r="AM203" s="83"/>
      <c r="AN203" s="83"/>
      <c r="AO203" s="83"/>
      <c r="AP203" s="83"/>
      <c r="AQ203" s="83"/>
      <c r="AR203" s="83"/>
      <c r="AS203" s="83"/>
      <c r="AT203" s="83"/>
      <c r="AU203" s="83"/>
      <c r="AV203" s="83"/>
      <c r="AW203" s="83"/>
      <c r="AX203" s="83"/>
      <c r="AY203" s="83"/>
      <c r="AZ203" s="83"/>
      <c r="BA203" s="83"/>
      <c r="BH203" s="437"/>
    </row>
    <row r="204" spans="1:60" s="63" customFormat="1" ht="46.5" customHeight="1">
      <c r="A204" s="926"/>
      <c r="B204" s="917"/>
      <c r="C204" s="917"/>
      <c r="D204" s="929" t="s">
        <v>35</v>
      </c>
      <c r="E204" s="64" t="s">
        <v>36</v>
      </c>
      <c r="F204" s="680" t="s">
        <v>37</v>
      </c>
      <c r="G204" s="512" t="s">
        <v>38</v>
      </c>
      <c r="H204" s="681" t="s">
        <v>39</v>
      </c>
      <c r="I204" s="931" t="s">
        <v>40</v>
      </c>
      <c r="J204" s="936"/>
      <c r="K204" s="512" t="s">
        <v>41</v>
      </c>
      <c r="L204" s="681" t="s">
        <v>42</v>
      </c>
      <c r="M204" s="931" t="s">
        <v>43</v>
      </c>
      <c r="N204" s="932"/>
      <c r="O204" s="683" t="s">
        <v>44</v>
      </c>
      <c r="P204" s="184"/>
      <c r="Q204" s="184"/>
      <c r="R204" s="683" t="s">
        <v>45</v>
      </c>
      <c r="S204" s="929"/>
      <c r="T204" s="1050"/>
      <c r="U204" s="882"/>
      <c r="V204" s="830" t="str">
        <f t="shared" ref="V204:V221" si="70">B204&amp;D204</f>
        <v>SIZE</v>
      </c>
      <c r="W204" s="831"/>
      <c r="X204" s="83"/>
      <c r="Y204" s="83"/>
      <c r="Z204" s="83"/>
      <c r="AA204" s="83"/>
      <c r="AB204" s="83"/>
      <c r="AC204" s="83"/>
      <c r="AD204" s="83"/>
      <c r="AE204" s="83"/>
      <c r="AF204" s="83"/>
      <c r="AG204" s="83"/>
      <c r="AH204" s="83"/>
      <c r="AI204" s="83"/>
      <c r="AJ204" s="83"/>
      <c r="AK204" s="83"/>
      <c r="AL204" s="83"/>
      <c r="AM204" s="83"/>
      <c r="AN204" s="83"/>
      <c r="AO204" s="83"/>
      <c r="AP204" s="83"/>
      <c r="AQ204" s="83"/>
      <c r="AR204" s="83"/>
      <c r="AS204" s="83"/>
      <c r="AT204" s="83"/>
      <c r="AU204" s="83"/>
      <c r="AV204" s="83"/>
      <c r="AW204" s="83"/>
      <c r="AX204" s="83"/>
      <c r="AY204" s="83"/>
      <c r="AZ204" s="83"/>
      <c r="BA204" s="83"/>
      <c r="BH204" s="437"/>
    </row>
    <row r="205" spans="1:60" s="63" customFormat="1" ht="20.25" customHeight="1">
      <c r="A205" s="927"/>
      <c r="B205" s="918"/>
      <c r="C205" s="918"/>
      <c r="D205" s="930" t="s">
        <v>46</v>
      </c>
      <c r="E205" s="64" t="s">
        <v>47</v>
      </c>
      <c r="F205" s="64" t="s">
        <v>47</v>
      </c>
      <c r="G205" s="64" t="s">
        <v>47</v>
      </c>
      <c r="H205" s="64" t="s">
        <v>47</v>
      </c>
      <c r="I205" s="64" t="s">
        <v>47</v>
      </c>
      <c r="J205" s="64" t="s">
        <v>46</v>
      </c>
      <c r="K205" s="64" t="s">
        <v>47</v>
      </c>
      <c r="L205" s="64" t="s">
        <v>47</v>
      </c>
      <c r="M205" s="64" t="s">
        <v>47</v>
      </c>
      <c r="N205" s="65" t="s">
        <v>46</v>
      </c>
      <c r="O205" s="65" t="s">
        <v>46</v>
      </c>
      <c r="P205" s="185"/>
      <c r="Q205" s="185"/>
      <c r="R205" s="65" t="s">
        <v>48</v>
      </c>
      <c r="S205" s="930"/>
      <c r="T205" s="1051"/>
      <c r="U205" s="684" t="s">
        <v>47</v>
      </c>
      <c r="V205" s="835" t="str">
        <f t="shared" si="70"/>
        <v>(Kg)</v>
      </c>
      <c r="W205" s="831"/>
      <c r="X205" s="311">
        <v>1</v>
      </c>
      <c r="Y205" s="89">
        <v>2</v>
      </c>
      <c r="Z205" s="88">
        <v>3</v>
      </c>
      <c r="AA205" s="88">
        <v>4</v>
      </c>
      <c r="AB205" s="88">
        <v>5</v>
      </c>
      <c r="AC205" s="88">
        <v>6</v>
      </c>
      <c r="AD205" s="88">
        <v>7</v>
      </c>
      <c r="AE205" s="88">
        <v>8</v>
      </c>
      <c r="AF205" s="88">
        <v>9</v>
      </c>
      <c r="AG205" s="89">
        <v>10</v>
      </c>
      <c r="AH205" s="88">
        <v>11</v>
      </c>
      <c r="AI205" s="88">
        <v>12</v>
      </c>
      <c r="AJ205" s="88">
        <v>13</v>
      </c>
      <c r="AK205" s="89">
        <v>14</v>
      </c>
      <c r="AL205" s="88">
        <v>15</v>
      </c>
      <c r="AM205" s="88">
        <v>16</v>
      </c>
      <c r="AN205" s="88">
        <v>17</v>
      </c>
      <c r="AO205" s="89">
        <v>18</v>
      </c>
      <c r="AP205" s="88">
        <v>19</v>
      </c>
      <c r="AQ205" s="88">
        <v>20</v>
      </c>
      <c r="AR205" s="88">
        <v>21</v>
      </c>
      <c r="AS205" s="89">
        <v>22</v>
      </c>
      <c r="AT205" s="88">
        <v>23</v>
      </c>
      <c r="AU205" s="88">
        <v>24</v>
      </c>
      <c r="AV205" s="88">
        <v>25</v>
      </c>
      <c r="AW205" s="89">
        <v>26</v>
      </c>
      <c r="AX205" s="88">
        <v>27</v>
      </c>
      <c r="AY205" s="88">
        <v>28</v>
      </c>
      <c r="AZ205" s="88">
        <v>29</v>
      </c>
      <c r="BA205" s="89">
        <v>30</v>
      </c>
      <c r="BB205" s="88">
        <v>31</v>
      </c>
      <c r="BC205" s="106" t="s">
        <v>49</v>
      </c>
      <c r="BD205" s="785" t="s">
        <v>85</v>
      </c>
      <c r="BE205" s="785" t="s">
        <v>86</v>
      </c>
      <c r="BH205" s="437"/>
    </row>
    <row r="206" spans="1:60" s="38" customFormat="1" ht="15" customHeight="1">
      <c r="A206" s="68">
        <v>1</v>
      </c>
      <c r="B206" s="346" t="s">
        <v>193</v>
      </c>
      <c r="C206" s="346" t="s">
        <v>79</v>
      </c>
      <c r="D206" s="526">
        <v>25</v>
      </c>
      <c r="E206" s="1158">
        <v>0</v>
      </c>
      <c r="F206" s="100">
        <f>SUMIF(pro!$A:$A,$V:$V,pro!$N:$N)</f>
        <v>0</v>
      </c>
      <c r="G206" s="100"/>
      <c r="H206" s="100">
        <f>SUMIF(CBIN!$A:$A,BRAN!$V:$V,CBIN!$G:$G)</f>
        <v>0</v>
      </c>
      <c r="I206" s="100">
        <f>SUMIF(data!$D:$D,$B206&amp;$D206,data!$J:$J)</f>
        <v>0</v>
      </c>
      <c r="J206" s="100">
        <f>SUMIF(data!$D:$D,$B206&amp;$D206,data!$K:$K)</f>
        <v>0</v>
      </c>
      <c r="K206" s="100">
        <f>SUMIF(AJOUT!$A:$A,BRAN!$V:$V,AJOUT!$L:$L)</f>
        <v>0</v>
      </c>
      <c r="L206" s="100">
        <f>SUMIF(CBOUT!$A:$A,BRAN!$V:$V,CBOUT!$G:$G)</f>
        <v>0</v>
      </c>
      <c r="M206" s="1158">
        <f>E206+F206+H206-I206-L206+G206-K206</f>
        <v>0</v>
      </c>
      <c r="N206" s="100">
        <f>+M206*D206</f>
        <v>0</v>
      </c>
      <c r="O206" s="1159">
        <f t="shared" ref="O206:O275" si="71">SUM(X206:BB206)</f>
        <v>0</v>
      </c>
      <c r="P206" s="805">
        <f>SUM(N233:N243,N206:N207,N216,N232)+N227+N228+N209</f>
        <v>16775</v>
      </c>
      <c r="Q206" s="805">
        <f>SUM(O233:O243,O206:O207,O216,O232)+O227+O228+O209</f>
        <v>166040</v>
      </c>
      <c r="R206" s="804">
        <f>O206/INTGRATE!$N$293</f>
        <v>0</v>
      </c>
      <c r="S206" s="665">
        <f t="shared" ref="S206:S212" si="72">IF(R206=0,0,N206/R206)</f>
        <v>0</v>
      </c>
      <c r="T206" s="592"/>
      <c r="U206" s="141"/>
      <c r="V206" s="840" t="str">
        <f t="shared" si="70"/>
        <v>GD0425</v>
      </c>
      <c r="W206" s="823">
        <v>127000</v>
      </c>
      <c r="X206" s="387"/>
      <c r="Y206" s="387">
        <v>0</v>
      </c>
      <c r="Z206" s="100">
        <v>0</v>
      </c>
      <c r="AA206" s="100">
        <v>0</v>
      </c>
      <c r="AB206" s="100">
        <v>0</v>
      </c>
      <c r="AC206" s="100">
        <v>0</v>
      </c>
      <c r="AD206" s="100">
        <v>0</v>
      </c>
      <c r="AE206" s="100">
        <v>0</v>
      </c>
      <c r="AF206" s="100">
        <v>0</v>
      </c>
      <c r="AG206" s="100"/>
      <c r="AH206" s="100"/>
      <c r="AI206" s="100"/>
      <c r="AJ206" s="100"/>
      <c r="AK206" s="100"/>
      <c r="AL206" s="100"/>
      <c r="AM206" s="100"/>
      <c r="AN206" s="100"/>
      <c r="AO206" s="100"/>
      <c r="AP206" s="100"/>
      <c r="AQ206" s="100"/>
      <c r="AR206" s="100"/>
      <c r="AS206" s="100"/>
      <c r="AT206" s="100"/>
      <c r="AU206" s="100"/>
      <c r="AV206" s="100"/>
      <c r="AW206" s="100"/>
      <c r="AX206" s="100"/>
      <c r="AY206" s="100"/>
      <c r="AZ206" s="100"/>
      <c r="BA206" s="100"/>
      <c r="BB206" s="100"/>
      <c r="BC206" s="274">
        <f t="shared" ref="BC206:BC276" si="73">SUM(X206:BB206)</f>
        <v>0</v>
      </c>
      <c r="BD206" s="786">
        <f>COUNTIF(X206:BB206,"&gt;0")</f>
        <v>0</v>
      </c>
      <c r="BE206" s="786">
        <f>IFERROR(BC206/BD206,0)</f>
        <v>0</v>
      </c>
      <c r="BH206" s="436"/>
    </row>
    <row r="207" spans="1:60" s="38" customFormat="1" ht="15" customHeight="1">
      <c r="A207" s="68">
        <v>2</v>
      </c>
      <c r="B207" s="346" t="s">
        <v>193</v>
      </c>
      <c r="C207" s="346" t="s">
        <v>79</v>
      </c>
      <c r="D207" s="526" t="s">
        <v>58</v>
      </c>
      <c r="E207" s="1158">
        <v>0</v>
      </c>
      <c r="F207" s="100">
        <f>+J207</f>
        <v>0</v>
      </c>
      <c r="G207" s="100"/>
      <c r="H207" s="100"/>
      <c r="I207" s="100">
        <f>SUMIF(data!$D:$D,$B207&amp;$D207,data!$J:$J)</f>
        <v>0</v>
      </c>
      <c r="J207" s="100">
        <f>SUMIF(data!$D:$D,$B207&amp;$D207,data!$K:$K)</f>
        <v>0</v>
      </c>
      <c r="K207" s="100"/>
      <c r="L207" s="100"/>
      <c r="M207" s="1158">
        <f>E207+F207+H207-I207-L207+G207-K207</f>
        <v>0</v>
      </c>
      <c r="N207" s="100"/>
      <c r="O207" s="1159">
        <f t="shared" si="71"/>
        <v>0</v>
      </c>
      <c r="P207" s="805"/>
      <c r="Q207" s="805"/>
      <c r="R207" s="804">
        <f>O207/INTGRATE!$N$293</f>
        <v>0</v>
      </c>
      <c r="S207" s="665">
        <f t="shared" si="72"/>
        <v>0</v>
      </c>
      <c r="T207" s="592"/>
      <c r="U207" s="141"/>
      <c r="V207" s="840" t="str">
        <f t="shared" si="70"/>
        <v>GD04silo</v>
      </c>
      <c r="W207" s="823">
        <v>127000</v>
      </c>
      <c r="X207" s="387"/>
      <c r="Y207" s="387">
        <v>0</v>
      </c>
      <c r="Z207" s="100">
        <v>0</v>
      </c>
      <c r="AA207" s="100">
        <v>0</v>
      </c>
      <c r="AB207" s="100">
        <v>0</v>
      </c>
      <c r="AC207" s="100">
        <v>0</v>
      </c>
      <c r="AD207" s="100">
        <v>0</v>
      </c>
      <c r="AE207" s="100">
        <v>0</v>
      </c>
      <c r="AF207" s="100">
        <v>0</v>
      </c>
      <c r="AG207" s="100"/>
      <c r="AH207" s="100"/>
      <c r="AI207" s="100"/>
      <c r="AJ207" s="100"/>
      <c r="AK207" s="100"/>
      <c r="AL207" s="100"/>
      <c r="AM207" s="100"/>
      <c r="AN207" s="100"/>
      <c r="AO207" s="100"/>
      <c r="AP207" s="100"/>
      <c r="AQ207" s="100"/>
      <c r="AR207" s="100"/>
      <c r="AS207" s="100"/>
      <c r="AT207" s="100"/>
      <c r="AU207" s="100"/>
      <c r="AV207" s="100"/>
      <c r="AW207" s="100"/>
      <c r="AX207" s="100"/>
      <c r="AY207" s="100"/>
      <c r="AZ207" s="100"/>
      <c r="BA207" s="100"/>
      <c r="BB207" s="100"/>
      <c r="BC207" s="274">
        <f t="shared" si="73"/>
        <v>0</v>
      </c>
      <c r="BD207" s="786">
        <f t="shared" ref="BD207" si="74">COUNTIF(X207:BB207,"&gt;0")</f>
        <v>0</v>
      </c>
      <c r="BE207" s="786">
        <f t="shared" ref="BE207" si="75">IFERROR(BC207/BD207,0)</f>
        <v>0</v>
      </c>
      <c r="BH207" s="436"/>
    </row>
    <row r="208" spans="1:60" s="38" customFormat="1" ht="15" customHeight="1">
      <c r="A208" s="68">
        <v>3</v>
      </c>
      <c r="B208" s="346" t="s">
        <v>194</v>
      </c>
      <c r="C208" s="346" t="s">
        <v>51</v>
      </c>
      <c r="D208" s="526" t="s">
        <v>58</v>
      </c>
      <c r="E208" s="1158">
        <v>0</v>
      </c>
      <c r="F208" s="100">
        <f>+J208</f>
        <v>0</v>
      </c>
      <c r="G208" s="100"/>
      <c r="H208" s="100"/>
      <c r="I208" s="100">
        <f>SUMIF(data!$D:$D,$B208&amp;$D208,data!$J:$J)</f>
        <v>0</v>
      </c>
      <c r="J208" s="100">
        <f>SUMIF(data!$D:$D,$B208&amp;$D208,data!$K:$K)</f>
        <v>0</v>
      </c>
      <c r="K208" s="100">
        <v>0</v>
      </c>
      <c r="L208" s="100">
        <f>SUMIF(CBOUT!$A:$A,BRAN!$V:$V,CBOUT!$G:$G)</f>
        <v>0</v>
      </c>
      <c r="M208" s="1158">
        <v>0</v>
      </c>
      <c r="N208" s="100">
        <f t="shared" ref="N208:N210" si="76">M208*25</f>
        <v>0</v>
      </c>
      <c r="O208" s="1159">
        <f t="shared" si="71"/>
        <v>0</v>
      </c>
      <c r="P208" s="805"/>
      <c r="Q208" s="805"/>
      <c r="R208" s="804">
        <f>O208/INTGRATE!$N$293</f>
        <v>0</v>
      </c>
      <c r="S208" s="665">
        <f t="shared" si="72"/>
        <v>0</v>
      </c>
      <c r="T208" s="592"/>
      <c r="U208" s="141"/>
      <c r="V208" s="840" t="str">
        <f t="shared" si="70"/>
        <v>GD12silo</v>
      </c>
      <c r="W208" s="823">
        <v>122001</v>
      </c>
      <c r="X208" s="387"/>
      <c r="Y208" s="387">
        <v>0</v>
      </c>
      <c r="Z208" s="100">
        <v>0</v>
      </c>
      <c r="AA208" s="100">
        <v>0</v>
      </c>
      <c r="AB208" s="100">
        <v>0</v>
      </c>
      <c r="AC208" s="100">
        <v>0</v>
      </c>
      <c r="AD208" s="100">
        <v>0</v>
      </c>
      <c r="AE208" s="100">
        <v>0</v>
      </c>
      <c r="AF208" s="100">
        <v>0</v>
      </c>
      <c r="AG208" s="100"/>
      <c r="AH208" s="100"/>
      <c r="AI208" s="100"/>
      <c r="AJ208" s="100"/>
      <c r="AK208" s="100"/>
      <c r="AL208" s="100"/>
      <c r="AM208" s="100"/>
      <c r="AN208" s="100"/>
      <c r="AO208" s="100"/>
      <c r="AP208" s="100"/>
      <c r="AQ208" s="100"/>
      <c r="AR208" s="100"/>
      <c r="AS208" s="100"/>
      <c r="AT208" s="100"/>
      <c r="AU208" s="100"/>
      <c r="AV208" s="100"/>
      <c r="AW208" s="100"/>
      <c r="AX208" s="100"/>
      <c r="AY208" s="100"/>
      <c r="AZ208" s="100"/>
      <c r="BA208" s="100"/>
      <c r="BB208" s="100"/>
      <c r="BC208" s="274">
        <f t="shared" ref="BC208:BC272" si="77">SUM(X208:BB208)</f>
        <v>0</v>
      </c>
      <c r="BD208" s="786">
        <f t="shared" ref="BD208:BD272" si="78">COUNTIF(X208:BB208,"&gt;0")</f>
        <v>0</v>
      </c>
      <c r="BE208" s="786">
        <f t="shared" ref="BE208:BE272" si="79">IFERROR(BC208/BD208,0)</f>
        <v>0</v>
      </c>
      <c r="BH208" s="436"/>
    </row>
    <row r="209" spans="1:60" s="38" customFormat="1" ht="15" customHeight="1">
      <c r="A209" s="68">
        <v>4</v>
      </c>
      <c r="B209" s="346" t="s">
        <v>195</v>
      </c>
      <c r="C209" s="346" t="s">
        <v>132</v>
      </c>
      <c r="D209" s="526" t="s">
        <v>58</v>
      </c>
      <c r="E209" s="1158">
        <v>0</v>
      </c>
      <c r="F209" s="100">
        <f>+J209</f>
        <v>0</v>
      </c>
      <c r="G209" s="100"/>
      <c r="H209" s="100"/>
      <c r="I209" s="100">
        <f>SUMIF(data!$D:$D,$B209&amp;$D209,data!$J:$J)</f>
        <v>0</v>
      </c>
      <c r="J209" s="100">
        <f>SUMIF(data!$D:$D,$B209&amp;$D209,data!$K:$K)</f>
        <v>0</v>
      </c>
      <c r="K209" s="100">
        <f>SUMIF(AJOUT!$A:$A,BRAN!$V:$V,AJOUT!$L:$L)</f>
        <v>0</v>
      </c>
      <c r="L209" s="100">
        <f>SUMIF(CBOUT!$A:$A,BRAN!$V:$V,CBOUT!$G:$G)</f>
        <v>0</v>
      </c>
      <c r="M209" s="1158">
        <v>0</v>
      </c>
      <c r="N209" s="100">
        <f t="shared" si="76"/>
        <v>0</v>
      </c>
      <c r="O209" s="1159">
        <f t="shared" si="71"/>
        <v>0</v>
      </c>
      <c r="P209" s="805"/>
      <c r="Q209" s="805"/>
      <c r="R209" s="804">
        <f>O209/INTGRATE!$N$293</f>
        <v>0</v>
      </c>
      <c r="S209" s="665">
        <f t="shared" si="72"/>
        <v>0</v>
      </c>
      <c r="T209" s="592"/>
      <c r="U209" s="141"/>
      <c r="V209" s="840" t="str">
        <f t="shared" si="70"/>
        <v>GD11silo</v>
      </c>
      <c r="W209" s="823">
        <v>122001</v>
      </c>
      <c r="X209" s="387"/>
      <c r="Y209" s="387">
        <v>0</v>
      </c>
      <c r="Z209" s="100">
        <v>0</v>
      </c>
      <c r="AA209" s="100">
        <v>0</v>
      </c>
      <c r="AB209" s="100">
        <v>0</v>
      </c>
      <c r="AC209" s="100">
        <v>0</v>
      </c>
      <c r="AD209" s="100">
        <v>0</v>
      </c>
      <c r="AE209" s="100">
        <v>0</v>
      </c>
      <c r="AF209" s="100">
        <v>0</v>
      </c>
      <c r="AG209" s="100"/>
      <c r="AH209" s="100"/>
      <c r="AI209" s="100"/>
      <c r="AJ209" s="100"/>
      <c r="AK209" s="100"/>
      <c r="AL209" s="100"/>
      <c r="AM209" s="100"/>
      <c r="AN209" s="100"/>
      <c r="AO209" s="100"/>
      <c r="AP209" s="100"/>
      <c r="AQ209" s="100"/>
      <c r="AR209" s="100"/>
      <c r="AS209" s="100"/>
      <c r="AT209" s="100"/>
      <c r="AU209" s="100"/>
      <c r="AV209" s="100"/>
      <c r="AW209" s="100"/>
      <c r="AX209" s="100"/>
      <c r="AY209" s="100"/>
      <c r="AZ209" s="100"/>
      <c r="BA209" s="100"/>
      <c r="BB209" s="100"/>
      <c r="BC209" s="274">
        <f t="shared" si="77"/>
        <v>0</v>
      </c>
      <c r="BD209" s="786">
        <f t="shared" si="78"/>
        <v>0</v>
      </c>
      <c r="BE209" s="786">
        <f t="shared" si="79"/>
        <v>0</v>
      </c>
      <c r="BH209" s="436"/>
    </row>
    <row r="210" spans="1:60" s="38" customFormat="1" ht="15" customHeight="1">
      <c r="A210" s="68">
        <v>5</v>
      </c>
      <c r="B210" s="346" t="s">
        <v>196</v>
      </c>
      <c r="C210" s="346" t="s">
        <v>51</v>
      </c>
      <c r="D210" s="526" t="s">
        <v>58</v>
      </c>
      <c r="E210" s="1158">
        <v>0</v>
      </c>
      <c r="F210" s="100">
        <f>+J210</f>
        <v>0</v>
      </c>
      <c r="G210" s="100"/>
      <c r="H210" s="100">
        <f>SUMIF(CBIN!$A:$A,BRAN!$V:$V,CBIN!$G:$G)</f>
        <v>0</v>
      </c>
      <c r="I210" s="100">
        <f>SUMIF(data!$D:$D,$B210&amp;$D210,data!$J:$J)</f>
        <v>0</v>
      </c>
      <c r="J210" s="100">
        <f>SUMIF(data!$D:$D,$B210&amp;$D210,data!$K:$K)</f>
        <v>0</v>
      </c>
      <c r="K210" s="100">
        <f>SUMIF(AJOUT!$A:$A,BRAN!$V:$V,AJOUT!$L:$L)</f>
        <v>0</v>
      </c>
      <c r="L210" s="100">
        <f>SUMIF(CBOUT!$A:$A,BRAN!$V:$V,CBOUT!$G:$G)</f>
        <v>0</v>
      </c>
      <c r="M210" s="1158">
        <v>0</v>
      </c>
      <c r="N210" s="100">
        <f t="shared" si="76"/>
        <v>0</v>
      </c>
      <c r="O210" s="1159">
        <f t="shared" si="71"/>
        <v>0</v>
      </c>
      <c r="P210" s="805"/>
      <c r="Q210" s="805"/>
      <c r="R210" s="804">
        <f>O210/INTGRATE!$N$293</f>
        <v>0</v>
      </c>
      <c r="S210" s="665">
        <f t="shared" si="72"/>
        <v>0</v>
      </c>
      <c r="T210" s="592"/>
      <c r="U210" s="141"/>
      <c r="V210" s="840" t="str">
        <f t="shared" si="70"/>
        <v>GD14silo</v>
      </c>
      <c r="W210" s="823">
        <v>127001</v>
      </c>
      <c r="X210" s="387"/>
      <c r="Y210" s="387">
        <v>0</v>
      </c>
      <c r="Z210" s="100">
        <v>0</v>
      </c>
      <c r="AA210" s="100">
        <v>0</v>
      </c>
      <c r="AB210" s="100">
        <v>0</v>
      </c>
      <c r="AC210" s="100">
        <v>0</v>
      </c>
      <c r="AD210" s="100">
        <v>0</v>
      </c>
      <c r="AE210" s="100">
        <v>0</v>
      </c>
      <c r="AF210" s="100">
        <v>0</v>
      </c>
      <c r="AG210" s="100"/>
      <c r="AH210" s="100"/>
      <c r="AI210" s="100"/>
      <c r="AJ210" s="100"/>
      <c r="AK210" s="100"/>
      <c r="AL210" s="100"/>
      <c r="AM210" s="100"/>
      <c r="AN210" s="100"/>
      <c r="AO210" s="100"/>
      <c r="AP210" s="100"/>
      <c r="AQ210" s="100"/>
      <c r="AR210" s="100"/>
      <c r="AS210" s="100"/>
      <c r="AT210" s="100"/>
      <c r="AU210" s="100"/>
      <c r="AV210" s="100"/>
      <c r="AW210" s="100"/>
      <c r="AX210" s="100"/>
      <c r="AY210" s="100"/>
      <c r="AZ210" s="100"/>
      <c r="BA210" s="100"/>
      <c r="BB210" s="100"/>
      <c r="BC210" s="274">
        <f t="shared" si="77"/>
        <v>0</v>
      </c>
      <c r="BD210" s="786">
        <f t="shared" si="78"/>
        <v>0</v>
      </c>
      <c r="BE210" s="786">
        <f t="shared" si="79"/>
        <v>0</v>
      </c>
      <c r="BH210" s="436"/>
    </row>
    <row r="211" spans="1:60" s="38" customFormat="1" ht="15" customHeight="1">
      <c r="A211" s="68">
        <v>6</v>
      </c>
      <c r="B211" s="346" t="s">
        <v>196</v>
      </c>
      <c r="C211" s="346" t="s">
        <v>51</v>
      </c>
      <c r="D211" s="526">
        <v>25</v>
      </c>
      <c r="E211" s="1158">
        <v>1770</v>
      </c>
      <c r="F211" s="100">
        <f>SUMIF(pro!$A:$A,$V:$V,pro!$N:$N)</f>
        <v>0</v>
      </c>
      <c r="G211" s="100"/>
      <c r="H211" s="100">
        <f>SUMIF(CBIN!$A:$A,BRAN!$V:$V,CBIN!$G:$G)</f>
        <v>0</v>
      </c>
      <c r="I211" s="100">
        <f>SUMIF(data!$D:$D,$B211&amp;$D211,data!$J:$J)</f>
        <v>0</v>
      </c>
      <c r="J211" s="100">
        <f>SUMIF(data!$D:$D,$B211&amp;$D211,data!$K:$K)</f>
        <v>0</v>
      </c>
      <c r="K211" s="100">
        <f>SUMIF(AJOUT!$A:$A,BRAN!$V:$V,AJOUT!$L:$L)</f>
        <v>0</v>
      </c>
      <c r="L211" s="100">
        <f>SUMIF(CBOUT!$A:$A,BRAN!$V:$V,CBOUT!$G:$G)</f>
        <v>0</v>
      </c>
      <c r="M211" s="1158">
        <f>E211+F211+H211-I211-L211+G211-K211</f>
        <v>1770</v>
      </c>
      <c r="N211" s="100">
        <f>+M211*D211</f>
        <v>44250</v>
      </c>
      <c r="O211" s="1159">
        <f t="shared" si="71"/>
        <v>53150</v>
      </c>
      <c r="P211" s="805"/>
      <c r="Q211" s="805"/>
      <c r="R211" s="804">
        <f>O211/INTGRATE!$N$293</f>
        <v>5905.5555555555557</v>
      </c>
      <c r="S211" s="665">
        <f t="shared" si="72"/>
        <v>7.4929444967074312</v>
      </c>
      <c r="T211" s="592"/>
      <c r="U211" s="141"/>
      <c r="V211" s="840" t="str">
        <f t="shared" si="70"/>
        <v>GD1425</v>
      </c>
      <c r="W211" s="823">
        <v>127001</v>
      </c>
      <c r="X211" s="387"/>
      <c r="Y211" s="387">
        <v>18875</v>
      </c>
      <c r="Z211" s="100">
        <v>0</v>
      </c>
      <c r="AA211" s="100">
        <v>0</v>
      </c>
      <c r="AB211" s="100">
        <v>0</v>
      </c>
      <c r="AC211" s="100">
        <v>3250</v>
      </c>
      <c r="AD211" s="100">
        <v>23500</v>
      </c>
      <c r="AE211" s="100">
        <v>7500</v>
      </c>
      <c r="AF211" s="100">
        <v>25</v>
      </c>
      <c r="AG211" s="100"/>
      <c r="AH211" s="100"/>
      <c r="AI211" s="100"/>
      <c r="AJ211" s="100"/>
      <c r="AK211" s="100"/>
      <c r="AL211" s="100"/>
      <c r="AM211" s="100"/>
      <c r="AN211" s="100"/>
      <c r="AO211" s="100"/>
      <c r="AP211" s="100"/>
      <c r="AQ211" s="100"/>
      <c r="AR211" s="100"/>
      <c r="AS211" s="100"/>
      <c r="AT211" s="100"/>
      <c r="AU211" s="100"/>
      <c r="AV211" s="100"/>
      <c r="AW211" s="100"/>
      <c r="AX211" s="100"/>
      <c r="AY211" s="100"/>
      <c r="AZ211" s="100"/>
      <c r="BA211" s="100"/>
      <c r="BB211" s="100"/>
      <c r="BC211" s="274">
        <f t="shared" si="77"/>
        <v>53150</v>
      </c>
      <c r="BD211" s="786">
        <f t="shared" si="78"/>
        <v>5</v>
      </c>
      <c r="BE211" s="786">
        <f t="shared" si="79"/>
        <v>10630</v>
      </c>
      <c r="BH211" s="436"/>
    </row>
    <row r="212" spans="1:60" s="38" customFormat="1" ht="15" customHeight="1">
      <c r="A212" s="68">
        <v>7</v>
      </c>
      <c r="B212" s="346" t="s">
        <v>197</v>
      </c>
      <c r="C212" s="346" t="s">
        <v>64</v>
      </c>
      <c r="D212" s="526" t="s">
        <v>58</v>
      </c>
      <c r="E212" s="1158"/>
      <c r="F212" s="100">
        <f>+J212</f>
        <v>0</v>
      </c>
      <c r="G212" s="100"/>
      <c r="H212" s="100"/>
      <c r="I212" s="100"/>
      <c r="J212" s="100">
        <f>SUMIF(data!$D:$D,$B212&amp;$D212,data!$K:$K)</f>
        <v>0</v>
      </c>
      <c r="K212" s="100">
        <f>SUMIF(AJOUT!$A:$A,BRAN!$V:$V,AJOUT!$L:$L)</f>
        <v>0</v>
      </c>
      <c r="L212" s="100">
        <f>SUMIF(CBOUT!$A:$A,BRAN!$V:$V,CBOUT!$G:$G)</f>
        <v>0</v>
      </c>
      <c r="M212" s="1158"/>
      <c r="N212" s="100"/>
      <c r="O212" s="1159">
        <f>SUM(X212:BB212)</f>
        <v>0</v>
      </c>
      <c r="P212" s="805"/>
      <c r="Q212" s="805"/>
      <c r="R212" s="804">
        <f>O212/INTGRATE!$N$293</f>
        <v>0</v>
      </c>
      <c r="S212" s="665">
        <f t="shared" si="72"/>
        <v>0</v>
      </c>
      <c r="T212" s="592"/>
      <c r="U212" s="141"/>
      <c r="V212" s="840" t="str">
        <f t="shared" si="70"/>
        <v>GD14Asilo</v>
      </c>
      <c r="W212" s="823">
        <v>127061</v>
      </c>
      <c r="X212" s="387"/>
      <c r="Y212" s="387">
        <v>0</v>
      </c>
      <c r="Z212" s="100">
        <v>0</v>
      </c>
      <c r="AA212" s="100">
        <v>0</v>
      </c>
      <c r="AB212" s="100">
        <v>0</v>
      </c>
      <c r="AC212" s="100">
        <v>0</v>
      </c>
      <c r="AD212" s="100">
        <v>0</v>
      </c>
      <c r="AE212" s="100">
        <v>0</v>
      </c>
      <c r="AF212" s="100">
        <v>0</v>
      </c>
      <c r="AG212" s="100"/>
      <c r="AH212" s="100"/>
      <c r="AI212" s="100"/>
      <c r="AJ212" s="100"/>
      <c r="AK212" s="100"/>
      <c r="AL212" s="100"/>
      <c r="AM212" s="100"/>
      <c r="AN212" s="100"/>
      <c r="AO212" s="100"/>
      <c r="AP212" s="100"/>
      <c r="AQ212" s="100"/>
      <c r="AR212" s="100"/>
      <c r="AS212" s="100"/>
      <c r="AT212" s="100"/>
      <c r="AU212" s="100"/>
      <c r="AV212" s="100"/>
      <c r="AW212" s="100"/>
      <c r="AX212" s="100"/>
      <c r="AY212" s="100"/>
      <c r="AZ212" s="100"/>
      <c r="BA212" s="100"/>
      <c r="BB212" s="100"/>
      <c r="BC212" s="274">
        <f t="shared" si="77"/>
        <v>0</v>
      </c>
      <c r="BD212" s="786">
        <f t="shared" si="78"/>
        <v>0</v>
      </c>
      <c r="BE212" s="786">
        <f t="shared" si="79"/>
        <v>0</v>
      </c>
      <c r="BH212" s="436"/>
    </row>
    <row r="213" spans="1:60" s="38" customFormat="1" ht="15" customHeight="1">
      <c r="A213" s="68">
        <v>8</v>
      </c>
      <c r="B213" s="346" t="s">
        <v>198</v>
      </c>
      <c r="C213" s="346" t="s">
        <v>64</v>
      </c>
      <c r="D213" s="526" t="s">
        <v>58</v>
      </c>
      <c r="E213" s="1158"/>
      <c r="F213" s="100">
        <f>+J213</f>
        <v>0</v>
      </c>
      <c r="G213" s="100"/>
      <c r="H213" s="100"/>
      <c r="I213" s="100"/>
      <c r="J213" s="100">
        <f>SUMIF(data!$D:$D,$B213&amp;$D213,data!$K:$K)</f>
        <v>0</v>
      </c>
      <c r="K213" s="100">
        <v>0</v>
      </c>
      <c r="L213" s="100">
        <f>SUMIF(CBOUT!$A:$A,BRAN!$V:$V,CBOUT!$G:$G)</f>
        <v>0</v>
      </c>
      <c r="M213" s="1158"/>
      <c r="N213" s="100"/>
      <c r="O213" s="1159">
        <f>SUM(X213:BB213)</f>
        <v>0</v>
      </c>
      <c r="P213" s="805"/>
      <c r="Q213" s="805"/>
      <c r="R213" s="804">
        <f>O213/INTGRATE!$N$293</f>
        <v>0</v>
      </c>
      <c r="S213" s="665">
        <f t="shared" ref="S213" si="80">IF(R213=0,0,N213/R213)</f>
        <v>0</v>
      </c>
      <c r="T213" s="592"/>
      <c r="U213" s="141"/>
      <c r="V213" s="840" t="str">
        <f t="shared" si="70"/>
        <v>GD14APsilo</v>
      </c>
      <c r="W213" s="823">
        <v>12706832</v>
      </c>
      <c r="X213" s="387"/>
      <c r="Y213" s="387">
        <v>0</v>
      </c>
      <c r="Z213" s="100">
        <v>0</v>
      </c>
      <c r="AA213" s="100">
        <v>0</v>
      </c>
      <c r="AB213" s="100">
        <v>0</v>
      </c>
      <c r="AC213" s="100">
        <v>0</v>
      </c>
      <c r="AD213" s="100">
        <v>0</v>
      </c>
      <c r="AE213" s="100">
        <v>0</v>
      </c>
      <c r="AF213" s="100">
        <v>0</v>
      </c>
      <c r="AG213" s="100"/>
      <c r="AH213" s="100"/>
      <c r="AI213" s="100"/>
      <c r="AJ213" s="100"/>
      <c r="AK213" s="100"/>
      <c r="AL213" s="100"/>
      <c r="AM213" s="100"/>
      <c r="AN213" s="100"/>
      <c r="AO213" s="100"/>
      <c r="AP213" s="100"/>
      <c r="AQ213" s="100"/>
      <c r="AR213" s="100"/>
      <c r="AS213" s="100"/>
      <c r="AT213" s="100"/>
      <c r="AU213" s="100"/>
      <c r="AV213" s="100"/>
      <c r="AW213" s="100"/>
      <c r="AX213" s="100"/>
      <c r="AY213" s="100"/>
      <c r="AZ213" s="100"/>
      <c r="BA213" s="100"/>
      <c r="BB213" s="100"/>
      <c r="BC213" s="274">
        <f t="shared" si="77"/>
        <v>0</v>
      </c>
      <c r="BD213" s="786">
        <f t="shared" si="78"/>
        <v>0</v>
      </c>
      <c r="BE213" s="786">
        <f t="shared" si="79"/>
        <v>0</v>
      </c>
      <c r="BH213" s="436"/>
    </row>
    <row r="214" spans="1:60" s="38" customFormat="1" ht="15" customHeight="1">
      <c r="A214" s="68">
        <v>9</v>
      </c>
      <c r="B214" s="346" t="s">
        <v>199</v>
      </c>
      <c r="C214" s="346" t="s">
        <v>51</v>
      </c>
      <c r="D214" s="526">
        <v>25</v>
      </c>
      <c r="E214" s="1158">
        <v>0</v>
      </c>
      <c r="F214" s="100">
        <f>SUMIF(pro!$A:$A,$V:$V,pro!$N:$N)</f>
        <v>0</v>
      </c>
      <c r="G214" s="100"/>
      <c r="H214" s="100"/>
      <c r="I214" s="100">
        <f>SUMIF(data!$D:$D,$B214&amp;$D214,data!$J:$J)</f>
        <v>0</v>
      </c>
      <c r="J214" s="100">
        <f>SUMIF(data!$D:$D,$B214&amp;$D214,data!$K:$K)</f>
        <v>0</v>
      </c>
      <c r="K214" s="100">
        <f>SUMIF(AJOUT!$A:$A,BRAN!$V:$V,AJOUT!$L:$L)</f>
        <v>0</v>
      </c>
      <c r="L214" s="100">
        <f>SUMIF(CBOUT!$A:$A,BRAN!$V:$V,CBOUT!$G:$G)</f>
        <v>0</v>
      </c>
      <c r="M214" s="1158">
        <f>E214+F214+H214-I214-L214+G214-K214</f>
        <v>0</v>
      </c>
      <c r="N214" s="100">
        <f t="shared" ref="N214:N275" si="81">+M214*D214</f>
        <v>0</v>
      </c>
      <c r="O214" s="1159">
        <f>SUM(X214:BB214)</f>
        <v>0</v>
      </c>
      <c r="P214" s="805"/>
      <c r="Q214" s="805"/>
      <c r="R214" s="804">
        <f>O214/INTGRATE!$N$293</f>
        <v>0</v>
      </c>
      <c r="S214" s="665">
        <f>IF(R214=0,0,N214/R214)</f>
        <v>0</v>
      </c>
      <c r="T214" s="592"/>
      <c r="U214" s="141"/>
      <c r="V214" s="840" t="str">
        <f t="shared" si="70"/>
        <v>GD14P25</v>
      </c>
      <c r="W214" s="823">
        <v>127008</v>
      </c>
      <c r="X214" s="387"/>
      <c r="Y214" s="387">
        <v>0</v>
      </c>
      <c r="Z214" s="100">
        <v>0</v>
      </c>
      <c r="AA214" s="100">
        <v>0</v>
      </c>
      <c r="AB214" s="100">
        <v>0</v>
      </c>
      <c r="AC214" s="100">
        <v>0</v>
      </c>
      <c r="AD214" s="100">
        <v>0</v>
      </c>
      <c r="AE214" s="100">
        <v>0</v>
      </c>
      <c r="AF214" s="100">
        <v>0</v>
      </c>
      <c r="AG214" s="100"/>
      <c r="AH214" s="100"/>
      <c r="AI214" s="100"/>
      <c r="AJ214" s="100"/>
      <c r="AK214" s="100"/>
      <c r="AL214" s="100"/>
      <c r="AM214" s="100"/>
      <c r="AN214" s="100"/>
      <c r="AO214" s="100"/>
      <c r="AP214" s="100"/>
      <c r="AQ214" s="100"/>
      <c r="AR214" s="100"/>
      <c r="AS214" s="100"/>
      <c r="AT214" s="100"/>
      <c r="AU214" s="100"/>
      <c r="AV214" s="100"/>
      <c r="AW214" s="100"/>
      <c r="AX214" s="100"/>
      <c r="AY214" s="100"/>
      <c r="AZ214" s="100"/>
      <c r="BA214" s="100"/>
      <c r="BB214" s="100"/>
      <c r="BC214" s="274">
        <f t="shared" si="77"/>
        <v>0</v>
      </c>
      <c r="BD214" s="786">
        <f t="shared" si="78"/>
        <v>0</v>
      </c>
      <c r="BE214" s="786">
        <f t="shared" si="79"/>
        <v>0</v>
      </c>
      <c r="BH214" s="436"/>
    </row>
    <row r="215" spans="1:60" s="38" customFormat="1" ht="15" customHeight="1">
      <c r="A215" s="68">
        <v>10</v>
      </c>
      <c r="B215" s="346" t="s">
        <v>200</v>
      </c>
      <c r="C215" s="346" t="s">
        <v>51</v>
      </c>
      <c r="D215" s="526">
        <v>25</v>
      </c>
      <c r="E215" s="1158">
        <v>0</v>
      </c>
      <c r="F215" s="100">
        <f>SUMIF(pro!$A:$A,$V:$V,pro!$N:$N)</f>
        <v>0</v>
      </c>
      <c r="G215" s="100"/>
      <c r="H215" s="100"/>
      <c r="I215" s="100">
        <f>SUMIF(data!$D:$D,$B215&amp;$D215,data!$J:$J)</f>
        <v>0</v>
      </c>
      <c r="J215" s="100">
        <f>SUMIF(data!$D:$D,$B215&amp;$D215,data!$K:$K)</f>
        <v>0</v>
      </c>
      <c r="K215" s="100">
        <f>SUMIF(AJOUT!$A:$A,BRAN!$V:$V,AJOUT!$L:$L)</f>
        <v>0</v>
      </c>
      <c r="L215" s="100"/>
      <c r="M215" s="1158">
        <f>E215+F215+H215-I215-L215+G215-K215</f>
        <v>0</v>
      </c>
      <c r="N215" s="100">
        <f t="shared" si="81"/>
        <v>0</v>
      </c>
      <c r="O215" s="1159">
        <f>SUM(X215:BB215)</f>
        <v>0</v>
      </c>
      <c r="P215" s="805" t="s">
        <v>201</v>
      </c>
      <c r="Q215" s="805"/>
      <c r="R215" s="804">
        <f>O215/INTGRATE!$N$293</f>
        <v>0</v>
      </c>
      <c r="S215" s="665">
        <f>IF(R215=0,0,N215/R215)</f>
        <v>0</v>
      </c>
      <c r="T215" s="592"/>
      <c r="U215" s="141"/>
      <c r="V215" s="840" t="str">
        <f t="shared" si="70"/>
        <v>GD1525</v>
      </c>
      <c r="W215" s="823">
        <v>128001</v>
      </c>
      <c r="X215" s="387"/>
      <c r="Y215" s="387">
        <v>0</v>
      </c>
      <c r="Z215" s="100">
        <v>0</v>
      </c>
      <c r="AA215" s="100">
        <v>0</v>
      </c>
      <c r="AB215" s="100">
        <v>0</v>
      </c>
      <c r="AC215" s="100">
        <v>0</v>
      </c>
      <c r="AD215" s="100">
        <v>0</v>
      </c>
      <c r="AE215" s="100">
        <v>0</v>
      </c>
      <c r="AF215" s="100">
        <v>0</v>
      </c>
      <c r="AG215" s="100"/>
      <c r="AH215" s="100"/>
      <c r="AI215" s="100"/>
      <c r="AJ215" s="100"/>
      <c r="AK215" s="100"/>
      <c r="AL215" s="100"/>
      <c r="AM215" s="100"/>
      <c r="AN215" s="100"/>
      <c r="AO215" s="100"/>
      <c r="AP215" s="100"/>
      <c r="AQ215" s="100"/>
      <c r="AR215" s="100"/>
      <c r="AS215" s="100"/>
      <c r="AT215" s="100"/>
      <c r="AU215" s="100"/>
      <c r="AV215" s="100"/>
      <c r="AW215" s="100"/>
      <c r="AX215" s="100"/>
      <c r="AY215" s="100"/>
      <c r="AZ215" s="100"/>
      <c r="BA215" s="100"/>
      <c r="BB215" s="100"/>
      <c r="BC215" s="274">
        <f t="shared" si="77"/>
        <v>0</v>
      </c>
      <c r="BD215" s="786">
        <f t="shared" si="78"/>
        <v>0</v>
      </c>
      <c r="BE215" s="786">
        <f t="shared" si="79"/>
        <v>0</v>
      </c>
      <c r="BH215" s="436"/>
    </row>
    <row r="216" spans="1:60" s="38" customFormat="1" ht="15" customHeight="1">
      <c r="A216" s="68">
        <v>11</v>
      </c>
      <c r="B216" s="346" t="s">
        <v>202</v>
      </c>
      <c r="C216" s="346" t="s">
        <v>79</v>
      </c>
      <c r="D216" s="526" t="s">
        <v>58</v>
      </c>
      <c r="E216" s="1158">
        <v>0</v>
      </c>
      <c r="F216" s="100">
        <f>+J216</f>
        <v>0</v>
      </c>
      <c r="G216" s="100"/>
      <c r="H216" s="100">
        <f>SUMIF(CBIN!$A:$A,BRAN!$V:$V,CBIN!$G:$G)</f>
        <v>0</v>
      </c>
      <c r="I216" s="100">
        <f>SUMIF(data!$D:$D,$B216&amp;$D216,data!$J:$J)</f>
        <v>0</v>
      </c>
      <c r="J216" s="100">
        <f>SUMIF(data!$D:$D,$B216&amp;$D216,data!$K:$K)</f>
        <v>0</v>
      </c>
      <c r="K216" s="100">
        <f>SUMIF(AJOUT!$A:$A,BRAN!$V:$V,AJOUT!$L:$L)</f>
        <v>0</v>
      </c>
      <c r="L216" s="100">
        <f>SUMIF(CBOUT!$A:$A,BRAN!$V:$V,CBOUT!$G:$G)</f>
        <v>0</v>
      </c>
      <c r="M216" s="1158">
        <f>E216+F216+H216-I216-L216+G216-K216</f>
        <v>0</v>
      </c>
      <c r="N216" s="100"/>
      <c r="O216" s="1159">
        <f t="shared" si="71"/>
        <v>0</v>
      </c>
      <c r="P216" s="805">
        <f>+N245+N246+N223+N224+N230+N231</f>
        <v>16500</v>
      </c>
      <c r="Q216" s="805">
        <f>+O245+O246+O223+O224+O230+O231</f>
        <v>30125</v>
      </c>
      <c r="R216" s="804">
        <f>O216/INTGRATE!$N$293</f>
        <v>0</v>
      </c>
      <c r="S216" s="665">
        <f t="shared" ref="S216:S275" si="82">IF(R216=0,0,N216/R216)</f>
        <v>0</v>
      </c>
      <c r="T216" s="592"/>
      <c r="U216" s="141"/>
      <c r="V216" s="840" t="str">
        <f t="shared" si="70"/>
        <v>GD04Asilo</v>
      </c>
      <c r="W216" s="823">
        <v>127060</v>
      </c>
      <c r="X216" s="387"/>
      <c r="Y216" s="387">
        <v>0</v>
      </c>
      <c r="Z216" s="100">
        <v>0</v>
      </c>
      <c r="AA216" s="100">
        <v>0</v>
      </c>
      <c r="AB216" s="100">
        <v>0</v>
      </c>
      <c r="AC216" s="100">
        <v>0</v>
      </c>
      <c r="AD216" s="100">
        <v>0</v>
      </c>
      <c r="AE216" s="100">
        <v>0</v>
      </c>
      <c r="AF216" s="100">
        <v>0</v>
      </c>
      <c r="AG216" s="100"/>
      <c r="AH216" s="100"/>
      <c r="AI216" s="100"/>
      <c r="AJ216" s="100"/>
      <c r="AK216" s="100"/>
      <c r="AL216" s="100"/>
      <c r="AM216" s="100"/>
      <c r="AN216" s="100"/>
      <c r="AO216" s="100"/>
      <c r="AP216" s="100"/>
      <c r="AQ216" s="100"/>
      <c r="AR216" s="100"/>
      <c r="AS216" s="100"/>
      <c r="AT216" s="100"/>
      <c r="AU216" s="100"/>
      <c r="AV216" s="100"/>
      <c r="AW216" s="100"/>
      <c r="AX216" s="100"/>
      <c r="AY216" s="100"/>
      <c r="AZ216" s="100"/>
      <c r="BA216" s="100"/>
      <c r="BB216" s="100"/>
      <c r="BC216" s="274">
        <f t="shared" si="77"/>
        <v>0</v>
      </c>
      <c r="BD216" s="786">
        <f t="shared" si="78"/>
        <v>0</v>
      </c>
      <c r="BE216" s="786">
        <f t="shared" si="79"/>
        <v>0</v>
      </c>
      <c r="BH216" s="436"/>
    </row>
    <row r="217" spans="1:60" s="38" customFormat="1" ht="15" customHeight="1">
      <c r="A217" s="68">
        <v>12</v>
      </c>
      <c r="B217" s="609" t="s">
        <v>203</v>
      </c>
      <c r="C217" s="609" t="s">
        <v>61</v>
      </c>
      <c r="D217" s="610">
        <v>25</v>
      </c>
      <c r="E217" s="1158">
        <v>223</v>
      </c>
      <c r="F217" s="100">
        <f>SUMIF(pro!$A:$A,$V:$V,pro!$N:$N)</f>
        <v>0</v>
      </c>
      <c r="G217" s="100"/>
      <c r="H217" s="100">
        <f>SUMIF(CBIN!$A:$A,BRAN!$V:$V,CBIN!$G:$G)</f>
        <v>0</v>
      </c>
      <c r="I217" s="100">
        <f>SUMIF(data!$D:$D,$B217&amp;$D217,data!$J:$J)</f>
        <v>0</v>
      </c>
      <c r="J217" s="100">
        <f>SUMIF(data!$D:$D,$B217&amp;$D217,data!$K:$K)</f>
        <v>0</v>
      </c>
      <c r="K217" s="100">
        <f>SUMIF(AJOUT!$A:$A,BRAN!$V:$V,AJOUT!$L:$L)</f>
        <v>0</v>
      </c>
      <c r="L217" s="100">
        <f>SUMIF(CBOUT!$A:$A,BRAN!$V:$V,CBOUT!$G:$G)</f>
        <v>0</v>
      </c>
      <c r="M217" s="1158">
        <f>E217+F217+H217-I217-L217+G217-K217</f>
        <v>223</v>
      </c>
      <c r="N217" s="100">
        <f t="shared" si="81"/>
        <v>5575</v>
      </c>
      <c r="O217" s="1159">
        <f t="shared" si="71"/>
        <v>1750</v>
      </c>
      <c r="P217" s="805"/>
      <c r="Q217" s="805"/>
      <c r="R217" s="804">
        <f>O217/INTGRATE!$N$293</f>
        <v>194.44444444444446</v>
      </c>
      <c r="S217" s="665">
        <f t="shared" si="82"/>
        <v>28.671428571428571</v>
      </c>
      <c r="T217" s="403"/>
      <c r="U217" s="141"/>
      <c r="V217" s="840" t="str">
        <f t="shared" si="70"/>
        <v>GT1125</v>
      </c>
      <c r="W217" s="823">
        <v>112601</v>
      </c>
      <c r="X217" s="387"/>
      <c r="Y217" s="387">
        <v>0</v>
      </c>
      <c r="Z217" s="100">
        <v>1250</v>
      </c>
      <c r="AA217" s="100">
        <v>0</v>
      </c>
      <c r="AB217" s="100">
        <v>0</v>
      </c>
      <c r="AC217" s="100">
        <v>500</v>
      </c>
      <c r="AD217" s="100">
        <v>0</v>
      </c>
      <c r="AE217" s="100">
        <v>0</v>
      </c>
      <c r="AF217" s="100">
        <v>0</v>
      </c>
      <c r="AG217" s="100"/>
      <c r="AH217" s="100"/>
      <c r="AI217" s="100"/>
      <c r="AJ217" s="100"/>
      <c r="AK217" s="100"/>
      <c r="AL217" s="100"/>
      <c r="AM217" s="100"/>
      <c r="AN217" s="100"/>
      <c r="AO217" s="100"/>
      <c r="AP217" s="100"/>
      <c r="AQ217" s="100"/>
      <c r="AR217" s="100"/>
      <c r="AS217" s="100"/>
      <c r="AT217" s="100"/>
      <c r="AU217" s="100"/>
      <c r="AV217" s="100"/>
      <c r="AW217" s="100"/>
      <c r="AX217" s="100"/>
      <c r="AY217" s="100"/>
      <c r="AZ217" s="100"/>
      <c r="BA217" s="100"/>
      <c r="BB217" s="100"/>
      <c r="BC217" s="274">
        <f t="shared" si="77"/>
        <v>1750</v>
      </c>
      <c r="BD217" s="786">
        <f t="shared" si="78"/>
        <v>2</v>
      </c>
      <c r="BE217" s="786">
        <f t="shared" si="79"/>
        <v>875</v>
      </c>
      <c r="BH217" s="436"/>
    </row>
    <row r="218" spans="1:60" s="38" customFormat="1" ht="15" customHeight="1">
      <c r="A218" s="68">
        <v>13</v>
      </c>
      <c r="B218" s="609" t="s">
        <v>203</v>
      </c>
      <c r="C218" s="609" t="s">
        <v>61</v>
      </c>
      <c r="D218" s="610" t="s">
        <v>66</v>
      </c>
      <c r="E218" s="1158">
        <v>0</v>
      </c>
      <c r="F218" s="100">
        <f>+J218</f>
        <v>0</v>
      </c>
      <c r="G218" s="100"/>
      <c r="H218" s="100"/>
      <c r="I218" s="100">
        <f>SUMIF(data!$D:$D,$B218&amp;$D218,data!$J:$J)</f>
        <v>0</v>
      </c>
      <c r="J218" s="100">
        <f>SUMIF(data!$D:$D,$B218&amp;$D218,data!$K:$K)</f>
        <v>0</v>
      </c>
      <c r="K218" s="100">
        <f>SUMIF(AJOUT!$A:$A,BRAN!$V:$V,AJOUT!$L:$L)</f>
        <v>0</v>
      </c>
      <c r="L218" s="100">
        <f>SUMIF(CBOUT!$A:$A,BRAN!$V:$V,CBOUT!$G:$G)</f>
        <v>0</v>
      </c>
      <c r="M218" s="1158">
        <v>0</v>
      </c>
      <c r="N218" s="100"/>
      <c r="O218" s="1159">
        <f>SUM(X218:BB218)</f>
        <v>0</v>
      </c>
      <c r="P218" s="805"/>
      <c r="Q218" s="805"/>
      <c r="R218" s="804">
        <f>O218/INTGRATE!$N$293</f>
        <v>0</v>
      </c>
      <c r="S218" s="665">
        <f>IF(R218=0,0,N218/R218)</f>
        <v>0</v>
      </c>
      <c r="T218" s="403"/>
      <c r="U218" s="141"/>
      <c r="V218" s="840" t="str">
        <f t="shared" si="70"/>
        <v>GT11SILO</v>
      </c>
      <c r="W218" s="823">
        <v>112601</v>
      </c>
      <c r="X218" s="387"/>
      <c r="Y218" s="387">
        <v>0</v>
      </c>
      <c r="Z218" s="100">
        <v>0</v>
      </c>
      <c r="AA218" s="100">
        <v>0</v>
      </c>
      <c r="AB218" s="100">
        <v>0</v>
      </c>
      <c r="AC218" s="100">
        <v>0</v>
      </c>
      <c r="AD218" s="100">
        <v>0</v>
      </c>
      <c r="AE218" s="100">
        <v>0</v>
      </c>
      <c r="AF218" s="100">
        <v>0</v>
      </c>
      <c r="AG218" s="100"/>
      <c r="AH218" s="100"/>
      <c r="AI218" s="100"/>
      <c r="AJ218" s="100"/>
      <c r="AK218" s="100"/>
      <c r="AL218" s="100"/>
      <c r="AM218" s="100"/>
      <c r="AN218" s="100"/>
      <c r="AO218" s="100"/>
      <c r="AP218" s="100"/>
      <c r="AQ218" s="100"/>
      <c r="AR218" s="100"/>
      <c r="AS218" s="100"/>
      <c r="AT218" s="100"/>
      <c r="AU218" s="100"/>
      <c r="AV218" s="100"/>
      <c r="AW218" s="100"/>
      <c r="AX218" s="100"/>
      <c r="AY218" s="100"/>
      <c r="AZ218" s="100"/>
      <c r="BA218" s="100"/>
      <c r="BB218" s="100"/>
      <c r="BC218" s="274">
        <f t="shared" si="77"/>
        <v>0</v>
      </c>
      <c r="BD218" s="786">
        <f t="shared" si="78"/>
        <v>0</v>
      </c>
      <c r="BE218" s="786">
        <f t="shared" si="79"/>
        <v>0</v>
      </c>
      <c r="BH218" s="436"/>
    </row>
    <row r="219" spans="1:60" s="38" customFormat="1" ht="15" customHeight="1">
      <c r="A219" s="68">
        <v>14</v>
      </c>
      <c r="B219" s="609" t="s">
        <v>204</v>
      </c>
      <c r="C219" s="609" t="s">
        <v>51</v>
      </c>
      <c r="D219" s="610" t="s">
        <v>66</v>
      </c>
      <c r="E219" s="1158"/>
      <c r="F219" s="100">
        <f>+J219</f>
        <v>0</v>
      </c>
      <c r="G219" s="100"/>
      <c r="H219" s="100"/>
      <c r="I219" s="100">
        <f>SUMIF(data!$D:$D,$B219&amp;$D219,data!$J:$J)</f>
        <v>0</v>
      </c>
      <c r="J219" s="100">
        <f>SUMIF(data!$D:$D,$B219&amp;$D219,data!$K:$K)</f>
        <v>0</v>
      </c>
      <c r="K219" s="100"/>
      <c r="L219" s="100"/>
      <c r="M219" s="1158"/>
      <c r="N219" s="100"/>
      <c r="O219" s="1159">
        <f>SUM(X219:BB219)</f>
        <v>0</v>
      </c>
      <c r="P219" s="805"/>
      <c r="Q219" s="805"/>
      <c r="R219" s="804">
        <f>O219/INTGRATE!$N$293</f>
        <v>0</v>
      </c>
      <c r="S219" s="665">
        <f>IF(R219=0,0,N219/R219)</f>
        <v>0</v>
      </c>
      <c r="T219" s="403"/>
      <c r="U219" s="141"/>
      <c r="V219" s="840" t="str">
        <f t="shared" si="70"/>
        <v>GT11SSILO</v>
      </c>
      <c r="W219" s="823">
        <v>114301</v>
      </c>
      <c r="X219" s="387"/>
      <c r="Y219" s="387">
        <v>0</v>
      </c>
      <c r="Z219" s="100">
        <v>0</v>
      </c>
      <c r="AA219" s="100">
        <v>0</v>
      </c>
      <c r="AB219" s="100">
        <v>0</v>
      </c>
      <c r="AC219" s="100">
        <v>0</v>
      </c>
      <c r="AD219" s="100">
        <v>0</v>
      </c>
      <c r="AE219" s="100">
        <v>0</v>
      </c>
      <c r="AF219" s="100">
        <v>0</v>
      </c>
      <c r="AG219" s="100"/>
      <c r="AH219" s="100"/>
      <c r="AI219" s="100"/>
      <c r="AJ219" s="100"/>
      <c r="AK219" s="100"/>
      <c r="AL219" s="100"/>
      <c r="AM219" s="100"/>
      <c r="AN219" s="100"/>
      <c r="AO219" s="100"/>
      <c r="AP219" s="100"/>
      <c r="AQ219" s="100"/>
      <c r="AR219" s="100"/>
      <c r="AS219" s="100"/>
      <c r="AT219" s="100"/>
      <c r="AU219" s="100"/>
      <c r="AV219" s="100"/>
      <c r="AW219" s="100"/>
      <c r="AX219" s="100"/>
      <c r="AY219" s="100"/>
      <c r="AZ219" s="100"/>
      <c r="BA219" s="100"/>
      <c r="BB219" s="100"/>
      <c r="BC219" s="274">
        <f t="shared" si="77"/>
        <v>0</v>
      </c>
      <c r="BD219" s="786">
        <f t="shared" si="78"/>
        <v>0</v>
      </c>
      <c r="BE219" s="786">
        <f t="shared" si="79"/>
        <v>0</v>
      </c>
      <c r="BH219" s="436"/>
    </row>
    <row r="220" spans="1:60" s="38" customFormat="1" ht="15" customHeight="1">
      <c r="A220" s="68">
        <v>15</v>
      </c>
      <c r="B220" s="609" t="s">
        <v>204</v>
      </c>
      <c r="C220" s="609" t="s">
        <v>51</v>
      </c>
      <c r="D220" s="610">
        <v>25</v>
      </c>
      <c r="E220" s="1158">
        <v>575</v>
      </c>
      <c r="F220" s="100">
        <f>SUMIF(pro!$A:$A,$V:$V,pro!$N:$N)</f>
        <v>0</v>
      </c>
      <c r="G220" s="100"/>
      <c r="H220" s="100"/>
      <c r="I220" s="100">
        <f>SUMIF(data!$D:$D,$B220&amp;$D220,data!$J:$J)</f>
        <v>0</v>
      </c>
      <c r="J220" s="100">
        <f>SUMIF(data!$D:$D,$B220&amp;$D220,data!$K:$K)</f>
        <v>0</v>
      </c>
      <c r="K220" s="100">
        <f>SUMIF(AJOUT!$A:$A,BRAN!$V:$V,AJOUT!$L:$L)</f>
        <v>0</v>
      </c>
      <c r="L220" s="100">
        <f>SUMIF(CBOUT!$A:$A,BRAN!$V:$V,CBOUT!$G:$G)</f>
        <v>0</v>
      </c>
      <c r="M220" s="1158">
        <f>E220+F220+H220-I220-L220+G220-K220</f>
        <v>575</v>
      </c>
      <c r="N220" s="100">
        <f t="shared" si="81"/>
        <v>14375</v>
      </c>
      <c r="O220" s="1159">
        <f>SUM(X220:BB220)</f>
        <v>8550</v>
      </c>
      <c r="P220" s="805"/>
      <c r="Q220" s="805"/>
      <c r="R220" s="804">
        <f>O220/INTGRATE!$N$293</f>
        <v>950</v>
      </c>
      <c r="S220" s="665">
        <f>IF(R220=0,0,N220/R220)</f>
        <v>15.131578947368421</v>
      </c>
      <c r="T220" s="403"/>
      <c r="U220" s="141"/>
      <c r="V220" s="840" t="str">
        <f t="shared" si="70"/>
        <v>GT11S25</v>
      </c>
      <c r="W220" s="823">
        <v>114301</v>
      </c>
      <c r="X220" s="387"/>
      <c r="Y220" s="387">
        <v>0</v>
      </c>
      <c r="Z220" s="100">
        <v>0</v>
      </c>
      <c r="AA220" s="100">
        <v>0</v>
      </c>
      <c r="AB220" s="100">
        <v>4300</v>
      </c>
      <c r="AC220" s="100">
        <v>0</v>
      </c>
      <c r="AD220" s="100">
        <v>0</v>
      </c>
      <c r="AE220" s="100">
        <v>4250</v>
      </c>
      <c r="AF220" s="100">
        <v>0</v>
      </c>
      <c r="AG220" s="100"/>
      <c r="AH220" s="100"/>
      <c r="AI220" s="100"/>
      <c r="AJ220" s="100"/>
      <c r="AK220" s="100"/>
      <c r="AL220" s="100"/>
      <c r="AM220" s="100"/>
      <c r="AN220" s="100"/>
      <c r="AO220" s="100"/>
      <c r="AP220" s="100"/>
      <c r="AQ220" s="100"/>
      <c r="AR220" s="100"/>
      <c r="AS220" s="100"/>
      <c r="AT220" s="100"/>
      <c r="AU220" s="100"/>
      <c r="AV220" s="100"/>
      <c r="AW220" s="100"/>
      <c r="AX220" s="100"/>
      <c r="AY220" s="100"/>
      <c r="AZ220" s="100"/>
      <c r="BA220" s="100"/>
      <c r="BB220" s="100"/>
      <c r="BC220" s="274">
        <f t="shared" si="77"/>
        <v>8550</v>
      </c>
      <c r="BD220" s="786">
        <f t="shared" si="78"/>
        <v>2</v>
      </c>
      <c r="BE220" s="786">
        <f t="shared" si="79"/>
        <v>4275</v>
      </c>
      <c r="BH220" s="436"/>
    </row>
    <row r="221" spans="1:60" s="38" customFormat="1" ht="15" customHeight="1">
      <c r="A221" s="68">
        <v>16</v>
      </c>
      <c r="B221" s="609" t="s">
        <v>205</v>
      </c>
      <c r="C221" s="609" t="s">
        <v>64</v>
      </c>
      <c r="D221" s="610">
        <v>25</v>
      </c>
      <c r="E221" s="1158">
        <v>1285</v>
      </c>
      <c r="F221" s="100">
        <f>SUMIF(pro!$A:$A,$V:$V,pro!$N:$N)</f>
        <v>0</v>
      </c>
      <c r="G221" s="100"/>
      <c r="H221" s="100">
        <f>SUMIF(CBIN!$A:$A,BRAN!$V:$V,CBIN!$G:$G)</f>
        <v>0</v>
      </c>
      <c r="I221" s="100">
        <f>SUMIF(data!$D:$D,$B221&amp;$D221,data!$J:$J)</f>
        <v>0</v>
      </c>
      <c r="J221" s="100">
        <f>SUMIF(data!$D:$D,$B221&amp;$D221,data!$K:$K)</f>
        <v>0</v>
      </c>
      <c r="K221" s="100">
        <f>SUMIF(AJOUT!$A:$A,BRAN!$V:$V,AJOUT!$L:$L)</f>
        <v>0</v>
      </c>
      <c r="L221" s="100">
        <f>SUMIF(CBOUT!$A:$A,BRAN!$V:$V,CBOUT!$G:$G)</f>
        <v>0</v>
      </c>
      <c r="M221" s="1158">
        <f>E221+F221+H221-I221-L221+G221-K221</f>
        <v>1285</v>
      </c>
      <c r="N221" s="100">
        <f t="shared" si="81"/>
        <v>32125</v>
      </c>
      <c r="O221" s="1159">
        <f t="shared" si="71"/>
        <v>0</v>
      </c>
      <c r="P221" s="805"/>
      <c r="Q221" s="805"/>
      <c r="R221" s="804">
        <f>O221/INTGRATE!$N$293</f>
        <v>0</v>
      </c>
      <c r="S221" s="665">
        <f t="shared" si="82"/>
        <v>0</v>
      </c>
      <c r="T221" s="549"/>
      <c r="U221" s="141"/>
      <c r="V221" s="840" t="str">
        <f t="shared" si="70"/>
        <v>GT1225</v>
      </c>
      <c r="W221" s="823">
        <v>114601</v>
      </c>
      <c r="X221" s="387"/>
      <c r="Y221" s="387">
        <v>0</v>
      </c>
      <c r="Z221" s="100">
        <v>0</v>
      </c>
      <c r="AA221" s="100">
        <v>0</v>
      </c>
      <c r="AB221" s="100">
        <v>0</v>
      </c>
      <c r="AC221" s="100">
        <v>0</v>
      </c>
      <c r="AD221" s="100">
        <v>0</v>
      </c>
      <c r="AE221" s="100">
        <v>0</v>
      </c>
      <c r="AF221" s="100">
        <v>0</v>
      </c>
      <c r="AG221" s="100"/>
      <c r="AH221" s="100"/>
      <c r="AI221" s="100"/>
      <c r="AJ221" s="100"/>
      <c r="AK221" s="100"/>
      <c r="AL221" s="100"/>
      <c r="AM221" s="100"/>
      <c r="AN221" s="100"/>
      <c r="AO221" s="100"/>
      <c r="AP221" s="100"/>
      <c r="AQ221" s="100"/>
      <c r="AR221" s="100"/>
      <c r="AS221" s="100"/>
      <c r="AT221" s="100"/>
      <c r="AU221" s="100"/>
      <c r="AV221" s="100"/>
      <c r="AW221" s="100"/>
      <c r="AX221" s="100"/>
      <c r="AY221" s="100"/>
      <c r="AZ221" s="100"/>
      <c r="BA221" s="100"/>
      <c r="BB221" s="100"/>
      <c r="BC221" s="274">
        <f t="shared" si="77"/>
        <v>0</v>
      </c>
      <c r="BD221" s="786">
        <f t="shared" si="78"/>
        <v>0</v>
      </c>
      <c r="BE221" s="786">
        <f t="shared" si="79"/>
        <v>0</v>
      </c>
      <c r="BH221" s="436"/>
    </row>
    <row r="222" spans="1:60" s="38" customFormat="1" ht="15" customHeight="1">
      <c r="A222" s="68">
        <v>17</v>
      </c>
      <c r="B222" s="609" t="s">
        <v>205</v>
      </c>
      <c r="C222" s="609" t="s">
        <v>64</v>
      </c>
      <c r="D222" s="610" t="s">
        <v>58</v>
      </c>
      <c r="E222" s="1158">
        <v>0</v>
      </c>
      <c r="F222" s="100">
        <f>+J222</f>
        <v>0</v>
      </c>
      <c r="G222" s="100"/>
      <c r="H222" s="100"/>
      <c r="I222" s="100">
        <f>SUMIF(data!$D:$D,$B222&amp;$D222,data!$J:$J)</f>
        <v>0</v>
      </c>
      <c r="J222" s="100">
        <f>SUMIF(data!$D:$D,$B222&amp;$D222,data!$K:$K)</f>
        <v>0</v>
      </c>
      <c r="K222" s="100">
        <v>0</v>
      </c>
      <c r="L222" s="100">
        <v>0</v>
      </c>
      <c r="M222" s="1158">
        <v>0</v>
      </c>
      <c r="N222" s="100"/>
      <c r="O222" s="1159">
        <f t="shared" si="71"/>
        <v>15000</v>
      </c>
      <c r="P222" s="805"/>
      <c r="Q222" s="805"/>
      <c r="R222" s="804">
        <f>O222/INTGRATE!$N$293</f>
        <v>1666.6666666666667</v>
      </c>
      <c r="S222" s="665">
        <f>IF(R222=0,0,N222/R222)</f>
        <v>0</v>
      </c>
      <c r="T222" s="403"/>
      <c r="U222" s="141"/>
      <c r="V222" s="840" t="str">
        <f t="shared" ref="V222:V231" si="83">B222&amp;D222</f>
        <v>GT12silo</v>
      </c>
      <c r="W222" s="823">
        <v>114601</v>
      </c>
      <c r="X222" s="387"/>
      <c r="Y222" s="387">
        <v>0</v>
      </c>
      <c r="Z222" s="100">
        <v>0</v>
      </c>
      <c r="AA222" s="100">
        <v>0</v>
      </c>
      <c r="AB222" s="100">
        <v>15000</v>
      </c>
      <c r="AC222" s="100">
        <v>0</v>
      </c>
      <c r="AD222" s="100">
        <v>0</v>
      </c>
      <c r="AE222" s="100">
        <v>0</v>
      </c>
      <c r="AF222" s="100">
        <v>0</v>
      </c>
      <c r="AG222" s="100"/>
      <c r="AH222" s="100"/>
      <c r="AI222" s="100"/>
      <c r="AJ222" s="100"/>
      <c r="AK222" s="100"/>
      <c r="AL222" s="100"/>
      <c r="AM222" s="100"/>
      <c r="AN222" s="100"/>
      <c r="AO222" s="100"/>
      <c r="AP222" s="100"/>
      <c r="AQ222" s="100"/>
      <c r="AR222" s="100"/>
      <c r="AS222" s="100"/>
      <c r="AT222" s="100"/>
      <c r="AU222" s="100"/>
      <c r="AV222" s="100"/>
      <c r="AW222" s="100"/>
      <c r="AX222" s="100"/>
      <c r="AY222" s="100"/>
      <c r="AZ222" s="100"/>
      <c r="BA222" s="100"/>
      <c r="BB222" s="100"/>
      <c r="BC222" s="274">
        <f t="shared" si="77"/>
        <v>15000</v>
      </c>
      <c r="BD222" s="786">
        <f t="shared" si="78"/>
        <v>1</v>
      </c>
      <c r="BE222" s="786">
        <f t="shared" si="79"/>
        <v>15000</v>
      </c>
      <c r="BH222" s="436"/>
    </row>
    <row r="223" spans="1:60" s="38" customFormat="1" ht="15" customHeight="1">
      <c r="A223" s="68">
        <v>18</v>
      </c>
      <c r="B223" s="609" t="s">
        <v>206</v>
      </c>
      <c r="C223" s="609" t="s">
        <v>55</v>
      </c>
      <c r="D223" s="610">
        <v>25</v>
      </c>
      <c r="E223" s="1158">
        <v>58</v>
      </c>
      <c r="F223" s="100">
        <f>SUMIF(pro!$A:$A,$V:$V,pro!$N:$N)</f>
        <v>0</v>
      </c>
      <c r="G223" s="100"/>
      <c r="H223" s="100">
        <f>SUMIF(CBIN!$A:$A,BRAN!$V:$V,CBIN!$G:$G)</f>
        <v>0</v>
      </c>
      <c r="I223" s="100">
        <f>SUMIF(data!$D:$D,$B223&amp;$D223,data!$J:$J)</f>
        <v>0</v>
      </c>
      <c r="J223" s="100">
        <f>SUMIF(data!$D:$D,$B223&amp;$D223,data!$K:$K)</f>
        <v>0</v>
      </c>
      <c r="K223" s="100">
        <f>SUMIF(AJOUT!$A:$A,BRAN!$V:$V,AJOUT!$L:$L)</f>
        <v>0</v>
      </c>
      <c r="L223" s="100">
        <f>SUMIF(CBOUT!$A:$A,BRAN!$V:$V,CBOUT!$G:$G)</f>
        <v>0</v>
      </c>
      <c r="M223" s="1158">
        <f t="shared" ref="M223:M250" si="84">E223+F223+H223-I223-L223+G223-K223</f>
        <v>58</v>
      </c>
      <c r="N223" s="100">
        <f t="shared" si="81"/>
        <v>1450</v>
      </c>
      <c r="O223" s="1159">
        <f t="shared" si="71"/>
        <v>5950</v>
      </c>
      <c r="P223" s="805"/>
      <c r="Q223" s="805"/>
      <c r="R223" s="804">
        <f>O223/INTGRATE!$N$293</f>
        <v>661.11111111111109</v>
      </c>
      <c r="S223" s="665">
        <f t="shared" si="82"/>
        <v>2.1932773109243699</v>
      </c>
      <c r="T223" s="403"/>
      <c r="U223" s="141"/>
      <c r="V223" s="840" t="str">
        <f t="shared" si="83"/>
        <v>GT12B25</v>
      </c>
      <c r="W223" s="823" t="s">
        <v>140</v>
      </c>
      <c r="X223" s="387"/>
      <c r="Y223" s="387">
        <v>0</v>
      </c>
      <c r="Z223" s="100">
        <v>450</v>
      </c>
      <c r="AA223" s="100">
        <v>0</v>
      </c>
      <c r="AB223" s="100">
        <v>0</v>
      </c>
      <c r="AC223" s="100">
        <v>750</v>
      </c>
      <c r="AD223" s="100">
        <v>0</v>
      </c>
      <c r="AE223" s="100">
        <v>0</v>
      </c>
      <c r="AF223" s="100">
        <v>4750</v>
      </c>
      <c r="AG223" s="100"/>
      <c r="AH223" s="100"/>
      <c r="AI223" s="100"/>
      <c r="AJ223" s="100"/>
      <c r="AK223" s="100"/>
      <c r="AL223" s="100"/>
      <c r="AM223" s="100"/>
      <c r="AN223" s="100"/>
      <c r="AO223" s="100"/>
      <c r="AP223" s="100"/>
      <c r="AQ223" s="100"/>
      <c r="AR223" s="100"/>
      <c r="AS223" s="100"/>
      <c r="AT223" s="100"/>
      <c r="AU223" s="100"/>
      <c r="AV223" s="100"/>
      <c r="AW223" s="100"/>
      <c r="AX223" s="100"/>
      <c r="AY223" s="100"/>
      <c r="AZ223" s="100"/>
      <c r="BA223" s="100"/>
      <c r="BB223" s="100"/>
      <c r="BC223" s="274">
        <f t="shared" si="77"/>
        <v>5950</v>
      </c>
      <c r="BD223" s="786">
        <f t="shared" si="78"/>
        <v>3</v>
      </c>
      <c r="BE223" s="786">
        <f t="shared" si="79"/>
        <v>1983.3333333333333</v>
      </c>
      <c r="BH223" s="436"/>
    </row>
    <row r="224" spans="1:60" s="38" customFormat="1" ht="15" customHeight="1">
      <c r="A224" s="68">
        <v>19</v>
      </c>
      <c r="B224" s="609" t="s">
        <v>206</v>
      </c>
      <c r="C224" s="609" t="s">
        <v>55</v>
      </c>
      <c r="D224" s="610" t="s">
        <v>58</v>
      </c>
      <c r="E224" s="1158"/>
      <c r="F224" s="100">
        <f>+J224</f>
        <v>0</v>
      </c>
      <c r="G224" s="100"/>
      <c r="H224" s="100"/>
      <c r="I224" s="100"/>
      <c r="J224" s="100">
        <f>SUMIF(data!$D:$D,$B224&amp;$D224,data!$K:$K)</f>
        <v>0</v>
      </c>
      <c r="K224" s="100">
        <f>SUMIF(AJOUT!$A:$A,BRAN!$V:$V,AJOUT!$L:$L)</f>
        <v>0</v>
      </c>
      <c r="L224" s="100"/>
      <c r="M224" s="1158"/>
      <c r="N224" s="100"/>
      <c r="O224" s="1159">
        <f>SUM(X224:BB224)</f>
        <v>0</v>
      </c>
      <c r="P224" s="805"/>
      <c r="Q224" s="805"/>
      <c r="R224" s="804">
        <f>O224/INTGRATE!$N$293</f>
        <v>0</v>
      </c>
      <c r="S224" s="665">
        <f>IF(R224=0,0,N224/R224)</f>
        <v>0</v>
      </c>
      <c r="T224" s="403"/>
      <c r="U224" s="141"/>
      <c r="V224" s="840" t="str">
        <f t="shared" si="83"/>
        <v>GT12Bsilo</v>
      </c>
      <c r="W224" s="823" t="s">
        <v>140</v>
      </c>
      <c r="X224" s="387"/>
      <c r="Y224" s="387">
        <v>0</v>
      </c>
      <c r="Z224" s="100">
        <v>0</v>
      </c>
      <c r="AA224" s="100">
        <v>0</v>
      </c>
      <c r="AB224" s="100">
        <v>0</v>
      </c>
      <c r="AC224" s="100">
        <v>0</v>
      </c>
      <c r="AD224" s="100">
        <v>0</v>
      </c>
      <c r="AE224" s="100">
        <v>0</v>
      </c>
      <c r="AF224" s="100">
        <v>0</v>
      </c>
      <c r="AG224" s="100"/>
      <c r="AH224" s="100"/>
      <c r="AI224" s="100"/>
      <c r="AJ224" s="100"/>
      <c r="AK224" s="100"/>
      <c r="AL224" s="100"/>
      <c r="AM224" s="100"/>
      <c r="AN224" s="100"/>
      <c r="AO224" s="100"/>
      <c r="AP224" s="100"/>
      <c r="AQ224" s="100"/>
      <c r="AR224" s="100"/>
      <c r="AS224" s="100"/>
      <c r="AT224" s="100"/>
      <c r="AU224" s="100"/>
      <c r="AV224" s="100"/>
      <c r="AW224" s="100"/>
      <c r="AX224" s="100"/>
      <c r="AY224" s="100"/>
      <c r="AZ224" s="100"/>
      <c r="BA224" s="100"/>
      <c r="BB224" s="100"/>
      <c r="BC224" s="274">
        <f t="shared" si="77"/>
        <v>0</v>
      </c>
      <c r="BD224" s="786">
        <f t="shared" si="78"/>
        <v>0</v>
      </c>
      <c r="BE224" s="786">
        <f t="shared" si="79"/>
        <v>0</v>
      </c>
      <c r="BH224" s="436"/>
    </row>
    <row r="225" spans="1:60" s="38" customFormat="1" ht="15" customHeight="1">
      <c r="A225" s="68">
        <v>20</v>
      </c>
      <c r="B225" s="609" t="s">
        <v>207</v>
      </c>
      <c r="C225" s="609" t="s">
        <v>55</v>
      </c>
      <c r="D225" s="610">
        <v>25</v>
      </c>
      <c r="E225" s="1158">
        <v>0</v>
      </c>
      <c r="F225" s="100">
        <f>SUMIF(pro!$A:$A,$V:$V,pro!$N:$N)</f>
        <v>0</v>
      </c>
      <c r="G225" s="100"/>
      <c r="H225" s="100">
        <f>SUMIF(CBIN!$A:$A,BRAN!$V:$V,CBIN!$G:$G)</f>
        <v>0</v>
      </c>
      <c r="I225" s="100">
        <f>SUMIF(data!$D:$D,$B225&amp;$D225,data!$J:$J)</f>
        <v>0</v>
      </c>
      <c r="J225" s="100">
        <f>SUMIF(data!$D:$D,$B225&amp;$D225,data!$K:$K)</f>
        <v>0</v>
      </c>
      <c r="K225" s="100">
        <f>SUMIF(AJOUT!$A:$A,BRAN!$V:$V,AJOUT!$L:$L)</f>
        <v>0</v>
      </c>
      <c r="L225" s="100">
        <f>SUMIF(CBOUT!$A:$A,BRAN!$V:$V,CBOUT!$G:$G)</f>
        <v>0</v>
      </c>
      <c r="M225" s="1158">
        <f>E225+F225+H225-I225-L225+G225-K225</f>
        <v>0</v>
      </c>
      <c r="N225" s="100">
        <f t="shared" si="81"/>
        <v>0</v>
      </c>
      <c r="O225" s="1159">
        <f>SUM(X225:BB225)</f>
        <v>15925</v>
      </c>
      <c r="P225" s="805"/>
      <c r="Q225" s="805"/>
      <c r="R225" s="804">
        <f>O225/INTGRATE!$N$293</f>
        <v>1769.4444444444443</v>
      </c>
      <c r="S225" s="665">
        <f>IF(R225=0,0,N225/R225)</f>
        <v>0</v>
      </c>
      <c r="T225" s="403"/>
      <c r="U225" s="141"/>
      <c r="V225" s="840" t="str">
        <f t="shared" si="83"/>
        <v>GT12BS25</v>
      </c>
      <c r="W225" s="823" t="s">
        <v>208</v>
      </c>
      <c r="X225" s="387"/>
      <c r="Y225" s="387">
        <v>0</v>
      </c>
      <c r="Z225" s="100">
        <v>0</v>
      </c>
      <c r="AA225" s="100">
        <v>0</v>
      </c>
      <c r="AB225" s="100">
        <v>0</v>
      </c>
      <c r="AC225" s="100">
        <v>0</v>
      </c>
      <c r="AD225" s="100">
        <v>0</v>
      </c>
      <c r="AE225" s="100">
        <v>0</v>
      </c>
      <c r="AF225" s="100">
        <v>15925</v>
      </c>
      <c r="AG225" s="100"/>
      <c r="AH225" s="100"/>
      <c r="AI225" s="100"/>
      <c r="AJ225" s="100"/>
      <c r="AK225" s="100"/>
      <c r="AL225" s="100"/>
      <c r="AM225" s="100"/>
      <c r="AN225" s="100"/>
      <c r="AO225" s="100"/>
      <c r="AP225" s="100"/>
      <c r="AQ225" s="100"/>
      <c r="AR225" s="100"/>
      <c r="AS225" s="100"/>
      <c r="AT225" s="100"/>
      <c r="AU225" s="100"/>
      <c r="AV225" s="100"/>
      <c r="AW225" s="100"/>
      <c r="AX225" s="100"/>
      <c r="AY225" s="100"/>
      <c r="AZ225" s="100"/>
      <c r="BA225" s="100"/>
      <c r="BB225" s="100"/>
      <c r="BC225" s="274">
        <f t="shared" si="77"/>
        <v>15925</v>
      </c>
      <c r="BD225" s="786">
        <f t="shared" si="78"/>
        <v>1</v>
      </c>
      <c r="BE225" s="786">
        <f t="shared" si="79"/>
        <v>15925</v>
      </c>
      <c r="BH225" s="436"/>
    </row>
    <row r="226" spans="1:60" s="38" customFormat="1" ht="15" customHeight="1">
      <c r="A226" s="68">
        <v>21</v>
      </c>
      <c r="B226" s="609" t="s">
        <v>209</v>
      </c>
      <c r="C226" s="609" t="s">
        <v>55</v>
      </c>
      <c r="D226" s="610">
        <v>25</v>
      </c>
      <c r="E226" s="1158">
        <v>0</v>
      </c>
      <c r="F226" s="100">
        <f>SUMIF(pro!$A:$A,$V:$V,pro!$N:$N)</f>
        <v>0</v>
      </c>
      <c r="G226" s="100"/>
      <c r="H226" s="100">
        <f>SUMIF(CBIN!$A:$A,BRAN!$V:$V,CBIN!$G:$G)</f>
        <v>0</v>
      </c>
      <c r="I226" s="100">
        <f>SUMIF(data!$D:$D,$B226&amp;$D226,data!$J:$J)</f>
        <v>0</v>
      </c>
      <c r="J226" s="100">
        <f>SUMIF(data!$D:$D,$B226&amp;$D226,data!$K:$K)</f>
        <v>0</v>
      </c>
      <c r="K226" s="100">
        <f>SUMIF(AJOUT!$A:$A,BRAN!$V:$V,AJOUT!$L:$L)</f>
        <v>0</v>
      </c>
      <c r="L226" s="100">
        <f>SUMIF(CBOUT!$A:$A,BRAN!$V:$V,CBOUT!$G:$G)</f>
        <v>0</v>
      </c>
      <c r="M226" s="1158">
        <f>E226+F226+H226-I226-L226+G226-K226</f>
        <v>0</v>
      </c>
      <c r="N226" s="100">
        <f t="shared" si="81"/>
        <v>0</v>
      </c>
      <c r="O226" s="1159">
        <f>SUM(X226:BB226)</f>
        <v>0</v>
      </c>
      <c r="P226" s="805"/>
      <c r="Q226" s="805"/>
      <c r="R226" s="804">
        <f>O226/INTGRATE!$N$293</f>
        <v>0</v>
      </c>
      <c r="S226" s="665">
        <f>IF(R226=0,0,N226/R226)</f>
        <v>0</v>
      </c>
      <c r="T226" s="403"/>
      <c r="U226" s="141"/>
      <c r="V226" s="840" t="str">
        <f t="shared" si="83"/>
        <v>GT12BSP25</v>
      </c>
      <c r="W226" s="823" t="s">
        <v>210</v>
      </c>
      <c r="X226" s="387"/>
      <c r="Y226" s="387">
        <v>0</v>
      </c>
      <c r="Z226" s="100">
        <v>0</v>
      </c>
      <c r="AA226" s="100">
        <v>0</v>
      </c>
      <c r="AB226" s="100">
        <v>0</v>
      </c>
      <c r="AC226" s="100">
        <v>0</v>
      </c>
      <c r="AD226" s="100">
        <v>0</v>
      </c>
      <c r="AE226" s="100">
        <v>0</v>
      </c>
      <c r="AF226" s="100">
        <v>0</v>
      </c>
      <c r="AG226" s="100"/>
      <c r="AH226" s="100"/>
      <c r="AI226" s="100"/>
      <c r="AJ226" s="100"/>
      <c r="AK226" s="100"/>
      <c r="AL226" s="100"/>
      <c r="AM226" s="100"/>
      <c r="AN226" s="100"/>
      <c r="AO226" s="100"/>
      <c r="AP226" s="100"/>
      <c r="AQ226" s="100"/>
      <c r="AR226" s="100"/>
      <c r="AS226" s="100"/>
      <c r="AT226" s="100"/>
      <c r="AU226" s="100"/>
      <c r="AV226" s="100"/>
      <c r="AW226" s="100"/>
      <c r="AX226" s="100"/>
      <c r="AY226" s="100"/>
      <c r="AZ226" s="100"/>
      <c r="BA226" s="100"/>
      <c r="BB226" s="100"/>
      <c r="BC226" s="274">
        <f t="shared" si="77"/>
        <v>0</v>
      </c>
      <c r="BD226" s="786">
        <f t="shared" si="78"/>
        <v>0</v>
      </c>
      <c r="BE226" s="786">
        <f t="shared" si="79"/>
        <v>0</v>
      </c>
      <c r="BH226" s="436"/>
    </row>
    <row r="227" spans="1:60" s="38" customFormat="1" ht="15" customHeight="1">
      <c r="A227" s="68">
        <v>22</v>
      </c>
      <c r="B227" s="609" t="s">
        <v>211</v>
      </c>
      <c r="C227" s="609" t="s">
        <v>132</v>
      </c>
      <c r="D227" s="610" t="s">
        <v>58</v>
      </c>
      <c r="E227" s="1158">
        <v>0</v>
      </c>
      <c r="F227" s="100">
        <f>+J227</f>
        <v>0</v>
      </c>
      <c r="G227" s="100"/>
      <c r="H227" s="100"/>
      <c r="I227" s="100"/>
      <c r="J227" s="100">
        <f>SUMIF(data!$D:$D,$B227&amp;$D227,data!$K:$K)</f>
        <v>0</v>
      </c>
      <c r="K227" s="100">
        <f>SUMIF(AJOUT!$A:$A,BRAN!$V:$V,AJOUT!$L:$L)</f>
        <v>0</v>
      </c>
      <c r="L227" s="100"/>
      <c r="M227" s="1158">
        <v>0</v>
      </c>
      <c r="N227" s="100"/>
      <c r="O227" s="1159">
        <f>SUM(X227:BB227)</f>
        <v>26970</v>
      </c>
      <c r="P227" s="805"/>
      <c r="Q227" s="805"/>
      <c r="R227" s="804">
        <f>O227/INTGRATE!$N$293</f>
        <v>2996.6666666666665</v>
      </c>
      <c r="S227" s="665">
        <f>IF(R227=0,0,N227/R227)</f>
        <v>0</v>
      </c>
      <c r="T227" s="403"/>
      <c r="U227" s="141"/>
      <c r="V227" s="840" t="str">
        <f t="shared" si="83"/>
        <v>GT12Asilo</v>
      </c>
      <c r="W227" s="823">
        <v>113601</v>
      </c>
      <c r="X227" s="387"/>
      <c r="Y227" s="387">
        <v>0</v>
      </c>
      <c r="Z227" s="100">
        <v>0</v>
      </c>
      <c r="AA227" s="100">
        <v>13940</v>
      </c>
      <c r="AB227" s="100">
        <v>13030</v>
      </c>
      <c r="AC227" s="100">
        <v>0</v>
      </c>
      <c r="AD227" s="100">
        <v>0</v>
      </c>
      <c r="AE227" s="100">
        <v>0</v>
      </c>
      <c r="AF227" s="100">
        <v>0</v>
      </c>
      <c r="AG227" s="100"/>
      <c r="AH227" s="100"/>
      <c r="AI227" s="100"/>
      <c r="AJ227" s="100"/>
      <c r="AK227" s="100"/>
      <c r="AL227" s="100"/>
      <c r="AM227" s="100"/>
      <c r="AN227" s="100"/>
      <c r="AO227" s="100"/>
      <c r="AP227" s="100"/>
      <c r="AQ227" s="100"/>
      <c r="AR227" s="100"/>
      <c r="AS227" s="100"/>
      <c r="AT227" s="100"/>
      <c r="AU227" s="100"/>
      <c r="AV227" s="100"/>
      <c r="AW227" s="100"/>
      <c r="AX227" s="100"/>
      <c r="AY227" s="100"/>
      <c r="AZ227" s="100"/>
      <c r="BA227" s="100"/>
      <c r="BB227" s="100"/>
      <c r="BC227" s="274">
        <f t="shared" si="77"/>
        <v>26970</v>
      </c>
      <c r="BD227" s="786">
        <f t="shared" si="78"/>
        <v>2</v>
      </c>
      <c r="BE227" s="786">
        <f t="shared" si="79"/>
        <v>13485</v>
      </c>
      <c r="BH227" s="436"/>
    </row>
    <row r="228" spans="1:60" s="38" customFormat="1" ht="15" customHeight="1">
      <c r="A228" s="68">
        <v>23</v>
      </c>
      <c r="B228" s="609" t="s">
        <v>211</v>
      </c>
      <c r="C228" s="609" t="s">
        <v>132</v>
      </c>
      <c r="D228" s="610">
        <v>25</v>
      </c>
      <c r="E228" s="1158">
        <v>0</v>
      </c>
      <c r="F228" s="100">
        <f>SUMIF(pro!$A:$A,$V:$V,pro!$N:$N)</f>
        <v>0</v>
      </c>
      <c r="G228" s="100"/>
      <c r="H228" s="100">
        <f>SUMIF(CBIN!$A:$A,BRAN!$V:$V,CBIN!$G:$G)</f>
        <v>0</v>
      </c>
      <c r="I228" s="100">
        <f>SUMIF(data!$D:$D,$B228&amp;$D228,data!$J:$J)</f>
        <v>0</v>
      </c>
      <c r="J228" s="100">
        <f>SUMIF(data!$D:$D,$B228&amp;$D228,data!$K:$K)</f>
        <v>0</v>
      </c>
      <c r="K228" s="100">
        <f>SUMIF(AJOUT!$A:$A,BRAN!$V:$V,AJOUT!$L:$L)</f>
        <v>0</v>
      </c>
      <c r="L228" s="100">
        <f>SUMIF(CBOUT!$A:$A,BRAN!$V:$V,CBOUT!$G:$G)</f>
        <v>0</v>
      </c>
      <c r="M228" s="1158">
        <f t="shared" si="84"/>
        <v>0</v>
      </c>
      <c r="N228" s="100">
        <f t="shared" si="81"/>
        <v>0</v>
      </c>
      <c r="O228" s="1159">
        <f t="shared" si="71"/>
        <v>2950</v>
      </c>
      <c r="P228" s="805"/>
      <c r="Q228" s="805"/>
      <c r="R228" s="804">
        <f>O228/INTGRATE!$N$293</f>
        <v>327.77777777777777</v>
      </c>
      <c r="S228" s="665">
        <f t="shared" si="82"/>
        <v>0</v>
      </c>
      <c r="T228" s="403"/>
      <c r="U228" s="141"/>
      <c r="V228" s="840" t="str">
        <f t="shared" si="83"/>
        <v>GT12A25</v>
      </c>
      <c r="W228" s="823">
        <v>113601</v>
      </c>
      <c r="X228" s="387"/>
      <c r="Y228" s="387">
        <v>0</v>
      </c>
      <c r="Z228" s="100">
        <v>0</v>
      </c>
      <c r="AA228" s="100">
        <v>0</v>
      </c>
      <c r="AB228" s="100">
        <v>2950</v>
      </c>
      <c r="AC228" s="100">
        <v>0</v>
      </c>
      <c r="AD228" s="100">
        <v>0</v>
      </c>
      <c r="AE228" s="100">
        <v>0</v>
      </c>
      <c r="AF228" s="100">
        <v>0</v>
      </c>
      <c r="AG228" s="100"/>
      <c r="AH228" s="100"/>
      <c r="AI228" s="100"/>
      <c r="AJ228" s="100"/>
      <c r="AK228" s="100"/>
      <c r="AL228" s="100"/>
      <c r="AM228" s="100"/>
      <c r="AN228" s="100"/>
      <c r="AO228" s="100"/>
      <c r="AP228" s="100"/>
      <c r="AQ228" s="100"/>
      <c r="AR228" s="100"/>
      <c r="AS228" s="100"/>
      <c r="AT228" s="100"/>
      <c r="AU228" s="100"/>
      <c r="AV228" s="100"/>
      <c r="AW228" s="100"/>
      <c r="AX228" s="100"/>
      <c r="AY228" s="100"/>
      <c r="AZ228" s="100"/>
      <c r="BA228" s="100"/>
      <c r="BB228" s="100"/>
      <c r="BC228" s="274">
        <f t="shared" si="77"/>
        <v>2950</v>
      </c>
      <c r="BD228" s="786">
        <f t="shared" si="78"/>
        <v>1</v>
      </c>
      <c r="BE228" s="786">
        <f t="shared" si="79"/>
        <v>2950</v>
      </c>
      <c r="BH228" s="436"/>
    </row>
    <row r="229" spans="1:60" s="38" customFormat="1" ht="15" customHeight="1">
      <c r="A229" s="68">
        <v>24</v>
      </c>
      <c r="B229" s="609" t="s">
        <v>212</v>
      </c>
      <c r="C229" s="792" t="s">
        <v>80</v>
      </c>
      <c r="D229" s="610">
        <v>25</v>
      </c>
      <c r="E229" s="1158">
        <v>621</v>
      </c>
      <c r="F229" s="100">
        <f>SUMIF(pro!$A:$A,$V:$V,pro!$N:$N)</f>
        <v>0</v>
      </c>
      <c r="G229" s="100"/>
      <c r="H229" s="100">
        <f>SUMIF(CBIN!$A:$A,BRAN!$V:$V,CBIN!$G:$G)</f>
        <v>0</v>
      </c>
      <c r="I229" s="100">
        <f>SUMIF(data!$D:$D,$B229&amp;$D229,data!$J:$J)</f>
        <v>0</v>
      </c>
      <c r="J229" s="100">
        <f>SUMIF(data!$D:$D,$B229&amp;$D229,data!$K:$K)</f>
        <v>0</v>
      </c>
      <c r="K229" s="100">
        <f>SUMIF(AJOUT!$A:$A,BRAN!$V:$V,AJOUT!$L:$L)</f>
        <v>0</v>
      </c>
      <c r="L229" s="100">
        <f>SUMIF(CBOUT!$A:$A,BRAN!$V:$V,CBOUT!$G:$G)</f>
        <v>0</v>
      </c>
      <c r="M229" s="1158">
        <f t="shared" si="84"/>
        <v>621</v>
      </c>
      <c r="N229" s="100">
        <f t="shared" si="81"/>
        <v>15525</v>
      </c>
      <c r="O229" s="1159">
        <f t="shared" si="71"/>
        <v>0</v>
      </c>
      <c r="P229" s="805"/>
      <c r="Q229" s="805"/>
      <c r="R229" s="804">
        <f>O229/INTGRATE!$N$293</f>
        <v>0</v>
      </c>
      <c r="S229" s="665">
        <f t="shared" si="82"/>
        <v>0</v>
      </c>
      <c r="T229" s="403"/>
      <c r="U229" s="141"/>
      <c r="V229" s="840" t="str">
        <f t="shared" si="83"/>
        <v>GT12S25</v>
      </c>
      <c r="W229" s="823">
        <v>113301</v>
      </c>
      <c r="X229" s="387"/>
      <c r="Y229" s="387">
        <v>0</v>
      </c>
      <c r="Z229" s="100">
        <v>0</v>
      </c>
      <c r="AA229" s="100">
        <v>0</v>
      </c>
      <c r="AB229" s="100">
        <v>0</v>
      </c>
      <c r="AC229" s="100">
        <v>0</v>
      </c>
      <c r="AD229" s="100">
        <v>0</v>
      </c>
      <c r="AE229" s="100">
        <v>0</v>
      </c>
      <c r="AF229" s="100">
        <v>0</v>
      </c>
      <c r="AG229" s="100"/>
      <c r="AH229" s="100"/>
      <c r="AI229" s="100"/>
      <c r="AJ229" s="100"/>
      <c r="AK229" s="100"/>
      <c r="AL229" s="100"/>
      <c r="AM229" s="100"/>
      <c r="AN229" s="100"/>
      <c r="AO229" s="100"/>
      <c r="AP229" s="100"/>
      <c r="AQ229" s="100"/>
      <c r="AR229" s="100"/>
      <c r="AS229" s="100"/>
      <c r="AT229" s="100"/>
      <c r="AU229" s="100"/>
      <c r="AV229" s="100"/>
      <c r="AW229" s="100"/>
      <c r="AX229" s="100"/>
      <c r="AY229" s="100"/>
      <c r="AZ229" s="100"/>
      <c r="BA229" s="100"/>
      <c r="BB229" s="100"/>
      <c r="BC229" s="274">
        <f t="shared" si="77"/>
        <v>0</v>
      </c>
      <c r="BD229" s="786">
        <f t="shared" si="78"/>
        <v>0</v>
      </c>
      <c r="BE229" s="786">
        <f t="shared" si="79"/>
        <v>0</v>
      </c>
      <c r="BH229" s="436"/>
    </row>
    <row r="230" spans="1:60" s="38" customFormat="1" ht="15" customHeight="1">
      <c r="A230" s="68">
        <v>25</v>
      </c>
      <c r="B230" s="609" t="s">
        <v>213</v>
      </c>
      <c r="C230" s="609" t="s">
        <v>55</v>
      </c>
      <c r="D230" s="610">
        <v>25</v>
      </c>
      <c r="E230" s="1158">
        <v>99</v>
      </c>
      <c r="F230" s="100">
        <f>SUMIF(pro!$A:$A,$V:$V,pro!$N:$N)</f>
        <v>0</v>
      </c>
      <c r="G230" s="100"/>
      <c r="H230" s="100">
        <f>SUMIF(CBIN!$A:$A,BRAN!$V:$V,CBIN!$G:$G)</f>
        <v>0</v>
      </c>
      <c r="I230" s="100">
        <f>SUMIF(data!$D:$D,$B230&amp;$D230,data!$J:$J)</f>
        <v>0</v>
      </c>
      <c r="J230" s="100">
        <f>SUMIF(data!$D:$D,$B230&amp;$D230,data!$K:$K)</f>
        <v>0</v>
      </c>
      <c r="K230" s="100">
        <f>SUMIF(AJOUT!$A:$A,BRAN!$V:$V,AJOUT!$L:$L)</f>
        <v>0</v>
      </c>
      <c r="L230" s="100">
        <f>SUMIF(CBOUT!$A:$A,BRAN!$V:$V,CBOUT!$G:$G)</f>
        <v>0</v>
      </c>
      <c r="M230" s="1158">
        <f>E230+F230+H230-I230-L230+G230-K230</f>
        <v>99</v>
      </c>
      <c r="N230" s="100">
        <f t="shared" si="81"/>
        <v>2475</v>
      </c>
      <c r="O230" s="1159">
        <f>SUM(X230:BB230)</f>
        <v>3450</v>
      </c>
      <c r="P230" s="805"/>
      <c r="Q230" s="805"/>
      <c r="R230" s="804">
        <f>O230/INTGRATE!$N$293</f>
        <v>383.33333333333331</v>
      </c>
      <c r="S230" s="665">
        <f>IF(R230=0,0,N230/R230)</f>
        <v>6.4565217391304355</v>
      </c>
      <c r="T230" s="403"/>
      <c r="U230" s="141"/>
      <c r="V230" s="840" t="str">
        <f t="shared" si="83"/>
        <v>GT12AS25</v>
      </c>
      <c r="W230" s="823">
        <v>113301</v>
      </c>
      <c r="X230" s="387"/>
      <c r="Y230" s="387">
        <v>0</v>
      </c>
      <c r="Z230" s="100">
        <v>0</v>
      </c>
      <c r="AA230" s="100">
        <v>0</v>
      </c>
      <c r="AB230" s="100">
        <v>0</v>
      </c>
      <c r="AC230" s="100">
        <v>0</v>
      </c>
      <c r="AD230" s="100">
        <v>0</v>
      </c>
      <c r="AE230" s="100">
        <v>3450</v>
      </c>
      <c r="AF230" s="100">
        <v>0</v>
      </c>
      <c r="AG230" s="100"/>
      <c r="AH230" s="100"/>
      <c r="AI230" s="100"/>
      <c r="AJ230" s="100"/>
      <c r="AK230" s="100"/>
      <c r="AL230" s="100"/>
      <c r="AM230" s="100"/>
      <c r="AN230" s="100"/>
      <c r="AO230" s="100"/>
      <c r="AP230" s="100"/>
      <c r="AQ230" s="100"/>
      <c r="AR230" s="100"/>
      <c r="AS230" s="100"/>
      <c r="AT230" s="100"/>
      <c r="AU230" s="100"/>
      <c r="AV230" s="100"/>
      <c r="AW230" s="100"/>
      <c r="AX230" s="100"/>
      <c r="AY230" s="100"/>
      <c r="AZ230" s="100"/>
      <c r="BA230" s="100"/>
      <c r="BB230" s="100"/>
      <c r="BC230" s="274">
        <f t="shared" si="77"/>
        <v>3450</v>
      </c>
      <c r="BD230" s="786">
        <f t="shared" si="78"/>
        <v>1</v>
      </c>
      <c r="BE230" s="786">
        <f t="shared" si="79"/>
        <v>3450</v>
      </c>
      <c r="BH230" s="436"/>
    </row>
    <row r="231" spans="1:60" s="38" customFormat="1" ht="15" customHeight="1">
      <c r="A231" s="68">
        <v>26</v>
      </c>
      <c r="B231" s="609" t="s">
        <v>213</v>
      </c>
      <c r="C231" s="609" t="s">
        <v>55</v>
      </c>
      <c r="D231" s="610" t="s">
        <v>66</v>
      </c>
      <c r="E231" s="1158"/>
      <c r="F231" s="100">
        <f>+J231</f>
        <v>0</v>
      </c>
      <c r="G231" s="100"/>
      <c r="H231" s="100"/>
      <c r="I231" s="100">
        <f>SUMIF(data!$D:$D,$B231&amp;$D231,data!$J:$J)</f>
        <v>0</v>
      </c>
      <c r="J231" s="100">
        <f>SUMIF(data!$D:$D,$B231&amp;$D231,data!$K:$K)</f>
        <v>0</v>
      </c>
      <c r="K231" s="100"/>
      <c r="L231" s="100"/>
      <c r="M231" s="1158"/>
      <c r="N231" s="100"/>
      <c r="O231" s="1159">
        <f>SUM(X231:BB231)</f>
        <v>0</v>
      </c>
      <c r="P231" s="805" t="s">
        <v>214</v>
      </c>
      <c r="Q231" s="805"/>
      <c r="R231" s="804">
        <f>O231/INTGRATE!$N$293</f>
        <v>0</v>
      </c>
      <c r="S231" s="665">
        <f>IF(R231=0,0,N231/R231)</f>
        <v>0</v>
      </c>
      <c r="T231" s="403"/>
      <c r="U231" s="141"/>
      <c r="V231" s="840" t="str">
        <f t="shared" si="83"/>
        <v>GT12ASSILO</v>
      </c>
      <c r="W231" s="823">
        <v>113301</v>
      </c>
      <c r="X231" s="387"/>
      <c r="Y231" s="387">
        <v>0</v>
      </c>
      <c r="Z231" s="100">
        <v>0</v>
      </c>
      <c r="AA231" s="100">
        <v>0</v>
      </c>
      <c r="AB231" s="100">
        <v>0</v>
      </c>
      <c r="AC231" s="100">
        <v>0</v>
      </c>
      <c r="AD231" s="100">
        <v>0</v>
      </c>
      <c r="AE231" s="100">
        <v>0</v>
      </c>
      <c r="AF231" s="100">
        <v>0</v>
      </c>
      <c r="AG231" s="100"/>
      <c r="AH231" s="100"/>
      <c r="AI231" s="100"/>
      <c r="AJ231" s="100"/>
      <c r="AK231" s="100"/>
      <c r="AL231" s="100"/>
      <c r="AM231" s="100"/>
      <c r="AN231" s="100"/>
      <c r="AO231" s="100"/>
      <c r="AP231" s="100"/>
      <c r="AQ231" s="100"/>
      <c r="AR231" s="100"/>
      <c r="AS231" s="100"/>
      <c r="AT231" s="100"/>
      <c r="AU231" s="100"/>
      <c r="AV231" s="100"/>
      <c r="AW231" s="100"/>
      <c r="AX231" s="100"/>
      <c r="AY231" s="100"/>
      <c r="AZ231" s="100"/>
      <c r="BA231" s="100"/>
      <c r="BB231" s="100"/>
      <c r="BC231" s="274">
        <f t="shared" si="77"/>
        <v>0</v>
      </c>
      <c r="BD231" s="786">
        <f t="shared" si="78"/>
        <v>0</v>
      </c>
      <c r="BE231" s="786">
        <f t="shared" si="79"/>
        <v>0</v>
      </c>
      <c r="BH231" s="436"/>
    </row>
    <row r="232" spans="1:60" s="38" customFormat="1" ht="15" customHeight="1">
      <c r="A232" s="68">
        <v>27</v>
      </c>
      <c r="B232" s="159" t="s">
        <v>215</v>
      </c>
      <c r="C232" s="159" t="s">
        <v>79</v>
      </c>
      <c r="D232" s="160">
        <v>25</v>
      </c>
      <c r="E232" s="1158">
        <v>0</v>
      </c>
      <c r="F232" s="100">
        <f>SUMIF(pro!$A:$A,$V:$V,pro!$N:$N)</f>
        <v>0</v>
      </c>
      <c r="G232" s="100"/>
      <c r="H232" s="100">
        <f>SUMIF(CBIN!$A:$A,BRAN!$V:$V,CBIN!$G:$G)</f>
        <v>0</v>
      </c>
      <c r="I232" s="100">
        <f>SUMIF(data!$D:$D,$B232&amp;$D232,data!$J:$J)</f>
        <v>0</v>
      </c>
      <c r="J232" s="100">
        <f>SUMIF(data!$D:$D,$B232&amp;$D232,data!$K:$K)</f>
        <v>0</v>
      </c>
      <c r="K232" s="100">
        <f>SUMIF(AJOUT!$A:$A,BRAN!$V:$V,AJOUT!$L:$L)</f>
        <v>0</v>
      </c>
      <c r="L232" s="100">
        <f>SUMIF(CBOUT!$A:$A,BRAN!$V:$V,CBOUT!$G:$G)</f>
        <v>0</v>
      </c>
      <c r="M232" s="1158">
        <f t="shared" si="84"/>
        <v>0</v>
      </c>
      <c r="N232" s="100">
        <f t="shared" si="81"/>
        <v>0</v>
      </c>
      <c r="O232" s="1159">
        <f t="shared" si="71"/>
        <v>0</v>
      </c>
      <c r="P232" s="717">
        <f>+N217+N250+N251+N252+N254+N258+N259+N260+N261+N218+N253</f>
        <v>35325</v>
      </c>
      <c r="Q232" s="717">
        <f>+O217+O250+O251+O252+O254+O258+O259+O260+O261+O218+O253</f>
        <v>114975</v>
      </c>
      <c r="R232" s="804">
        <f>O232/INTGRATE!$N$293</f>
        <v>0</v>
      </c>
      <c r="S232" s="665">
        <f>IF(R232=0,0,N232/R232)</f>
        <v>0</v>
      </c>
      <c r="T232" s="403"/>
      <c r="U232" s="141"/>
      <c r="V232" s="840" t="str">
        <f t="shared" ref="V232:V279" si="85">B232&amp;D232</f>
        <v>CD0225</v>
      </c>
      <c r="W232" s="823">
        <v>546000</v>
      </c>
      <c r="X232" s="387"/>
      <c r="Y232" s="387">
        <v>0</v>
      </c>
      <c r="Z232" s="100">
        <v>0</v>
      </c>
      <c r="AA232" s="100">
        <v>0</v>
      </c>
      <c r="AB232" s="100">
        <v>0</v>
      </c>
      <c r="AC232" s="100">
        <v>0</v>
      </c>
      <c r="AD232" s="100">
        <v>0</v>
      </c>
      <c r="AE232" s="100">
        <v>0</v>
      </c>
      <c r="AF232" s="100">
        <v>0</v>
      </c>
      <c r="AG232" s="100"/>
      <c r="AH232" s="100"/>
      <c r="AI232" s="100"/>
      <c r="AJ232" s="100"/>
      <c r="AK232" s="100"/>
      <c r="AL232" s="100"/>
      <c r="AM232" s="100"/>
      <c r="AN232" s="100"/>
      <c r="AO232" s="100"/>
      <c r="AP232" s="100"/>
      <c r="AQ232" s="100"/>
      <c r="AR232" s="100"/>
      <c r="AS232" s="100"/>
      <c r="AT232" s="100"/>
      <c r="AU232" s="100"/>
      <c r="AV232" s="100"/>
      <c r="AW232" s="100"/>
      <c r="AX232" s="100"/>
      <c r="AY232" s="100"/>
      <c r="AZ232" s="100"/>
      <c r="BA232" s="100"/>
      <c r="BB232" s="100"/>
      <c r="BC232" s="274">
        <f t="shared" si="77"/>
        <v>0</v>
      </c>
      <c r="BD232" s="786">
        <f t="shared" si="78"/>
        <v>0</v>
      </c>
      <c r="BE232" s="786">
        <f t="shared" si="79"/>
        <v>0</v>
      </c>
      <c r="BH232" s="436"/>
    </row>
    <row r="233" spans="1:60" s="38" customFormat="1" ht="15" customHeight="1">
      <c r="A233" s="68">
        <v>28</v>
      </c>
      <c r="B233" s="360" t="s">
        <v>216</v>
      </c>
      <c r="C233" s="747" t="s">
        <v>79</v>
      </c>
      <c r="D233" s="748">
        <v>25</v>
      </c>
      <c r="E233" s="1158">
        <v>98</v>
      </c>
      <c r="F233" s="100">
        <f>SUMIF(pro!$A:$A,$V:$V,pro!$N:$N)</f>
        <v>0</v>
      </c>
      <c r="G233" s="100"/>
      <c r="H233" s="100">
        <f>SUMIF(CBIN!$A:$A,BRAN!$V:$V,CBIN!$G:$G)</f>
        <v>0</v>
      </c>
      <c r="I233" s="100">
        <f>SUMIF(data!$D:$D,$B233&amp;$D233,data!$J:$J)</f>
        <v>0</v>
      </c>
      <c r="J233" s="100">
        <f>SUMIF(data!$D:$D,$B233&amp;$D233,data!$K:$K)</f>
        <v>0</v>
      </c>
      <c r="K233" s="100">
        <f>SUMIF(AJOUT!$A:$A,BRAN!$V:$V,AJOUT!$L:$L)</f>
        <v>0</v>
      </c>
      <c r="L233" s="100">
        <f>SUMIF(CBOUT!$A:$A,BRAN!$V:$V,CBOUT!$G:$G)</f>
        <v>0</v>
      </c>
      <c r="M233" s="1158">
        <f t="shared" si="84"/>
        <v>98</v>
      </c>
      <c r="N233" s="100">
        <f t="shared" si="81"/>
        <v>2450</v>
      </c>
      <c r="O233" s="1159">
        <f t="shared" si="71"/>
        <v>8775</v>
      </c>
      <c r="P233" s="805">
        <f>+N229+N208+N210+N211+N214+N219+N220+N215</f>
        <v>74150</v>
      </c>
      <c r="Q233" s="805">
        <f>+O229+O208+O210+O211+O214+O219+O220+O215</f>
        <v>61700</v>
      </c>
      <c r="R233" s="804">
        <f>O233/INTGRATE!$N$293</f>
        <v>975</v>
      </c>
      <c r="S233" s="665">
        <f t="shared" si="82"/>
        <v>2.5128205128205128</v>
      </c>
      <c r="T233" s="403"/>
      <c r="U233" s="141"/>
      <c r="V233" s="840" t="str">
        <f t="shared" si="85"/>
        <v>BS045A25</v>
      </c>
      <c r="W233" s="823">
        <v>433060</v>
      </c>
      <c r="X233" s="387"/>
      <c r="Y233" s="387">
        <v>0</v>
      </c>
      <c r="Z233" s="100">
        <v>0</v>
      </c>
      <c r="AA233" s="100">
        <v>0</v>
      </c>
      <c r="AB233" s="100">
        <v>0</v>
      </c>
      <c r="AC233" s="100">
        <v>0</v>
      </c>
      <c r="AD233" s="100">
        <v>1350</v>
      </c>
      <c r="AE233" s="100">
        <v>750</v>
      </c>
      <c r="AF233" s="100">
        <v>6675</v>
      </c>
      <c r="AG233" s="100"/>
      <c r="AH233" s="100"/>
      <c r="AI233" s="100"/>
      <c r="AJ233" s="100"/>
      <c r="AK233" s="100"/>
      <c r="AL233" s="100"/>
      <c r="AM233" s="100"/>
      <c r="AN233" s="100"/>
      <c r="AO233" s="100"/>
      <c r="AP233" s="100"/>
      <c r="AQ233" s="100"/>
      <c r="AR233" s="100"/>
      <c r="AS233" s="100"/>
      <c r="AT233" s="100"/>
      <c r="AU233" s="100"/>
      <c r="AV233" s="100"/>
      <c r="AW233" s="100"/>
      <c r="AX233" s="100"/>
      <c r="AY233" s="100"/>
      <c r="AZ233" s="100"/>
      <c r="BA233" s="100"/>
      <c r="BB233" s="100"/>
      <c r="BC233" s="274">
        <f t="shared" si="77"/>
        <v>8775</v>
      </c>
      <c r="BD233" s="786">
        <f t="shared" si="78"/>
        <v>3</v>
      </c>
      <c r="BE233" s="786">
        <f t="shared" si="79"/>
        <v>2925</v>
      </c>
      <c r="BH233" s="436"/>
    </row>
    <row r="234" spans="1:60" s="38" customFormat="1" ht="14.25" customHeight="1">
      <c r="A234" s="68">
        <v>29</v>
      </c>
      <c r="B234" s="360" t="s">
        <v>217</v>
      </c>
      <c r="C234" s="747" t="s">
        <v>79</v>
      </c>
      <c r="D234" s="748">
        <v>25</v>
      </c>
      <c r="E234" s="1158">
        <v>573</v>
      </c>
      <c r="F234" s="100">
        <f>SUMIF(pro!$A:$A,$V:$V,pro!$N:$N)</f>
        <v>0</v>
      </c>
      <c r="G234" s="100"/>
      <c r="H234" s="100">
        <f>SUMIF(CBIN!$A:$A,BRAN!$V:$V,CBIN!$G:$G)</f>
        <v>0</v>
      </c>
      <c r="I234" s="100">
        <f>SUMIF(data!$D:$D,$B234&amp;$D234,data!$J:$J)</f>
        <v>0</v>
      </c>
      <c r="J234" s="100">
        <f>SUMIF(data!$D:$D,$B234&amp;$D234,data!$K:$K)</f>
        <v>0</v>
      </c>
      <c r="K234" s="100">
        <f>SUMIF(AJOUT!$A:$A,BRAN!$V:$V,AJOUT!$L:$L)</f>
        <v>0</v>
      </c>
      <c r="L234" s="100">
        <f>SUMIF(CBOUT!$A:$A,BRAN!$V:$V,CBOUT!$G:$G)</f>
        <v>0</v>
      </c>
      <c r="M234" s="1158">
        <f>E234+F234+H234-I234-L234+G234-K234</f>
        <v>573</v>
      </c>
      <c r="N234" s="100">
        <f t="shared" si="81"/>
        <v>14325</v>
      </c>
      <c r="O234" s="1159">
        <f t="shared" ref="O234:O236" si="86">SUM(X234:BB234)</f>
        <v>12975</v>
      </c>
      <c r="P234" s="805" t="s">
        <v>218</v>
      </c>
      <c r="Q234" s="805"/>
      <c r="R234" s="804">
        <f>O234/INTGRATE!$N$293</f>
        <v>1441.6666666666667</v>
      </c>
      <c r="S234" s="665">
        <f t="shared" ref="S234:S236" si="87">IF(R234=0,0,N234/R234)</f>
        <v>9.9364161849710975</v>
      </c>
      <c r="T234" s="403"/>
      <c r="U234" s="141"/>
      <c r="V234" s="840" t="str">
        <f t="shared" si="85"/>
        <v>BS04A5A25</v>
      </c>
      <c r="W234" s="823">
        <v>433760</v>
      </c>
      <c r="X234" s="387"/>
      <c r="Y234" s="387">
        <v>0</v>
      </c>
      <c r="Z234" s="100">
        <v>0</v>
      </c>
      <c r="AA234" s="100">
        <v>0</v>
      </c>
      <c r="AB234" s="100">
        <v>0</v>
      </c>
      <c r="AC234" s="100">
        <v>3900</v>
      </c>
      <c r="AD234" s="100">
        <v>2750</v>
      </c>
      <c r="AE234" s="100">
        <v>4525</v>
      </c>
      <c r="AF234" s="100">
        <v>1800</v>
      </c>
      <c r="AG234" s="100"/>
      <c r="AH234" s="100"/>
      <c r="AI234" s="100"/>
      <c r="AJ234" s="100"/>
      <c r="AK234" s="100"/>
      <c r="AL234" s="100"/>
      <c r="AM234" s="100"/>
      <c r="AN234" s="100"/>
      <c r="AO234" s="100"/>
      <c r="AP234" s="100"/>
      <c r="AQ234" s="100"/>
      <c r="AR234" s="100"/>
      <c r="AS234" s="100"/>
      <c r="AT234" s="100"/>
      <c r="AU234" s="100"/>
      <c r="AV234" s="100"/>
      <c r="AW234" s="100"/>
      <c r="AX234" s="100"/>
      <c r="AY234" s="100"/>
      <c r="AZ234" s="100"/>
      <c r="BA234" s="100"/>
      <c r="BB234" s="100"/>
      <c r="BC234" s="274">
        <f t="shared" si="77"/>
        <v>12975</v>
      </c>
      <c r="BD234" s="786">
        <f t="shared" si="78"/>
        <v>4</v>
      </c>
      <c r="BE234" s="786">
        <f t="shared" si="79"/>
        <v>3243.75</v>
      </c>
      <c r="BH234" s="436"/>
    </row>
    <row r="235" spans="1:60" s="38" customFormat="1" ht="15" customHeight="1">
      <c r="A235" s="68">
        <v>30</v>
      </c>
      <c r="B235" s="360" t="s">
        <v>219</v>
      </c>
      <c r="C235" s="747" t="s">
        <v>79</v>
      </c>
      <c r="D235" s="748">
        <v>25</v>
      </c>
      <c r="E235" s="1158">
        <v>0</v>
      </c>
      <c r="F235" s="100">
        <f>SUMIF(pro!$A:$A,$V:$V,pro!$N:$N)</f>
        <v>0</v>
      </c>
      <c r="G235" s="100"/>
      <c r="H235" s="100">
        <f>SUMIF(CBIN!$A:$A,BRAN!$V:$V,CBIN!$G:$G)</f>
        <v>0</v>
      </c>
      <c r="I235" s="100">
        <f>SUMIF(data!$D:$D,$B235&amp;$D235,data!$J:$J)</f>
        <v>0</v>
      </c>
      <c r="J235" s="100">
        <f>SUMIF(data!$D:$D,$B235&amp;$D235,data!$K:$K)</f>
        <v>0</v>
      </c>
      <c r="K235" s="100">
        <v>0</v>
      </c>
      <c r="L235" s="100">
        <f>SUMIF(CBOUT!$A:$A,BRAN!$V:$V,CBOUT!$G:$G)</f>
        <v>0</v>
      </c>
      <c r="M235" s="1158">
        <f>E235+F235+H235-I235-L235+G235-K235</f>
        <v>0</v>
      </c>
      <c r="N235" s="100">
        <f t="shared" si="81"/>
        <v>0</v>
      </c>
      <c r="O235" s="1159">
        <f t="shared" si="86"/>
        <v>0</v>
      </c>
      <c r="P235" s="805"/>
      <c r="Q235" s="805"/>
      <c r="R235" s="804">
        <f>O235/INTGRATE!$N$293</f>
        <v>0</v>
      </c>
      <c r="S235" s="665">
        <f t="shared" si="87"/>
        <v>0</v>
      </c>
      <c r="T235" s="403"/>
      <c r="U235" s="141"/>
      <c r="V235" s="840" t="str">
        <f>B235&amp;D235</f>
        <v>BS04V25</v>
      </c>
      <c r="W235" s="823">
        <v>433769</v>
      </c>
      <c r="X235" s="387"/>
      <c r="Y235" s="387">
        <v>0</v>
      </c>
      <c r="Z235" s="100">
        <v>0</v>
      </c>
      <c r="AA235" s="100">
        <v>0</v>
      </c>
      <c r="AB235" s="100">
        <v>0</v>
      </c>
      <c r="AC235" s="100">
        <v>0</v>
      </c>
      <c r="AD235" s="100">
        <v>0</v>
      </c>
      <c r="AE235" s="100">
        <v>0</v>
      </c>
      <c r="AF235" s="100">
        <v>0</v>
      </c>
      <c r="AG235" s="100"/>
      <c r="AH235" s="100"/>
      <c r="AI235" s="100"/>
      <c r="AJ235" s="100"/>
      <c r="AK235" s="100"/>
      <c r="AL235" s="100"/>
      <c r="AM235" s="100"/>
      <c r="AN235" s="100"/>
      <c r="AO235" s="100"/>
      <c r="AP235" s="100"/>
      <c r="AQ235" s="100"/>
      <c r="AR235" s="100"/>
      <c r="AS235" s="100"/>
      <c r="AT235" s="100"/>
      <c r="AU235" s="100"/>
      <c r="AV235" s="100"/>
      <c r="AW235" s="100"/>
      <c r="AX235" s="100"/>
      <c r="AY235" s="100"/>
      <c r="AZ235" s="100"/>
      <c r="BA235" s="100"/>
      <c r="BB235" s="100"/>
      <c r="BC235" s="274">
        <f t="shared" si="77"/>
        <v>0</v>
      </c>
      <c r="BD235" s="786">
        <f t="shared" si="78"/>
        <v>0</v>
      </c>
      <c r="BE235" s="786">
        <f t="shared" si="79"/>
        <v>0</v>
      </c>
      <c r="BH235" s="436"/>
    </row>
    <row r="236" spans="1:60" s="38" customFormat="1" ht="15" customHeight="1">
      <c r="A236" s="68">
        <v>31</v>
      </c>
      <c r="B236" s="360" t="s">
        <v>219</v>
      </c>
      <c r="C236" s="747" t="s">
        <v>79</v>
      </c>
      <c r="D236" s="748">
        <v>40</v>
      </c>
      <c r="E236" s="1158">
        <v>0</v>
      </c>
      <c r="F236" s="100">
        <f>SUMIF(pro!$A:$A,$V:$V,pro!$N:$N)</f>
        <v>0</v>
      </c>
      <c r="G236" s="100"/>
      <c r="H236" s="100">
        <f>SUMIF(CBIN!$A:$A,BRAN!$V:$V,CBIN!$G:$G)</f>
        <v>0</v>
      </c>
      <c r="I236" s="100">
        <f>SUMIF(data!$D:$D,$B236&amp;$D236,data!$J:$J)</f>
        <v>0</v>
      </c>
      <c r="J236" s="100">
        <f>SUMIF(data!$D:$D,$B236&amp;$D236,data!$K:$K)</f>
        <v>0</v>
      </c>
      <c r="K236" s="100">
        <v>0</v>
      </c>
      <c r="L236" s="100">
        <f>SUMIF(CBOUT!$A:$A,BRAN!$V:$V,CBOUT!$G:$G)</f>
        <v>0</v>
      </c>
      <c r="M236" s="1158">
        <f>E236+F236+H236-I236-L236+G236-K236</f>
        <v>0</v>
      </c>
      <c r="N236" s="100">
        <f t="shared" si="81"/>
        <v>0</v>
      </c>
      <c r="O236" s="1159">
        <f t="shared" si="86"/>
        <v>0</v>
      </c>
      <c r="P236" s="805"/>
      <c r="Q236" s="805"/>
      <c r="R236" s="804">
        <f>O236/INTGRATE!$N$293</f>
        <v>0</v>
      </c>
      <c r="S236" s="665">
        <f t="shared" si="87"/>
        <v>0</v>
      </c>
      <c r="T236" s="403"/>
      <c r="U236" s="141"/>
      <c r="V236" s="840" t="str">
        <f t="shared" si="85"/>
        <v>BS04V40</v>
      </c>
      <c r="W236" s="823">
        <v>433769</v>
      </c>
      <c r="X236" s="387"/>
      <c r="Y236" s="387">
        <v>0</v>
      </c>
      <c r="Z236" s="100">
        <v>0</v>
      </c>
      <c r="AA236" s="100">
        <v>0</v>
      </c>
      <c r="AB236" s="100">
        <v>0</v>
      </c>
      <c r="AC236" s="100">
        <v>0</v>
      </c>
      <c r="AD236" s="100">
        <v>0</v>
      </c>
      <c r="AE236" s="100">
        <v>0</v>
      </c>
      <c r="AF236" s="100">
        <v>0</v>
      </c>
      <c r="AG236" s="100"/>
      <c r="AH236" s="100"/>
      <c r="AI236" s="100"/>
      <c r="AJ236" s="100"/>
      <c r="AK236" s="100"/>
      <c r="AL236" s="100"/>
      <c r="AM236" s="100"/>
      <c r="AN236" s="100"/>
      <c r="AO236" s="100"/>
      <c r="AP236" s="100"/>
      <c r="AQ236" s="100"/>
      <c r="AR236" s="100"/>
      <c r="AS236" s="100"/>
      <c r="AT236" s="100"/>
      <c r="AU236" s="100"/>
      <c r="AV236" s="100"/>
      <c r="AW236" s="100"/>
      <c r="AX236" s="100"/>
      <c r="AY236" s="100"/>
      <c r="AZ236" s="100"/>
      <c r="BA236" s="100"/>
      <c r="BB236" s="100"/>
      <c r="BC236" s="274">
        <f t="shared" si="77"/>
        <v>0</v>
      </c>
      <c r="BD236" s="786">
        <f t="shared" si="78"/>
        <v>0</v>
      </c>
      <c r="BE236" s="786">
        <f t="shared" si="79"/>
        <v>0</v>
      </c>
      <c r="BH236" s="436"/>
    </row>
    <row r="237" spans="1:60" s="38" customFormat="1" ht="15" customHeight="1">
      <c r="A237" s="68">
        <v>32</v>
      </c>
      <c r="B237" s="360" t="s">
        <v>220</v>
      </c>
      <c r="C237" s="747" t="s">
        <v>79</v>
      </c>
      <c r="D237" s="748">
        <v>40</v>
      </c>
      <c r="E237" s="1158">
        <v>0</v>
      </c>
      <c r="F237" s="100">
        <f>SUMIF(pro!$A:$A,$V:$V,pro!$N:$N)</f>
        <v>0</v>
      </c>
      <c r="G237" s="100"/>
      <c r="H237" s="100"/>
      <c r="I237" s="100">
        <f>SUMIF(data!$D:$D,$B237&amp;$D237,data!$J:$J)</f>
        <v>0</v>
      </c>
      <c r="J237" s="100">
        <f>SUMIF(data!$D:$D,$B237&amp;$D237,data!$K:$K)</f>
        <v>0</v>
      </c>
      <c r="K237" s="100">
        <v>0</v>
      </c>
      <c r="L237" s="100"/>
      <c r="M237" s="1158">
        <f>E237+F237+H237-I237-L237+G237-K237</f>
        <v>0</v>
      </c>
      <c r="N237" s="100">
        <f t="shared" ref="N237" si="88">+M237*D237</f>
        <v>0</v>
      </c>
      <c r="O237" s="1159">
        <f t="shared" ref="O237" si="89">SUM(X237:BB237)</f>
        <v>12000</v>
      </c>
      <c r="P237" s="805"/>
      <c r="Q237" s="805"/>
      <c r="R237" s="804">
        <f>O237/INTGRATE!$N$293</f>
        <v>1333.3333333333333</v>
      </c>
      <c r="S237" s="665">
        <f t="shared" ref="S237" si="90">IF(R237=0,0,N237/R237)</f>
        <v>0</v>
      </c>
      <c r="T237" s="403"/>
      <c r="U237" s="141"/>
      <c r="V237" s="840" t="str">
        <f t="shared" si="85"/>
        <v>BS06TA40</v>
      </c>
      <c r="W237" s="823">
        <v>433778</v>
      </c>
      <c r="X237" s="387"/>
      <c r="Y237" s="387">
        <v>12000</v>
      </c>
      <c r="Z237" s="100">
        <v>0</v>
      </c>
      <c r="AA237" s="100">
        <v>0</v>
      </c>
      <c r="AB237" s="100">
        <v>0</v>
      </c>
      <c r="AC237" s="100">
        <v>0</v>
      </c>
      <c r="AD237" s="100">
        <v>0</v>
      </c>
      <c r="AE237" s="100">
        <v>0</v>
      </c>
      <c r="AF237" s="100">
        <v>0</v>
      </c>
      <c r="AG237" s="100"/>
      <c r="AH237" s="100"/>
      <c r="AI237" s="100"/>
      <c r="AJ237" s="100"/>
      <c r="AK237" s="100"/>
      <c r="AL237" s="100"/>
      <c r="AM237" s="100"/>
      <c r="AN237" s="100"/>
      <c r="AO237" s="100"/>
      <c r="AP237" s="100"/>
      <c r="AQ237" s="100"/>
      <c r="AR237" s="100"/>
      <c r="AS237" s="100"/>
      <c r="AT237" s="100"/>
      <c r="AU237" s="100"/>
      <c r="AV237" s="100"/>
      <c r="AW237" s="100"/>
      <c r="AX237" s="100"/>
      <c r="AY237" s="100"/>
      <c r="AZ237" s="100"/>
      <c r="BA237" s="100"/>
      <c r="BB237" s="100"/>
      <c r="BC237" s="274">
        <f t="shared" ref="BC237" si="91">SUM(X237:BB237)</f>
        <v>12000</v>
      </c>
      <c r="BD237" s="786">
        <f t="shared" ref="BD237" si="92">COUNTIF(X237:BB237,"&gt;0")</f>
        <v>1</v>
      </c>
      <c r="BE237" s="786">
        <f t="shared" ref="BE237" si="93">IFERROR(BC237/BD237,0)</f>
        <v>12000</v>
      </c>
      <c r="BH237" s="618"/>
    </row>
    <row r="238" spans="1:60" s="38" customFormat="1" ht="15" customHeight="1">
      <c r="A238" s="68">
        <v>33</v>
      </c>
      <c r="B238" s="360" t="s">
        <v>221</v>
      </c>
      <c r="C238" s="747" t="s">
        <v>79</v>
      </c>
      <c r="D238" s="748" t="s">
        <v>66</v>
      </c>
      <c r="E238" s="1158">
        <v>0</v>
      </c>
      <c r="F238" s="100">
        <f>+J238</f>
        <v>0</v>
      </c>
      <c r="G238" s="100"/>
      <c r="H238" s="100"/>
      <c r="I238" s="100">
        <f>SUMIF(data!$D:$D,$B238&amp;$D238,data!$J:$J)</f>
        <v>0</v>
      </c>
      <c r="J238" s="100">
        <f>SUMIF(data!$D:$D,$B238&amp;$D238,data!$K:$K)</f>
        <v>0</v>
      </c>
      <c r="K238" s="100"/>
      <c r="L238" s="100"/>
      <c r="M238" s="1158">
        <v>0</v>
      </c>
      <c r="N238" s="100"/>
      <c r="O238" s="1159">
        <f t="shared" ref="O238:O246" si="94">SUM(X238:BB238)</f>
        <v>64080</v>
      </c>
      <c r="P238" s="805"/>
      <c r="Q238" s="805"/>
      <c r="R238" s="804">
        <f>O238/INTGRATE!$N$293</f>
        <v>7120</v>
      </c>
      <c r="S238" s="665">
        <f t="shared" ref="S238:S246" si="95">IF(R238=0,0,N238/R238)</f>
        <v>0</v>
      </c>
      <c r="T238" s="403"/>
      <c r="U238" s="141"/>
      <c r="V238" s="840" t="str">
        <f t="shared" si="85"/>
        <v>BS07TASILO</v>
      </c>
      <c r="W238" s="823">
        <v>433779</v>
      </c>
      <c r="X238" s="387"/>
      <c r="Y238" s="387">
        <v>0</v>
      </c>
      <c r="Z238" s="100">
        <v>0</v>
      </c>
      <c r="AA238" s="100">
        <v>16080</v>
      </c>
      <c r="AB238" s="100">
        <v>0</v>
      </c>
      <c r="AC238" s="100">
        <f>-16010+32010</f>
        <v>16000</v>
      </c>
      <c r="AD238" s="100">
        <v>0</v>
      </c>
      <c r="AE238" s="100">
        <v>16010</v>
      </c>
      <c r="AF238" s="100">
        <v>15990</v>
      </c>
      <c r="AG238" s="100"/>
      <c r="AH238" s="100"/>
      <c r="AI238" s="100"/>
      <c r="AJ238" s="100"/>
      <c r="AK238" s="100"/>
      <c r="AL238" s="100"/>
      <c r="AM238" s="100"/>
      <c r="AN238" s="100"/>
      <c r="AO238" s="100"/>
      <c r="AP238" s="100"/>
      <c r="AQ238" s="100"/>
      <c r="AR238" s="100"/>
      <c r="AS238" s="100"/>
      <c r="AT238" s="100"/>
      <c r="AU238" s="100"/>
      <c r="AV238" s="100"/>
      <c r="AW238" s="100"/>
      <c r="AX238" s="100"/>
      <c r="AY238" s="100"/>
      <c r="AZ238" s="100"/>
      <c r="BA238" s="425"/>
      <c r="BB238" s="100"/>
      <c r="BC238" s="274">
        <f t="shared" si="77"/>
        <v>64080</v>
      </c>
      <c r="BD238" s="786">
        <f t="shared" si="78"/>
        <v>4</v>
      </c>
      <c r="BE238" s="786">
        <f t="shared" si="79"/>
        <v>16020</v>
      </c>
      <c r="BH238" s="436"/>
    </row>
    <row r="239" spans="1:60" s="38" customFormat="1" ht="15" customHeight="1">
      <c r="A239" s="68">
        <v>34</v>
      </c>
      <c r="B239" s="360" t="s">
        <v>222</v>
      </c>
      <c r="C239" s="747" t="s">
        <v>79</v>
      </c>
      <c r="D239" s="748" t="s">
        <v>66</v>
      </c>
      <c r="E239" s="1158">
        <v>0</v>
      </c>
      <c r="F239" s="100">
        <f>+J239</f>
        <v>0</v>
      </c>
      <c r="G239" s="100"/>
      <c r="H239" s="100"/>
      <c r="I239" s="100">
        <f>SUMIF(data!$D:$D,$B239&amp;$D239,data!$J:$J)</f>
        <v>0</v>
      </c>
      <c r="J239" s="100">
        <f>SUMIF(data!$D:$D,$B239&amp;$D239,data!$K:$K)</f>
        <v>0</v>
      </c>
      <c r="K239" s="100"/>
      <c r="L239" s="100"/>
      <c r="M239" s="1158">
        <v>0</v>
      </c>
      <c r="N239" s="100"/>
      <c r="O239" s="1159">
        <f t="shared" si="94"/>
        <v>19890</v>
      </c>
      <c r="P239" s="805"/>
      <c r="Q239" s="805"/>
      <c r="R239" s="804">
        <f>O239/INTGRATE!$N$293</f>
        <v>2210</v>
      </c>
      <c r="S239" s="665">
        <f t="shared" si="95"/>
        <v>0</v>
      </c>
      <c r="T239" s="403"/>
      <c r="U239" s="141"/>
      <c r="V239" s="840" t="str">
        <f t="shared" si="85"/>
        <v>BS09TASILO</v>
      </c>
      <c r="W239" s="823">
        <v>433780</v>
      </c>
      <c r="X239" s="387"/>
      <c r="Y239" s="387">
        <v>0</v>
      </c>
      <c r="Z239" s="100">
        <v>10030</v>
      </c>
      <c r="AA239" s="100">
        <v>0</v>
      </c>
      <c r="AB239" s="100">
        <v>0</v>
      </c>
      <c r="AC239" s="100">
        <v>0</v>
      </c>
      <c r="AD239" s="100">
        <v>0</v>
      </c>
      <c r="AE239" s="100">
        <v>0</v>
      </c>
      <c r="AF239" s="100">
        <v>9860</v>
      </c>
      <c r="AG239" s="100"/>
      <c r="AH239" s="100"/>
      <c r="AI239" s="100"/>
      <c r="AJ239" s="100"/>
      <c r="AK239" s="100"/>
      <c r="AL239" s="100"/>
      <c r="AM239" s="100"/>
      <c r="AN239" s="100"/>
      <c r="AO239" s="100"/>
      <c r="AP239" s="100"/>
      <c r="AQ239" s="100"/>
      <c r="AR239" s="100"/>
      <c r="AS239" s="100"/>
      <c r="AT239" s="100"/>
      <c r="AU239" s="100"/>
      <c r="AV239" s="100"/>
      <c r="AW239" s="100"/>
      <c r="AX239" s="100"/>
      <c r="AY239" s="100"/>
      <c r="AZ239" s="100"/>
      <c r="BA239" s="100"/>
      <c r="BB239" s="100"/>
      <c r="BC239" s="274">
        <f t="shared" si="77"/>
        <v>19890</v>
      </c>
      <c r="BD239" s="786">
        <f t="shared" si="78"/>
        <v>2</v>
      </c>
      <c r="BE239" s="786">
        <f t="shared" si="79"/>
        <v>9945</v>
      </c>
      <c r="BF239" s="85"/>
      <c r="BH239" s="436"/>
    </row>
    <row r="240" spans="1:60" s="38" customFormat="1" ht="15" customHeight="1">
      <c r="A240" s="68">
        <v>35</v>
      </c>
      <c r="B240" s="360" t="s">
        <v>223</v>
      </c>
      <c r="C240" s="747" t="s">
        <v>79</v>
      </c>
      <c r="D240" s="748">
        <v>40</v>
      </c>
      <c r="E240" s="1158">
        <v>0</v>
      </c>
      <c r="F240" s="100">
        <f>SUMIF(pro!$A:$A,$V:$V,pro!$N:$N)</f>
        <v>0</v>
      </c>
      <c r="G240" s="100"/>
      <c r="H240" s="100">
        <f>SUMIF(CBIN!$A:$A,BRAN!$V:$V,CBIN!$G:$G)</f>
        <v>0</v>
      </c>
      <c r="I240" s="100">
        <f>SUMIF(data!$D:$D,$B240&amp;$D240,data!$J:$J)</f>
        <v>0</v>
      </c>
      <c r="J240" s="100">
        <f>SUMIF(data!$D:$D,$B240&amp;$D240,data!$K:$K)</f>
        <v>0</v>
      </c>
      <c r="K240" s="100">
        <v>0</v>
      </c>
      <c r="L240" s="100">
        <f>SUMIF(CBOUT!$A:$A,BRAN!$V:$V,CBOUT!$G:$G)</f>
        <v>0</v>
      </c>
      <c r="M240" s="1158">
        <f t="shared" ref="M240:M246" si="96">E240+F240+H240-I240-L240+G240-K240</f>
        <v>0</v>
      </c>
      <c r="N240" s="100">
        <f t="shared" si="81"/>
        <v>0</v>
      </c>
      <c r="O240" s="1159">
        <f t="shared" si="94"/>
        <v>14400</v>
      </c>
      <c r="P240" s="805"/>
      <c r="Q240" s="805"/>
      <c r="R240" s="804">
        <f>O240/INTGRATE!$N$293</f>
        <v>1600</v>
      </c>
      <c r="S240" s="665">
        <f t="shared" si="95"/>
        <v>0</v>
      </c>
      <c r="T240" s="403"/>
      <c r="U240" s="141"/>
      <c r="V240" s="840" t="str">
        <f t="shared" si="85"/>
        <v>BS10TA40</v>
      </c>
      <c r="W240" s="823">
        <v>433781</v>
      </c>
      <c r="X240" s="387"/>
      <c r="Y240" s="387">
        <v>0</v>
      </c>
      <c r="Z240" s="100">
        <v>0</v>
      </c>
      <c r="AA240" s="100">
        <v>14400</v>
      </c>
      <c r="AB240" s="100">
        <v>0</v>
      </c>
      <c r="AC240" s="100">
        <v>0</v>
      </c>
      <c r="AD240" s="100">
        <v>0</v>
      </c>
      <c r="AE240" s="100">
        <v>0</v>
      </c>
      <c r="AF240" s="100">
        <v>0</v>
      </c>
      <c r="AG240" s="100"/>
      <c r="AH240" s="100"/>
      <c r="AI240" s="100"/>
      <c r="AJ240" s="100"/>
      <c r="AK240" s="100"/>
      <c r="AL240" s="100"/>
      <c r="AM240" s="100"/>
      <c r="AN240" s="100"/>
      <c r="AO240" s="100"/>
      <c r="AP240" s="100"/>
      <c r="AQ240" s="100"/>
      <c r="AR240" s="100"/>
      <c r="AS240" s="100"/>
      <c r="AT240" s="100"/>
      <c r="AU240" s="100"/>
      <c r="AV240" s="100"/>
      <c r="AW240" s="100"/>
      <c r="AX240" s="100"/>
      <c r="AY240" s="100"/>
      <c r="AZ240" s="100"/>
      <c r="BA240" s="100"/>
      <c r="BB240" s="100"/>
      <c r="BC240" s="274">
        <f t="shared" si="77"/>
        <v>14400</v>
      </c>
      <c r="BD240" s="786">
        <f t="shared" si="78"/>
        <v>1</v>
      </c>
      <c r="BE240" s="786">
        <f t="shared" si="79"/>
        <v>14400</v>
      </c>
      <c r="BH240" s="436"/>
    </row>
    <row r="241" spans="1:60" s="38" customFormat="1" ht="14.25" customHeight="1">
      <c r="A241" s="68">
        <v>36</v>
      </c>
      <c r="B241" s="360" t="s">
        <v>224</v>
      </c>
      <c r="C241" s="747" t="s">
        <v>79</v>
      </c>
      <c r="D241" s="748">
        <v>40</v>
      </c>
      <c r="E241" s="1158">
        <v>0</v>
      </c>
      <c r="F241" s="100">
        <f>SUMIF(pro!$A:$A,$V:$V,pro!$N:$N)</f>
        <v>0</v>
      </c>
      <c r="G241" s="100"/>
      <c r="H241" s="100"/>
      <c r="I241" s="100">
        <f>SUMIF(data!$D:$D,$B241&amp;$D241,data!$J:$J)</f>
        <v>0</v>
      </c>
      <c r="J241" s="100">
        <f>SUMIF(data!$D:$D,$B241&amp;$D241,data!$K:$K)</f>
        <v>0</v>
      </c>
      <c r="K241" s="100"/>
      <c r="L241" s="100"/>
      <c r="M241" s="1158">
        <f t="shared" si="96"/>
        <v>0</v>
      </c>
      <c r="N241" s="100">
        <f t="shared" si="81"/>
        <v>0</v>
      </c>
      <c r="O241" s="1159">
        <f t="shared" si="94"/>
        <v>4000</v>
      </c>
      <c r="P241" s="805"/>
      <c r="Q241" s="805"/>
      <c r="R241" s="804">
        <f>O241/INTGRATE!$N$293</f>
        <v>444.44444444444446</v>
      </c>
      <c r="S241" s="665">
        <f t="shared" si="95"/>
        <v>0</v>
      </c>
      <c r="T241" s="403"/>
      <c r="U241" s="141"/>
      <c r="V241" s="840" t="str">
        <f t="shared" si="85"/>
        <v>BS06LD40</v>
      </c>
      <c r="W241" s="823">
        <v>433782</v>
      </c>
      <c r="X241" s="387"/>
      <c r="Y241" s="387">
        <v>0</v>
      </c>
      <c r="Z241" s="100">
        <v>0</v>
      </c>
      <c r="AA241" s="100">
        <v>4000</v>
      </c>
      <c r="AB241" s="100">
        <v>0</v>
      </c>
      <c r="AC241" s="100">
        <v>0</v>
      </c>
      <c r="AD241" s="100">
        <v>0</v>
      </c>
      <c r="AE241" s="100">
        <v>0</v>
      </c>
      <c r="AF241" s="100">
        <v>0</v>
      </c>
      <c r="AG241" s="100"/>
      <c r="AH241" s="100"/>
      <c r="AI241" s="100"/>
      <c r="AJ241" s="100"/>
      <c r="AK241" s="100"/>
      <c r="AL241" s="100"/>
      <c r="AM241" s="100"/>
      <c r="AN241" s="100"/>
      <c r="AO241" s="100"/>
      <c r="AP241" s="100"/>
      <c r="AQ241" s="100"/>
      <c r="AR241" s="100"/>
      <c r="AS241" s="100"/>
      <c r="AT241" s="100"/>
      <c r="AU241" s="100"/>
      <c r="AV241" s="100"/>
      <c r="AW241" s="100"/>
      <c r="AX241" s="100"/>
      <c r="AY241" s="100"/>
      <c r="AZ241" s="100"/>
      <c r="BA241" s="100"/>
      <c r="BB241" s="100"/>
      <c r="BC241" s="274">
        <f t="shared" si="77"/>
        <v>4000</v>
      </c>
      <c r="BD241" s="786">
        <f t="shared" si="78"/>
        <v>1</v>
      </c>
      <c r="BE241" s="786">
        <f t="shared" si="79"/>
        <v>4000</v>
      </c>
      <c r="BH241" s="436"/>
    </row>
    <row r="242" spans="1:60" s="38" customFormat="1" ht="15" customHeight="1">
      <c r="A242" s="68">
        <v>37</v>
      </c>
      <c r="B242" s="360" t="s">
        <v>225</v>
      </c>
      <c r="C242" s="747" t="s">
        <v>79</v>
      </c>
      <c r="D242" s="748" t="s">
        <v>66</v>
      </c>
      <c r="E242" s="1158">
        <v>0</v>
      </c>
      <c r="F242" s="100">
        <f>+J242</f>
        <v>0</v>
      </c>
      <c r="G242" s="100"/>
      <c r="H242" s="100"/>
      <c r="I242" s="100">
        <f>SUMIF(data!$D:$D,$B242&amp;$D242,data!$J:$J)</f>
        <v>0</v>
      </c>
      <c r="J242" s="100">
        <f>SUMIF(data!$D:$D,$B242&amp;$D242,data!$K:$K)</f>
        <v>0</v>
      </c>
      <c r="K242" s="100"/>
      <c r="L242" s="100"/>
      <c r="M242" s="1158">
        <v>0</v>
      </c>
      <c r="N242" s="100"/>
      <c r="O242" s="1159">
        <f t="shared" si="94"/>
        <v>0</v>
      </c>
      <c r="P242" s="805"/>
      <c r="Q242" s="805"/>
      <c r="R242" s="804">
        <f>O242/INTGRATE!$N$293</f>
        <v>0</v>
      </c>
      <c r="S242" s="665">
        <f t="shared" si="95"/>
        <v>0</v>
      </c>
      <c r="T242" s="403"/>
      <c r="U242" s="141"/>
      <c r="V242" s="840" t="str">
        <f t="shared" si="85"/>
        <v>BS07LDSILO</v>
      </c>
      <c r="W242" s="823">
        <v>433783</v>
      </c>
      <c r="X242" s="387"/>
      <c r="Y242" s="387">
        <v>0</v>
      </c>
      <c r="Z242" s="100">
        <v>0</v>
      </c>
      <c r="AA242" s="100">
        <v>0</v>
      </c>
      <c r="AB242" s="100">
        <v>0</v>
      </c>
      <c r="AC242" s="100">
        <v>0</v>
      </c>
      <c r="AD242" s="100">
        <v>0</v>
      </c>
      <c r="AE242" s="100">
        <v>0</v>
      </c>
      <c r="AF242" s="100">
        <v>0</v>
      </c>
      <c r="AG242" s="100"/>
      <c r="AH242" s="100"/>
      <c r="AI242" s="100"/>
      <c r="AJ242" s="100"/>
      <c r="AK242" s="100"/>
      <c r="AL242" s="100"/>
      <c r="AM242" s="100"/>
      <c r="AN242" s="100"/>
      <c r="AO242" s="100"/>
      <c r="AP242" s="100"/>
      <c r="AQ242" s="100"/>
      <c r="AR242" s="100"/>
      <c r="AS242" s="100"/>
      <c r="AT242" s="100"/>
      <c r="AU242" s="100"/>
      <c r="AV242" s="100"/>
      <c r="AW242" s="100"/>
      <c r="AX242" s="100"/>
      <c r="AY242" s="100"/>
      <c r="AZ242" s="100"/>
      <c r="BA242" s="100"/>
      <c r="BB242" s="100"/>
      <c r="BC242" s="274">
        <f t="shared" si="77"/>
        <v>0</v>
      </c>
      <c r="BD242" s="786">
        <f t="shared" si="78"/>
        <v>0</v>
      </c>
      <c r="BE242" s="786">
        <f t="shared" si="79"/>
        <v>0</v>
      </c>
      <c r="BH242" s="436"/>
    </row>
    <row r="243" spans="1:60" s="38" customFormat="1" ht="15" customHeight="1">
      <c r="A243" s="68">
        <v>38</v>
      </c>
      <c r="B243" s="360" t="s">
        <v>226</v>
      </c>
      <c r="C243" s="747" t="s">
        <v>79</v>
      </c>
      <c r="D243" s="748">
        <v>40</v>
      </c>
      <c r="E243" s="1158">
        <v>0</v>
      </c>
      <c r="F243" s="100">
        <f>SUMIF(pro!$A:$A,$V:$V,pro!$N:$N)</f>
        <v>0</v>
      </c>
      <c r="G243" s="100"/>
      <c r="H243" s="100"/>
      <c r="I243" s="100">
        <f>SUMIF(data!$D:$D,$B243&amp;$D243,data!$J:$J)</f>
        <v>0</v>
      </c>
      <c r="J243" s="100">
        <f>SUMIF(data!$D:$D,$B243&amp;$D243,data!$K:$K)</f>
        <v>0</v>
      </c>
      <c r="K243" s="100"/>
      <c r="L243" s="100"/>
      <c r="M243" s="1158">
        <f t="shared" si="96"/>
        <v>0</v>
      </c>
      <c r="N243" s="100">
        <f t="shared" si="81"/>
        <v>0</v>
      </c>
      <c r="O243" s="1159">
        <f t="shared" si="94"/>
        <v>0</v>
      </c>
      <c r="P243" s="805"/>
      <c r="Q243" s="805"/>
      <c r="R243" s="804">
        <f>O243/INTGRATE!$N$293</f>
        <v>0</v>
      </c>
      <c r="S243" s="665">
        <f t="shared" si="95"/>
        <v>0</v>
      </c>
      <c r="T243" s="403"/>
      <c r="U243" s="141"/>
      <c r="V243" s="840" t="str">
        <f t="shared" si="85"/>
        <v>BS10LD40</v>
      </c>
      <c r="W243" s="823">
        <v>433774</v>
      </c>
      <c r="X243" s="387"/>
      <c r="Y243" s="387">
        <v>0</v>
      </c>
      <c r="Z243" s="100">
        <v>0</v>
      </c>
      <c r="AA243" s="100">
        <v>0</v>
      </c>
      <c r="AB243" s="100">
        <v>0</v>
      </c>
      <c r="AC243" s="100">
        <v>0</v>
      </c>
      <c r="AD243" s="100">
        <v>0</v>
      </c>
      <c r="AE243" s="100">
        <v>0</v>
      </c>
      <c r="AF243" s="100">
        <v>0</v>
      </c>
      <c r="AG243" s="100"/>
      <c r="AH243" s="100"/>
      <c r="AI243" s="100"/>
      <c r="AJ243" s="100"/>
      <c r="AK243" s="100"/>
      <c r="AL243" s="100"/>
      <c r="AM243" s="100"/>
      <c r="AN243" s="100"/>
      <c r="AO243" s="100"/>
      <c r="AP243" s="100"/>
      <c r="AQ243" s="100"/>
      <c r="AR243" s="100"/>
      <c r="AS243" s="100"/>
      <c r="AT243" s="100"/>
      <c r="AU243" s="100"/>
      <c r="AV243" s="100"/>
      <c r="AW243" s="100"/>
      <c r="AX243" s="100"/>
      <c r="AY243" s="100"/>
      <c r="AZ243" s="100"/>
      <c r="BA243" s="100"/>
      <c r="BB243" s="100"/>
      <c r="BC243" s="274">
        <f t="shared" si="77"/>
        <v>0</v>
      </c>
      <c r="BD243" s="786">
        <f t="shared" si="78"/>
        <v>0</v>
      </c>
      <c r="BE243" s="786">
        <f t="shared" si="79"/>
        <v>0</v>
      </c>
      <c r="BH243" s="436"/>
    </row>
    <row r="244" spans="1:60" s="38" customFormat="1" ht="15" customHeight="1">
      <c r="A244" s="68">
        <v>39</v>
      </c>
      <c r="B244" s="360" t="s">
        <v>227</v>
      </c>
      <c r="C244" s="747" t="s">
        <v>64</v>
      </c>
      <c r="D244" s="748">
        <v>25</v>
      </c>
      <c r="E244" s="1158">
        <v>0</v>
      </c>
      <c r="F244" s="100">
        <f>SUMIF(pro!$A:$A,$V:$V,pro!$N:$N)</f>
        <v>0</v>
      </c>
      <c r="G244" s="100"/>
      <c r="H244" s="100"/>
      <c r="I244" s="100">
        <f>SUMIF(data!$D:$D,$B244&amp;$D244,data!$J:$J)</f>
        <v>0</v>
      </c>
      <c r="J244" s="100">
        <f>SUMIF(data!$D:$D,$B244&amp;$D244,data!$K:$K)</f>
        <v>0</v>
      </c>
      <c r="K244" s="100">
        <f>SUMIF(AJOUT!$A:$A,BRAN!$V:$V,AJOUT!$L:$L)</f>
        <v>0</v>
      </c>
      <c r="L244" s="100">
        <f>SUMIF(CBOUT!$A:$A,BRAN!$V:$V,CBOUT!$G:$G)</f>
        <v>0</v>
      </c>
      <c r="M244" s="1158">
        <f t="shared" si="96"/>
        <v>0</v>
      </c>
      <c r="N244" s="100">
        <f t="shared" si="81"/>
        <v>0</v>
      </c>
      <c r="O244" s="1159">
        <f t="shared" si="94"/>
        <v>0</v>
      </c>
      <c r="P244" s="805"/>
      <c r="Q244" s="805"/>
      <c r="R244" s="804">
        <f>O244/INTGRATE!$N$293</f>
        <v>0</v>
      </c>
      <c r="S244" s="665">
        <f t="shared" si="95"/>
        <v>0</v>
      </c>
      <c r="T244" s="403"/>
      <c r="U244" s="141"/>
      <c r="V244" s="840" t="str">
        <f t="shared" si="85"/>
        <v>BS1425</v>
      </c>
      <c r="W244" s="823">
        <v>433061</v>
      </c>
      <c r="X244" s="387"/>
      <c r="Y244" s="387">
        <v>0</v>
      </c>
      <c r="Z244" s="100">
        <v>0</v>
      </c>
      <c r="AA244" s="100">
        <v>0</v>
      </c>
      <c r="AB244" s="100">
        <v>0</v>
      </c>
      <c r="AC244" s="100">
        <v>0</v>
      </c>
      <c r="AD244" s="100">
        <v>0</v>
      </c>
      <c r="AE244" s="100">
        <v>0</v>
      </c>
      <c r="AF244" s="100">
        <v>0</v>
      </c>
      <c r="AG244" s="100"/>
      <c r="AH244" s="100"/>
      <c r="AI244" s="100"/>
      <c r="AJ244" s="100"/>
      <c r="AK244" s="100"/>
      <c r="AL244" s="100"/>
      <c r="AM244" s="100"/>
      <c r="AN244" s="100"/>
      <c r="AO244" s="100"/>
      <c r="AP244" s="100"/>
      <c r="AQ244" s="100"/>
      <c r="AR244" s="100"/>
      <c r="AS244" s="100"/>
      <c r="AT244" s="100"/>
      <c r="AU244" s="100"/>
      <c r="AV244" s="100"/>
      <c r="AW244" s="100"/>
      <c r="AX244" s="100"/>
      <c r="AY244" s="100"/>
      <c r="AZ244" s="100"/>
      <c r="BA244" s="100"/>
      <c r="BB244" s="100"/>
      <c r="BC244" s="274">
        <f t="shared" si="77"/>
        <v>0</v>
      </c>
      <c r="BD244" s="786">
        <f t="shared" si="78"/>
        <v>0</v>
      </c>
      <c r="BE244" s="786">
        <f t="shared" si="79"/>
        <v>0</v>
      </c>
      <c r="BH244" s="436"/>
    </row>
    <row r="245" spans="1:60" s="38" customFormat="1" ht="15" customHeight="1">
      <c r="A245" s="68">
        <v>40</v>
      </c>
      <c r="B245" s="349" t="s">
        <v>228</v>
      </c>
      <c r="C245" s="349" t="s">
        <v>55</v>
      </c>
      <c r="D245" s="660">
        <v>25</v>
      </c>
      <c r="E245" s="1158">
        <v>283</v>
      </c>
      <c r="F245" s="100">
        <f>SUMIF(pro!$A:$A,$V:$V,pro!$N:$N)</f>
        <v>220</v>
      </c>
      <c r="G245" s="100"/>
      <c r="H245" s="100">
        <f>SUMIF(CBIN!$A:$A,BRAN!$V:$V,CBIN!$G:$G)</f>
        <v>0</v>
      </c>
      <c r="I245" s="100">
        <f>SUMIF(data!$D:$D,$B245&amp;$D245,data!$J:$J)</f>
        <v>0</v>
      </c>
      <c r="J245" s="100">
        <f>SUMIF(data!$D:$D,$B245&amp;$D245,data!$K:$K)</f>
        <v>0</v>
      </c>
      <c r="K245" s="100">
        <f>SUMIF(AJOUT!$A:$A,BRAN!$V:$V,AJOUT!$L:$L)</f>
        <v>0</v>
      </c>
      <c r="L245" s="100">
        <f>SUMIF(CBOUT!$A:$A,BRAN!$V:$V,CBOUT!$G:$G)</f>
        <v>0</v>
      </c>
      <c r="M245" s="1158">
        <f t="shared" si="96"/>
        <v>503</v>
      </c>
      <c r="N245" s="100">
        <f t="shared" si="81"/>
        <v>12575</v>
      </c>
      <c r="O245" s="1159">
        <f t="shared" si="94"/>
        <v>20725</v>
      </c>
      <c r="P245" s="805">
        <f>N277-P233-P232-P216-P206</f>
        <v>114025</v>
      </c>
      <c r="Q245" s="805">
        <f>O277-Q233-Q232-Q216-Q206</f>
        <v>224515</v>
      </c>
      <c r="R245" s="804">
        <f>O245/INTGRATE!$N$293</f>
        <v>2302.7777777777778</v>
      </c>
      <c r="S245" s="665">
        <f t="shared" si="95"/>
        <v>5.4607961399276235</v>
      </c>
      <c r="T245" s="403"/>
      <c r="U245" s="141"/>
      <c r="V245" s="840" t="str">
        <f t="shared" si="85"/>
        <v>VT1125</v>
      </c>
      <c r="W245" s="831">
        <v>201101</v>
      </c>
      <c r="X245" s="387"/>
      <c r="Y245" s="387">
        <v>3725</v>
      </c>
      <c r="Z245" s="100">
        <v>0</v>
      </c>
      <c r="AA245" s="100">
        <v>5000</v>
      </c>
      <c r="AB245" s="100">
        <v>2500</v>
      </c>
      <c r="AC245" s="100">
        <v>2500</v>
      </c>
      <c r="AD245" s="100">
        <v>2500</v>
      </c>
      <c r="AE245" s="100">
        <v>500</v>
      </c>
      <c r="AF245" s="100">
        <v>4000</v>
      </c>
      <c r="AG245" s="100"/>
      <c r="AH245" s="100"/>
      <c r="AI245" s="100"/>
      <c r="AJ245" s="100"/>
      <c r="AK245" s="100"/>
      <c r="AL245" s="100"/>
      <c r="AM245" s="100"/>
      <c r="AN245" s="100"/>
      <c r="AO245" s="100"/>
      <c r="AP245" s="100"/>
      <c r="AQ245" s="100"/>
      <c r="AR245" s="100"/>
      <c r="AS245" s="100"/>
      <c r="AT245" s="100"/>
      <c r="AU245" s="100"/>
      <c r="AV245" s="100"/>
      <c r="AW245" s="100"/>
      <c r="AX245" s="100"/>
      <c r="AY245" s="100"/>
      <c r="AZ245" s="100"/>
      <c r="BA245" s="100"/>
      <c r="BB245" s="100"/>
      <c r="BC245" s="274">
        <f t="shared" si="77"/>
        <v>20725</v>
      </c>
      <c r="BD245" s="786">
        <f t="shared" si="78"/>
        <v>7</v>
      </c>
      <c r="BE245" s="786">
        <f t="shared" si="79"/>
        <v>2960.7142857142858</v>
      </c>
      <c r="BH245" s="436"/>
    </row>
    <row r="246" spans="1:60" s="38" customFormat="1" ht="15" customHeight="1">
      <c r="A246" s="68">
        <v>41</v>
      </c>
      <c r="B246" s="349" t="s">
        <v>228</v>
      </c>
      <c r="C246" s="349" t="s">
        <v>55</v>
      </c>
      <c r="D246" s="660" t="s">
        <v>58</v>
      </c>
      <c r="E246" s="1158">
        <v>0</v>
      </c>
      <c r="F246" s="100">
        <f>+J246</f>
        <v>0</v>
      </c>
      <c r="G246" s="100"/>
      <c r="H246" s="100">
        <f>SUMIF(CBIN!$A:$A,BRAN!$V:$V,CBIN!$G:$G)</f>
        <v>0</v>
      </c>
      <c r="I246" s="100">
        <f>SUMIF(data!$D:$D,$B246&amp;$D246,data!$J:$J)</f>
        <v>0</v>
      </c>
      <c r="J246" s="100">
        <f>SUMIF(data!$D:$D,$B246&amp;$D246,data!$K:$K)</f>
        <v>0</v>
      </c>
      <c r="K246" s="100">
        <f>SUMIF(AJOUT!$A:$A,BRAN!$V:$V,AJOUT!$L:$L)</f>
        <v>0</v>
      </c>
      <c r="L246" s="100">
        <f>SUMIF(CBOUT!$A:$A,BRAN!$V:$V,CBOUT!$G:$G)</f>
        <v>0</v>
      </c>
      <c r="M246" s="1158">
        <f t="shared" si="96"/>
        <v>0</v>
      </c>
      <c r="N246" s="100"/>
      <c r="O246" s="1159">
        <f t="shared" si="94"/>
        <v>0</v>
      </c>
      <c r="P246" s="805"/>
      <c r="Q246" s="805"/>
      <c r="R246" s="804">
        <f>O246/INTGRATE!$N$293</f>
        <v>0</v>
      </c>
      <c r="S246" s="665">
        <f t="shared" si="95"/>
        <v>0</v>
      </c>
      <c r="T246" s="403"/>
      <c r="U246" s="141"/>
      <c r="V246" s="840" t="str">
        <f t="shared" si="85"/>
        <v>VT11silo</v>
      </c>
      <c r="W246" s="831">
        <v>201101</v>
      </c>
      <c r="X246" s="387"/>
      <c r="Y246" s="387">
        <v>0</v>
      </c>
      <c r="Z246" s="100">
        <v>0</v>
      </c>
      <c r="AA246" s="100">
        <v>0</v>
      </c>
      <c r="AB246" s="100">
        <v>0</v>
      </c>
      <c r="AC246" s="100">
        <v>0</v>
      </c>
      <c r="AD246" s="100">
        <v>0</v>
      </c>
      <c r="AE246" s="100">
        <v>0</v>
      </c>
      <c r="AF246" s="100">
        <v>0</v>
      </c>
      <c r="AG246" s="100"/>
      <c r="AH246" s="100"/>
      <c r="AI246" s="100"/>
      <c r="AJ246" s="100"/>
      <c r="AK246" s="100"/>
      <c r="AL246" s="100"/>
      <c r="AM246" s="100"/>
      <c r="AN246" s="100"/>
      <c r="AO246" s="100"/>
      <c r="AP246" s="100"/>
      <c r="AQ246" s="100"/>
      <c r="AR246" s="100"/>
      <c r="AS246" s="100"/>
      <c r="AT246" s="100"/>
      <c r="AU246" s="100"/>
      <c r="AV246" s="100"/>
      <c r="AW246" s="100"/>
      <c r="AX246" s="100"/>
      <c r="AY246" s="100"/>
      <c r="AZ246" s="100"/>
      <c r="BA246" s="100"/>
      <c r="BB246" s="100"/>
      <c r="BC246" s="274">
        <f t="shared" si="77"/>
        <v>0</v>
      </c>
      <c r="BD246" s="786">
        <f t="shared" si="78"/>
        <v>0</v>
      </c>
      <c r="BE246" s="786">
        <f t="shared" si="79"/>
        <v>0</v>
      </c>
      <c r="BH246" s="436"/>
    </row>
    <row r="247" spans="1:60" s="38" customFormat="1" ht="15" customHeight="1">
      <c r="A247" s="68">
        <v>42</v>
      </c>
      <c r="B247" s="349" t="s">
        <v>229</v>
      </c>
      <c r="C247" s="349" t="s">
        <v>64</v>
      </c>
      <c r="D247" s="660" t="s">
        <v>66</v>
      </c>
      <c r="E247" s="1158">
        <v>0</v>
      </c>
      <c r="F247" s="100">
        <f>+J247</f>
        <v>0</v>
      </c>
      <c r="G247" s="100"/>
      <c r="H247" s="100">
        <f>SUMIF(CBIN!$A:$A,BRAN!$V:$V,CBIN!$G:$G)</f>
        <v>0</v>
      </c>
      <c r="I247" s="100">
        <f>SUMIF(data!$D:$D,$B247&amp;$D247,data!$J:$J)</f>
        <v>0</v>
      </c>
      <c r="J247" s="100">
        <f>SUMIF(data!$D:$D,$B247&amp;$D247,data!$K:$K)</f>
        <v>0</v>
      </c>
      <c r="K247" s="100">
        <f>SUMIF(AJOUT!$A:$A,BRAN!$V:$V,AJOUT!$L:$L)</f>
        <v>0</v>
      </c>
      <c r="L247" s="100">
        <f>SUMIF(CBOUT!$A:$A,BRAN!$V:$V,CBOUT!$G:$G)</f>
        <v>0</v>
      </c>
      <c r="M247" s="1158">
        <f t="shared" si="84"/>
        <v>0</v>
      </c>
      <c r="N247" s="100"/>
      <c r="O247" s="1159">
        <f t="shared" si="71"/>
        <v>0</v>
      </c>
      <c r="P247" s="804"/>
      <c r="Q247" s="804"/>
      <c r="R247" s="804">
        <f>O247/INTGRATE!$N$293</f>
        <v>0</v>
      </c>
      <c r="S247" s="665">
        <f t="shared" si="82"/>
        <v>0</v>
      </c>
      <c r="T247" s="403"/>
      <c r="U247" s="141"/>
      <c r="V247" s="840" t="str">
        <f t="shared" si="85"/>
        <v>VT12SILO</v>
      </c>
      <c r="W247" s="831">
        <v>203101</v>
      </c>
      <c r="X247" s="387"/>
      <c r="Y247" s="387">
        <v>0</v>
      </c>
      <c r="Z247" s="100">
        <v>0</v>
      </c>
      <c r="AA247" s="100">
        <v>0</v>
      </c>
      <c r="AB247" s="100">
        <v>0</v>
      </c>
      <c r="AC247" s="100">
        <v>0</v>
      </c>
      <c r="AD247" s="100">
        <v>0</v>
      </c>
      <c r="AE247" s="100">
        <v>0</v>
      </c>
      <c r="AF247" s="100">
        <v>0</v>
      </c>
      <c r="AG247" s="100"/>
      <c r="AH247" s="100"/>
      <c r="AI247" s="100"/>
      <c r="AJ247" s="100"/>
      <c r="AK247" s="100"/>
      <c r="AL247" s="100"/>
      <c r="AM247" s="100"/>
      <c r="AN247" s="100"/>
      <c r="AO247" s="100"/>
      <c r="AP247" s="100"/>
      <c r="AQ247" s="100"/>
      <c r="AR247" s="100"/>
      <c r="AS247" s="100"/>
      <c r="AT247" s="100"/>
      <c r="AU247" s="100"/>
      <c r="AV247" s="100"/>
      <c r="AW247" s="100"/>
      <c r="AX247" s="100"/>
      <c r="AY247" s="100"/>
      <c r="AZ247" s="100"/>
      <c r="BA247" s="100"/>
      <c r="BB247" s="100"/>
      <c r="BC247" s="274">
        <f t="shared" si="77"/>
        <v>0</v>
      </c>
      <c r="BD247" s="786">
        <f t="shared" si="78"/>
        <v>0</v>
      </c>
      <c r="BE247" s="786">
        <f t="shared" si="79"/>
        <v>0</v>
      </c>
      <c r="BH247" s="436"/>
    </row>
    <row r="248" spans="1:60" s="38" customFormat="1" ht="15" customHeight="1">
      <c r="A248" s="68">
        <v>43</v>
      </c>
      <c r="B248" s="349" t="s">
        <v>230</v>
      </c>
      <c r="C248" s="349" t="s">
        <v>64</v>
      </c>
      <c r="D248" s="660">
        <v>25</v>
      </c>
      <c r="E248" s="1158">
        <v>0</v>
      </c>
      <c r="F248" s="100">
        <f>SUMIF(pro!$A:$A,$V:$V,pro!$N:$N)</f>
        <v>0</v>
      </c>
      <c r="G248" s="100"/>
      <c r="H248" s="100">
        <f>SUMIF(CBIN!$A:$A,BRAN!$V:$V,CBIN!$G:$G)</f>
        <v>0</v>
      </c>
      <c r="I248" s="100">
        <f>SUMIF(data!$D:$D,$B248&amp;$D248,data!$J:$J)</f>
        <v>0</v>
      </c>
      <c r="J248" s="100">
        <f>SUMIF(data!$D:$D,$B248&amp;$D248,data!$K:$K)</f>
        <v>0</v>
      </c>
      <c r="K248" s="100">
        <f>SUMIF(AJOUT!$A:$A,BRAN!$V:$V,AJOUT!$L:$L)</f>
        <v>0</v>
      </c>
      <c r="L248" s="100">
        <f>SUMIF(CBOUT!$A:$A,BRAN!$V:$V,CBOUT!$G:$G)</f>
        <v>0</v>
      </c>
      <c r="M248" s="1158">
        <f t="shared" ref="M248" si="97">E248+F248+H248-I248-L248+G248-K248</f>
        <v>0</v>
      </c>
      <c r="N248" s="100">
        <f t="shared" si="81"/>
        <v>0</v>
      </c>
      <c r="O248" s="1159">
        <f t="shared" ref="O248" si="98">SUM(X248:BB248)</f>
        <v>0</v>
      </c>
      <c r="P248" s="804"/>
      <c r="Q248" s="804"/>
      <c r="R248" s="804">
        <f>O248/INTGRATE!$N$293</f>
        <v>0</v>
      </c>
      <c r="S248" s="665">
        <f t="shared" ref="S248" si="99">IF(R248=0,0,N248/R248)</f>
        <v>0</v>
      </c>
      <c r="T248" s="403"/>
      <c r="U248" s="141"/>
      <c r="V248" s="840" t="str">
        <f t="shared" si="85"/>
        <v>VT12P25</v>
      </c>
      <c r="W248" s="831">
        <v>20310890</v>
      </c>
      <c r="X248" s="387"/>
      <c r="Y248" s="387">
        <v>0</v>
      </c>
      <c r="Z248" s="100">
        <v>0</v>
      </c>
      <c r="AA248" s="100">
        <v>0</v>
      </c>
      <c r="AB248" s="100">
        <v>0</v>
      </c>
      <c r="AC248" s="100">
        <v>0</v>
      </c>
      <c r="AD248" s="100">
        <v>0</v>
      </c>
      <c r="AE248" s="100">
        <v>0</v>
      </c>
      <c r="AF248" s="100">
        <v>0</v>
      </c>
      <c r="AG248" s="100"/>
      <c r="AH248" s="100"/>
      <c r="AI248" s="100"/>
      <c r="AJ248" s="100"/>
      <c r="AK248" s="100"/>
      <c r="AL248" s="100"/>
      <c r="AM248" s="100"/>
      <c r="AN248" s="100"/>
      <c r="AO248" s="100"/>
      <c r="AP248" s="100"/>
      <c r="AQ248" s="100"/>
      <c r="AR248" s="100"/>
      <c r="AS248" s="100"/>
      <c r="AT248" s="100"/>
      <c r="AU248" s="100"/>
      <c r="AV248" s="100"/>
      <c r="AW248" s="100"/>
      <c r="AX248" s="100"/>
      <c r="AY248" s="100"/>
      <c r="AZ248" s="100"/>
      <c r="BA248" s="100"/>
      <c r="BB248" s="100"/>
      <c r="BC248" s="274">
        <f t="shared" si="77"/>
        <v>0</v>
      </c>
      <c r="BD248" s="786">
        <f t="shared" si="78"/>
        <v>0</v>
      </c>
      <c r="BE248" s="786">
        <f t="shared" si="79"/>
        <v>0</v>
      </c>
      <c r="BH248" s="436"/>
    </row>
    <row r="249" spans="1:60" s="38" customFormat="1" ht="15" customHeight="1">
      <c r="A249" s="68">
        <v>44</v>
      </c>
      <c r="B249" s="349" t="s">
        <v>229</v>
      </c>
      <c r="C249" s="349" t="s">
        <v>64</v>
      </c>
      <c r="D249" s="660">
        <v>25</v>
      </c>
      <c r="E249" s="1158">
        <v>1023</v>
      </c>
      <c r="F249" s="100">
        <f>SUMIF(pro!$A:$A,$V:$V,pro!$N:$N)</f>
        <v>1647</v>
      </c>
      <c r="G249" s="100"/>
      <c r="H249" s="100">
        <f>SUMIF(CBIN!$A:$A,BRAN!$V:$V,CBIN!$G:$G)</f>
        <v>0</v>
      </c>
      <c r="I249" s="100">
        <f>SUMIF(data!$D:$D,$B249&amp;$D249,data!$J:$J)</f>
        <v>0</v>
      </c>
      <c r="J249" s="100">
        <f>SUMIF(data!$D:$D,$B249&amp;$D249,data!$K:$K)</f>
        <v>0</v>
      </c>
      <c r="K249" s="100">
        <f>SUMIF(AJOUT!$A:$A,BRAN!$V:$V,AJOUT!$L:$L)</f>
        <v>0</v>
      </c>
      <c r="L249" s="100">
        <f>SUMIF(CBOUT!$A:$A,BRAN!$V:$V,CBOUT!$G:$G)</f>
        <v>0</v>
      </c>
      <c r="M249" s="1158">
        <f t="shared" si="84"/>
        <v>2670</v>
      </c>
      <c r="N249" s="100">
        <f t="shared" si="81"/>
        <v>66750</v>
      </c>
      <c r="O249" s="1159">
        <f t="shared" si="71"/>
        <v>105350</v>
      </c>
      <c r="P249" s="804"/>
      <c r="Q249" s="804"/>
      <c r="R249" s="804">
        <f>O249/INTGRATE!$N$293</f>
        <v>11705.555555555555</v>
      </c>
      <c r="S249" s="665">
        <f t="shared" si="82"/>
        <v>5.7024205030849551</v>
      </c>
      <c r="T249" s="403"/>
      <c r="U249" s="141"/>
      <c r="V249" s="840" t="str">
        <f>B249&amp;D249</f>
        <v>VT1225</v>
      </c>
      <c r="W249" s="831">
        <v>203101</v>
      </c>
      <c r="X249" s="387"/>
      <c r="Y249" s="387">
        <v>12250</v>
      </c>
      <c r="Z249" s="100">
        <v>21750</v>
      </c>
      <c r="AA249" s="100">
        <v>12750</v>
      </c>
      <c r="AB249" s="100">
        <v>11500</v>
      </c>
      <c r="AC249" s="100">
        <v>11725</v>
      </c>
      <c r="AD249" s="100">
        <v>15250</v>
      </c>
      <c r="AE249" s="100">
        <v>6625</v>
      </c>
      <c r="AF249" s="100">
        <v>13500</v>
      </c>
      <c r="AG249" s="100"/>
      <c r="AH249" s="100"/>
      <c r="AI249" s="100"/>
      <c r="AJ249" s="100"/>
      <c r="AK249" s="100"/>
      <c r="AL249" s="100"/>
      <c r="AM249" s="100"/>
      <c r="AN249" s="100"/>
      <c r="AO249" s="100"/>
      <c r="AP249" s="100"/>
      <c r="AQ249" s="100"/>
      <c r="AR249" s="100"/>
      <c r="AS249" s="100"/>
      <c r="AT249" s="100"/>
      <c r="AU249" s="100"/>
      <c r="AV249" s="100"/>
      <c r="AW249" s="100"/>
      <c r="AX249" s="100"/>
      <c r="AY249" s="100"/>
      <c r="AZ249" s="100"/>
      <c r="BA249" s="100"/>
      <c r="BB249" s="100"/>
      <c r="BC249" s="274">
        <f t="shared" si="77"/>
        <v>105350</v>
      </c>
      <c r="BD249" s="786">
        <f t="shared" si="78"/>
        <v>8</v>
      </c>
      <c r="BE249" s="786">
        <f t="shared" si="79"/>
        <v>13168.75</v>
      </c>
      <c r="BH249" s="436"/>
    </row>
    <row r="250" spans="1:60" s="38" customFormat="1" ht="15" customHeight="1">
      <c r="A250" s="68">
        <v>45</v>
      </c>
      <c r="B250" s="180" t="s">
        <v>231</v>
      </c>
      <c r="C250" s="538" t="s">
        <v>61</v>
      </c>
      <c r="D250" s="164">
        <v>25</v>
      </c>
      <c r="E250" s="1158">
        <v>35</v>
      </c>
      <c r="F250" s="100">
        <f>SUMIF(pro!$A:$A,$V:$V,pro!$N:$N)</f>
        <v>0</v>
      </c>
      <c r="G250" s="100"/>
      <c r="H250" s="100">
        <f>SUMIF(CBIN!$A:$A,BRAN!$V:$V,CBIN!$G:$G)</f>
        <v>0</v>
      </c>
      <c r="I250" s="100">
        <f>SUMIF(data!$D:$D,$B250&amp;$D250,data!$J:$J)</f>
        <v>0</v>
      </c>
      <c r="J250" s="100">
        <f>SUMIF(data!$D:$D,$B250&amp;$D250,data!$K:$K)</f>
        <v>0</v>
      </c>
      <c r="K250" s="100">
        <f>SUMIF(AJOUT!$A:$A,BRAN!$V:$V,AJOUT!$L:$L)</f>
        <v>0</v>
      </c>
      <c r="L250" s="100">
        <f>SUMIF(CBOUT!$A:$A,BRAN!$V:$V,CBOUT!$G:$G)</f>
        <v>0</v>
      </c>
      <c r="M250" s="1158">
        <f t="shared" si="84"/>
        <v>35</v>
      </c>
      <c r="N250" s="100">
        <f t="shared" si="81"/>
        <v>875</v>
      </c>
      <c r="O250" s="1159">
        <f t="shared" si="71"/>
        <v>2750</v>
      </c>
      <c r="P250" s="804"/>
      <c r="Q250" s="804"/>
      <c r="R250" s="804">
        <f>O250/INTGRATE!$N$293</f>
        <v>305.55555555555554</v>
      </c>
      <c r="S250" s="665">
        <f t="shared" si="82"/>
        <v>2.8636363636363638</v>
      </c>
      <c r="T250" s="403"/>
      <c r="U250" s="141"/>
      <c r="V250" s="840" t="str">
        <f t="shared" si="85"/>
        <v>HT1125</v>
      </c>
      <c r="W250" s="831">
        <v>314001</v>
      </c>
      <c r="X250" s="387"/>
      <c r="Y250" s="387">
        <v>0</v>
      </c>
      <c r="Z250" s="100">
        <v>0</v>
      </c>
      <c r="AA250" s="100">
        <v>0</v>
      </c>
      <c r="AB250" s="100">
        <v>0</v>
      </c>
      <c r="AC250" s="100">
        <v>2500</v>
      </c>
      <c r="AD250" s="100">
        <v>0</v>
      </c>
      <c r="AE250" s="100">
        <v>250</v>
      </c>
      <c r="AF250" s="100">
        <v>0</v>
      </c>
      <c r="AG250" s="100"/>
      <c r="AH250" s="100"/>
      <c r="AI250" s="100"/>
      <c r="AJ250" s="100"/>
      <c r="AK250" s="100"/>
      <c r="AL250" s="100"/>
      <c r="AM250" s="100"/>
      <c r="AN250" s="100"/>
      <c r="AO250" s="100"/>
      <c r="AP250" s="100"/>
      <c r="AQ250" s="100"/>
      <c r="AR250" s="100"/>
      <c r="AS250" s="100"/>
      <c r="AT250" s="100"/>
      <c r="AU250" s="100"/>
      <c r="AV250" s="100"/>
      <c r="AW250" s="100"/>
      <c r="AX250" s="100"/>
      <c r="AY250" s="100"/>
      <c r="AZ250" s="100"/>
      <c r="BA250" s="100"/>
      <c r="BB250" s="100"/>
      <c r="BC250" s="274">
        <f t="shared" si="77"/>
        <v>2750</v>
      </c>
      <c r="BD250" s="786">
        <f t="shared" si="78"/>
        <v>2</v>
      </c>
      <c r="BE250" s="786">
        <f t="shared" si="79"/>
        <v>1375</v>
      </c>
      <c r="BH250" s="436"/>
    </row>
    <row r="251" spans="1:60" s="38" customFormat="1" ht="15" customHeight="1">
      <c r="A251" s="68">
        <v>46</v>
      </c>
      <c r="B251" s="180" t="s">
        <v>231</v>
      </c>
      <c r="C251" s="538" t="s">
        <v>61</v>
      </c>
      <c r="D251" s="615" t="s">
        <v>66</v>
      </c>
      <c r="E251" s="1158">
        <v>0</v>
      </c>
      <c r="F251" s="100">
        <f>+J251</f>
        <v>0</v>
      </c>
      <c r="G251" s="100"/>
      <c r="H251" s="100">
        <f>SUMIF(CBIN!$A:$A,BRAN!$V:$V,CBIN!$G:$G)</f>
        <v>0</v>
      </c>
      <c r="I251" s="100">
        <f>SUMIF(data!$D:$D,$B251&amp;$D251,data!$J:$J)</f>
        <v>0</v>
      </c>
      <c r="J251" s="100">
        <f>SUMIF(data!$D:$D,$B251&amp;$D251,data!$K:$K)</f>
        <v>0</v>
      </c>
      <c r="K251" s="100">
        <f>SUMIF(AJOUT!$A:$A,BRAN!$V:$V,AJOUT!$L:$L)</f>
        <v>0</v>
      </c>
      <c r="L251" s="100">
        <f>SUMIF(CBOUT!$A:$A,BRAN!$V:$V,CBOUT!$G:$G)</f>
        <v>0</v>
      </c>
      <c r="M251" s="1158">
        <v>0</v>
      </c>
      <c r="N251" s="100"/>
      <c r="O251" s="1159">
        <f t="shared" si="71"/>
        <v>12960</v>
      </c>
      <c r="P251" s="804"/>
      <c r="Q251" s="804"/>
      <c r="R251" s="804">
        <f>O251/INTGRATE!$N$293</f>
        <v>1440</v>
      </c>
      <c r="S251" s="665">
        <f t="shared" si="82"/>
        <v>0</v>
      </c>
      <c r="T251" s="403"/>
      <c r="U251" s="141"/>
      <c r="V251" s="840" t="str">
        <f t="shared" si="85"/>
        <v>HT11SILO</v>
      </c>
      <c r="W251" s="831">
        <v>314001</v>
      </c>
      <c r="X251" s="387"/>
      <c r="Y251" s="387">
        <v>0</v>
      </c>
      <c r="Z251" s="100">
        <v>0</v>
      </c>
      <c r="AA251" s="100">
        <v>0</v>
      </c>
      <c r="AB251" s="100">
        <v>0</v>
      </c>
      <c r="AC251" s="100">
        <v>7430</v>
      </c>
      <c r="AD251" s="100">
        <v>0</v>
      </c>
      <c r="AE251" s="100">
        <v>0</v>
      </c>
      <c r="AF251" s="100">
        <v>5530</v>
      </c>
      <c r="AG251" s="100"/>
      <c r="AH251" s="100"/>
      <c r="AI251" s="100"/>
      <c r="AJ251" s="100"/>
      <c r="AK251" s="100"/>
      <c r="AL251" s="100"/>
      <c r="AM251" s="100"/>
      <c r="AN251" s="100"/>
      <c r="AO251" s="100"/>
      <c r="AP251" s="100"/>
      <c r="AQ251" s="100"/>
      <c r="AR251" s="100"/>
      <c r="AS251" s="100"/>
      <c r="AT251" s="100"/>
      <c r="AU251" s="100"/>
      <c r="AV251" s="100"/>
      <c r="AW251" s="100"/>
      <c r="AX251" s="100"/>
      <c r="AY251" s="100"/>
      <c r="AZ251" s="100"/>
      <c r="BA251" s="100"/>
      <c r="BB251" s="100"/>
      <c r="BC251" s="274">
        <f t="shared" si="77"/>
        <v>12960</v>
      </c>
      <c r="BD251" s="786">
        <f t="shared" si="78"/>
        <v>2</v>
      </c>
      <c r="BE251" s="786">
        <f t="shared" si="79"/>
        <v>6480</v>
      </c>
      <c r="BF251" s="85"/>
      <c r="BH251" s="436"/>
    </row>
    <row r="252" spans="1:60" s="38" customFormat="1" ht="15" customHeight="1">
      <c r="A252" s="68">
        <v>47</v>
      </c>
      <c r="B252" s="180" t="s">
        <v>232</v>
      </c>
      <c r="C252" s="538" t="s">
        <v>61</v>
      </c>
      <c r="D252" s="664">
        <v>25</v>
      </c>
      <c r="E252" s="1158">
        <v>0</v>
      </c>
      <c r="F252" s="100">
        <f>SUMIF(pro!$A:$A,$V:$V,pro!$N:$N)</f>
        <v>0</v>
      </c>
      <c r="G252" s="100"/>
      <c r="H252" s="100">
        <f>SUMIF(CBIN!$A:$A,BRAN!$V:$V,CBIN!$G:$G)</f>
        <v>0</v>
      </c>
      <c r="I252" s="100">
        <f>SUMIF(data!$D:$D,$B252&amp;$D252,data!$J:$J)</f>
        <v>0</v>
      </c>
      <c r="J252" s="100">
        <f>SUMIF(data!$D:$D,$B252&amp;$D252,data!$K:$K)</f>
        <v>0</v>
      </c>
      <c r="K252" s="100">
        <f>SUMIF(AJOUT!$A:$A,BRAN!$V:$V,AJOUT!$L:$L)</f>
        <v>0</v>
      </c>
      <c r="L252" s="100">
        <f>SUMIF(CBOUT!$A:$A,BRAN!$V:$V,CBOUT!$G:$G)</f>
        <v>0</v>
      </c>
      <c r="M252" s="1158">
        <f>E252+F252+H252-I252-L252+G252-K252</f>
        <v>0</v>
      </c>
      <c r="N252" s="100">
        <f t="shared" si="81"/>
        <v>0</v>
      </c>
      <c r="O252" s="1159">
        <f t="shared" si="71"/>
        <v>0</v>
      </c>
      <c r="P252" s="804"/>
      <c r="Q252" s="804"/>
      <c r="R252" s="804">
        <f>O252/INTGRATE!$N$293</f>
        <v>0</v>
      </c>
      <c r="S252" s="665">
        <f t="shared" si="82"/>
        <v>0</v>
      </c>
      <c r="T252" s="403"/>
      <c r="U252" s="141"/>
      <c r="V252" s="840" t="str">
        <f t="shared" si="85"/>
        <v>HT11X25</v>
      </c>
      <c r="W252" s="831">
        <v>314008</v>
      </c>
      <c r="X252" s="387"/>
      <c r="Y252" s="387">
        <v>0</v>
      </c>
      <c r="Z252" s="100">
        <v>0</v>
      </c>
      <c r="AA252" s="100">
        <v>0</v>
      </c>
      <c r="AB252" s="100">
        <v>0</v>
      </c>
      <c r="AC252" s="100">
        <v>0</v>
      </c>
      <c r="AD252" s="100">
        <v>0</v>
      </c>
      <c r="AE252" s="100">
        <v>0</v>
      </c>
      <c r="AF252" s="100">
        <v>0</v>
      </c>
      <c r="AG252" s="100"/>
      <c r="AH252" s="100"/>
      <c r="AI252" s="100"/>
      <c r="AJ252" s="100"/>
      <c r="AK252" s="100"/>
      <c r="AL252" s="100"/>
      <c r="AM252" s="100"/>
      <c r="AN252" s="100"/>
      <c r="AO252" s="100"/>
      <c r="AP252" s="100"/>
      <c r="AQ252" s="100"/>
      <c r="AR252" s="100"/>
      <c r="AS252" s="100"/>
      <c r="AT252" s="100"/>
      <c r="AU252" s="100"/>
      <c r="AV252" s="100"/>
      <c r="AW252" s="100"/>
      <c r="AX252" s="100"/>
      <c r="AY252" s="100"/>
      <c r="AZ252" s="100"/>
      <c r="BA252" s="100"/>
      <c r="BB252" s="100"/>
      <c r="BC252" s="274">
        <f t="shared" si="77"/>
        <v>0</v>
      </c>
      <c r="BD252" s="786">
        <f t="shared" si="78"/>
        <v>0</v>
      </c>
      <c r="BE252" s="786">
        <f t="shared" si="79"/>
        <v>0</v>
      </c>
      <c r="BF252" s="85"/>
      <c r="BH252" s="436"/>
    </row>
    <row r="253" spans="1:60" s="38" customFormat="1" ht="15" customHeight="1">
      <c r="A253" s="68">
        <v>48</v>
      </c>
      <c r="B253" s="180" t="s">
        <v>232</v>
      </c>
      <c r="C253" s="538" t="s">
        <v>61</v>
      </c>
      <c r="D253" s="615" t="s">
        <v>66</v>
      </c>
      <c r="E253" s="1158"/>
      <c r="F253" s="100">
        <f>+J253</f>
        <v>0</v>
      </c>
      <c r="G253" s="100"/>
      <c r="H253" s="100"/>
      <c r="I253" s="100">
        <f>SUMIF(data!$D:$D,$B253&amp;$D253,data!$J:$J)</f>
        <v>0</v>
      </c>
      <c r="J253" s="100">
        <f>SUMIF(data!$D:$D,$B253&amp;$D253,data!$K:$K)</f>
        <v>0</v>
      </c>
      <c r="K253" s="100"/>
      <c r="L253" s="100"/>
      <c r="M253" s="1158"/>
      <c r="N253" s="100"/>
      <c r="O253" s="1159">
        <f t="shared" si="71"/>
        <v>0</v>
      </c>
      <c r="P253" s="804"/>
      <c r="Q253" s="804"/>
      <c r="R253" s="804">
        <f>O253/INTGRATE!$N$293</f>
        <v>0</v>
      </c>
      <c r="S253" s="665">
        <f t="shared" si="82"/>
        <v>0</v>
      </c>
      <c r="T253" s="403"/>
      <c r="U253" s="141"/>
      <c r="V253" s="840" t="str">
        <f t="shared" si="85"/>
        <v>HT11XSILO</v>
      </c>
      <c r="W253" s="831">
        <v>314008</v>
      </c>
      <c r="X253" s="387"/>
      <c r="Y253" s="387">
        <v>0</v>
      </c>
      <c r="Z253" s="100">
        <v>0</v>
      </c>
      <c r="AA253" s="100">
        <v>0</v>
      </c>
      <c r="AB253" s="100">
        <v>0</v>
      </c>
      <c r="AC253" s="100">
        <v>0</v>
      </c>
      <c r="AD253" s="100">
        <v>0</v>
      </c>
      <c r="AE253" s="100">
        <v>0</v>
      </c>
      <c r="AF253" s="100">
        <v>0</v>
      </c>
      <c r="AG253" s="100"/>
      <c r="AH253" s="100"/>
      <c r="AI253" s="100"/>
      <c r="AJ253" s="100"/>
      <c r="AK253" s="100"/>
      <c r="AL253" s="100"/>
      <c r="AM253" s="100"/>
      <c r="AN253" s="100"/>
      <c r="AO253" s="100"/>
      <c r="AP253" s="100"/>
      <c r="AQ253" s="100"/>
      <c r="AR253" s="100"/>
      <c r="AS253" s="100"/>
      <c r="AT253" s="100"/>
      <c r="AU253" s="100"/>
      <c r="AV253" s="100"/>
      <c r="AW253" s="100"/>
      <c r="AX253" s="100"/>
      <c r="AY253" s="100"/>
      <c r="AZ253" s="100"/>
      <c r="BA253" s="100"/>
      <c r="BB253" s="100"/>
      <c r="BC253" s="274">
        <f t="shared" si="77"/>
        <v>0</v>
      </c>
      <c r="BD253" s="786">
        <f t="shared" si="78"/>
        <v>0</v>
      </c>
      <c r="BE253" s="786">
        <f t="shared" si="79"/>
        <v>0</v>
      </c>
      <c r="BF253" s="85"/>
      <c r="BH253" s="436"/>
    </row>
    <row r="254" spans="1:60" s="38" customFormat="1" ht="15" customHeight="1">
      <c r="A254" s="68">
        <v>49</v>
      </c>
      <c r="B254" s="180" t="s">
        <v>233</v>
      </c>
      <c r="C254" s="538" t="s">
        <v>61</v>
      </c>
      <c r="D254" s="164">
        <v>25</v>
      </c>
      <c r="E254" s="1158">
        <v>1</v>
      </c>
      <c r="F254" s="100">
        <f>SUMIF(pro!$A:$A,$V:$V,pro!$N:$N)</f>
        <v>0</v>
      </c>
      <c r="G254" s="100"/>
      <c r="H254" s="100">
        <f>SUMIF(CBIN!$A:$A,BRAN!$V:$V,CBIN!$G:$G)</f>
        <v>0</v>
      </c>
      <c r="I254" s="100">
        <f>SUMIF(data!$D:$D,$B254&amp;$D254,data!$J:$J)</f>
        <v>0</v>
      </c>
      <c r="J254" s="100">
        <f>SUMIF(data!$D:$D,$B254&amp;$D254,data!$K:$K)</f>
        <v>0</v>
      </c>
      <c r="K254" s="100">
        <f>SUMIF(AJOUT!$A:$A,BRAN!$V:$V,AJOUT!$L:$L)</f>
        <v>0</v>
      </c>
      <c r="L254" s="100">
        <f>SUMIF(CBOUT!$A:$A,BRAN!$V:$V,CBOUT!$G:$G)</f>
        <v>0</v>
      </c>
      <c r="M254" s="1158">
        <f>E254+F254+H254-I254-L254+G254-K254</f>
        <v>1</v>
      </c>
      <c r="N254" s="100">
        <f t="shared" si="81"/>
        <v>25</v>
      </c>
      <c r="O254" s="1159">
        <f>SUM(X254:BB254)</f>
        <v>7875</v>
      </c>
      <c r="P254" s="804"/>
      <c r="Q254" s="804"/>
      <c r="R254" s="804">
        <f>O254/INTGRATE!$N$293</f>
        <v>875</v>
      </c>
      <c r="S254" s="665">
        <f t="shared" si="82"/>
        <v>2.8571428571428571E-2</v>
      </c>
      <c r="T254" s="403"/>
      <c r="U254" s="141"/>
      <c r="V254" s="840" t="str">
        <f t="shared" si="85"/>
        <v>HT11GP25</v>
      </c>
      <c r="W254" s="823">
        <v>314011</v>
      </c>
      <c r="X254" s="387"/>
      <c r="Y254" s="387">
        <v>0</v>
      </c>
      <c r="Z254" s="100">
        <v>0</v>
      </c>
      <c r="AA254" s="100">
        <v>0</v>
      </c>
      <c r="AB254" s="100">
        <v>0</v>
      </c>
      <c r="AC254" s="100">
        <v>7875</v>
      </c>
      <c r="AD254" s="100">
        <v>0</v>
      </c>
      <c r="AE254" s="100">
        <v>0</v>
      </c>
      <c r="AF254" s="100">
        <v>0</v>
      </c>
      <c r="AG254" s="100"/>
      <c r="AH254" s="100"/>
      <c r="AI254" s="100"/>
      <c r="AJ254" s="100"/>
      <c r="AK254" s="100"/>
      <c r="AL254" s="100"/>
      <c r="AM254" s="100"/>
      <c r="AN254" s="100"/>
      <c r="AO254" s="100"/>
      <c r="AP254" s="100"/>
      <c r="AQ254" s="100"/>
      <c r="AR254" s="100"/>
      <c r="AS254" s="100"/>
      <c r="AT254" s="100"/>
      <c r="AU254" s="100"/>
      <c r="AV254" s="100"/>
      <c r="AW254" s="100"/>
      <c r="AX254" s="100"/>
      <c r="AY254" s="100"/>
      <c r="AZ254" s="100"/>
      <c r="BA254" s="100"/>
      <c r="BB254" s="100"/>
      <c r="BC254" s="274">
        <f t="shared" si="77"/>
        <v>7875</v>
      </c>
      <c r="BD254" s="786">
        <f t="shared" si="78"/>
        <v>1</v>
      </c>
      <c r="BE254" s="786">
        <f t="shared" si="79"/>
        <v>7875</v>
      </c>
      <c r="BH254" s="436"/>
    </row>
    <row r="255" spans="1:60" s="38" customFormat="1" ht="15" customHeight="1">
      <c r="A255" s="68">
        <v>50</v>
      </c>
      <c r="B255" s="107" t="s">
        <v>234</v>
      </c>
      <c r="C255" s="107" t="s">
        <v>64</v>
      </c>
      <c r="D255" s="91">
        <v>25</v>
      </c>
      <c r="E255" s="1158">
        <v>494</v>
      </c>
      <c r="F255" s="100">
        <f>SUMIF(pro!$A:$A,$V:$V,pro!$N:$N)</f>
        <v>0</v>
      </c>
      <c r="G255" s="100"/>
      <c r="H255" s="100">
        <f>SUMIF(CBIN!$A:$A,BRAN!$V:$V,CBIN!$G:$G)</f>
        <v>0</v>
      </c>
      <c r="I255" s="100">
        <f>SUMIF(data!$D:$D,$B255&amp;$D255,data!$J:$J)</f>
        <v>0</v>
      </c>
      <c r="J255" s="100">
        <f>SUMIF(data!$D:$D,$B255&amp;$D255,data!$K:$K)</f>
        <v>0</v>
      </c>
      <c r="K255" s="100">
        <f>SUMIF(AJOUT!$A:$A,BRAN!$V:$V,AJOUT!$L:$L)</f>
        <v>0</v>
      </c>
      <c r="L255" s="100">
        <f>SUMIF(CBOUT!$A:$A,BRAN!$V:$V,CBOUT!$G:$G)</f>
        <v>0</v>
      </c>
      <c r="M255" s="1158">
        <f>E255+F255+H255-I255-L255+G255-K255</f>
        <v>494</v>
      </c>
      <c r="N255" s="100">
        <f t="shared" si="81"/>
        <v>12350</v>
      </c>
      <c r="O255" s="1159">
        <f t="shared" si="71"/>
        <v>10000</v>
      </c>
      <c r="P255" s="804"/>
      <c r="Q255" s="804"/>
      <c r="R255" s="804">
        <f>O255/INTGRATE!$N$293</f>
        <v>1111.1111111111111</v>
      </c>
      <c r="S255" s="665">
        <f t="shared" si="82"/>
        <v>11.115</v>
      </c>
      <c r="T255" s="403"/>
      <c r="U255" s="141"/>
      <c r="V255" s="840" t="str">
        <f t="shared" si="85"/>
        <v>HT1225</v>
      </c>
      <c r="W255" s="831">
        <v>321001</v>
      </c>
      <c r="X255" s="387"/>
      <c r="Y255" s="387">
        <v>0</v>
      </c>
      <c r="Z255" s="100">
        <v>0</v>
      </c>
      <c r="AA255" s="100">
        <v>0</v>
      </c>
      <c r="AB255" s="100">
        <v>0</v>
      </c>
      <c r="AC255" s="100">
        <v>10000</v>
      </c>
      <c r="AD255" s="100">
        <v>0</v>
      </c>
      <c r="AE255" s="100">
        <v>0</v>
      </c>
      <c r="AF255" s="100">
        <v>0</v>
      </c>
      <c r="AG255" s="100"/>
      <c r="AH255" s="100"/>
      <c r="AI255" s="100"/>
      <c r="AJ255" s="100"/>
      <c r="AK255" s="100"/>
      <c r="AL255" s="100"/>
      <c r="AM255" s="100"/>
      <c r="AN255" s="100"/>
      <c r="AO255" s="100"/>
      <c r="AP255" s="100"/>
      <c r="AQ255" s="100"/>
      <c r="AR255" s="100"/>
      <c r="AS255" s="100"/>
      <c r="AT255" s="100"/>
      <c r="AU255" s="100"/>
      <c r="AV255" s="100"/>
      <c r="AW255" s="100"/>
      <c r="AX255" s="100"/>
      <c r="AY255" s="100"/>
      <c r="AZ255" s="100"/>
      <c r="BA255" s="100"/>
      <c r="BB255" s="100"/>
      <c r="BC255" s="274">
        <f t="shared" si="77"/>
        <v>10000</v>
      </c>
      <c r="BD255" s="786">
        <f t="shared" si="78"/>
        <v>1</v>
      </c>
      <c r="BE255" s="786">
        <f t="shared" si="79"/>
        <v>10000</v>
      </c>
      <c r="BH255" s="436"/>
    </row>
    <row r="256" spans="1:60" s="38" customFormat="1" ht="15" customHeight="1">
      <c r="A256" s="68">
        <v>51</v>
      </c>
      <c r="B256" s="107" t="s">
        <v>234</v>
      </c>
      <c r="C256" s="107" t="s">
        <v>64</v>
      </c>
      <c r="D256" s="425" t="s">
        <v>66</v>
      </c>
      <c r="E256" s="1158">
        <v>0</v>
      </c>
      <c r="F256" s="100">
        <f>+J256</f>
        <v>0</v>
      </c>
      <c r="G256" s="100"/>
      <c r="H256" s="100">
        <f>SUMIF(CBIN!$A:$A,BRAN!$V:$V,CBIN!$G:$G)</f>
        <v>0</v>
      </c>
      <c r="I256" s="100">
        <f>SUMIF(data!$D:$D,$B256&amp;$D256,data!$J:$J)</f>
        <v>0</v>
      </c>
      <c r="J256" s="100">
        <f>SUMIF(data!$D:$D,$B256&amp;$D256,data!$K:$K)</f>
        <v>0</v>
      </c>
      <c r="K256" s="100">
        <f>SUMIF(AJOUT!$A:$A,BRAN!$V:$V,AJOUT!$L:$L)</f>
        <v>0</v>
      </c>
      <c r="L256" s="100">
        <f>SUMIF(CBOUT!$A:$A,BRAN!$V:$V,CBOUT!$G:$G)</f>
        <v>0</v>
      </c>
      <c r="M256" s="1158">
        <v>0</v>
      </c>
      <c r="N256" s="100"/>
      <c r="O256" s="1159">
        <f t="shared" si="71"/>
        <v>0</v>
      </c>
      <c r="P256" s="804"/>
      <c r="Q256" s="804"/>
      <c r="R256" s="804">
        <f>O256/INTGRATE!$N$293</f>
        <v>0</v>
      </c>
      <c r="S256" s="665">
        <f t="shared" si="82"/>
        <v>0</v>
      </c>
      <c r="T256" s="403"/>
      <c r="U256" s="141"/>
      <c r="V256" s="840" t="str">
        <f t="shared" si="85"/>
        <v>HT12SILO</v>
      </c>
      <c r="W256" s="831">
        <v>321001</v>
      </c>
      <c r="X256" s="387"/>
      <c r="Y256" s="387">
        <v>0</v>
      </c>
      <c r="Z256" s="100">
        <v>0</v>
      </c>
      <c r="AA256" s="100">
        <v>0</v>
      </c>
      <c r="AB256" s="100">
        <v>0</v>
      </c>
      <c r="AC256" s="100">
        <v>0</v>
      </c>
      <c r="AD256" s="100">
        <v>0</v>
      </c>
      <c r="AE256" s="100">
        <v>0</v>
      </c>
      <c r="AF256" s="100">
        <v>0</v>
      </c>
      <c r="AG256" s="100"/>
      <c r="AH256" s="100"/>
      <c r="AI256" s="100"/>
      <c r="AJ256" s="100"/>
      <c r="AK256" s="100"/>
      <c r="AL256" s="100"/>
      <c r="AM256" s="100"/>
      <c r="AN256" s="100"/>
      <c r="AO256" s="100"/>
      <c r="AP256" s="100"/>
      <c r="AQ256" s="100"/>
      <c r="AR256" s="100"/>
      <c r="AS256" s="100"/>
      <c r="AT256" s="100"/>
      <c r="AU256" s="100"/>
      <c r="AV256" s="100"/>
      <c r="AW256" s="100"/>
      <c r="AX256" s="100"/>
      <c r="AY256" s="100"/>
      <c r="AZ256" s="100"/>
      <c r="BA256" s="100"/>
      <c r="BB256" s="100"/>
      <c r="BC256" s="274">
        <f t="shared" si="77"/>
        <v>0</v>
      </c>
      <c r="BD256" s="786">
        <f t="shared" si="78"/>
        <v>0</v>
      </c>
      <c r="BE256" s="786">
        <f t="shared" si="79"/>
        <v>0</v>
      </c>
      <c r="BH256" s="436"/>
    </row>
    <row r="257" spans="1:60" s="38" customFormat="1" ht="15" customHeight="1">
      <c r="A257" s="68">
        <v>52</v>
      </c>
      <c r="B257" s="107" t="s">
        <v>235</v>
      </c>
      <c r="C257" s="107" t="s">
        <v>64</v>
      </c>
      <c r="D257" s="91">
        <v>25</v>
      </c>
      <c r="E257" s="1158">
        <v>0</v>
      </c>
      <c r="F257" s="100">
        <f>SUMIF(pro!$A:$A,$V:$V,pro!$N:$N)</f>
        <v>0</v>
      </c>
      <c r="G257" s="100"/>
      <c r="H257" s="100">
        <f>SUMIF(CBIN!$A:$A,BRAN!$V:$V,CBIN!$G:$G)</f>
        <v>0</v>
      </c>
      <c r="I257" s="100">
        <f>SUMIF(data!$D:$D,$B257&amp;$D257,data!$J:$J)</f>
        <v>0</v>
      </c>
      <c r="J257" s="100">
        <f>SUMIF(data!$D:$D,$B257&amp;$D257,data!$K:$K)</f>
        <v>0</v>
      </c>
      <c r="K257" s="100">
        <f>SUMIF(AJOUT!$A:$A,BRAN!$V:$V,AJOUT!$L:$L)</f>
        <v>0</v>
      </c>
      <c r="L257" s="100">
        <f>SUMIF(CBOUT!$A:$A,BRAN!$V:$V,CBOUT!$G:$G)</f>
        <v>0</v>
      </c>
      <c r="M257" s="1158">
        <f>E257+F257+H257-I257-L257+G257-K257</f>
        <v>0</v>
      </c>
      <c r="N257" s="100">
        <f t="shared" si="81"/>
        <v>0</v>
      </c>
      <c r="O257" s="1159">
        <f t="shared" si="71"/>
        <v>0</v>
      </c>
      <c r="P257" s="804"/>
      <c r="Q257" s="804"/>
      <c r="R257" s="804">
        <f>O257/INTGRATE!$N$293</f>
        <v>0</v>
      </c>
      <c r="S257" s="665">
        <f t="shared" si="82"/>
        <v>0</v>
      </c>
      <c r="T257" s="403"/>
      <c r="U257" s="141"/>
      <c r="V257" s="840" t="str">
        <f t="shared" si="85"/>
        <v>HT12M25</v>
      </c>
      <c r="W257" s="831">
        <v>321012</v>
      </c>
      <c r="X257" s="387"/>
      <c r="Y257" s="387">
        <v>0</v>
      </c>
      <c r="Z257" s="100">
        <v>0</v>
      </c>
      <c r="AA257" s="100">
        <v>0</v>
      </c>
      <c r="AB257" s="100">
        <v>0</v>
      </c>
      <c r="AC257" s="100">
        <v>0</v>
      </c>
      <c r="AD257" s="100">
        <v>0</v>
      </c>
      <c r="AE257" s="100">
        <v>0</v>
      </c>
      <c r="AF257" s="100">
        <v>0</v>
      </c>
      <c r="AG257" s="100"/>
      <c r="AH257" s="100"/>
      <c r="AI257" s="100"/>
      <c r="AJ257" s="100"/>
      <c r="AK257" s="100"/>
      <c r="AL257" s="100"/>
      <c r="AM257" s="100"/>
      <c r="AN257" s="100"/>
      <c r="AO257" s="100"/>
      <c r="AP257" s="100"/>
      <c r="AQ257" s="100"/>
      <c r="AR257" s="100"/>
      <c r="AS257" s="100"/>
      <c r="AT257" s="100"/>
      <c r="AU257" s="100"/>
      <c r="AV257" s="100"/>
      <c r="AW257" s="100"/>
      <c r="AX257" s="100"/>
      <c r="AY257" s="100"/>
      <c r="AZ257" s="100"/>
      <c r="BA257" s="100"/>
      <c r="BB257" s="100"/>
      <c r="BC257" s="274">
        <f t="shared" si="77"/>
        <v>0</v>
      </c>
      <c r="BD257" s="786">
        <f t="shared" si="78"/>
        <v>0</v>
      </c>
      <c r="BE257" s="786">
        <f t="shared" si="79"/>
        <v>0</v>
      </c>
      <c r="BH257" s="436"/>
    </row>
    <row r="258" spans="1:60" s="38" customFormat="1" ht="15" customHeight="1">
      <c r="A258" s="68">
        <v>53</v>
      </c>
      <c r="B258" s="107" t="s">
        <v>236</v>
      </c>
      <c r="C258" s="1175" t="s">
        <v>61</v>
      </c>
      <c r="D258" s="91">
        <v>25</v>
      </c>
      <c r="E258" s="1158">
        <v>491</v>
      </c>
      <c r="F258" s="100">
        <f>SUMIF(pro!$A:$A,$V:$V,pro!$N:$N)</f>
        <v>663</v>
      </c>
      <c r="G258" s="100"/>
      <c r="H258" s="100">
        <f>SUMIF(CBIN!$A:$A,BRAN!$V:$V,CBIN!$G:$G)</f>
        <v>0</v>
      </c>
      <c r="I258" s="100">
        <f>SUMIF(data!$D:$D,$B258&amp;$D258,data!$J:$J)</f>
        <v>0</v>
      </c>
      <c r="J258" s="100">
        <f>SUMIF(data!$D:$D,$B258&amp;$D258,data!$K:$K)</f>
        <v>0</v>
      </c>
      <c r="K258" s="100">
        <f>SUMIF(AJOUT!$A:$A,BRAN!$V:$V,AJOUT!$L:$L)</f>
        <v>0</v>
      </c>
      <c r="L258" s="100">
        <f>SUMIF(CBOUT!$A:$A,BRAN!$V:$V,CBOUT!$G:$G)</f>
        <v>0</v>
      </c>
      <c r="M258" s="1158">
        <f>E258+F258+H258-I258-L258+G258-K258</f>
        <v>1154</v>
      </c>
      <c r="N258" s="100">
        <f t="shared" si="81"/>
        <v>28850</v>
      </c>
      <c r="O258" s="1159">
        <f t="shared" si="71"/>
        <v>40250</v>
      </c>
      <c r="P258" s="804"/>
      <c r="Q258" s="804"/>
      <c r="R258" s="804">
        <f>O258/INTGRATE!$N$293</f>
        <v>4472.2222222222226</v>
      </c>
      <c r="S258" s="665">
        <f t="shared" si="82"/>
        <v>6.4509316770186329</v>
      </c>
      <c r="T258" s="403"/>
      <c r="U258" s="141"/>
      <c r="V258" s="836" t="str">
        <f t="shared" si="85"/>
        <v>HT12S25</v>
      </c>
      <c r="W258" s="823">
        <v>320001</v>
      </c>
      <c r="X258" s="387"/>
      <c r="Y258" s="387">
        <v>0</v>
      </c>
      <c r="Z258" s="100">
        <v>14250</v>
      </c>
      <c r="AA258" s="100">
        <v>0</v>
      </c>
      <c r="AB258" s="100">
        <v>0</v>
      </c>
      <c r="AC258" s="100">
        <v>10000</v>
      </c>
      <c r="AD258" s="100">
        <v>16000</v>
      </c>
      <c r="AE258" s="100">
        <v>0</v>
      </c>
      <c r="AF258" s="100">
        <v>0</v>
      </c>
      <c r="AG258" s="100"/>
      <c r="AH258" s="100"/>
      <c r="AI258" s="100"/>
      <c r="AJ258" s="100"/>
      <c r="AK258" s="100"/>
      <c r="AL258" s="100"/>
      <c r="AM258" s="100"/>
      <c r="AN258" s="100"/>
      <c r="AO258" s="100"/>
      <c r="AP258" s="100"/>
      <c r="AQ258" s="100"/>
      <c r="AR258" s="100"/>
      <c r="AS258" s="100"/>
      <c r="AT258" s="100"/>
      <c r="AU258" s="100"/>
      <c r="AV258" s="100"/>
      <c r="AW258" s="100"/>
      <c r="AX258" s="100"/>
      <c r="AY258" s="100"/>
      <c r="AZ258" s="100"/>
      <c r="BA258" s="100"/>
      <c r="BB258" s="100"/>
      <c r="BC258" s="274">
        <f t="shared" si="77"/>
        <v>40250</v>
      </c>
      <c r="BD258" s="786">
        <f t="shared" si="78"/>
        <v>3</v>
      </c>
      <c r="BE258" s="786">
        <f t="shared" si="79"/>
        <v>13416.666666666666</v>
      </c>
      <c r="BH258" s="436"/>
    </row>
    <row r="259" spans="1:60" s="38" customFormat="1" ht="15" customHeight="1">
      <c r="A259" s="68">
        <v>54</v>
      </c>
      <c r="B259" s="107" t="s">
        <v>236</v>
      </c>
      <c r="C259" s="1175" t="s">
        <v>61</v>
      </c>
      <c r="D259" s="425" t="s">
        <v>66</v>
      </c>
      <c r="E259" s="1158">
        <v>0</v>
      </c>
      <c r="F259" s="100">
        <f>+J259</f>
        <v>0</v>
      </c>
      <c r="G259" s="100"/>
      <c r="H259" s="100">
        <f>SUMIF(CBIN!$A:$A,BRAN!$V:$V,CBIN!$G:$G)</f>
        <v>0</v>
      </c>
      <c r="I259" s="100">
        <f>SUMIF(data!$D:$D,$B259&amp;$D259,data!$J:$J)</f>
        <v>0</v>
      </c>
      <c r="J259" s="100">
        <f>SUMIF(data!$D:$D,$B259&amp;$D259,data!$K:$K)</f>
        <v>0</v>
      </c>
      <c r="K259" s="100">
        <f>SUMIF(AJOUT!$A:$A,BRAN!$V:$V,AJOUT!$L:$L)</f>
        <v>0</v>
      </c>
      <c r="L259" s="100">
        <f>SUMIF(CBOUT!$A:$A,BRAN!$V:$V,CBOUT!$G:$G)</f>
        <v>0</v>
      </c>
      <c r="M259" s="1158">
        <v>0</v>
      </c>
      <c r="N259" s="100"/>
      <c r="O259" s="1159">
        <f t="shared" si="71"/>
        <v>34100</v>
      </c>
      <c r="P259" s="804"/>
      <c r="Q259" s="804"/>
      <c r="R259" s="804">
        <f>O259/INTGRATE!$N$293</f>
        <v>3788.8888888888887</v>
      </c>
      <c r="S259" s="665">
        <f t="shared" si="82"/>
        <v>0</v>
      </c>
      <c r="T259" s="403"/>
      <c r="U259" s="141"/>
      <c r="V259" s="836" t="str">
        <f t="shared" si="85"/>
        <v>HT12SSILO</v>
      </c>
      <c r="W259" s="823">
        <v>320001</v>
      </c>
      <c r="X259" s="387"/>
      <c r="Y259" s="387">
        <v>13220</v>
      </c>
      <c r="Z259" s="100">
        <v>0</v>
      </c>
      <c r="AA259" s="100">
        <v>0</v>
      </c>
      <c r="AB259" s="100">
        <v>7960</v>
      </c>
      <c r="AC259" s="100">
        <v>5450</v>
      </c>
      <c r="AD259" s="100">
        <v>0</v>
      </c>
      <c r="AE259" s="100">
        <v>0</v>
      </c>
      <c r="AF259" s="100">
        <v>7470</v>
      </c>
      <c r="AG259" s="100"/>
      <c r="AH259" s="100"/>
      <c r="AI259" s="100"/>
      <c r="AJ259" s="100"/>
      <c r="AK259" s="100"/>
      <c r="AL259" s="100"/>
      <c r="AM259" s="100"/>
      <c r="AN259" s="100"/>
      <c r="AO259" s="100"/>
      <c r="AP259" s="100"/>
      <c r="AQ259" s="100"/>
      <c r="AR259" s="100"/>
      <c r="AS259" s="100"/>
      <c r="AT259" s="100"/>
      <c r="AU259" s="100"/>
      <c r="AV259" s="100"/>
      <c r="AW259" s="100"/>
      <c r="AX259" s="100"/>
      <c r="AY259" s="100"/>
      <c r="AZ259" s="100"/>
      <c r="BA259" s="100"/>
      <c r="BB259" s="100"/>
      <c r="BC259" s="274">
        <f t="shared" si="77"/>
        <v>34100</v>
      </c>
      <c r="BD259" s="786">
        <f t="shared" si="78"/>
        <v>4</v>
      </c>
      <c r="BE259" s="786">
        <f t="shared" si="79"/>
        <v>8525</v>
      </c>
      <c r="BH259" s="436"/>
    </row>
    <row r="260" spans="1:60" s="38" customFormat="1" ht="15" customHeight="1">
      <c r="A260" s="68">
        <v>55</v>
      </c>
      <c r="B260" s="170" t="s">
        <v>237</v>
      </c>
      <c r="C260" s="538" t="s">
        <v>61</v>
      </c>
      <c r="D260" s="164">
        <v>25</v>
      </c>
      <c r="E260" s="1158">
        <v>0</v>
      </c>
      <c r="F260" s="100">
        <f>SUMIF(pro!$A:$A,$V:$V,pro!$N:$N)</f>
        <v>0</v>
      </c>
      <c r="G260" s="100"/>
      <c r="H260" s="100">
        <f>SUMIF(CBIN!$A:$A,BRAN!$V:$V,CBIN!$G:$G)</f>
        <v>0</v>
      </c>
      <c r="I260" s="100">
        <f>SUMIF(data!$D:$D,$B260&amp;$D260,data!$J:$J)</f>
        <v>0</v>
      </c>
      <c r="J260" s="100">
        <f>SUMIF(data!$D:$D,$B260&amp;$D260,data!$K:$K)</f>
        <v>0</v>
      </c>
      <c r="K260" s="100">
        <f>SUMIF(AJOUT!$A:$A,BRAN!$V:$V,AJOUT!$L:$L)</f>
        <v>0</v>
      </c>
      <c r="L260" s="100">
        <f>SUMIF(CBOUT!$A:$A,BRAN!$V:$V,CBOUT!$G:$G)</f>
        <v>0</v>
      </c>
      <c r="M260" s="1158">
        <f>E260+F260+H260-I260-L260+G260-K260</f>
        <v>0</v>
      </c>
      <c r="N260" s="100">
        <f t="shared" si="81"/>
        <v>0</v>
      </c>
      <c r="O260" s="1159">
        <f t="shared" si="71"/>
        <v>0</v>
      </c>
      <c r="P260" s="804"/>
      <c r="Q260" s="804"/>
      <c r="R260" s="804">
        <f>O260/INTGRATE!$N$293</f>
        <v>0</v>
      </c>
      <c r="S260" s="665">
        <f t="shared" si="82"/>
        <v>0</v>
      </c>
      <c r="T260" s="403"/>
      <c r="U260" s="141"/>
      <c r="V260" s="836" t="str">
        <f t="shared" si="85"/>
        <v>HT12SX25</v>
      </c>
      <c r="W260" s="823">
        <v>320008</v>
      </c>
      <c r="X260" s="387"/>
      <c r="Y260" s="387">
        <v>0</v>
      </c>
      <c r="Z260" s="100">
        <v>0</v>
      </c>
      <c r="AA260" s="100">
        <v>0</v>
      </c>
      <c r="AB260" s="100">
        <v>0</v>
      </c>
      <c r="AC260" s="100">
        <v>0</v>
      </c>
      <c r="AD260" s="100">
        <v>0</v>
      </c>
      <c r="AE260" s="100">
        <v>0</v>
      </c>
      <c r="AF260" s="100">
        <v>0</v>
      </c>
      <c r="AG260" s="100"/>
      <c r="AH260" s="100"/>
      <c r="AI260" s="100"/>
      <c r="AJ260" s="100"/>
      <c r="AK260" s="100"/>
      <c r="AL260" s="100"/>
      <c r="AM260" s="100"/>
      <c r="AN260" s="100"/>
      <c r="AO260" s="100"/>
      <c r="AP260" s="100"/>
      <c r="AQ260" s="100"/>
      <c r="AR260" s="100"/>
      <c r="AS260" s="100"/>
      <c r="AT260" s="100"/>
      <c r="AU260" s="100"/>
      <c r="AV260" s="100"/>
      <c r="AW260" s="100"/>
      <c r="AX260" s="100"/>
      <c r="AY260" s="100"/>
      <c r="AZ260" s="100"/>
      <c r="BA260" s="100"/>
      <c r="BB260" s="100"/>
      <c r="BC260" s="274">
        <f t="shared" si="77"/>
        <v>0</v>
      </c>
      <c r="BD260" s="786">
        <f t="shared" si="78"/>
        <v>0</v>
      </c>
      <c r="BE260" s="786">
        <f t="shared" si="79"/>
        <v>0</v>
      </c>
      <c r="BH260" s="436"/>
    </row>
    <row r="261" spans="1:60" s="38" customFormat="1" ht="15" customHeight="1">
      <c r="A261" s="68">
        <v>56</v>
      </c>
      <c r="B261" s="170" t="s">
        <v>237</v>
      </c>
      <c r="C261" s="538" t="s">
        <v>61</v>
      </c>
      <c r="D261" s="615" t="s">
        <v>66</v>
      </c>
      <c r="E261" s="1158">
        <v>0</v>
      </c>
      <c r="F261" s="100">
        <f>+J261</f>
        <v>0</v>
      </c>
      <c r="G261" s="100"/>
      <c r="H261" s="100">
        <f>SUMIF(CBIN!$A:$A,BRAN!$V:$V,CBIN!$G:$G)</f>
        <v>0</v>
      </c>
      <c r="I261" s="100">
        <f>SUMIF(data!$D:$D,$B261&amp;$D261,data!$J:$J)</f>
        <v>0</v>
      </c>
      <c r="J261" s="100">
        <f>SUMIF(data!$D:$D,$B261&amp;$D261,data!$K:$K)</f>
        <v>0</v>
      </c>
      <c r="K261" s="100">
        <f>SUMIF(AJOUT!$A:$A,BRAN!$V:$V,AJOUT!$L:$L)</f>
        <v>0</v>
      </c>
      <c r="L261" s="100">
        <f>SUMIF(CBOUT!$A:$A,BRAN!$V:$V,CBOUT!$G:$G)</f>
        <v>0</v>
      </c>
      <c r="M261" s="1158">
        <v>0</v>
      </c>
      <c r="N261" s="100"/>
      <c r="O261" s="1159">
        <f t="shared" si="71"/>
        <v>15290</v>
      </c>
      <c r="P261" s="804"/>
      <c r="Q261" s="804"/>
      <c r="R261" s="804">
        <f>O261/INTGRATE!$N$293</f>
        <v>1698.8888888888889</v>
      </c>
      <c r="S261" s="665">
        <f t="shared" si="82"/>
        <v>0</v>
      </c>
      <c r="T261" s="403"/>
      <c r="U261" s="141"/>
      <c r="V261" s="836" t="str">
        <f t="shared" si="85"/>
        <v>HT12SXSILO</v>
      </c>
      <c r="W261" s="823">
        <v>320008</v>
      </c>
      <c r="X261" s="387"/>
      <c r="Y261" s="387">
        <v>0</v>
      </c>
      <c r="Z261" s="100">
        <v>0</v>
      </c>
      <c r="AA261" s="100">
        <v>0</v>
      </c>
      <c r="AB261" s="100">
        <v>15290</v>
      </c>
      <c r="AC261" s="100">
        <v>0</v>
      </c>
      <c r="AD261" s="100">
        <v>0</v>
      </c>
      <c r="AE261" s="100">
        <v>0</v>
      </c>
      <c r="AF261" s="100">
        <v>0</v>
      </c>
      <c r="AG261" s="100"/>
      <c r="AH261" s="100"/>
      <c r="AI261" s="100"/>
      <c r="AJ261" s="100"/>
      <c r="AK261" s="100"/>
      <c r="AL261" s="100"/>
      <c r="AM261" s="100"/>
      <c r="AN261" s="100"/>
      <c r="AO261" s="100"/>
      <c r="AP261" s="100"/>
      <c r="AQ261" s="100"/>
      <c r="AR261" s="100"/>
      <c r="AS261" s="100"/>
      <c r="AT261" s="100"/>
      <c r="AU261" s="100"/>
      <c r="AV261" s="100"/>
      <c r="AW261" s="100"/>
      <c r="AX261" s="100"/>
      <c r="AY261" s="100"/>
      <c r="AZ261" s="100"/>
      <c r="BA261" s="100"/>
      <c r="BB261" s="100"/>
      <c r="BC261" s="274">
        <f t="shared" si="77"/>
        <v>15290</v>
      </c>
      <c r="BD261" s="786">
        <f t="shared" si="78"/>
        <v>1</v>
      </c>
      <c r="BE261" s="786">
        <f t="shared" si="79"/>
        <v>15290</v>
      </c>
      <c r="BH261" s="436"/>
    </row>
    <row r="262" spans="1:60" s="38" customFormat="1" ht="15" customHeight="1">
      <c r="A262" s="68">
        <v>57</v>
      </c>
      <c r="B262" s="107" t="s">
        <v>238</v>
      </c>
      <c r="C262" s="107" t="s">
        <v>64</v>
      </c>
      <c r="D262" s="91">
        <v>25</v>
      </c>
      <c r="E262" s="1158">
        <v>0</v>
      </c>
      <c r="F262" s="100">
        <f>SUMIF(pro!$A:$A,$V:$V,pro!$N:$N)</f>
        <v>0</v>
      </c>
      <c r="G262" s="100"/>
      <c r="H262" s="100">
        <f>SUMIF(CBIN!$A:$A,BRAN!$V:$V,CBIN!$G:$G)</f>
        <v>0</v>
      </c>
      <c r="I262" s="100">
        <f>SUMIF(data!$D:$D,$B262&amp;$D262,data!$J:$J)</f>
        <v>0</v>
      </c>
      <c r="J262" s="100">
        <f>SUMIF(data!$D:$D,$B262&amp;$D262,data!$K:$K)</f>
        <v>0</v>
      </c>
      <c r="K262" s="100">
        <f>SUMIF(AJOUT!$A:$A,BRAN!$V:$V,AJOUT!$L:$L)</f>
        <v>0</v>
      </c>
      <c r="L262" s="100">
        <f>SUMIF(CBOUT!$A:$A,BRAN!$V:$V,CBOUT!$G:$G)</f>
        <v>0</v>
      </c>
      <c r="M262" s="1158">
        <f>E262+F262+H262-I262-L262+G262-K262</f>
        <v>0</v>
      </c>
      <c r="N262" s="100">
        <f t="shared" si="81"/>
        <v>0</v>
      </c>
      <c r="O262" s="1159">
        <f t="shared" si="71"/>
        <v>325</v>
      </c>
      <c r="P262" s="804"/>
      <c r="Q262" s="804"/>
      <c r="R262" s="804">
        <f>O262/INTGRATE!$N$293</f>
        <v>36.111111111111114</v>
      </c>
      <c r="S262" s="665">
        <f t="shared" si="82"/>
        <v>0</v>
      </c>
      <c r="T262" s="403"/>
      <c r="U262" s="141"/>
      <c r="V262" s="840" t="str">
        <f t="shared" si="85"/>
        <v>HT1325</v>
      </c>
      <c r="W262" s="831">
        <v>332301</v>
      </c>
      <c r="X262" s="387"/>
      <c r="Y262" s="387">
        <v>325</v>
      </c>
      <c r="Z262" s="100">
        <v>0</v>
      </c>
      <c r="AA262" s="100">
        <v>0</v>
      </c>
      <c r="AB262" s="100">
        <v>0</v>
      </c>
      <c r="AC262" s="100">
        <v>0</v>
      </c>
      <c r="AD262" s="100">
        <v>0</v>
      </c>
      <c r="AE262" s="100">
        <v>0</v>
      </c>
      <c r="AF262" s="100">
        <v>0</v>
      </c>
      <c r="AG262" s="100"/>
      <c r="AH262" s="100"/>
      <c r="AI262" s="100"/>
      <c r="AJ262" s="100"/>
      <c r="AK262" s="100"/>
      <c r="AL262" s="100"/>
      <c r="AM262" s="100"/>
      <c r="AN262" s="100"/>
      <c r="AO262" s="100"/>
      <c r="AP262" s="100"/>
      <c r="AQ262" s="100"/>
      <c r="AR262" s="100"/>
      <c r="AS262" s="100"/>
      <c r="AT262" s="100"/>
      <c r="AU262" s="100"/>
      <c r="AV262" s="100"/>
      <c r="AW262" s="100"/>
      <c r="AX262" s="100"/>
      <c r="AY262" s="100"/>
      <c r="AZ262" s="100"/>
      <c r="BA262" s="100"/>
      <c r="BB262" s="100"/>
      <c r="BC262" s="274">
        <f t="shared" si="77"/>
        <v>325</v>
      </c>
      <c r="BD262" s="786">
        <f t="shared" si="78"/>
        <v>1</v>
      </c>
      <c r="BE262" s="786">
        <f t="shared" si="79"/>
        <v>325</v>
      </c>
      <c r="BH262" s="436"/>
    </row>
    <row r="263" spans="1:60" s="38" customFormat="1" ht="15" customHeight="1">
      <c r="A263" s="68">
        <v>58</v>
      </c>
      <c r="B263" s="107" t="s">
        <v>239</v>
      </c>
      <c r="C263" s="107" t="s">
        <v>64</v>
      </c>
      <c r="D263" s="91" t="s">
        <v>66</v>
      </c>
      <c r="E263" s="1158">
        <v>0</v>
      </c>
      <c r="F263" s="100">
        <f>+J263</f>
        <v>0</v>
      </c>
      <c r="G263" s="100"/>
      <c r="H263" s="100">
        <f>SUMIF(CBIN!$A:$A,BRAN!$V:$V,CBIN!$G:$G)</f>
        <v>0</v>
      </c>
      <c r="I263" s="100">
        <f>SUMIF(data!$D:$D,$B263&amp;$D263,data!$J:$J)</f>
        <v>0</v>
      </c>
      <c r="J263" s="100">
        <f>SUMIF(data!$D:$D,$B263&amp;$D263,data!$K:$K)</f>
        <v>0</v>
      </c>
      <c r="K263" s="100">
        <f>SUMIF(AJOUT!$A:$A,BRAN!$V:$V,AJOUT!$L:$L)</f>
        <v>0</v>
      </c>
      <c r="L263" s="100">
        <f>SUMIF(CBOUT!$A:$A,BRAN!$V:$V,CBOUT!$G:$G)</f>
        <v>0</v>
      </c>
      <c r="M263" s="1158">
        <v>0</v>
      </c>
      <c r="N263" s="100"/>
      <c r="O263" s="1159">
        <f t="shared" si="71"/>
        <v>0</v>
      </c>
      <c r="P263" s="804"/>
      <c r="Q263" s="804"/>
      <c r="R263" s="804">
        <f>O263/INTGRATE!$N$293</f>
        <v>0</v>
      </c>
      <c r="S263" s="665">
        <f t="shared" si="82"/>
        <v>0</v>
      </c>
      <c r="T263" s="620"/>
      <c r="U263" s="141"/>
      <c r="V263" s="840" t="str">
        <f t="shared" si="85"/>
        <v>HT13SSILO</v>
      </c>
      <c r="W263" s="831">
        <v>332101</v>
      </c>
      <c r="X263" s="387"/>
      <c r="Y263" s="387">
        <v>0</v>
      </c>
      <c r="Z263" s="100">
        <v>0</v>
      </c>
      <c r="AA263" s="100">
        <v>0</v>
      </c>
      <c r="AB263" s="100">
        <v>0</v>
      </c>
      <c r="AC263" s="100">
        <v>0</v>
      </c>
      <c r="AD263" s="100">
        <v>0</v>
      </c>
      <c r="AE263" s="100">
        <v>0</v>
      </c>
      <c r="AF263" s="100">
        <v>0</v>
      </c>
      <c r="AG263" s="100"/>
      <c r="AH263" s="100"/>
      <c r="AI263" s="100"/>
      <c r="AJ263" s="100"/>
      <c r="AK263" s="100"/>
      <c r="AL263" s="100"/>
      <c r="AM263" s="100"/>
      <c r="AN263" s="100"/>
      <c r="AO263" s="100"/>
      <c r="AP263" s="100"/>
      <c r="AQ263" s="100"/>
      <c r="AR263" s="100"/>
      <c r="AS263" s="100"/>
      <c r="AT263" s="100"/>
      <c r="AU263" s="100"/>
      <c r="AV263" s="100"/>
      <c r="AW263" s="100"/>
      <c r="AX263" s="100"/>
      <c r="AY263" s="100"/>
      <c r="AZ263" s="100"/>
      <c r="BA263" s="100"/>
      <c r="BB263" s="100"/>
      <c r="BC263" s="274">
        <f t="shared" si="77"/>
        <v>0</v>
      </c>
      <c r="BD263" s="786">
        <f t="shared" si="78"/>
        <v>0</v>
      </c>
      <c r="BE263" s="786">
        <f t="shared" si="79"/>
        <v>0</v>
      </c>
      <c r="BH263" s="436"/>
    </row>
    <row r="264" spans="1:60" s="38" customFormat="1" ht="15" customHeight="1">
      <c r="A264" s="68">
        <v>59</v>
      </c>
      <c r="B264" s="107" t="s">
        <v>239</v>
      </c>
      <c r="C264" s="107" t="s">
        <v>64</v>
      </c>
      <c r="D264" s="91">
        <v>25</v>
      </c>
      <c r="E264" s="1158">
        <v>0</v>
      </c>
      <c r="F264" s="100">
        <f>SUMIF(pro!$A:$A,$V:$V,pro!$N:$N)</f>
        <v>0</v>
      </c>
      <c r="G264" s="100"/>
      <c r="H264" s="100">
        <f>SUMIF(CBIN!$A:$A,BRAN!$V:$V,CBIN!$G:$G)</f>
        <v>0</v>
      </c>
      <c r="I264" s="100">
        <f>SUMIF(data!$D:$D,$B264&amp;$D264,data!$J:$J)</f>
        <v>0</v>
      </c>
      <c r="J264" s="100">
        <f>SUMIF(data!$D:$D,$B264&amp;$D264,data!$K:$K)</f>
        <v>0</v>
      </c>
      <c r="K264" s="100">
        <f>SUMIF(AJOUT!$A:$A,BRAN!$V:$V,AJOUT!$L:$L)</f>
        <v>0</v>
      </c>
      <c r="L264" s="100">
        <f>SUMIF(CBOUT!$A:$A,BRAN!$V:$V,CBOUT!$G:$G)</f>
        <v>0</v>
      </c>
      <c r="M264" s="1158">
        <f>E264+F264+H264-I264-L264+G264-K264</f>
        <v>0</v>
      </c>
      <c r="N264" s="100">
        <f t="shared" si="81"/>
        <v>0</v>
      </c>
      <c r="O264" s="1159">
        <f t="shared" si="71"/>
        <v>0</v>
      </c>
      <c r="P264" s="804"/>
      <c r="Q264" s="804"/>
      <c r="R264" s="804">
        <f>O264/INTGRATE!$N$293</f>
        <v>0</v>
      </c>
      <c r="S264" s="665">
        <f t="shared" si="82"/>
        <v>0</v>
      </c>
      <c r="T264" s="404"/>
      <c r="U264" s="141"/>
      <c r="V264" s="840" t="str">
        <f t="shared" si="85"/>
        <v>HT13S25</v>
      </c>
      <c r="W264" s="831">
        <v>332101</v>
      </c>
      <c r="X264" s="387"/>
      <c r="Y264" s="387">
        <v>0</v>
      </c>
      <c r="Z264" s="100">
        <v>0</v>
      </c>
      <c r="AA264" s="100">
        <v>0</v>
      </c>
      <c r="AB264" s="100">
        <v>0</v>
      </c>
      <c r="AC264" s="100">
        <v>0</v>
      </c>
      <c r="AD264" s="100">
        <v>0</v>
      </c>
      <c r="AE264" s="100">
        <v>0</v>
      </c>
      <c r="AF264" s="100">
        <v>0</v>
      </c>
      <c r="AG264" s="100"/>
      <c r="AH264" s="100"/>
      <c r="AI264" s="100"/>
      <c r="AJ264" s="100"/>
      <c r="AK264" s="100"/>
      <c r="AL264" s="100"/>
      <c r="AM264" s="100"/>
      <c r="AN264" s="100"/>
      <c r="AO264" s="100"/>
      <c r="AP264" s="100"/>
      <c r="AQ264" s="100"/>
      <c r="AR264" s="100"/>
      <c r="AS264" s="100"/>
      <c r="AT264" s="100"/>
      <c r="AU264" s="100"/>
      <c r="AV264" s="100"/>
      <c r="AW264" s="100"/>
      <c r="AX264" s="100"/>
      <c r="AY264" s="100"/>
      <c r="AZ264" s="100"/>
      <c r="BA264" s="100"/>
      <c r="BB264" s="100"/>
      <c r="BC264" s="274">
        <f t="shared" si="77"/>
        <v>0</v>
      </c>
      <c r="BD264" s="786">
        <f t="shared" si="78"/>
        <v>0</v>
      </c>
      <c r="BE264" s="786">
        <f t="shared" si="79"/>
        <v>0</v>
      </c>
      <c r="BH264" s="436"/>
    </row>
    <row r="265" spans="1:60" s="38" customFormat="1" ht="15" customHeight="1">
      <c r="A265" s="68">
        <v>60</v>
      </c>
      <c r="B265" s="179" t="s">
        <v>240</v>
      </c>
      <c r="C265" s="172" t="s">
        <v>64</v>
      </c>
      <c r="D265" s="173">
        <v>25</v>
      </c>
      <c r="E265" s="1158">
        <v>64</v>
      </c>
      <c r="F265" s="100">
        <f>SUMIF(pro!$A:$A,$V:$V,pro!$N:$N)</f>
        <v>0</v>
      </c>
      <c r="G265" s="100"/>
      <c r="H265" s="100">
        <f>SUMIF(CBIN!$A:$A,BRAN!$V:$V,CBIN!$G:$G)</f>
        <v>0</v>
      </c>
      <c r="I265" s="100">
        <f>SUMIF(data!$D:$D,$B265&amp;$D265,data!$J:$J)</f>
        <v>0</v>
      </c>
      <c r="J265" s="100">
        <f>SUMIF(data!$D:$D,$B265&amp;$D265,data!$K:$K)</f>
        <v>0</v>
      </c>
      <c r="K265" s="100">
        <f>SUMIF(AJOUT!$A:$A,BRAN!$V:$V,AJOUT!$L:$L)</f>
        <v>0</v>
      </c>
      <c r="L265" s="100">
        <f>SUMIF(CBOUT!$A:$A,BRAN!$V:$V,CBOUT!$G:$G)</f>
        <v>0</v>
      </c>
      <c r="M265" s="1158">
        <f>E265+F265+H265-I265-L265+G265-K265</f>
        <v>64</v>
      </c>
      <c r="N265" s="100">
        <f t="shared" si="81"/>
        <v>1600</v>
      </c>
      <c r="O265" s="1159">
        <f t="shared" si="71"/>
        <v>28000</v>
      </c>
      <c r="P265" s="804"/>
      <c r="Q265" s="804"/>
      <c r="R265" s="804">
        <f>O265/INTGRATE!$N$293</f>
        <v>3111.1111111111113</v>
      </c>
      <c r="S265" s="665">
        <f t="shared" si="82"/>
        <v>0.51428571428571423</v>
      </c>
      <c r="T265" s="401"/>
      <c r="U265" s="141"/>
      <c r="V265" s="840" t="str">
        <f t="shared" si="85"/>
        <v>HG1625</v>
      </c>
      <c r="W265" s="831">
        <v>366201</v>
      </c>
      <c r="X265" s="387"/>
      <c r="Y265" s="387">
        <v>11125</v>
      </c>
      <c r="Z265" s="100">
        <v>0</v>
      </c>
      <c r="AA265" s="100">
        <v>500</v>
      </c>
      <c r="AB265" s="100">
        <v>0</v>
      </c>
      <c r="AC265" s="100">
        <v>1750</v>
      </c>
      <c r="AD265" s="100">
        <v>0</v>
      </c>
      <c r="AE265" s="100">
        <v>14625</v>
      </c>
      <c r="AF265" s="100">
        <v>0</v>
      </c>
      <c r="AG265" s="100"/>
      <c r="AH265" s="100"/>
      <c r="AI265" s="100"/>
      <c r="AJ265" s="100"/>
      <c r="AK265" s="100"/>
      <c r="AL265" s="100"/>
      <c r="AM265" s="100"/>
      <c r="AN265" s="100"/>
      <c r="AO265" s="100"/>
      <c r="AP265" s="100"/>
      <c r="AQ265" s="100"/>
      <c r="AR265" s="100"/>
      <c r="AS265" s="100"/>
      <c r="AT265" s="100"/>
      <c r="AU265" s="100"/>
      <c r="AV265" s="100"/>
      <c r="AW265" s="100"/>
      <c r="AX265" s="100"/>
      <c r="AY265" s="100"/>
      <c r="AZ265" s="100"/>
      <c r="BA265" s="100"/>
      <c r="BB265" s="100"/>
      <c r="BC265" s="274">
        <f t="shared" si="77"/>
        <v>28000</v>
      </c>
      <c r="BD265" s="786">
        <f t="shared" si="78"/>
        <v>4</v>
      </c>
      <c r="BE265" s="786">
        <f t="shared" si="79"/>
        <v>7000</v>
      </c>
      <c r="BH265" s="618"/>
    </row>
    <row r="266" spans="1:60" s="38" customFormat="1" ht="15" customHeight="1">
      <c r="A266" s="68">
        <v>61</v>
      </c>
      <c r="B266" s="179" t="s">
        <v>240</v>
      </c>
      <c r="C266" s="172" t="s">
        <v>64</v>
      </c>
      <c r="D266" s="616" t="s">
        <v>66</v>
      </c>
      <c r="E266" s="1158">
        <v>0</v>
      </c>
      <c r="F266" s="100">
        <f>+J266</f>
        <v>0</v>
      </c>
      <c r="G266" s="100"/>
      <c r="H266" s="100">
        <f>SUMIF(CBIN!$A:$A,BRAN!$V:$V,CBIN!$G:$G)</f>
        <v>0</v>
      </c>
      <c r="I266" s="100">
        <f>SUMIF(data!$D:$D,$B266&amp;$D266,data!$J:$J)</f>
        <v>0</v>
      </c>
      <c r="J266" s="100">
        <f>SUMIF(data!$D:$D,$B266&amp;$D266,data!$K:$K)</f>
        <v>0</v>
      </c>
      <c r="K266" s="100">
        <f>SUMIF(AJOUT!$A:$A,BRAN!$V:$V,AJOUT!$L:$L)</f>
        <v>0</v>
      </c>
      <c r="L266" s="100">
        <f>SUMIF(CBOUT!$A:$A,BRAN!$V:$V,CBOUT!$G:$G)</f>
        <v>0</v>
      </c>
      <c r="M266" s="1158">
        <f>+F266-J266</f>
        <v>0</v>
      </c>
      <c r="N266" s="100"/>
      <c r="O266" s="1159">
        <f t="shared" si="71"/>
        <v>9170</v>
      </c>
      <c r="P266" s="805"/>
      <c r="Q266" s="805"/>
      <c r="R266" s="804">
        <f>O266/INTGRATE!$N$293</f>
        <v>1018.8888888888889</v>
      </c>
      <c r="S266" s="665">
        <f t="shared" si="82"/>
        <v>0</v>
      </c>
      <c r="T266" s="401"/>
      <c r="U266" s="141"/>
      <c r="V266" s="840" t="str">
        <f t="shared" si="85"/>
        <v>HG16SILO</v>
      </c>
      <c r="W266" s="831">
        <v>366201</v>
      </c>
      <c r="X266" s="387"/>
      <c r="Y266" s="387">
        <v>0</v>
      </c>
      <c r="Z266" s="100">
        <v>0</v>
      </c>
      <c r="AA266" s="100">
        <v>0</v>
      </c>
      <c r="AB266" s="100">
        <v>5180</v>
      </c>
      <c r="AC266" s="100">
        <v>0</v>
      </c>
      <c r="AD266" s="100">
        <v>0</v>
      </c>
      <c r="AE266" s="100">
        <v>3990</v>
      </c>
      <c r="AF266" s="100">
        <v>0</v>
      </c>
      <c r="AG266" s="100"/>
      <c r="AH266" s="100"/>
      <c r="AI266" s="100"/>
      <c r="AJ266" s="100"/>
      <c r="AK266" s="100"/>
      <c r="AL266" s="100"/>
      <c r="AM266" s="100"/>
      <c r="AN266" s="100"/>
      <c r="AO266" s="100"/>
      <c r="AP266" s="100"/>
      <c r="AQ266" s="100"/>
      <c r="AR266" s="100"/>
      <c r="AS266" s="100"/>
      <c r="AT266" s="100"/>
      <c r="AU266" s="100"/>
      <c r="AV266" s="100"/>
      <c r="AW266" s="100"/>
      <c r="AX266" s="100"/>
      <c r="AY266" s="100"/>
      <c r="AZ266" s="100"/>
      <c r="BA266" s="100"/>
      <c r="BB266" s="100"/>
      <c r="BC266" s="274">
        <f t="shared" si="77"/>
        <v>9170</v>
      </c>
      <c r="BD266" s="786">
        <f t="shared" si="78"/>
        <v>2</v>
      </c>
      <c r="BE266" s="786">
        <f t="shared" si="79"/>
        <v>4585</v>
      </c>
      <c r="BH266" s="436"/>
    </row>
    <row r="267" spans="1:60" s="38" customFormat="1" ht="15" customHeight="1">
      <c r="A267" s="68">
        <v>62</v>
      </c>
      <c r="B267" s="179" t="s">
        <v>241</v>
      </c>
      <c r="C267" s="172" t="s">
        <v>64</v>
      </c>
      <c r="D267" s="616" t="s">
        <v>66</v>
      </c>
      <c r="E267" s="1158">
        <v>0</v>
      </c>
      <c r="F267" s="100">
        <f>+J267</f>
        <v>0</v>
      </c>
      <c r="G267" s="100"/>
      <c r="H267" s="100">
        <f>SUMIF(CBIN!$A:$A,BRAN!$V:$V,CBIN!$G:$G)</f>
        <v>0</v>
      </c>
      <c r="I267" s="100">
        <f>SUMIF(data!$D:$D,$B267&amp;$D267,data!$J:$J)</f>
        <v>0</v>
      </c>
      <c r="J267" s="100">
        <f>SUMIF(data!$D:$D,$B267&amp;$D267,data!$K:$K)</f>
        <v>0</v>
      </c>
      <c r="K267" s="100">
        <f>SUMIF(AJOUT!$A:$A,BRAN!$V:$V,AJOUT!$L:$L)</f>
        <v>0</v>
      </c>
      <c r="L267" s="100">
        <f>SUMIF(CBOUT!$A:$A,BRAN!$V:$V,CBOUT!$G:$G)</f>
        <v>0</v>
      </c>
      <c r="M267" s="1158">
        <f>+F267-J267</f>
        <v>0</v>
      </c>
      <c r="N267" s="100"/>
      <c r="O267" s="1159">
        <f t="shared" si="71"/>
        <v>0</v>
      </c>
      <c r="P267" s="805"/>
      <c r="Q267" s="805"/>
      <c r="R267" s="804">
        <f>O267/INTGRATE!$N$293</f>
        <v>0</v>
      </c>
      <c r="S267" s="665">
        <f t="shared" si="82"/>
        <v>0</v>
      </c>
      <c r="T267" s="401"/>
      <c r="U267" s="141"/>
      <c r="V267" s="840" t="str">
        <f>B267&amp;D267</f>
        <v>HG16XSILO</v>
      </c>
      <c r="W267" s="831">
        <v>366208</v>
      </c>
      <c r="X267" s="387"/>
      <c r="Y267" s="387">
        <v>0</v>
      </c>
      <c r="Z267" s="100">
        <v>0</v>
      </c>
      <c r="AA267" s="100">
        <v>0</v>
      </c>
      <c r="AB267" s="100">
        <v>0</v>
      </c>
      <c r="AC267" s="100">
        <v>0</v>
      </c>
      <c r="AD267" s="100">
        <v>0</v>
      </c>
      <c r="AE267" s="100">
        <v>0</v>
      </c>
      <c r="AF267" s="100">
        <v>0</v>
      </c>
      <c r="AG267" s="100"/>
      <c r="AH267" s="100"/>
      <c r="AI267" s="100"/>
      <c r="AJ267" s="100"/>
      <c r="AK267" s="100"/>
      <c r="AL267" s="100"/>
      <c r="AM267" s="100"/>
      <c r="AN267" s="100"/>
      <c r="AO267" s="100"/>
      <c r="AP267" s="100"/>
      <c r="AQ267" s="100"/>
      <c r="AR267" s="100"/>
      <c r="AS267" s="100"/>
      <c r="AT267" s="100"/>
      <c r="AU267" s="100"/>
      <c r="AV267" s="100"/>
      <c r="AW267" s="100"/>
      <c r="AX267" s="100"/>
      <c r="AY267" s="100"/>
      <c r="AZ267" s="100"/>
      <c r="BA267" s="100"/>
      <c r="BB267" s="100"/>
      <c r="BC267" s="274">
        <f t="shared" si="77"/>
        <v>0</v>
      </c>
      <c r="BD267" s="786">
        <f t="shared" si="78"/>
        <v>0</v>
      </c>
      <c r="BE267" s="786">
        <f t="shared" si="79"/>
        <v>0</v>
      </c>
      <c r="BH267" s="436"/>
    </row>
    <row r="268" spans="1:60" s="38" customFormat="1" ht="15" customHeight="1">
      <c r="A268" s="68">
        <v>63</v>
      </c>
      <c r="B268" s="179" t="s">
        <v>241</v>
      </c>
      <c r="C268" s="172" t="s">
        <v>64</v>
      </c>
      <c r="D268" s="616">
        <v>25</v>
      </c>
      <c r="E268" s="1158">
        <v>0</v>
      </c>
      <c r="F268" s="100">
        <f>SUMIF(pro!$A:$A,$V:$V,pro!$N:$N)</f>
        <v>0</v>
      </c>
      <c r="G268" s="100"/>
      <c r="H268" s="100">
        <f>SUMIF(CBIN!$A:$A,BRAN!$V:$V,CBIN!$G:$G)</f>
        <v>0</v>
      </c>
      <c r="I268" s="100">
        <f>SUMIF(data!$D:$D,$B268&amp;$D268,data!$J:$J)</f>
        <v>0</v>
      </c>
      <c r="J268" s="100">
        <f>SUMIF(data!$D:$D,$B268&amp;$D268,data!$K:$K)</f>
        <v>0</v>
      </c>
      <c r="K268" s="100">
        <f>SUMIF(AJOUT!$A:$A,BRAN!$V:$V,AJOUT!$L:$L)</f>
        <v>0</v>
      </c>
      <c r="L268" s="100">
        <f>SUMIF(CBOUT!$A:$A,BRAN!$V:$V,CBOUT!$G:$G)</f>
        <v>0</v>
      </c>
      <c r="M268" s="1158">
        <f>E268+F268+H268-I268-L268+G268-K268</f>
        <v>0</v>
      </c>
      <c r="N268" s="100"/>
      <c r="O268" s="1159">
        <f t="shared" ref="O268" si="100">SUM(X268:BB268)</f>
        <v>0</v>
      </c>
      <c r="P268" s="805"/>
      <c r="Q268" s="805"/>
      <c r="R268" s="804">
        <f>O268/INTGRATE!$N$293</f>
        <v>0</v>
      </c>
      <c r="S268" s="665">
        <f t="shared" si="82"/>
        <v>0</v>
      </c>
      <c r="T268" s="401"/>
      <c r="U268" s="141"/>
      <c r="V268" s="840" t="str">
        <f>B268&amp;D268</f>
        <v>HG16X25</v>
      </c>
      <c r="W268" s="831">
        <v>366208</v>
      </c>
      <c r="X268" s="387"/>
      <c r="Y268" s="387">
        <v>0</v>
      </c>
      <c r="Z268" s="100">
        <v>0</v>
      </c>
      <c r="AA268" s="100">
        <v>0</v>
      </c>
      <c r="AB268" s="100">
        <v>0</v>
      </c>
      <c r="AC268" s="100">
        <v>0</v>
      </c>
      <c r="AD268" s="100">
        <v>0</v>
      </c>
      <c r="AE268" s="100">
        <v>0</v>
      </c>
      <c r="AF268" s="100">
        <v>0</v>
      </c>
      <c r="AG268" s="100"/>
      <c r="AH268" s="100"/>
      <c r="AI268" s="100"/>
      <c r="AJ268" s="100"/>
      <c r="AK268" s="100"/>
      <c r="AL268" s="100"/>
      <c r="AM268" s="100"/>
      <c r="AN268" s="100"/>
      <c r="AO268" s="100"/>
      <c r="AP268" s="100"/>
      <c r="AQ268" s="100"/>
      <c r="AR268" s="100"/>
      <c r="AS268" s="100"/>
      <c r="AT268" s="100"/>
      <c r="AU268" s="100"/>
      <c r="AV268" s="100"/>
      <c r="AW268" s="100"/>
      <c r="AX268" s="100"/>
      <c r="AY268" s="100"/>
      <c r="AZ268" s="100"/>
      <c r="BA268" s="100"/>
      <c r="BB268" s="100"/>
      <c r="BC268" s="274">
        <f t="shared" si="77"/>
        <v>0</v>
      </c>
      <c r="BD268" s="786">
        <f t="shared" si="78"/>
        <v>0</v>
      </c>
      <c r="BE268" s="786">
        <f t="shared" si="79"/>
        <v>0</v>
      </c>
      <c r="BH268" s="436"/>
    </row>
    <row r="269" spans="1:60" s="38" customFormat="1" ht="15" customHeight="1">
      <c r="A269" s="68">
        <v>64</v>
      </c>
      <c r="B269" s="179" t="s">
        <v>242</v>
      </c>
      <c r="C269" s="172" t="s">
        <v>64</v>
      </c>
      <c r="D269" s="173">
        <v>25</v>
      </c>
      <c r="E269" s="1158">
        <v>48</v>
      </c>
      <c r="F269" s="100">
        <f>SUMIF(pro!$A:$A,$V:$V,pro!$N:$N)</f>
        <v>0</v>
      </c>
      <c r="G269" s="100"/>
      <c r="H269" s="100">
        <f>SUMIF(CBIN!$A:$A,BRAN!$V:$V,CBIN!$G:$G)</f>
        <v>0</v>
      </c>
      <c r="I269" s="100">
        <f>SUMIF(data!$D:$D,$B269&amp;$D269,data!$J:$J)</f>
        <v>0</v>
      </c>
      <c r="J269" s="100">
        <f>SUMIF(data!$D:$D,$B269&amp;$D269,data!$K:$K)</f>
        <v>0</v>
      </c>
      <c r="K269" s="100">
        <f>SUMIF(AJOUT!$A:$A,BRAN!$V:$V,AJOUT!$L:$L)</f>
        <v>0</v>
      </c>
      <c r="L269" s="100">
        <f>SUMIF(CBOUT!$A:$A,BRAN!$V:$V,CBOUT!$G:$G)</f>
        <v>0</v>
      </c>
      <c r="M269" s="1158">
        <f>E269+F269+H269-I269-L269+G269-K269</f>
        <v>48</v>
      </c>
      <c r="N269" s="100">
        <f t="shared" si="81"/>
        <v>1200</v>
      </c>
      <c r="O269" s="1159">
        <f t="shared" si="71"/>
        <v>36875</v>
      </c>
      <c r="P269" s="804"/>
      <c r="Q269" s="804"/>
      <c r="R269" s="804">
        <f>O269/INTGRATE!$N$293</f>
        <v>4097.2222222222226</v>
      </c>
      <c r="S269" s="665">
        <f t="shared" si="82"/>
        <v>0.29288135593220338</v>
      </c>
      <c r="T269" s="401"/>
      <c r="U269" s="141"/>
      <c r="V269" s="840" t="str">
        <f t="shared" si="85"/>
        <v>HG17S25</v>
      </c>
      <c r="W269" s="831">
        <v>367101</v>
      </c>
      <c r="X269" s="387"/>
      <c r="Y269" s="387">
        <v>13250</v>
      </c>
      <c r="Z269" s="100">
        <v>0</v>
      </c>
      <c r="AA269" s="100">
        <v>625</v>
      </c>
      <c r="AB269" s="100">
        <v>0</v>
      </c>
      <c r="AC269" s="100">
        <v>750</v>
      </c>
      <c r="AD269" s="100">
        <v>1000</v>
      </c>
      <c r="AE269" s="100">
        <v>21250</v>
      </c>
      <c r="AF269" s="100">
        <v>0</v>
      </c>
      <c r="AG269" s="100"/>
      <c r="AH269" s="100"/>
      <c r="AI269" s="100"/>
      <c r="AJ269" s="100"/>
      <c r="AK269" s="100"/>
      <c r="AL269" s="100"/>
      <c r="AM269" s="100"/>
      <c r="AN269" s="100"/>
      <c r="AO269" s="100"/>
      <c r="AP269" s="100"/>
      <c r="AQ269" s="100"/>
      <c r="AR269" s="100"/>
      <c r="AS269" s="100"/>
      <c r="AT269" s="100"/>
      <c r="AU269" s="100"/>
      <c r="AV269" s="100"/>
      <c r="AW269" s="100"/>
      <c r="AX269" s="100"/>
      <c r="AY269" s="100"/>
      <c r="AZ269" s="100"/>
      <c r="BA269" s="100"/>
      <c r="BB269" s="100"/>
      <c r="BC269" s="274">
        <f t="shared" si="77"/>
        <v>36875</v>
      </c>
      <c r="BD269" s="786">
        <f t="shared" si="78"/>
        <v>5</v>
      </c>
      <c r="BE269" s="786">
        <f t="shared" si="79"/>
        <v>7375</v>
      </c>
      <c r="BH269" s="436"/>
    </row>
    <row r="270" spans="1:60" s="38" customFormat="1" ht="15" customHeight="1">
      <c r="A270" s="68">
        <v>65</v>
      </c>
      <c r="B270" s="179" t="s">
        <v>242</v>
      </c>
      <c r="C270" s="172" t="s">
        <v>64</v>
      </c>
      <c r="D270" s="616" t="s">
        <v>66</v>
      </c>
      <c r="E270" s="1158">
        <v>0</v>
      </c>
      <c r="F270" s="100">
        <f>+J270</f>
        <v>0</v>
      </c>
      <c r="G270" s="100"/>
      <c r="H270" s="100">
        <f>SUMIF(CBIN!$A:$A,BRAN!$V:$V,CBIN!$G:$G)</f>
        <v>0</v>
      </c>
      <c r="I270" s="100">
        <f>SUMIF(data!$D:$D,$B270&amp;$D270,data!$J:$J)</f>
        <v>0</v>
      </c>
      <c r="J270" s="100">
        <f>SUMIF(data!$D:$D,$B270&amp;$D270,data!$K:$K)</f>
        <v>0</v>
      </c>
      <c r="K270" s="100">
        <f>SUMIF(AJOUT!$A:$A,BRAN!$V:$V,AJOUT!$L:$L)</f>
        <v>0</v>
      </c>
      <c r="L270" s="100">
        <f>SUMIF(CBOUT!$A:$A,BRAN!$V:$V,CBOUT!$G:$G)</f>
        <v>0</v>
      </c>
      <c r="M270" s="1158">
        <f>+F270-J270</f>
        <v>0</v>
      </c>
      <c r="N270" s="100"/>
      <c r="O270" s="1159">
        <f t="shared" si="71"/>
        <v>3870</v>
      </c>
      <c r="P270" s="805"/>
      <c r="Q270" s="805"/>
      <c r="R270" s="804">
        <f>O270/INTGRATE!$N$293</f>
        <v>430</v>
      </c>
      <c r="S270" s="665">
        <f t="shared" si="82"/>
        <v>0</v>
      </c>
      <c r="T270" s="592"/>
      <c r="U270" s="141"/>
      <c r="V270" s="840" t="str">
        <f t="shared" si="85"/>
        <v>HG17SSILO</v>
      </c>
      <c r="W270" s="831">
        <v>367101</v>
      </c>
      <c r="X270" s="387"/>
      <c r="Y270" s="387">
        <v>0</v>
      </c>
      <c r="Z270" s="100">
        <v>0</v>
      </c>
      <c r="AA270" s="100">
        <v>0</v>
      </c>
      <c r="AB270" s="100">
        <v>0</v>
      </c>
      <c r="AC270" s="100">
        <v>0</v>
      </c>
      <c r="AD270" s="100">
        <v>0</v>
      </c>
      <c r="AE270" s="100">
        <v>3870</v>
      </c>
      <c r="AF270" s="100">
        <v>0</v>
      </c>
      <c r="AG270" s="100"/>
      <c r="AH270" s="100"/>
      <c r="AI270" s="100"/>
      <c r="AJ270" s="100"/>
      <c r="AK270" s="100"/>
      <c r="AL270" s="100"/>
      <c r="AM270" s="100"/>
      <c r="AN270" s="100"/>
      <c r="AO270" s="100"/>
      <c r="AP270" s="100"/>
      <c r="AQ270" s="100"/>
      <c r="AR270" s="100"/>
      <c r="AS270" s="100"/>
      <c r="AT270" s="100"/>
      <c r="AU270" s="100"/>
      <c r="AV270" s="100"/>
      <c r="AW270" s="100"/>
      <c r="AX270" s="100"/>
      <c r="AY270" s="100"/>
      <c r="AZ270" s="100"/>
      <c r="BA270" s="100"/>
      <c r="BB270" s="100"/>
      <c r="BC270" s="274">
        <f t="shared" si="77"/>
        <v>3870</v>
      </c>
      <c r="BD270" s="786">
        <f t="shared" si="78"/>
        <v>1</v>
      </c>
      <c r="BE270" s="786">
        <f t="shared" si="79"/>
        <v>3870</v>
      </c>
      <c r="BH270" s="436"/>
    </row>
    <row r="271" spans="1:60" s="38" customFormat="1" ht="15" customHeight="1">
      <c r="A271" s="68">
        <v>66</v>
      </c>
      <c r="B271" s="179" t="s">
        <v>243</v>
      </c>
      <c r="C271" s="172" t="s">
        <v>64</v>
      </c>
      <c r="D271" s="616" t="s">
        <v>66</v>
      </c>
      <c r="E271" s="1158">
        <v>0</v>
      </c>
      <c r="F271" s="100">
        <f>+J271</f>
        <v>0</v>
      </c>
      <c r="G271" s="100"/>
      <c r="H271" s="100">
        <f>SUMIF(CBIN!$A:$A,BRAN!$V:$V,CBIN!$G:$G)</f>
        <v>0</v>
      </c>
      <c r="I271" s="100">
        <f>SUMIF(data!$D:$D,$B271&amp;$D271,data!$J:$J)</f>
        <v>0</v>
      </c>
      <c r="J271" s="100">
        <f>SUMIF(data!$D:$D,$B271&amp;$D271,data!$K:$K)</f>
        <v>0</v>
      </c>
      <c r="K271" s="100">
        <f>SUMIF(AJOUT!$A:$A,BRAN!$V:$V,AJOUT!$L:$L)</f>
        <v>0</v>
      </c>
      <c r="L271" s="100">
        <f>SUMIF(CBOUT!$A:$A,BRAN!$V:$V,CBOUT!$G:$G)</f>
        <v>0</v>
      </c>
      <c r="M271" s="1158">
        <f>+F271-J271</f>
        <v>0</v>
      </c>
      <c r="N271" s="100"/>
      <c r="O271" s="1159">
        <f t="shared" si="71"/>
        <v>0</v>
      </c>
      <c r="P271" s="805"/>
      <c r="Q271" s="805"/>
      <c r="R271" s="804">
        <f>O271/INTGRATE!$N$293</f>
        <v>0</v>
      </c>
      <c r="S271" s="665">
        <f t="shared" si="82"/>
        <v>0</v>
      </c>
      <c r="T271" s="592"/>
      <c r="U271" s="141"/>
      <c r="V271" s="840" t="str">
        <f t="shared" si="85"/>
        <v>HG17SXSILO</v>
      </c>
      <c r="W271" s="831">
        <v>367108</v>
      </c>
      <c r="X271" s="387"/>
      <c r="Y271" s="387">
        <v>0</v>
      </c>
      <c r="Z271" s="100">
        <v>0</v>
      </c>
      <c r="AA271" s="100">
        <v>0</v>
      </c>
      <c r="AB271" s="100">
        <v>0</v>
      </c>
      <c r="AC271" s="100">
        <v>0</v>
      </c>
      <c r="AD271" s="100">
        <v>0</v>
      </c>
      <c r="AE271" s="100">
        <v>0</v>
      </c>
      <c r="AF271" s="100">
        <v>0</v>
      </c>
      <c r="AG271" s="100"/>
      <c r="AH271" s="100"/>
      <c r="AI271" s="100"/>
      <c r="AJ271" s="100"/>
      <c r="AK271" s="100"/>
      <c r="AL271" s="100"/>
      <c r="AM271" s="100"/>
      <c r="AN271" s="100"/>
      <c r="AO271" s="100"/>
      <c r="AP271" s="100"/>
      <c r="AQ271" s="100"/>
      <c r="AR271" s="100"/>
      <c r="AS271" s="100"/>
      <c r="AT271" s="100"/>
      <c r="AU271" s="100"/>
      <c r="AV271" s="100"/>
      <c r="AW271" s="100"/>
      <c r="AX271" s="100"/>
      <c r="AY271" s="100"/>
      <c r="AZ271" s="100"/>
      <c r="BA271" s="100"/>
      <c r="BB271" s="100"/>
      <c r="BC271" s="274">
        <f t="shared" si="77"/>
        <v>0</v>
      </c>
      <c r="BD271" s="786">
        <f t="shared" si="78"/>
        <v>0</v>
      </c>
      <c r="BE271" s="786">
        <f t="shared" si="79"/>
        <v>0</v>
      </c>
      <c r="BH271" s="436"/>
    </row>
    <row r="272" spans="1:60" s="38" customFormat="1" ht="15" customHeight="1">
      <c r="A272" s="68">
        <v>67</v>
      </c>
      <c r="B272" s="179" t="s">
        <v>244</v>
      </c>
      <c r="C272" s="172" t="s">
        <v>64</v>
      </c>
      <c r="D272" s="616" t="s">
        <v>66</v>
      </c>
      <c r="E272" s="1158">
        <v>0</v>
      </c>
      <c r="F272" s="100">
        <f>+J272</f>
        <v>0</v>
      </c>
      <c r="G272" s="100"/>
      <c r="H272" s="100">
        <f>SUMIF(CBIN!$A:$A,BRAN!$V:$V,CBIN!$G:$G)</f>
        <v>0</v>
      </c>
      <c r="I272" s="100">
        <f>SUMIF(data!$D:$D,$B272&amp;$D272,data!$J:$J)</f>
        <v>0</v>
      </c>
      <c r="J272" s="100">
        <f>SUMIF(data!$D:$D,$B272&amp;$D272,data!$K:$K)</f>
        <v>0</v>
      </c>
      <c r="K272" s="100">
        <v>0</v>
      </c>
      <c r="L272" s="100">
        <f>SUMIF(CBOUT!$A:$A,BRAN!$V:$V,CBOUT!$G:$G)</f>
        <v>0</v>
      </c>
      <c r="M272" s="1158">
        <f>+F272-J272</f>
        <v>0</v>
      </c>
      <c r="N272" s="100"/>
      <c r="O272" s="1159">
        <f t="shared" si="71"/>
        <v>0</v>
      </c>
      <c r="P272" s="805"/>
      <c r="Q272" s="805"/>
      <c r="R272" s="804">
        <f>O272/INTGRATE!$N$293</f>
        <v>0</v>
      </c>
      <c r="S272" s="665">
        <f t="shared" si="82"/>
        <v>0</v>
      </c>
      <c r="T272" s="592"/>
      <c r="U272" s="141"/>
      <c r="V272" s="840" t="str">
        <f t="shared" si="85"/>
        <v>HG17SILO</v>
      </c>
      <c r="W272" s="831">
        <v>367201</v>
      </c>
      <c r="X272" s="387"/>
      <c r="Y272" s="387">
        <v>0</v>
      </c>
      <c r="Z272" s="100">
        <v>0</v>
      </c>
      <c r="AA272" s="100">
        <v>0</v>
      </c>
      <c r="AB272" s="100">
        <v>0</v>
      </c>
      <c r="AC272" s="100">
        <v>0</v>
      </c>
      <c r="AD272" s="100">
        <v>0</v>
      </c>
      <c r="AE272" s="100">
        <v>0</v>
      </c>
      <c r="AF272" s="100">
        <v>0</v>
      </c>
      <c r="AG272" s="100"/>
      <c r="AH272" s="100"/>
      <c r="AI272" s="100"/>
      <c r="AJ272" s="100"/>
      <c r="AK272" s="100"/>
      <c r="AL272" s="100"/>
      <c r="AM272" s="100"/>
      <c r="AN272" s="100"/>
      <c r="AO272" s="100"/>
      <c r="AP272" s="100"/>
      <c r="AQ272" s="100"/>
      <c r="AR272" s="100"/>
      <c r="AS272" s="100"/>
      <c r="AT272" s="100"/>
      <c r="AU272" s="100"/>
      <c r="AV272" s="100"/>
      <c r="AW272" s="100"/>
      <c r="AX272" s="100"/>
      <c r="AY272" s="100"/>
      <c r="AZ272" s="100"/>
      <c r="BA272" s="100"/>
      <c r="BB272" s="100"/>
      <c r="BC272" s="274">
        <f t="shared" si="77"/>
        <v>0</v>
      </c>
      <c r="BD272" s="786">
        <f t="shared" si="78"/>
        <v>0</v>
      </c>
      <c r="BE272" s="786">
        <f t="shared" si="79"/>
        <v>0</v>
      </c>
      <c r="BH272" s="436"/>
    </row>
    <row r="273" spans="1:151" s="38" customFormat="1" ht="15" customHeight="1">
      <c r="A273" s="68">
        <v>68</v>
      </c>
      <c r="B273" s="179" t="s">
        <v>244</v>
      </c>
      <c r="C273" s="172" t="s">
        <v>64</v>
      </c>
      <c r="D273" s="173">
        <v>25</v>
      </c>
      <c r="E273" s="1158">
        <v>0</v>
      </c>
      <c r="F273" s="100">
        <f>SUMIF(pro!$A:$A,$V:$V,pro!$N:$N)</f>
        <v>0</v>
      </c>
      <c r="G273" s="100"/>
      <c r="H273" s="100">
        <f>SUMIF(CBIN!$A:$A,BRAN!$V:$V,CBIN!$G:$G)</f>
        <v>0</v>
      </c>
      <c r="I273" s="100">
        <f>SUMIF(data!$D:$D,$B273&amp;$D273,data!$J:$J)</f>
        <v>0</v>
      </c>
      <c r="J273" s="100">
        <f>SUMIF(data!$D:$D,$B273&amp;$D273,data!$K:$K)</f>
        <v>0</v>
      </c>
      <c r="K273" s="100">
        <f>SUMIF(AJOUT!$A:$A,BRAN!$V:$V,AJOUT!$L:$L)</f>
        <v>0</v>
      </c>
      <c r="L273" s="100">
        <f>SUMIF(CBOUT!$A:$A,BRAN!$V:$V,CBOUT!$G:$G)</f>
        <v>0</v>
      </c>
      <c r="M273" s="1158">
        <f>E273+F273+H273-I273-L273+G273-K273</f>
        <v>0</v>
      </c>
      <c r="N273" s="100">
        <f t="shared" si="81"/>
        <v>0</v>
      </c>
      <c r="O273" s="1159">
        <f t="shared" si="71"/>
        <v>0</v>
      </c>
      <c r="P273" s="804"/>
      <c r="Q273" s="804"/>
      <c r="R273" s="804">
        <f>O273/INTGRATE!$N$293</f>
        <v>0</v>
      </c>
      <c r="S273" s="665">
        <f t="shared" si="82"/>
        <v>0</v>
      </c>
      <c r="T273" s="402"/>
      <c r="U273" s="141"/>
      <c r="V273" s="840" t="str">
        <f t="shared" si="85"/>
        <v>HG1725</v>
      </c>
      <c r="W273" s="831">
        <v>367201</v>
      </c>
      <c r="X273" s="387"/>
      <c r="Y273" s="387">
        <v>0</v>
      </c>
      <c r="Z273" s="100">
        <v>0</v>
      </c>
      <c r="AA273" s="100">
        <v>0</v>
      </c>
      <c r="AB273" s="100">
        <v>0</v>
      </c>
      <c r="AC273" s="100">
        <v>0</v>
      </c>
      <c r="AD273" s="100">
        <v>0</v>
      </c>
      <c r="AE273" s="100">
        <v>0</v>
      </c>
      <c r="AF273" s="100">
        <v>0</v>
      </c>
      <c r="AG273" s="100"/>
      <c r="AH273" s="100"/>
      <c r="AI273" s="100"/>
      <c r="AJ273" s="100"/>
      <c r="AK273" s="100"/>
      <c r="AL273" s="100"/>
      <c r="AM273" s="100"/>
      <c r="AN273" s="100"/>
      <c r="AO273" s="100"/>
      <c r="AP273" s="100"/>
      <c r="AQ273" s="100"/>
      <c r="AR273" s="100"/>
      <c r="AS273" s="100"/>
      <c r="AT273" s="100"/>
      <c r="AU273" s="100"/>
      <c r="AV273" s="100"/>
      <c r="AW273" s="100"/>
      <c r="AX273" s="100"/>
      <c r="AY273" s="100"/>
      <c r="AZ273" s="100"/>
      <c r="BA273" s="100"/>
      <c r="BB273" s="100"/>
      <c r="BC273" s="274">
        <f t="shared" ref="BC273:BC275" si="101">SUM(X273:BB273)</f>
        <v>0</v>
      </c>
      <c r="BD273" s="786">
        <f t="shared" ref="BD273:BD275" si="102">COUNTIF(X273:BB273,"&gt;0")</f>
        <v>0</v>
      </c>
      <c r="BE273" s="786">
        <f t="shared" ref="BE273:BE275" si="103">IFERROR(BC273/BD273,0)</f>
        <v>0</v>
      </c>
      <c r="BH273" s="436"/>
    </row>
    <row r="274" spans="1:151" s="38" customFormat="1" ht="15" customHeight="1">
      <c r="A274" s="68">
        <v>69</v>
      </c>
      <c r="B274" s="349" t="s">
        <v>245</v>
      </c>
      <c r="C274" s="1176" t="s">
        <v>64</v>
      </c>
      <c r="D274" s="1177">
        <v>25</v>
      </c>
      <c r="E274" s="1158">
        <v>0</v>
      </c>
      <c r="F274" s="100">
        <f>SUMIF(pro!$A:$A,$V:$V,pro!$N:$N)</f>
        <v>0</v>
      </c>
      <c r="G274" s="100"/>
      <c r="H274" s="100">
        <f>SUMIF(CBIN!$A:$A,BRAN!$V:$V,CBIN!$G:$G)</f>
        <v>0</v>
      </c>
      <c r="I274" s="100">
        <f>SUMIF(data!$D:$D,$B274&amp;$D274,data!$J:$J)</f>
        <v>0</v>
      </c>
      <c r="J274" s="100">
        <f>SUMIF(data!$D:$D,$B274&amp;$D274,data!$K:$K)</f>
        <v>0</v>
      </c>
      <c r="K274" s="100">
        <f>SUMIF(AJOUT!$A:$A,BRAN!$V:$V,AJOUT!$L:$L)</f>
        <v>0</v>
      </c>
      <c r="L274" s="100">
        <f>SUMIF(CBOUT!$A:$A,BRAN!$V:$V,CBOUT!$G:$G)</f>
        <v>0</v>
      </c>
      <c r="M274" s="1158">
        <f>E274+F274+H274-I274-L274+G274-K274</f>
        <v>0</v>
      </c>
      <c r="N274" s="100">
        <f t="shared" si="81"/>
        <v>0</v>
      </c>
      <c r="O274" s="1159">
        <f t="shared" si="71"/>
        <v>0</v>
      </c>
      <c r="P274" s="804"/>
      <c r="Q274" s="804"/>
      <c r="R274" s="804">
        <f>O274/INTGRATE!$N$293</f>
        <v>0</v>
      </c>
      <c r="S274" s="665">
        <f t="shared" si="82"/>
        <v>0</v>
      </c>
      <c r="T274" s="592"/>
      <c r="U274" s="141"/>
      <c r="V274" s="840" t="str">
        <f t="shared" si="85"/>
        <v>VD1425</v>
      </c>
      <c r="W274" s="831">
        <v>216201</v>
      </c>
      <c r="X274" s="387"/>
      <c r="Y274" s="387">
        <v>0</v>
      </c>
      <c r="Z274" s="100">
        <v>0</v>
      </c>
      <c r="AA274" s="100">
        <v>0</v>
      </c>
      <c r="AB274" s="100">
        <v>0</v>
      </c>
      <c r="AC274" s="100">
        <v>0</v>
      </c>
      <c r="AD274" s="100">
        <v>0</v>
      </c>
      <c r="AE274" s="100">
        <v>0</v>
      </c>
      <c r="AF274" s="100">
        <v>0</v>
      </c>
      <c r="AG274" s="100"/>
      <c r="AH274" s="100"/>
      <c r="AI274" s="100"/>
      <c r="AJ274" s="100"/>
      <c r="AK274" s="100"/>
      <c r="AL274" s="100"/>
      <c r="AM274" s="100"/>
      <c r="AN274" s="100"/>
      <c r="AO274" s="100"/>
      <c r="AP274" s="100"/>
      <c r="AQ274" s="100"/>
      <c r="AR274" s="100"/>
      <c r="AS274" s="100"/>
      <c r="AT274" s="100"/>
      <c r="AU274" s="100"/>
      <c r="AV274" s="100"/>
      <c r="AW274" s="100"/>
      <c r="AX274" s="100"/>
      <c r="AY274" s="100"/>
      <c r="AZ274" s="100"/>
      <c r="BA274" s="100"/>
      <c r="BB274" s="100"/>
      <c r="BC274" s="274">
        <f t="shared" si="101"/>
        <v>0</v>
      </c>
      <c r="BD274" s="786">
        <f t="shared" si="102"/>
        <v>0</v>
      </c>
      <c r="BE274" s="786">
        <f t="shared" si="103"/>
        <v>0</v>
      </c>
      <c r="BH274" s="436"/>
    </row>
    <row r="275" spans="1:151" s="108" customFormat="1" ht="15" customHeight="1">
      <c r="A275" s="68">
        <v>70</v>
      </c>
      <c r="B275" s="349" t="s">
        <v>245</v>
      </c>
      <c r="C275" s="1176" t="s">
        <v>64</v>
      </c>
      <c r="D275" s="1177">
        <v>40</v>
      </c>
      <c r="E275" s="1158">
        <v>0</v>
      </c>
      <c r="F275" s="100">
        <f>SUMIF(pro!$A:$A,$V:$V,pro!$N:$N)</f>
        <v>0</v>
      </c>
      <c r="G275" s="100"/>
      <c r="H275" s="100">
        <f>SUMIF(CBIN!$A:$A,BRAN!$V:$V,CBIN!$G:$G)</f>
        <v>0</v>
      </c>
      <c r="I275" s="100">
        <f>SUMIF(data!$D:$D,$B275&amp;$D275,data!$J:$J)</f>
        <v>0</v>
      </c>
      <c r="J275" s="100">
        <f>SUMIF(data!$D:$D,$B275&amp;$D275,data!$K:$K)</f>
        <v>0</v>
      </c>
      <c r="K275" s="100">
        <f>SUMIF(AJOUT!$A:$A,BRAN!$V:$V,AJOUT!$L:$L)</f>
        <v>0</v>
      </c>
      <c r="L275" s="100">
        <f>SUMIF(CBOUT!$A:$A,BRAN!$V:$V,CBOUT!$G:$G)</f>
        <v>0</v>
      </c>
      <c r="M275" s="1158">
        <f>E275+F275+H275-I275-L275+G275-K275</f>
        <v>0</v>
      </c>
      <c r="N275" s="100">
        <f t="shared" si="81"/>
        <v>0</v>
      </c>
      <c r="O275" s="1159">
        <f t="shared" si="71"/>
        <v>0</v>
      </c>
      <c r="P275" s="804"/>
      <c r="Q275" s="804"/>
      <c r="R275" s="804">
        <f>O275/INTGRATE!$N$293</f>
        <v>0</v>
      </c>
      <c r="S275" s="665">
        <f t="shared" si="82"/>
        <v>0</v>
      </c>
      <c r="T275" s="401"/>
      <c r="U275" s="141"/>
      <c r="V275" s="840" t="str">
        <f t="shared" si="85"/>
        <v>VD1440</v>
      </c>
      <c r="W275" s="831">
        <v>216201</v>
      </c>
      <c r="X275" s="387"/>
      <c r="Y275" s="387">
        <v>0</v>
      </c>
      <c r="Z275" s="100">
        <v>0</v>
      </c>
      <c r="AA275" s="100">
        <v>0</v>
      </c>
      <c r="AB275" s="100">
        <v>0</v>
      </c>
      <c r="AC275" s="100">
        <v>0</v>
      </c>
      <c r="AD275" s="100">
        <v>0</v>
      </c>
      <c r="AE275" s="100">
        <v>0</v>
      </c>
      <c r="AF275" s="100">
        <v>0</v>
      </c>
      <c r="AG275" s="100"/>
      <c r="AH275" s="100"/>
      <c r="AI275" s="100"/>
      <c r="AJ275" s="100"/>
      <c r="AK275" s="100"/>
      <c r="AL275" s="100"/>
      <c r="AM275" s="100"/>
      <c r="AN275" s="100"/>
      <c r="AO275" s="100"/>
      <c r="AP275" s="100"/>
      <c r="AQ275" s="100"/>
      <c r="AR275" s="100"/>
      <c r="AS275" s="100"/>
      <c r="AT275" s="100"/>
      <c r="AU275" s="100"/>
      <c r="AV275" s="100"/>
      <c r="AW275" s="100"/>
      <c r="AX275" s="100"/>
      <c r="AY275" s="100"/>
      <c r="AZ275" s="100"/>
      <c r="BA275" s="100"/>
      <c r="BB275" s="100"/>
      <c r="BC275" s="274">
        <f t="shared" si="101"/>
        <v>0</v>
      </c>
      <c r="BD275" s="786">
        <f t="shared" si="102"/>
        <v>0</v>
      </c>
      <c r="BE275" s="786">
        <f t="shared" si="103"/>
        <v>0</v>
      </c>
      <c r="BF275" s="58"/>
      <c r="BG275" s="38"/>
      <c r="BH275" s="438"/>
      <c r="BI275" s="58"/>
      <c r="BJ275" s="58"/>
      <c r="BK275" s="58"/>
      <c r="BL275" s="58"/>
      <c r="BM275" s="58"/>
      <c r="BN275" s="58"/>
      <c r="BO275" s="58"/>
      <c r="BP275" s="58"/>
      <c r="BQ275" s="58"/>
      <c r="BR275" s="58"/>
      <c r="BS275" s="58"/>
      <c r="BT275" s="58"/>
      <c r="BU275" s="58"/>
      <c r="BV275" s="58"/>
      <c r="BW275" s="58"/>
      <c r="BX275" s="58"/>
      <c r="BY275" s="58"/>
      <c r="BZ275" s="58"/>
      <c r="CA275" s="58"/>
      <c r="CB275" s="58"/>
      <c r="CC275" s="58"/>
      <c r="CD275" s="58"/>
      <c r="CE275" s="58"/>
      <c r="CF275" s="58"/>
      <c r="CG275" s="58"/>
      <c r="CH275" s="58"/>
      <c r="CI275" s="58"/>
      <c r="CJ275" s="58"/>
      <c r="CK275" s="58"/>
      <c r="CL275" s="58"/>
      <c r="CM275" s="58"/>
      <c r="CN275" s="58"/>
      <c r="CO275" s="58"/>
      <c r="CP275" s="58"/>
      <c r="CQ275" s="58"/>
      <c r="CR275" s="58"/>
      <c r="CS275" s="58"/>
      <c r="CT275" s="58"/>
      <c r="CU275" s="58"/>
      <c r="CV275" s="58"/>
      <c r="CW275" s="58"/>
      <c r="CX275" s="58"/>
      <c r="CY275" s="58"/>
      <c r="CZ275" s="58"/>
      <c r="DA275" s="58"/>
      <c r="DB275" s="58"/>
      <c r="DC275" s="58"/>
      <c r="DD275" s="58"/>
      <c r="DE275" s="58"/>
      <c r="DF275" s="58"/>
      <c r="DG275" s="58"/>
      <c r="DH275" s="58"/>
      <c r="DI275" s="58"/>
      <c r="DJ275" s="58"/>
      <c r="DK275" s="58"/>
      <c r="DL275" s="58"/>
      <c r="DM275" s="58"/>
      <c r="DN275" s="58"/>
      <c r="DO275" s="58"/>
      <c r="DP275" s="58"/>
      <c r="DQ275" s="58"/>
      <c r="DR275" s="58"/>
      <c r="DS275" s="58"/>
      <c r="DT275" s="58"/>
      <c r="DU275" s="58"/>
      <c r="DV275" s="58"/>
      <c r="DW275" s="58"/>
      <c r="DX275" s="58"/>
      <c r="DY275" s="58"/>
      <c r="DZ275" s="58"/>
      <c r="EA275" s="58"/>
      <c r="EB275" s="58"/>
      <c r="EC275" s="58"/>
      <c r="ED275" s="58"/>
      <c r="EE275" s="58"/>
      <c r="EF275" s="58"/>
      <c r="EG275" s="58"/>
      <c r="EH275" s="58"/>
      <c r="EI275" s="58"/>
      <c r="EJ275" s="58"/>
      <c r="EK275" s="58"/>
      <c r="EL275" s="58"/>
      <c r="EM275" s="58"/>
      <c r="EN275" s="58"/>
      <c r="EO275" s="58"/>
      <c r="EP275" s="58"/>
      <c r="EQ275" s="58"/>
      <c r="ER275" s="58"/>
      <c r="ES275" s="58"/>
      <c r="ET275" s="58"/>
      <c r="EU275" s="58"/>
    </row>
    <row r="276" spans="1:151" s="59" customFormat="1" ht="15" customHeight="1">
      <c r="A276" s="1099" t="s">
        <v>71</v>
      </c>
      <c r="B276" s="1100"/>
      <c r="C276" s="1100"/>
      <c r="D276" s="1101"/>
      <c r="E276" s="109"/>
      <c r="F276" s="109"/>
      <c r="G276" s="109"/>
      <c r="H276" s="109"/>
      <c r="I276" s="109"/>
      <c r="J276" s="109"/>
      <c r="K276" s="109"/>
      <c r="L276" s="109"/>
      <c r="M276" s="477"/>
      <c r="N276" s="109"/>
      <c r="O276" s="109"/>
      <c r="P276" s="188"/>
      <c r="Q276" s="188"/>
      <c r="R276" s="109"/>
      <c r="S276" s="99"/>
      <c r="T276" s="1105">
        <f>N281/R279</f>
        <v>3.8686794284805517</v>
      </c>
      <c r="U276" s="152"/>
      <c r="V276" s="836" t="str">
        <f t="shared" si="85"/>
        <v/>
      </c>
      <c r="W276" s="823"/>
      <c r="X276" s="78">
        <f t="shared" ref="X276:BB276" si="104">SUM(X206:X275)</f>
        <v>0</v>
      </c>
      <c r="Y276" s="78">
        <f t="shared" si="104"/>
        <v>84770</v>
      </c>
      <c r="Z276" s="78">
        <f t="shared" si="104"/>
        <v>47730</v>
      </c>
      <c r="AA276" s="78">
        <f t="shared" si="104"/>
        <v>67295</v>
      </c>
      <c r="AB276" s="78">
        <f t="shared" si="104"/>
        <v>77710</v>
      </c>
      <c r="AC276" s="78">
        <f t="shared" si="104"/>
        <v>84380</v>
      </c>
      <c r="AD276" s="78">
        <f t="shared" si="104"/>
        <v>62350</v>
      </c>
      <c r="AE276" s="78">
        <f t="shared" si="104"/>
        <v>87595</v>
      </c>
      <c r="AF276" s="78">
        <f t="shared" si="104"/>
        <v>85525</v>
      </c>
      <c r="AG276" s="78">
        <f t="shared" si="104"/>
        <v>0</v>
      </c>
      <c r="AH276" s="78">
        <f t="shared" si="104"/>
        <v>0</v>
      </c>
      <c r="AI276" s="78">
        <f t="shared" si="104"/>
        <v>0</v>
      </c>
      <c r="AJ276" s="78">
        <f t="shared" si="104"/>
        <v>0</v>
      </c>
      <c r="AK276" s="78">
        <f t="shared" si="104"/>
        <v>0</v>
      </c>
      <c r="AL276" s="78">
        <f t="shared" si="104"/>
        <v>0</v>
      </c>
      <c r="AM276" s="78">
        <f t="shared" si="104"/>
        <v>0</v>
      </c>
      <c r="AN276" s="78">
        <f t="shared" si="104"/>
        <v>0</v>
      </c>
      <c r="AO276" s="78">
        <f t="shared" si="104"/>
        <v>0</v>
      </c>
      <c r="AP276" s="78">
        <f t="shared" si="104"/>
        <v>0</v>
      </c>
      <c r="AQ276" s="78">
        <f t="shared" si="104"/>
        <v>0</v>
      </c>
      <c r="AR276" s="78">
        <f t="shared" si="104"/>
        <v>0</v>
      </c>
      <c r="AS276" s="78">
        <f t="shared" si="104"/>
        <v>0</v>
      </c>
      <c r="AT276" s="78">
        <f t="shared" si="104"/>
        <v>0</v>
      </c>
      <c r="AU276" s="78">
        <f t="shared" si="104"/>
        <v>0</v>
      </c>
      <c r="AV276" s="78">
        <f t="shared" si="104"/>
        <v>0</v>
      </c>
      <c r="AW276" s="78">
        <f t="shared" si="104"/>
        <v>0</v>
      </c>
      <c r="AX276" s="78">
        <f t="shared" si="104"/>
        <v>0</v>
      </c>
      <c r="AY276" s="78">
        <f t="shared" si="104"/>
        <v>0</v>
      </c>
      <c r="AZ276" s="78">
        <f t="shared" si="104"/>
        <v>0</v>
      </c>
      <c r="BA276" s="78">
        <f t="shared" si="104"/>
        <v>0</v>
      </c>
      <c r="BB276" s="78">
        <f t="shared" si="104"/>
        <v>0</v>
      </c>
      <c r="BC276" s="531">
        <f t="shared" si="73"/>
        <v>597355</v>
      </c>
      <c r="BD276" s="790"/>
      <c r="BE276" s="790"/>
      <c r="BH276" s="439"/>
    </row>
    <row r="277" spans="1:151" s="59" customFormat="1" ht="15" customHeight="1">
      <c r="A277" s="1099" t="s">
        <v>72</v>
      </c>
      <c r="B277" s="1100"/>
      <c r="C277" s="1100"/>
      <c r="D277" s="1101"/>
      <c r="E277" s="110">
        <f>SUM(E206:E275)-E280-E278</f>
        <v>7741</v>
      </c>
      <c r="F277" s="110">
        <f>SUM(F206:F275)-F280-F278</f>
        <v>2530</v>
      </c>
      <c r="G277" s="110">
        <f t="shared" ref="G277:I277" si="105">SUM(G206:G274)-SUM(G207:G210)-G242-G238-G239-G240-G212-G213-G216-G218-G219-G222-G224-G227-G231-G246-G247-G251-G256-G259-G261-G263-G266-G267-G270-G271-G272-G253</f>
        <v>0</v>
      </c>
      <c r="H277" s="110">
        <f t="shared" si="105"/>
        <v>0</v>
      </c>
      <c r="I277" s="110">
        <f t="shared" si="105"/>
        <v>0</v>
      </c>
      <c r="J277" s="110">
        <f>+J281-J280-J278</f>
        <v>0</v>
      </c>
      <c r="K277" s="110">
        <f>SUM(K206:K274)-SUM(K207:K210)-K239-K240-K212-K213-K216-K218-K219-K222-K224-K227-K231-K246-K247-K251-K256-K259-K261-K263-K266-K267-K270-K271-K272</f>
        <v>0</v>
      </c>
      <c r="L277" s="110">
        <f>SUM(L206:L274)-SUM(L207:L210)-L239-L240-L212-L213-L216-L218-L219-L222-L224-L227-L231-L246-L247-L251-L256-L259-L261-L263-L266-L267-L270-L271-L272</f>
        <v>0</v>
      </c>
      <c r="M277" s="110">
        <f>SUM(M206:M275)-M280-M278</f>
        <v>10271</v>
      </c>
      <c r="N277" s="110">
        <f>SUM(N206:N274)-N237-N236-SUM(N207:N210)-N240-N212-N213-N216-N218-N219-N222-N224-N227-N231-N246-N247-N251-N256-N259-N261-N263-N266-N267-N270-N271-N272</f>
        <v>256775</v>
      </c>
      <c r="O277" s="110">
        <f>SUM(O206:O275)</f>
        <v>597355</v>
      </c>
      <c r="P277" s="110">
        <f>SUM(P206:P274)</f>
        <v>256775</v>
      </c>
      <c r="Q277" s="110">
        <f>SUM(Q206:Q274)</f>
        <v>597355</v>
      </c>
      <c r="R277" s="110">
        <f>SUM(R206:R274)-R216</f>
        <v>66372.777777777781</v>
      </c>
      <c r="S277" s="110">
        <f>SUM(S206:S274)-S216</f>
        <v>104.82351094580775</v>
      </c>
      <c r="T277" s="1106"/>
      <c r="U277" s="153">
        <f>SUM(U245:U273)*25+U221</f>
        <v>0</v>
      </c>
      <c r="V277" s="839" t="str">
        <f t="shared" si="85"/>
        <v/>
      </c>
      <c r="W277" s="823"/>
      <c r="X277" s="75"/>
      <c r="Y277" s="75"/>
      <c r="Z277" s="75"/>
      <c r="AA277" s="75"/>
      <c r="AB277" s="75"/>
      <c r="AC277" s="75"/>
      <c r="AD277" s="75"/>
      <c r="AE277" s="75"/>
      <c r="AF277" s="75"/>
      <c r="AG277" s="75"/>
      <c r="AH277" s="75"/>
      <c r="AI277" s="75"/>
      <c r="AJ277" s="75"/>
      <c r="AK277" s="75"/>
      <c r="AL277" s="75"/>
      <c r="AM277" s="75"/>
      <c r="AN277" s="75"/>
      <c r="AO277" s="75"/>
      <c r="AP277" s="75"/>
      <c r="AQ277" s="75"/>
      <c r="AR277" s="75"/>
      <c r="AS277" s="75"/>
      <c r="AT277" s="75"/>
      <c r="AU277" s="75"/>
      <c r="AV277" s="75"/>
      <c r="AW277" s="75"/>
      <c r="AX277" s="75"/>
      <c r="AY277" s="75"/>
      <c r="AZ277" s="75"/>
      <c r="BA277" s="75"/>
      <c r="BH277" s="439"/>
    </row>
    <row r="278" spans="1:151" s="59" customFormat="1" ht="15" customHeight="1">
      <c r="A278" s="1099" t="s">
        <v>73</v>
      </c>
      <c r="B278" s="1100"/>
      <c r="C278" s="1100"/>
      <c r="D278" s="1101"/>
      <c r="E278" s="111">
        <f>SUM(E275,E236,E240,E241,E243,E237)</f>
        <v>0</v>
      </c>
      <c r="F278" s="111">
        <f>SUM(F275,F236,F240,F241,F243,F237)</f>
        <v>0</v>
      </c>
      <c r="G278" s="111">
        <f t="shared" ref="G278:N278" si="106">SUM(G275,G236,G240,G241,G243,G237)</f>
        <v>0</v>
      </c>
      <c r="H278" s="111">
        <f t="shared" si="106"/>
        <v>0</v>
      </c>
      <c r="I278" s="111">
        <f t="shared" si="106"/>
        <v>0</v>
      </c>
      <c r="J278" s="111">
        <f t="shared" si="106"/>
        <v>0</v>
      </c>
      <c r="K278" s="111">
        <f t="shared" si="106"/>
        <v>0</v>
      </c>
      <c r="L278" s="111">
        <f t="shared" si="106"/>
        <v>0</v>
      </c>
      <c r="M278" s="111">
        <f t="shared" si="106"/>
        <v>0</v>
      </c>
      <c r="N278" s="111">
        <f t="shared" si="106"/>
        <v>0</v>
      </c>
      <c r="O278" s="111">
        <f t="shared" ref="O278" si="107">SUM(O275,O236,O240,O241,O243)</f>
        <v>18400</v>
      </c>
      <c r="P278" s="111">
        <f t="shared" ref="P278:Q278" si="108">SUM(P275,P236,P240)</f>
        <v>0</v>
      </c>
      <c r="Q278" s="111">
        <f t="shared" si="108"/>
        <v>0</v>
      </c>
      <c r="R278" s="111">
        <f>SUM(R275:R275)</f>
        <v>0</v>
      </c>
      <c r="S278" s="82">
        <f>IF(R278=0,0,N278/R278)</f>
        <v>0</v>
      </c>
      <c r="T278" s="1106"/>
      <c r="U278" s="154">
        <f>SUM(U275:U275)*40</f>
        <v>0</v>
      </c>
      <c r="V278" s="839" t="str">
        <f t="shared" si="85"/>
        <v/>
      </c>
      <c r="W278" s="823"/>
      <c r="X278" s="112"/>
      <c r="Y278" s="112"/>
      <c r="Z278" s="112"/>
      <c r="AA278" s="112"/>
      <c r="AB278" s="112"/>
      <c r="AC278" s="112"/>
      <c r="AD278" s="112"/>
      <c r="AE278" s="112"/>
      <c r="AF278" s="112"/>
      <c r="AG278" s="112"/>
      <c r="AH278" s="112"/>
      <c r="AI278" s="112"/>
      <c r="AJ278" s="112"/>
      <c r="AK278" s="75"/>
      <c r="AL278" s="75"/>
      <c r="AM278" s="75"/>
      <c r="AN278" s="75"/>
      <c r="AO278" s="75"/>
      <c r="AP278" s="75"/>
      <c r="AQ278" s="75"/>
      <c r="AR278" s="75"/>
      <c r="AS278" s="75"/>
      <c r="AT278" s="75"/>
      <c r="AU278" s="75"/>
      <c r="AV278" s="75"/>
      <c r="AW278" s="75"/>
      <c r="AX278" s="75"/>
      <c r="AY278" s="75"/>
      <c r="AZ278" s="75"/>
      <c r="BA278" s="75"/>
      <c r="BH278" s="439"/>
    </row>
    <row r="279" spans="1:151" s="129" customFormat="1" ht="15" customHeight="1">
      <c r="A279" s="1109" t="s">
        <v>75</v>
      </c>
      <c r="B279" s="1110"/>
      <c r="C279" s="1110"/>
      <c r="D279" s="1111"/>
      <c r="E279" s="73">
        <f>SUM(E276:E278)</f>
        <v>7741</v>
      </c>
      <c r="F279" s="73">
        <f>SUM(F276:F278)</f>
        <v>2530</v>
      </c>
      <c r="G279" s="73">
        <f t="shared" ref="G279:N279" si="109">SUM(G276:G278)</f>
        <v>0</v>
      </c>
      <c r="H279" s="73">
        <f t="shared" si="109"/>
        <v>0</v>
      </c>
      <c r="I279" s="73">
        <f t="shared" si="109"/>
        <v>0</v>
      </c>
      <c r="J279" s="73">
        <f>+J278+J277</f>
        <v>0</v>
      </c>
      <c r="K279" s="73">
        <f t="shared" si="109"/>
        <v>0</v>
      </c>
      <c r="L279" s="73">
        <f t="shared" si="109"/>
        <v>0</v>
      </c>
      <c r="M279" s="73">
        <f>SUM(M276:M278)</f>
        <v>10271</v>
      </c>
      <c r="N279" s="73">
        <f t="shared" si="109"/>
        <v>256775</v>
      </c>
      <c r="O279" s="767">
        <f>+O281-O280</f>
        <v>506965</v>
      </c>
      <c r="P279" s="186">
        <f>SUM(P206:P275)</f>
        <v>256775</v>
      </c>
      <c r="Q279" s="186">
        <f>+Q277-Q217</f>
        <v>597355</v>
      </c>
      <c r="R279" s="1095">
        <f>SUM(R206:R275)</f>
        <v>66372.777777777781</v>
      </c>
      <c r="S279" s="1097" t="s">
        <v>246</v>
      </c>
      <c r="T279" s="1106"/>
      <c r="U279" s="146">
        <f>SUM(U206:U275)</f>
        <v>0</v>
      </c>
      <c r="V279" s="839" t="str">
        <f t="shared" si="85"/>
        <v/>
      </c>
      <c r="W279" s="823"/>
      <c r="X279" s="75"/>
      <c r="Y279" s="75"/>
      <c r="Z279" s="75"/>
      <c r="AA279" s="75"/>
      <c r="AB279" s="75"/>
      <c r="AC279" s="75"/>
      <c r="AD279" s="75"/>
      <c r="AE279" s="75"/>
      <c r="AF279" s="75"/>
      <c r="AG279" s="75"/>
      <c r="AH279" s="75"/>
      <c r="AI279" s="75"/>
      <c r="AJ279" s="75"/>
      <c r="AK279" s="75"/>
      <c r="AL279" s="75"/>
      <c r="AM279" s="75"/>
      <c r="AN279" s="75"/>
      <c r="AO279" s="75"/>
      <c r="AP279" s="75"/>
      <c r="AQ279" s="75"/>
      <c r="AR279" s="75"/>
      <c r="AS279" s="75"/>
      <c r="AT279" s="75"/>
      <c r="AU279" s="75"/>
      <c r="AV279" s="75"/>
      <c r="AW279" s="75"/>
      <c r="AX279" s="75"/>
      <c r="AY279" s="75"/>
      <c r="AZ279" s="75"/>
      <c r="BA279" s="75"/>
      <c r="BB279" s="59"/>
      <c r="BC279" s="354"/>
      <c r="BD279" s="354"/>
      <c r="BE279" s="354"/>
      <c r="BF279" s="354"/>
      <c r="BG279" s="354"/>
      <c r="BH279" s="439"/>
      <c r="BI279" s="354"/>
      <c r="BJ279" s="354"/>
      <c r="BK279" s="354"/>
      <c r="BL279" s="354"/>
      <c r="BM279" s="354"/>
      <c r="BN279" s="354"/>
      <c r="BO279" s="354"/>
      <c r="BP279" s="354"/>
      <c r="BQ279" s="354"/>
      <c r="BR279" s="354"/>
      <c r="BS279" s="354"/>
      <c r="BT279" s="354"/>
      <c r="BU279" s="354"/>
      <c r="BV279" s="354"/>
      <c r="BW279" s="354"/>
      <c r="BX279" s="354"/>
      <c r="BY279" s="354"/>
      <c r="BZ279" s="354"/>
      <c r="CA279" s="354"/>
      <c r="CB279" s="354"/>
      <c r="CC279" s="354"/>
      <c r="CD279" s="354"/>
      <c r="CE279" s="354"/>
      <c r="CF279" s="354"/>
      <c r="CG279" s="354"/>
      <c r="CH279" s="354"/>
      <c r="CI279" s="354"/>
      <c r="CJ279" s="354"/>
      <c r="CK279" s="354"/>
      <c r="CL279" s="354"/>
      <c r="CM279" s="354"/>
      <c r="CN279" s="354"/>
      <c r="CO279" s="354"/>
      <c r="CP279" s="354"/>
      <c r="CQ279" s="354"/>
      <c r="CR279" s="354"/>
      <c r="CS279" s="354"/>
      <c r="CT279" s="354"/>
      <c r="CU279" s="354"/>
      <c r="CV279" s="354"/>
      <c r="CW279" s="354"/>
      <c r="CX279" s="354"/>
      <c r="CY279" s="354"/>
      <c r="CZ279" s="354"/>
      <c r="DA279" s="354"/>
      <c r="DB279" s="354"/>
      <c r="DC279" s="354"/>
      <c r="DD279" s="354"/>
      <c r="DE279" s="354"/>
      <c r="DF279" s="354"/>
      <c r="DG279" s="354"/>
      <c r="DH279" s="354"/>
      <c r="DI279" s="354"/>
      <c r="DJ279" s="354"/>
      <c r="DK279" s="354"/>
      <c r="DL279" s="354"/>
      <c r="DM279" s="354"/>
      <c r="DN279" s="354"/>
      <c r="DO279" s="354"/>
      <c r="DP279" s="354"/>
      <c r="DQ279" s="354"/>
      <c r="DR279" s="354"/>
      <c r="DS279" s="354"/>
      <c r="DT279" s="354"/>
      <c r="DU279" s="354"/>
      <c r="DV279" s="354"/>
      <c r="DW279" s="354"/>
      <c r="DX279" s="354"/>
      <c r="DY279" s="354"/>
      <c r="DZ279" s="354"/>
      <c r="EA279" s="354"/>
      <c r="EB279" s="354"/>
      <c r="EC279" s="354"/>
      <c r="ED279" s="354"/>
      <c r="EE279" s="354"/>
      <c r="EF279" s="354"/>
      <c r="EG279" s="354"/>
      <c r="EH279" s="354"/>
      <c r="EI279" s="354"/>
      <c r="EJ279" s="354"/>
      <c r="EK279" s="354"/>
      <c r="EL279" s="354"/>
      <c r="EM279" s="354"/>
      <c r="EN279" s="354"/>
      <c r="EO279" s="354"/>
      <c r="EP279" s="354"/>
      <c r="EQ279" s="354"/>
      <c r="ER279" s="354"/>
      <c r="ES279" s="354"/>
      <c r="ET279" s="354"/>
      <c r="EU279" s="354"/>
    </row>
    <row r="280" spans="1:151" s="129" customFormat="1" ht="15" customHeight="1">
      <c r="A280" s="1099" t="s">
        <v>74</v>
      </c>
      <c r="B280" s="1100"/>
      <c r="C280" s="1100"/>
      <c r="D280" s="1101"/>
      <c r="E280" s="595"/>
      <c r="F280" s="595">
        <f>F242+F238+F239+F212+F216+F266+F270+F256+F261+F251+F263+F267+F271+F210+F208+F247+F259+F246+F209+F272+F207+F222+F218+F227+F224+F231+F219+F213+F253</f>
        <v>0</v>
      </c>
      <c r="G280" s="595">
        <f t="shared" ref="G280:I280" si="110">G242+G238+G239+G212+G216+G266+G270+G256+G261+G251+G263+G267+G271+G210+G208+G247+G259+G246+G209+G272+G207+G222+G218+G227+G224+G231+G219+G213+G253</f>
        <v>0</v>
      </c>
      <c r="H280" s="595">
        <f t="shared" si="110"/>
        <v>0</v>
      </c>
      <c r="I280" s="595">
        <f t="shared" si="110"/>
        <v>0</v>
      </c>
      <c r="J280" s="595">
        <f>J242+J238+J239+J212+J216+J266+J270+J256+J261+J251+J263+J267+J271+J210+J208+J247+J259+J246+J209+J272+J207+J222+J218+J227+J224+J231+J219+J213+J253</f>
        <v>0</v>
      </c>
      <c r="K280" s="595">
        <f>+K216+K266+K270+K256+K261+K251+K263+K267+K271+K210+K208+K247+K259+K246+K209+K272+K207</f>
        <v>0</v>
      </c>
      <c r="L280" s="595">
        <f>+L216+L266+L270+L256+L261+L251+L263+L267+L271+L210+L208+L247+L259+L246+L209</f>
        <v>0</v>
      </c>
      <c r="M280" s="595">
        <f>+M216+M266+M270+M256+M261+M251+M263+M267+M271+M210+M208+M247+M259+M246+M209+M272+M207+M222+M218</f>
        <v>0</v>
      </c>
      <c r="N280" s="595">
        <f>+N216+N266+N270+N256+N261+N251+N263+N267+N271+N210+N208+N247+N259+N246+N209</f>
        <v>0</v>
      </c>
      <c r="O280" s="767">
        <f>+O207+O208+O209+O210+O216+O222+O246+O247+O251+O256+O259+O261+O266+O267+O270+O271+O272+O263</f>
        <v>90390</v>
      </c>
      <c r="P280" s="596">
        <f>+N279-P277</f>
        <v>0</v>
      </c>
      <c r="Q280" s="596"/>
      <c r="R280" s="1127"/>
      <c r="S280" s="1126"/>
      <c r="T280" s="1106"/>
      <c r="U280" s="147"/>
      <c r="V280" s="839"/>
      <c r="W280" s="823"/>
      <c r="X280" s="75"/>
      <c r="Y280" s="75"/>
      <c r="Z280" s="75"/>
      <c r="AA280" s="75"/>
      <c r="AB280" s="75"/>
      <c r="AC280" s="75"/>
      <c r="AD280" s="75"/>
      <c r="AE280" s="75"/>
      <c r="AF280" s="75"/>
      <c r="AG280" s="75"/>
      <c r="AH280" s="75"/>
      <c r="AI280" s="75"/>
      <c r="AJ280" s="75"/>
      <c r="AK280" s="75"/>
      <c r="AL280" s="75"/>
      <c r="AM280" s="75"/>
      <c r="AN280" s="75"/>
      <c r="AO280" s="75"/>
      <c r="AP280" s="75"/>
      <c r="AQ280" s="75"/>
      <c r="AR280" s="75"/>
      <c r="AS280" s="75"/>
      <c r="AT280" s="75"/>
      <c r="AU280" s="75"/>
      <c r="AV280" s="75"/>
      <c r="AW280" s="75"/>
      <c r="AX280" s="75"/>
      <c r="AY280" s="75"/>
      <c r="AZ280" s="75"/>
      <c r="BA280" s="75"/>
      <c r="BB280" s="59"/>
      <c r="BC280" s="354"/>
      <c r="BD280" s="354"/>
      <c r="BE280" s="354"/>
      <c r="BF280" s="354"/>
      <c r="BG280" s="354"/>
      <c r="BH280" s="439"/>
      <c r="BI280" s="354"/>
      <c r="BJ280" s="354"/>
      <c r="BK280" s="354"/>
      <c r="BL280" s="354"/>
      <c r="BM280" s="354"/>
      <c r="BN280" s="354"/>
      <c r="BO280" s="354"/>
      <c r="BP280" s="354"/>
      <c r="BQ280" s="354"/>
      <c r="BR280" s="354"/>
      <c r="BS280" s="354"/>
      <c r="BT280" s="354"/>
      <c r="BU280" s="354"/>
      <c r="BV280" s="354"/>
      <c r="BW280" s="354"/>
      <c r="BX280" s="354"/>
      <c r="BY280" s="354"/>
      <c r="BZ280" s="354"/>
      <c r="CA280" s="354"/>
      <c r="CB280" s="354"/>
      <c r="CC280" s="354"/>
      <c r="CD280" s="354"/>
      <c r="CE280" s="354"/>
      <c r="CF280" s="354"/>
      <c r="CG280" s="354"/>
      <c r="CH280" s="354"/>
      <c r="CI280" s="354"/>
      <c r="CJ280" s="354"/>
      <c r="CK280" s="354"/>
      <c r="CL280" s="354"/>
      <c r="CM280" s="354"/>
      <c r="CN280" s="354"/>
      <c r="CO280" s="354"/>
      <c r="CP280" s="354"/>
      <c r="CQ280" s="354"/>
      <c r="CR280" s="354"/>
      <c r="CS280" s="354"/>
      <c r="CT280" s="354"/>
      <c r="CU280" s="354"/>
      <c r="CV280" s="354"/>
      <c r="CW280" s="354"/>
      <c r="CX280" s="354"/>
      <c r="CY280" s="354"/>
      <c r="CZ280" s="354"/>
      <c r="DA280" s="354"/>
      <c r="DB280" s="354"/>
      <c r="DC280" s="354"/>
      <c r="DD280" s="354"/>
      <c r="DE280" s="354"/>
      <c r="DF280" s="354"/>
      <c r="DG280" s="354"/>
      <c r="DH280" s="354"/>
      <c r="DI280" s="354"/>
      <c r="DJ280" s="354"/>
      <c r="DK280" s="354"/>
      <c r="DL280" s="354"/>
      <c r="DM280" s="354"/>
      <c r="DN280" s="354"/>
      <c r="DO280" s="354"/>
      <c r="DP280" s="354"/>
      <c r="DQ280" s="354"/>
      <c r="DR280" s="354"/>
      <c r="DS280" s="354"/>
      <c r="DT280" s="354"/>
      <c r="DU280" s="354"/>
      <c r="DV280" s="354"/>
      <c r="DW280" s="354"/>
      <c r="DX280" s="354"/>
      <c r="DY280" s="354"/>
      <c r="DZ280" s="354"/>
      <c r="EA280" s="354"/>
      <c r="EB280" s="354"/>
      <c r="EC280" s="354"/>
      <c r="ED280" s="354"/>
      <c r="EE280" s="354"/>
      <c r="EF280" s="354"/>
      <c r="EG280" s="354"/>
      <c r="EH280" s="354"/>
      <c r="EI280" s="354"/>
      <c r="EJ280" s="354"/>
      <c r="EK280" s="354"/>
      <c r="EL280" s="354"/>
      <c r="EM280" s="354"/>
      <c r="EN280" s="354"/>
      <c r="EO280" s="354"/>
      <c r="EP280" s="354"/>
      <c r="EQ280" s="354"/>
      <c r="ER280" s="354"/>
      <c r="ES280" s="354"/>
      <c r="ET280" s="354"/>
      <c r="EU280" s="354"/>
    </row>
    <row r="281" spans="1:151" s="71" customFormat="1" ht="15" customHeight="1">
      <c r="A281" s="1099" t="s">
        <v>77</v>
      </c>
      <c r="B281" s="1100"/>
      <c r="C281" s="1100"/>
      <c r="D281" s="1101"/>
      <c r="E281" s="69">
        <f>SUM(E276:E277)*25+E278*40</f>
        <v>193525</v>
      </c>
      <c r="F281" s="69">
        <f>+F280+F277*25+F278*40</f>
        <v>63250</v>
      </c>
      <c r="G281" s="69">
        <f t="shared" ref="G281:L281" si="111">+G280+G277*25</f>
        <v>0</v>
      </c>
      <c r="H281" s="69">
        <f t="shared" si="111"/>
        <v>0</v>
      </c>
      <c r="I281" s="69">
        <f>+I280+I277*25</f>
        <v>0</v>
      </c>
      <c r="J281" s="69">
        <f>SUM(J206:J275)</f>
        <v>0</v>
      </c>
      <c r="K281" s="69">
        <f t="shared" si="111"/>
        <v>0</v>
      </c>
      <c r="L281" s="69">
        <f t="shared" si="111"/>
        <v>0</v>
      </c>
      <c r="M281" s="69">
        <f>+M280+M277*25+M278*40</f>
        <v>256775</v>
      </c>
      <c r="N281" s="69">
        <f>SUM(N206:N275)</f>
        <v>256775</v>
      </c>
      <c r="O281" s="767">
        <f>SUM(O206:O275)</f>
        <v>597355</v>
      </c>
      <c r="P281" s="187"/>
      <c r="Q281" s="187"/>
      <c r="R281" s="1096"/>
      <c r="S281" s="1098"/>
      <c r="T281" s="1107"/>
      <c r="U281" s="147">
        <f>U277*25</f>
        <v>0</v>
      </c>
      <c r="V281" s="839" t="str">
        <f t="shared" ref="V281:V286" si="112">B281&amp;D281</f>
        <v/>
      </c>
      <c r="W281" s="823"/>
      <c r="X281" s="112"/>
      <c r="Y281" s="112"/>
      <c r="Z281" s="112"/>
      <c r="AA281" s="112"/>
      <c r="AB281" s="112"/>
      <c r="AC281" s="112"/>
      <c r="AD281" s="112"/>
      <c r="AE281" s="112"/>
      <c r="AF281" s="112"/>
      <c r="AG281" s="112"/>
      <c r="AH281" s="112"/>
      <c r="AI281" s="112"/>
      <c r="AJ281" s="112"/>
      <c r="AK281" s="75"/>
      <c r="AL281" s="75"/>
      <c r="AM281" s="75"/>
      <c r="AN281" s="75"/>
      <c r="AO281" s="75"/>
      <c r="AP281" s="75"/>
      <c r="AQ281" s="75"/>
      <c r="AR281" s="75"/>
      <c r="AS281" s="75"/>
      <c r="AT281" s="75"/>
      <c r="AU281" s="75"/>
      <c r="AV281" s="75"/>
      <c r="AW281" s="75"/>
      <c r="AX281" s="75"/>
      <c r="AY281" s="75"/>
      <c r="AZ281" s="75"/>
      <c r="BA281" s="75"/>
      <c r="BB281" s="59"/>
      <c r="BH281" s="439"/>
    </row>
    <row r="282" spans="1:151" s="71" customFormat="1" ht="15" customHeight="1">
      <c r="A282" s="286" t="s">
        <v>174</v>
      </c>
      <c r="B282" s="37"/>
      <c r="C282" s="37"/>
      <c r="D282" s="37"/>
      <c r="E282" s="130"/>
      <c r="F282" s="37"/>
      <c r="G282" s="37"/>
      <c r="H282" s="37"/>
      <c r="I282" s="37"/>
      <c r="J282" s="37"/>
      <c r="K282" s="37"/>
      <c r="L282" s="37"/>
      <c r="M282" s="472"/>
      <c r="N282" s="37"/>
      <c r="O282" s="37"/>
      <c r="P282" s="37"/>
      <c r="Q282" s="37"/>
      <c r="R282" s="37"/>
      <c r="S282" s="37"/>
      <c r="T282" s="458"/>
      <c r="U282" s="139"/>
      <c r="V282" s="839" t="str">
        <f t="shared" si="112"/>
        <v/>
      </c>
      <c r="W282" s="823"/>
      <c r="X282" s="112"/>
      <c r="Y282" s="112"/>
      <c r="Z282" s="112"/>
      <c r="AA282" s="112"/>
      <c r="AB282" s="112"/>
      <c r="AC282" s="112"/>
      <c r="AD282" s="112"/>
      <c r="AE282" s="112"/>
      <c r="AF282" s="112"/>
      <c r="AG282" s="112"/>
      <c r="AH282" s="112"/>
      <c r="AI282" s="112"/>
      <c r="AJ282" s="112"/>
      <c r="AK282" s="72"/>
      <c r="AL282" s="72"/>
      <c r="AM282" s="72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58"/>
      <c r="BH282" s="439"/>
    </row>
    <row r="283" spans="1:151" s="71" customFormat="1" ht="15" customHeight="1">
      <c r="A283" s="286" t="s">
        <v>175</v>
      </c>
      <c r="B283" s="38"/>
      <c r="C283" s="38"/>
      <c r="D283" s="38"/>
      <c r="E283" s="38"/>
      <c r="F283" s="85"/>
      <c r="G283" s="38"/>
      <c r="H283" s="38"/>
      <c r="I283" s="38"/>
      <c r="J283" s="38"/>
      <c r="K283" s="38"/>
      <c r="L283" s="38"/>
      <c r="M283" s="465"/>
      <c r="N283" s="38"/>
      <c r="O283" s="85"/>
      <c r="P283" s="85"/>
      <c r="Q283" s="85"/>
      <c r="R283" s="38"/>
      <c r="S283" s="38"/>
      <c r="T283" s="459"/>
      <c r="U283" s="131"/>
      <c r="V283" s="839" t="str">
        <f t="shared" si="112"/>
        <v/>
      </c>
      <c r="W283" s="823"/>
      <c r="X283" s="112"/>
      <c r="Y283" s="112"/>
      <c r="Z283" s="112"/>
      <c r="AA283" s="112"/>
      <c r="AB283" s="112"/>
      <c r="AC283" s="112"/>
      <c r="AD283" s="112"/>
      <c r="AE283" s="112"/>
      <c r="AF283" s="112"/>
      <c r="AG283" s="112"/>
      <c r="AH283" s="112"/>
      <c r="AI283" s="112"/>
      <c r="AJ283" s="11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58"/>
      <c r="BH283" s="439"/>
    </row>
    <row r="284" spans="1:151" s="71" customFormat="1" ht="15" customHeight="1">
      <c r="A284" s="286" t="s">
        <v>176</v>
      </c>
      <c r="B284" s="362"/>
      <c r="C284" s="362"/>
      <c r="D284" s="362"/>
      <c r="E284" s="362"/>
      <c r="F284" s="362"/>
      <c r="G284" s="362"/>
      <c r="H284" s="362"/>
      <c r="I284" s="362"/>
      <c r="J284" s="362"/>
      <c r="K284" s="362"/>
      <c r="L284" s="362"/>
      <c r="M284" s="473"/>
      <c r="N284" s="362"/>
      <c r="O284" s="362"/>
      <c r="P284" s="362"/>
      <c r="Q284" s="362"/>
      <c r="R284" s="362"/>
      <c r="S284" s="362"/>
      <c r="T284" s="460"/>
      <c r="U284" s="131"/>
      <c r="V284" s="839" t="str">
        <f t="shared" si="112"/>
        <v/>
      </c>
      <c r="W284" s="823"/>
      <c r="X284" s="112"/>
      <c r="Y284" s="112"/>
      <c r="Z284" s="112"/>
      <c r="AA284" s="112"/>
      <c r="AB284" s="112"/>
      <c r="AC284" s="112"/>
      <c r="AD284" s="112"/>
      <c r="AE284" s="112"/>
      <c r="AF284" s="112"/>
      <c r="AG284" s="112"/>
      <c r="AH284" s="112"/>
      <c r="AI284" s="112"/>
      <c r="AJ284" s="11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58"/>
      <c r="BH284" s="439"/>
    </row>
    <row r="285" spans="1:151" ht="15" customHeight="1">
      <c r="A285" s="443" t="s">
        <v>20</v>
      </c>
      <c r="B285" s="443"/>
      <c r="C285" s="443"/>
      <c r="D285" s="443"/>
      <c r="E285" s="443"/>
      <c r="F285" s="443"/>
      <c r="G285" s="443"/>
      <c r="H285" s="443"/>
      <c r="I285" s="443"/>
      <c r="J285" s="443"/>
      <c r="K285" s="443"/>
      <c r="L285" s="443"/>
      <c r="M285" s="468"/>
      <c r="N285" s="443"/>
      <c r="O285" s="443"/>
      <c r="P285" s="443"/>
      <c r="Q285" s="443"/>
      <c r="R285" s="443"/>
      <c r="S285" s="443"/>
      <c r="T285" s="78"/>
      <c r="U285" s="139"/>
      <c r="V285" s="839" t="str">
        <f t="shared" si="112"/>
        <v/>
      </c>
      <c r="X285" s="112"/>
      <c r="Y285" s="112"/>
      <c r="Z285" s="112"/>
      <c r="AA285" s="112"/>
      <c r="AB285" s="112"/>
      <c r="AC285" s="112"/>
      <c r="AD285" s="112"/>
      <c r="AE285" s="112"/>
      <c r="AF285" s="112"/>
      <c r="AG285" s="112"/>
      <c r="AH285" s="112"/>
      <c r="AI285" s="112"/>
      <c r="AJ285" s="112"/>
    </row>
    <row r="286" spans="1:151" ht="15" customHeight="1">
      <c r="A286" s="444" t="s">
        <v>247</v>
      </c>
      <c r="B286" s="444"/>
      <c r="C286" s="444"/>
      <c r="D286" s="444"/>
      <c r="E286" s="444"/>
      <c r="F286" s="444"/>
      <c r="G286" s="444"/>
      <c r="H286" s="444"/>
      <c r="I286" s="444"/>
      <c r="J286" s="444"/>
      <c r="K286" s="444"/>
      <c r="L286" s="444"/>
      <c r="M286" s="469"/>
      <c r="N286" s="444"/>
      <c r="O286" s="444"/>
      <c r="P286" s="444"/>
      <c r="Q286" s="444"/>
      <c r="R286" s="444"/>
      <c r="S286" s="444"/>
      <c r="T286" s="407"/>
      <c r="U286" s="140"/>
      <c r="V286" s="839" t="str">
        <f t="shared" si="112"/>
        <v/>
      </c>
    </row>
    <row r="287" spans="1:151" s="63" customFormat="1" ht="36" customHeight="1">
      <c r="A287" s="925" t="s">
        <v>22</v>
      </c>
      <c r="B287" s="916" t="s">
        <v>23</v>
      </c>
      <c r="C287" s="916" t="s">
        <v>24</v>
      </c>
      <c r="D287" s="928" t="s">
        <v>178</v>
      </c>
      <c r="E287" s="61" t="s">
        <v>26</v>
      </c>
      <c r="F287" s="931" t="s">
        <v>27</v>
      </c>
      <c r="G287" s="936"/>
      <c r="H287" s="932"/>
      <c r="I287" s="931" t="s">
        <v>28</v>
      </c>
      <c r="J287" s="936"/>
      <c r="K287" s="936"/>
      <c r="L287" s="936"/>
      <c r="M287" s="931" t="s">
        <v>29</v>
      </c>
      <c r="N287" s="932"/>
      <c r="O287" s="183" t="s">
        <v>30</v>
      </c>
      <c r="P287" s="183"/>
      <c r="Q287" s="183"/>
      <c r="R287" s="183" t="s">
        <v>31</v>
      </c>
      <c r="S287" s="928" t="s">
        <v>32</v>
      </c>
      <c r="T287" s="1049" t="s">
        <v>33</v>
      </c>
      <c r="U287" s="881" t="s">
        <v>34</v>
      </c>
      <c r="V287" s="830"/>
      <c r="W287" s="831"/>
      <c r="X287" s="83"/>
      <c r="Y287" s="83"/>
      <c r="Z287" s="83"/>
      <c r="AA287" s="83"/>
      <c r="AB287" s="83"/>
      <c r="AC287" s="83"/>
      <c r="AD287" s="83"/>
      <c r="AE287" s="83"/>
      <c r="AF287" s="83"/>
      <c r="AG287" s="83"/>
      <c r="AH287" s="83"/>
      <c r="AI287" s="83"/>
      <c r="AJ287" s="83"/>
      <c r="AK287" s="83"/>
      <c r="AL287" s="83"/>
      <c r="AM287" s="83"/>
      <c r="AN287" s="83"/>
      <c r="AO287" s="83"/>
      <c r="AP287" s="83"/>
      <c r="AQ287" s="83"/>
      <c r="AR287" s="83"/>
      <c r="AS287" s="83"/>
      <c r="AT287" s="83"/>
      <c r="AU287" s="83"/>
      <c r="AV287" s="83"/>
      <c r="AW287" s="83"/>
      <c r="AX287" s="83"/>
      <c r="AY287" s="83"/>
      <c r="AZ287" s="83"/>
      <c r="BA287" s="83"/>
      <c r="BH287" s="437"/>
    </row>
    <row r="288" spans="1:151" s="63" customFormat="1" ht="51.75" customHeight="1">
      <c r="A288" s="926"/>
      <c r="B288" s="917"/>
      <c r="C288" s="917"/>
      <c r="D288" s="929" t="s">
        <v>35</v>
      </c>
      <c r="E288" s="64" t="s">
        <v>36</v>
      </c>
      <c r="F288" s="680" t="s">
        <v>37</v>
      </c>
      <c r="G288" s="512" t="s">
        <v>38</v>
      </c>
      <c r="H288" s="681" t="s">
        <v>39</v>
      </c>
      <c r="I288" s="931" t="s">
        <v>40</v>
      </c>
      <c r="J288" s="936"/>
      <c r="K288" s="512" t="s">
        <v>41</v>
      </c>
      <c r="L288" s="681" t="s">
        <v>42</v>
      </c>
      <c r="M288" s="931" t="s">
        <v>43</v>
      </c>
      <c r="N288" s="932"/>
      <c r="O288" s="683" t="s">
        <v>44</v>
      </c>
      <c r="P288" s="184"/>
      <c r="Q288" s="184"/>
      <c r="R288" s="683" t="s">
        <v>45</v>
      </c>
      <c r="S288" s="929"/>
      <c r="T288" s="1050"/>
      <c r="U288" s="882"/>
      <c r="V288" s="835" t="str">
        <f t="shared" ref="V288:V310" si="113">B288&amp;D288</f>
        <v>SIZE</v>
      </c>
      <c r="W288" s="831"/>
      <c r="X288" s="83"/>
      <c r="Y288" s="83"/>
      <c r="Z288" s="83"/>
      <c r="AA288" s="83"/>
      <c r="AB288" s="83"/>
      <c r="AC288" s="83"/>
      <c r="AD288" s="83"/>
      <c r="AE288" s="83"/>
      <c r="AF288" s="83"/>
      <c r="AG288" s="83"/>
      <c r="AH288" s="83"/>
      <c r="AI288" s="83"/>
      <c r="AJ288" s="83"/>
      <c r="AK288" s="83"/>
      <c r="AL288" s="83"/>
      <c r="AM288" s="83"/>
      <c r="AN288" s="83"/>
      <c r="AO288" s="83"/>
      <c r="AP288" s="83"/>
      <c r="AQ288" s="83"/>
      <c r="AR288" s="83"/>
      <c r="AS288" s="83"/>
      <c r="AT288" s="83"/>
      <c r="AU288" s="83"/>
      <c r="AV288" s="83"/>
      <c r="AW288" s="83"/>
      <c r="AX288" s="83"/>
      <c r="AY288" s="83"/>
      <c r="AZ288" s="83"/>
      <c r="BA288" s="83"/>
      <c r="BH288" s="437"/>
    </row>
    <row r="289" spans="1:60" s="63" customFormat="1" ht="15.75" customHeight="1">
      <c r="A289" s="927"/>
      <c r="B289" s="918"/>
      <c r="C289" s="918"/>
      <c r="D289" s="930" t="s">
        <v>46</v>
      </c>
      <c r="E289" s="64" t="s">
        <v>47</v>
      </c>
      <c r="F289" s="64" t="s">
        <v>47</v>
      </c>
      <c r="G289" s="64" t="s">
        <v>47</v>
      </c>
      <c r="H289" s="64" t="s">
        <v>47</v>
      </c>
      <c r="I289" s="64" t="s">
        <v>47</v>
      </c>
      <c r="J289" s="64" t="s">
        <v>46</v>
      </c>
      <c r="K289" s="64" t="s">
        <v>47</v>
      </c>
      <c r="L289" s="64" t="s">
        <v>47</v>
      </c>
      <c r="M289" s="64" t="s">
        <v>47</v>
      </c>
      <c r="N289" s="65" t="s">
        <v>46</v>
      </c>
      <c r="O289" s="65" t="s">
        <v>46</v>
      </c>
      <c r="P289" s="185"/>
      <c r="Q289" s="185"/>
      <c r="R289" s="65" t="s">
        <v>48</v>
      </c>
      <c r="S289" s="930"/>
      <c r="T289" s="1051"/>
      <c r="U289" s="684" t="s">
        <v>47</v>
      </c>
      <c r="V289" s="835" t="str">
        <f t="shared" si="113"/>
        <v>(Kg)</v>
      </c>
      <c r="W289" s="831"/>
      <c r="X289" s="311">
        <v>1</v>
      </c>
      <c r="Y289" s="89">
        <v>2</v>
      </c>
      <c r="Z289" s="88">
        <v>3</v>
      </c>
      <c r="AA289" s="89">
        <v>4</v>
      </c>
      <c r="AB289" s="88">
        <v>5</v>
      </c>
      <c r="AC289" s="89">
        <v>6</v>
      </c>
      <c r="AD289" s="88">
        <v>7</v>
      </c>
      <c r="AE289" s="89">
        <v>8</v>
      </c>
      <c r="AF289" s="88">
        <v>9</v>
      </c>
      <c r="AG289" s="89">
        <v>10</v>
      </c>
      <c r="AH289" s="88">
        <v>11</v>
      </c>
      <c r="AI289" s="89">
        <v>12</v>
      </c>
      <c r="AJ289" s="88">
        <v>13</v>
      </c>
      <c r="AK289" s="89">
        <v>14</v>
      </c>
      <c r="AL289" s="88">
        <v>15</v>
      </c>
      <c r="AM289" s="89">
        <v>16</v>
      </c>
      <c r="AN289" s="88">
        <v>17</v>
      </c>
      <c r="AO289" s="89">
        <v>18</v>
      </c>
      <c r="AP289" s="88">
        <v>19</v>
      </c>
      <c r="AQ289" s="89">
        <v>20</v>
      </c>
      <c r="AR289" s="88">
        <v>21</v>
      </c>
      <c r="AS289" s="89">
        <v>22</v>
      </c>
      <c r="AT289" s="88">
        <v>23</v>
      </c>
      <c r="AU289" s="89">
        <v>24</v>
      </c>
      <c r="AV289" s="88">
        <v>25</v>
      </c>
      <c r="AW289" s="89">
        <v>26</v>
      </c>
      <c r="AX289" s="88">
        <v>27</v>
      </c>
      <c r="AY289" s="89">
        <v>28</v>
      </c>
      <c r="AZ289" s="88">
        <v>29</v>
      </c>
      <c r="BA289" s="89">
        <v>30</v>
      </c>
      <c r="BB289" s="88">
        <v>31</v>
      </c>
      <c r="BC289" s="90" t="s">
        <v>49</v>
      </c>
      <c r="BD289" s="785" t="s">
        <v>85</v>
      </c>
      <c r="BE289" s="785" t="s">
        <v>86</v>
      </c>
      <c r="BH289" s="437"/>
    </row>
    <row r="290" spans="1:60" s="658" customFormat="1" ht="15" customHeight="1">
      <c r="A290" s="648">
        <v>1</v>
      </c>
      <c r="B290" s="315">
        <v>9624</v>
      </c>
      <c r="C290" s="315" t="s">
        <v>80</v>
      </c>
      <c r="D290" s="651" t="s">
        <v>58</v>
      </c>
      <c r="E290" s="649">
        <v>0</v>
      </c>
      <c r="F290" s="652">
        <f>+J290</f>
        <v>0</v>
      </c>
      <c r="G290" s="649"/>
      <c r="H290" s="652">
        <f>SUMIF(CBIN!$A:$A,BRAN!$V:$V,CBIN!$G:$G)</f>
        <v>0</v>
      </c>
      <c r="I290" s="649">
        <f>SUMIF(data!$D:$D,$B290&amp;$D290,data!$J:$J)</f>
        <v>0</v>
      </c>
      <c r="J290" s="649">
        <f>SUMIF(data!$D:$D,$B290&amp;$D290,data!$K:$K)</f>
        <v>0</v>
      </c>
      <c r="K290" s="652">
        <f>SUMIF(AJOUT!$A:$A,BRAN!$V:$V,AJOUT!$L:$L)</f>
        <v>0</v>
      </c>
      <c r="L290" s="652">
        <f>SUMIF(CBOUT!$A:$A,BRAN!$V:$V,CBOUT!$G:$G)</f>
        <v>0</v>
      </c>
      <c r="M290" s="650">
        <v>0</v>
      </c>
      <c r="N290" s="649">
        <v>0</v>
      </c>
      <c r="O290" s="649">
        <f t="shared" ref="O290:O299" si="114">SUM(X290:BB290)</f>
        <v>0</v>
      </c>
      <c r="P290" s="653"/>
      <c r="Q290" s="653"/>
      <c r="R290" s="654">
        <f>O290/INTGRATE!$N$293</f>
        <v>0</v>
      </c>
      <c r="S290" s="665">
        <f>IF(R290=0,0,N290/R290)</f>
        <v>0</v>
      </c>
      <c r="T290" s="655"/>
      <c r="U290" s="656"/>
      <c r="V290" s="843" t="str">
        <f t="shared" si="113"/>
        <v>9624silo</v>
      </c>
      <c r="W290" s="831">
        <v>127001</v>
      </c>
      <c r="X290" s="68"/>
      <c r="Y290" s="68"/>
      <c r="Z290" s="390"/>
      <c r="AA290" s="100"/>
      <c r="AB290" s="100"/>
      <c r="AC290" s="100"/>
      <c r="AD290" s="351"/>
      <c r="AE290" s="100"/>
      <c r="AF290" s="100"/>
      <c r="AG290" s="100"/>
      <c r="AH290" s="100"/>
      <c r="AI290" s="100"/>
      <c r="AJ290" s="100"/>
      <c r="AK290" s="100"/>
      <c r="AL290" s="100"/>
      <c r="AM290" s="100"/>
      <c r="AN290" s="100"/>
      <c r="AO290" s="100"/>
      <c r="AP290" s="100"/>
      <c r="AQ290" s="351"/>
      <c r="AR290" s="100"/>
      <c r="AS290" s="100"/>
      <c r="AT290" s="100"/>
      <c r="AU290" s="100"/>
      <c r="AV290" s="100"/>
      <c r="AW290" s="100"/>
      <c r="AX290" s="649"/>
      <c r="AY290" s="100"/>
      <c r="AZ290" s="100"/>
      <c r="BA290" s="100"/>
      <c r="BB290" s="100"/>
      <c r="BC290" s="657">
        <f t="shared" ref="BC290:BC299" si="115">SUM(X290:BB290)</f>
        <v>0</v>
      </c>
      <c r="BD290" s="786">
        <f>COUNTIF(X290:BB290,"&gt;0")</f>
        <v>0</v>
      </c>
      <c r="BE290" s="786">
        <f>IFERROR(BC290/BD290,0)</f>
        <v>0</v>
      </c>
      <c r="BH290" s="659"/>
    </row>
    <row r="291" spans="1:60" s="658" customFormat="1" ht="15" customHeight="1">
      <c r="A291" s="68">
        <v>2</v>
      </c>
      <c r="B291" s="315">
        <v>9622</v>
      </c>
      <c r="C291" s="315" t="s">
        <v>80</v>
      </c>
      <c r="D291" s="651" t="s">
        <v>58</v>
      </c>
      <c r="E291" s="649">
        <v>0</v>
      </c>
      <c r="F291" s="652">
        <f>+J291</f>
        <v>0</v>
      </c>
      <c r="G291" s="649"/>
      <c r="H291" s="652">
        <f>SUMIF(CBIN!$A:$A,BRAN!$V:$V,CBIN!$G:$G)</f>
        <v>0</v>
      </c>
      <c r="I291" s="649">
        <f>SUMIF(data!$D:$D,$B291&amp;$D291,data!$J:$J)</f>
        <v>0</v>
      </c>
      <c r="J291" s="649">
        <f>SUMIF(data!$D:$D,$B291&amp;$D291,data!$K:$K)</f>
        <v>0</v>
      </c>
      <c r="K291" s="652">
        <f>SUMIF(AJOUT!$A:$A,BRAN!$V:$V,AJOUT!$L:$L)</f>
        <v>0</v>
      </c>
      <c r="L291" s="652">
        <f>SUMIF(CBOUT!$A:$A,BRAN!$V:$V,CBOUT!$G:$G)</f>
        <v>0</v>
      </c>
      <c r="M291" s="650">
        <v>0</v>
      </c>
      <c r="N291" s="649">
        <v>0</v>
      </c>
      <c r="O291" s="649">
        <f t="shared" si="114"/>
        <v>0</v>
      </c>
      <c r="P291" s="653"/>
      <c r="Q291" s="653"/>
      <c r="R291" s="654">
        <f>O291/INTGRATE!$N$293</f>
        <v>0</v>
      </c>
      <c r="S291" s="665">
        <f>IF(R291=0,0,N291/R291)</f>
        <v>0</v>
      </c>
      <c r="T291" s="655"/>
      <c r="U291" s="656"/>
      <c r="V291" s="843" t="str">
        <f t="shared" si="113"/>
        <v>9622silo</v>
      </c>
      <c r="W291" s="831">
        <v>123001</v>
      </c>
      <c r="X291" s="68"/>
      <c r="Y291" s="68"/>
      <c r="Z291" s="390"/>
      <c r="AA291" s="100"/>
      <c r="AB291" s="100"/>
      <c r="AC291" s="100"/>
      <c r="AD291" s="351"/>
      <c r="AE291" s="100"/>
      <c r="AF291" s="100"/>
      <c r="AG291" s="100"/>
      <c r="AH291" s="100"/>
      <c r="AI291" s="100"/>
      <c r="AJ291" s="100"/>
      <c r="AK291" s="100"/>
      <c r="AL291" s="100"/>
      <c r="AM291" s="100"/>
      <c r="AN291" s="100"/>
      <c r="AO291" s="100"/>
      <c r="AP291" s="100"/>
      <c r="AQ291" s="351"/>
      <c r="AR291" s="100"/>
      <c r="AS291" s="100"/>
      <c r="AT291" s="100"/>
      <c r="AU291" s="100"/>
      <c r="AV291" s="100"/>
      <c r="AW291" s="100"/>
      <c r="AX291" s="649"/>
      <c r="AY291" s="100"/>
      <c r="AZ291" s="100"/>
      <c r="BA291" s="100"/>
      <c r="BB291" s="100"/>
      <c r="BC291" s="657">
        <f t="shared" si="115"/>
        <v>0</v>
      </c>
      <c r="BD291" s="786">
        <f t="shared" ref="BD291:BD299" si="116">COUNTIF(X291:BB291,"&gt;0")</f>
        <v>0</v>
      </c>
      <c r="BE291" s="786">
        <f t="shared" ref="BE291:BE299" si="117">IFERROR(BC291/BD291,0)</f>
        <v>0</v>
      </c>
      <c r="BH291" s="659"/>
    </row>
    <row r="292" spans="1:60" s="658" customFormat="1" ht="15" customHeight="1">
      <c r="A292" s="68">
        <v>3</v>
      </c>
      <c r="B292" s="315" t="s">
        <v>248</v>
      </c>
      <c r="C292" s="315" t="s">
        <v>80</v>
      </c>
      <c r="D292" s="651" t="s">
        <v>58</v>
      </c>
      <c r="E292" s="649"/>
      <c r="F292" s="652">
        <f>+J292</f>
        <v>0</v>
      </c>
      <c r="G292" s="649"/>
      <c r="H292" s="652"/>
      <c r="I292" s="649">
        <f>SUMIF(data!$D:$D,$B292&amp;$D292,data!$J:$J)</f>
        <v>0</v>
      </c>
      <c r="J292" s="649">
        <f>SUMIF(data!$D:$D,$B292&amp;$D292,data!$K:$K)</f>
        <v>0</v>
      </c>
      <c r="K292" s="652"/>
      <c r="L292" s="652"/>
      <c r="M292" s="650"/>
      <c r="N292" s="649">
        <v>0</v>
      </c>
      <c r="O292" s="649">
        <f t="shared" si="114"/>
        <v>0</v>
      </c>
      <c r="P292" s="653"/>
      <c r="Q292" s="653"/>
      <c r="R292" s="654">
        <f>O292/INTGRATE!$N$293</f>
        <v>0</v>
      </c>
      <c r="S292" s="665">
        <f>IF(R292=0,0,N292/R292)</f>
        <v>0</v>
      </c>
      <c r="T292" s="655"/>
      <c r="U292" s="656"/>
      <c r="V292" s="843" t="str">
        <f>B292&amp;D292</f>
        <v>9624Psilo</v>
      </c>
      <c r="W292" s="831"/>
      <c r="X292" s="68"/>
      <c r="Y292" s="68"/>
      <c r="Z292" s="390"/>
      <c r="AA292" s="100"/>
      <c r="AB292" s="100"/>
      <c r="AC292" s="100"/>
      <c r="AD292" s="351"/>
      <c r="AE292" s="100"/>
      <c r="AF292" s="100"/>
      <c r="AG292" s="100"/>
      <c r="AH292" s="100"/>
      <c r="AI292" s="100"/>
      <c r="AJ292" s="100"/>
      <c r="AK292" s="100"/>
      <c r="AL292" s="100"/>
      <c r="AM292" s="100"/>
      <c r="AN292" s="100"/>
      <c r="AO292" s="100"/>
      <c r="AP292" s="100"/>
      <c r="AQ292" s="351"/>
      <c r="AR292" s="100"/>
      <c r="AS292" s="100"/>
      <c r="AT292" s="100"/>
      <c r="AU292" s="100"/>
      <c r="AV292" s="100"/>
      <c r="AW292" s="100"/>
      <c r="AX292" s="649"/>
      <c r="AY292" s="100"/>
      <c r="AZ292" s="100"/>
      <c r="BA292" s="100"/>
      <c r="BB292" s="100"/>
      <c r="BC292" s="657">
        <f t="shared" si="115"/>
        <v>0</v>
      </c>
      <c r="BD292" s="786">
        <f t="shared" si="116"/>
        <v>0</v>
      </c>
      <c r="BE292" s="786">
        <f t="shared" si="117"/>
        <v>0</v>
      </c>
      <c r="BH292" s="659"/>
    </row>
    <row r="293" spans="1:60" s="658" customFormat="1" ht="15" customHeight="1">
      <c r="A293" s="68">
        <v>4</v>
      </c>
      <c r="B293" s="315">
        <v>9624</v>
      </c>
      <c r="C293" s="315" t="s">
        <v>80</v>
      </c>
      <c r="D293" s="651">
        <v>25</v>
      </c>
      <c r="E293" s="649">
        <v>0</v>
      </c>
      <c r="F293" s="100">
        <f>SUMIF(pro!$A:$A,$V:$V,pro!$N:$N)</f>
        <v>0</v>
      </c>
      <c r="G293" s="649"/>
      <c r="H293" s="100">
        <f>SUMIF(CBIN!$A:$A,BRAN!$V:$V,CBIN!$G:$G)</f>
        <v>0</v>
      </c>
      <c r="I293" s="351">
        <f>SUMIF(data!$D:$D,$B293&amp;$D293,data!$J:$J)</f>
        <v>0</v>
      </c>
      <c r="J293" s="351">
        <f>SUMIF(data!$D:$D,$B293&amp;$D293,data!$K:$K)</f>
        <v>0</v>
      </c>
      <c r="K293" s="100">
        <f>SUMIF(AJOUT!$A:$A,BRAN!$V:$V,AJOUT!$L:$L)</f>
        <v>0</v>
      </c>
      <c r="L293" s="100">
        <f>SUMIF(CBOUT!$A:$A,BRAN!$V:$V,CBOUT!$G:$G)</f>
        <v>0</v>
      </c>
      <c r="M293" s="650">
        <f>E293+F293+H293-I293-L293+G293-K293</f>
        <v>0</v>
      </c>
      <c r="N293" s="351">
        <f>M293*D293</f>
        <v>0</v>
      </c>
      <c r="O293" s="649">
        <f t="shared" si="114"/>
        <v>0</v>
      </c>
      <c r="P293" s="665"/>
      <c r="Q293" s="665"/>
      <c r="R293" s="804">
        <f>O293/INTGRATE!$N$293</f>
        <v>0</v>
      </c>
      <c r="S293" s="665">
        <f>IF(R293=0,0,N293/R293)</f>
        <v>0</v>
      </c>
      <c r="T293" s="655"/>
      <c r="U293" s="656"/>
      <c r="V293" s="843" t="str">
        <f>B293&amp;D293</f>
        <v>962425</v>
      </c>
      <c r="W293" s="831">
        <v>127001</v>
      </c>
      <c r="X293" s="68"/>
      <c r="Y293" s="68"/>
      <c r="Z293" s="390"/>
      <c r="AA293" s="100"/>
      <c r="AB293" s="100"/>
      <c r="AC293" s="100"/>
      <c r="AD293" s="351"/>
      <c r="AE293" s="100"/>
      <c r="AF293" s="100"/>
      <c r="AG293" s="100"/>
      <c r="AH293" s="100"/>
      <c r="AI293" s="100"/>
      <c r="AJ293" s="100"/>
      <c r="AK293" s="100"/>
      <c r="AL293" s="100"/>
      <c r="AM293" s="100"/>
      <c r="AN293" s="100"/>
      <c r="AO293" s="100"/>
      <c r="AP293" s="100"/>
      <c r="AQ293" s="351"/>
      <c r="AR293" s="100"/>
      <c r="AS293" s="100"/>
      <c r="AT293" s="100"/>
      <c r="AU293" s="100"/>
      <c r="AV293" s="100"/>
      <c r="AW293" s="351"/>
      <c r="AX293" s="351"/>
      <c r="AY293" s="100"/>
      <c r="AZ293" s="100"/>
      <c r="BA293" s="100"/>
      <c r="BB293" s="100"/>
      <c r="BC293" s="657">
        <f t="shared" si="115"/>
        <v>0</v>
      </c>
      <c r="BD293" s="786">
        <f t="shared" si="116"/>
        <v>0</v>
      </c>
      <c r="BE293" s="786">
        <f t="shared" si="117"/>
        <v>0</v>
      </c>
      <c r="BH293" s="659"/>
    </row>
    <row r="294" spans="1:60" ht="15" customHeight="1">
      <c r="A294" s="68">
        <v>5</v>
      </c>
      <c r="B294" s="162">
        <v>9651</v>
      </c>
      <c r="C294" s="772" t="s">
        <v>61</v>
      </c>
      <c r="D294" s="177">
        <v>25</v>
      </c>
      <c r="E294" s="649">
        <v>0</v>
      </c>
      <c r="F294" s="100">
        <f>SUMIF(pro!$A:$A,$V:$V,pro!$N:$N)</f>
        <v>0</v>
      </c>
      <c r="G294" s="351"/>
      <c r="H294" s="100">
        <f>SUMIF(CBIN!$A:$A,BRAN!$V:$V,CBIN!$G:$G)</f>
        <v>0</v>
      </c>
      <c r="I294" s="351">
        <f>SUMIF(data!$D:$D,$B294&amp;$D294,data!$J:$J)</f>
        <v>0</v>
      </c>
      <c r="J294" s="351">
        <f>SUMIF(data!$D:$D,$B294&amp;$D294,data!$K:$K)</f>
        <v>0</v>
      </c>
      <c r="K294" s="100">
        <f>SUMIF(AJOUT!$A:$A,BRAN!$V:$V,AJOUT!$L:$L)</f>
        <v>0</v>
      </c>
      <c r="L294" s="100">
        <f>SUMIF(CBOUT!$A:$A,BRAN!$V:$V,CBOUT!$G:$G)</f>
        <v>0</v>
      </c>
      <c r="M294" s="650">
        <f t="shared" ref="M294:M299" si="118">E294+F294+H294-I294-L294+G294-K294</f>
        <v>0</v>
      </c>
      <c r="N294" s="351">
        <f t="shared" ref="N294:N299" si="119">M294*D294</f>
        <v>0</v>
      </c>
      <c r="O294" s="649">
        <f t="shared" si="114"/>
        <v>0</v>
      </c>
      <c r="P294" s="665"/>
      <c r="Q294" s="665"/>
      <c r="R294" s="804">
        <f>O294/INTGRATE!$N$293</f>
        <v>0</v>
      </c>
      <c r="S294" s="665">
        <f t="shared" ref="S294:S299" si="120">IF(R294=0,0,N294/R294)</f>
        <v>0</v>
      </c>
      <c r="T294" s="402"/>
      <c r="U294" s="136"/>
      <c r="V294" s="836" t="str">
        <f t="shared" si="113"/>
        <v>965125</v>
      </c>
      <c r="W294" s="823">
        <v>314001</v>
      </c>
      <c r="X294" s="68"/>
      <c r="Y294" s="68"/>
      <c r="Z294" s="390"/>
      <c r="AA294" s="100"/>
      <c r="AB294" s="100"/>
      <c r="AC294" s="100"/>
      <c r="AD294" s="351"/>
      <c r="AE294" s="100"/>
      <c r="AF294" s="100"/>
      <c r="AG294" s="100"/>
      <c r="AH294" s="100"/>
      <c r="AI294" s="100"/>
      <c r="AJ294" s="100"/>
      <c r="AK294" s="100"/>
      <c r="AL294" s="100"/>
      <c r="AM294" s="100"/>
      <c r="AN294" s="100"/>
      <c r="AO294" s="100"/>
      <c r="AP294" s="100"/>
      <c r="AQ294" s="351"/>
      <c r="AR294" s="100"/>
      <c r="AS294" s="100"/>
      <c r="AT294" s="100"/>
      <c r="AU294" s="100"/>
      <c r="AV294" s="100"/>
      <c r="AW294" s="100"/>
      <c r="AX294" s="351"/>
      <c r="AY294" s="100"/>
      <c r="AZ294" s="100"/>
      <c r="BA294" s="100"/>
      <c r="BB294" s="100"/>
      <c r="BC294" s="657">
        <f t="shared" si="115"/>
        <v>0</v>
      </c>
      <c r="BD294" s="786">
        <f t="shared" si="116"/>
        <v>0</v>
      </c>
      <c r="BE294" s="786">
        <f t="shared" si="117"/>
        <v>0</v>
      </c>
      <c r="BG294" s="38"/>
    </row>
    <row r="295" spans="1:60" ht="14.25" customHeight="1">
      <c r="A295" s="68">
        <v>6</v>
      </c>
      <c r="B295" s="77">
        <v>9652</v>
      </c>
      <c r="C295" s="77" t="s">
        <v>64</v>
      </c>
      <c r="D295" s="67">
        <v>25</v>
      </c>
      <c r="E295" s="649">
        <v>0</v>
      </c>
      <c r="F295" s="100">
        <f>SUMIF(pro!$A:$A,$V:$V,pro!$N:$N)</f>
        <v>0</v>
      </c>
      <c r="G295" s="351"/>
      <c r="H295" s="100">
        <f>SUMIF(CBIN!$A:$A,BRAN!$V:$V,CBIN!$G:$G)</f>
        <v>0</v>
      </c>
      <c r="I295" s="351">
        <f>SUMIF(data!$D:$D,$B295&amp;$D295,data!$J:$J)</f>
        <v>0</v>
      </c>
      <c r="J295" s="351">
        <f>SUMIF(data!$D:$D,$B295&amp;$D295,data!$K:$K)</f>
        <v>0</v>
      </c>
      <c r="K295" s="100">
        <f>SUMIF(AJOUT!$A:$A,BRAN!$V:$V,AJOUT!$L:$L)</f>
        <v>0</v>
      </c>
      <c r="L295" s="100">
        <f>SUMIF(CBOUT!$A:$A,BRAN!$V:$V,CBOUT!$G:$G)</f>
        <v>0</v>
      </c>
      <c r="M295" s="650">
        <f t="shared" si="118"/>
        <v>0</v>
      </c>
      <c r="N295" s="351">
        <f t="shared" si="119"/>
        <v>0</v>
      </c>
      <c r="O295" s="649">
        <f t="shared" si="114"/>
        <v>0</v>
      </c>
      <c r="P295" s="665"/>
      <c r="Q295" s="665"/>
      <c r="R295" s="804">
        <f>O295/INTGRATE!$N$293</f>
        <v>0</v>
      </c>
      <c r="S295" s="665">
        <f t="shared" si="120"/>
        <v>0</v>
      </c>
      <c r="T295" s="403"/>
      <c r="U295" s="136"/>
      <c r="V295" s="836" t="str">
        <f t="shared" si="113"/>
        <v>965225</v>
      </c>
      <c r="W295" s="823">
        <v>321001</v>
      </c>
      <c r="X295" s="68"/>
      <c r="Y295" s="68"/>
      <c r="Z295" s="390"/>
      <c r="AA295" s="100"/>
      <c r="AB295" s="100"/>
      <c r="AC295" s="100"/>
      <c r="AD295" s="351"/>
      <c r="AE295" s="100"/>
      <c r="AF295" s="100"/>
      <c r="AG295" s="100"/>
      <c r="AH295" s="100"/>
      <c r="AI295" s="100"/>
      <c r="AJ295" s="100"/>
      <c r="AK295" s="100"/>
      <c r="AL295" s="100"/>
      <c r="AM295" s="100"/>
      <c r="AN295" s="100"/>
      <c r="AO295" s="100"/>
      <c r="AP295" s="100"/>
      <c r="AQ295" s="351"/>
      <c r="AR295" s="100"/>
      <c r="AS295" s="100"/>
      <c r="AT295" s="100"/>
      <c r="AU295" s="100"/>
      <c r="AV295" s="100"/>
      <c r="AW295" s="100"/>
      <c r="AX295" s="351"/>
      <c r="AY295" s="100"/>
      <c r="AZ295" s="100"/>
      <c r="BA295" s="100"/>
      <c r="BB295" s="100"/>
      <c r="BC295" s="657">
        <f t="shared" si="115"/>
        <v>0</v>
      </c>
      <c r="BD295" s="786">
        <f t="shared" si="116"/>
        <v>0</v>
      </c>
      <c r="BE295" s="786">
        <f t="shared" si="117"/>
        <v>0</v>
      </c>
      <c r="BG295" s="38"/>
    </row>
    <row r="296" spans="1:60" ht="15" customHeight="1">
      <c r="A296" s="68">
        <v>7</v>
      </c>
      <c r="B296" s="77" t="s">
        <v>249</v>
      </c>
      <c r="C296" s="1178" t="s">
        <v>61</v>
      </c>
      <c r="D296" s="67">
        <v>25</v>
      </c>
      <c r="E296" s="649">
        <v>0</v>
      </c>
      <c r="F296" s="100">
        <f>SUMIF(pro!$A:$A,$V:$V,pro!$N:$N)</f>
        <v>0</v>
      </c>
      <c r="G296" s="351"/>
      <c r="H296" s="100">
        <f>SUMIF(CBIN!$A:$A,BRAN!$V:$V,CBIN!$G:$G)</f>
        <v>0</v>
      </c>
      <c r="I296" s="351">
        <f>SUMIF(data!$D:$D,$B296&amp;$D296,data!$J:$J)</f>
        <v>0</v>
      </c>
      <c r="J296" s="351">
        <f>SUMIF(data!$D:$D,$B296&amp;$D296,data!$K:$K)</f>
        <v>0</v>
      </c>
      <c r="K296" s="100">
        <f>SUMIF(AJOUT!$A:$A,BRAN!$V:$V,AJOUT!$L:$L)</f>
        <v>0</v>
      </c>
      <c r="L296" s="100">
        <f>SUMIF(CBOUT!$A:$A,BRAN!$V:$V,CBOUT!$G:$G)</f>
        <v>0</v>
      </c>
      <c r="M296" s="650">
        <f t="shared" si="118"/>
        <v>0</v>
      </c>
      <c r="N296" s="351">
        <f t="shared" si="119"/>
        <v>0</v>
      </c>
      <c r="O296" s="649">
        <f t="shared" si="114"/>
        <v>0</v>
      </c>
      <c r="P296" s="665">
        <f>+N296+N294</f>
        <v>0</v>
      </c>
      <c r="Q296" s="665">
        <f>+O296+O294</f>
        <v>0</v>
      </c>
      <c r="R296" s="804">
        <f>O296/INTGRATE!$N$293</f>
        <v>0</v>
      </c>
      <c r="S296" s="665">
        <f t="shared" si="120"/>
        <v>0</v>
      </c>
      <c r="T296" s="403"/>
      <c r="U296" s="136"/>
      <c r="V296" s="836" t="str">
        <f t="shared" si="113"/>
        <v>9652S25</v>
      </c>
      <c r="W296" s="823">
        <v>320001</v>
      </c>
      <c r="X296" s="351"/>
      <c r="Y296" s="100"/>
      <c r="Z296" s="100"/>
      <c r="AA296" s="100"/>
      <c r="AB296" s="100"/>
      <c r="AC296" s="100"/>
      <c r="AD296" s="100"/>
      <c r="AE296" s="100"/>
      <c r="AF296" s="100"/>
      <c r="AG296" s="100"/>
      <c r="AH296" s="100"/>
      <c r="AI296" s="100"/>
      <c r="AJ296" s="100"/>
      <c r="AK296" s="100"/>
      <c r="AL296" s="100"/>
      <c r="AM296" s="100"/>
      <c r="AN296" s="100"/>
      <c r="AO296" s="351"/>
      <c r="AP296" s="100"/>
      <c r="AQ296" s="351"/>
      <c r="AR296" s="351"/>
      <c r="AS296" s="649"/>
      <c r="AT296" s="100"/>
      <c r="AU296" s="100"/>
      <c r="AV296" s="100"/>
      <c r="AW296" s="100"/>
      <c r="AX296" s="351"/>
      <c r="AY296" s="100"/>
      <c r="AZ296" s="100"/>
      <c r="BA296" s="100"/>
      <c r="BB296" s="100"/>
      <c r="BC296" s="657">
        <f t="shared" si="115"/>
        <v>0</v>
      </c>
      <c r="BD296" s="786">
        <f t="shared" si="116"/>
        <v>0</v>
      </c>
      <c r="BE296" s="786">
        <f t="shared" si="117"/>
        <v>0</v>
      </c>
      <c r="BG296" s="38"/>
    </row>
    <row r="297" spans="1:60">
      <c r="A297" s="68">
        <v>8</v>
      </c>
      <c r="B297" s="77">
        <v>9653</v>
      </c>
      <c r="C297" s="77" t="s">
        <v>64</v>
      </c>
      <c r="D297" s="67">
        <v>25</v>
      </c>
      <c r="E297" s="649">
        <v>0</v>
      </c>
      <c r="F297" s="100">
        <f>SUMIF(pro!$A:$A,$V:$V,pro!$N:$N)</f>
        <v>0</v>
      </c>
      <c r="G297" s="351"/>
      <c r="H297" s="100">
        <f>SUMIF(CBIN!$A:$A,BRAN!$V:$V,CBIN!$G:$G)</f>
        <v>0</v>
      </c>
      <c r="I297" s="351">
        <f>SUMIF(data!$D:$D,$B297&amp;$D297,data!$J:$J)</f>
        <v>0</v>
      </c>
      <c r="J297" s="351">
        <f>SUMIF(data!$D:$D,$B297&amp;$D297,data!$K:$K)</f>
        <v>0</v>
      </c>
      <c r="K297" s="100">
        <f>SUMIF(AJOUT!$A:$A,BRAN!$V:$V,AJOUT!$L:$L)</f>
        <v>0</v>
      </c>
      <c r="L297" s="100">
        <f>SUMIF(CBOUT!$A:$A,BRAN!$V:$V,CBOUT!$G:$G)</f>
        <v>0</v>
      </c>
      <c r="M297" s="650">
        <f t="shared" si="118"/>
        <v>0</v>
      </c>
      <c r="N297" s="351">
        <f t="shared" si="119"/>
        <v>0</v>
      </c>
      <c r="O297" s="649">
        <f t="shared" si="114"/>
        <v>0</v>
      </c>
      <c r="P297" s="665">
        <f>+N290+N291+N292+N293</f>
        <v>0</v>
      </c>
      <c r="Q297" s="665">
        <f>+O290+O291+O292+O293</f>
        <v>0</v>
      </c>
      <c r="R297" s="804">
        <f>O297/INTGRATE!$N$293</f>
        <v>0</v>
      </c>
      <c r="S297" s="665">
        <f t="shared" si="120"/>
        <v>0</v>
      </c>
      <c r="T297" s="403"/>
      <c r="U297" s="136"/>
      <c r="V297" s="836" t="str">
        <f t="shared" si="113"/>
        <v>965325</v>
      </c>
      <c r="W297" s="823">
        <v>332301</v>
      </c>
      <c r="X297" s="351"/>
      <c r="Y297" s="100"/>
      <c r="Z297" s="100"/>
      <c r="AA297" s="100"/>
      <c r="AB297" s="100"/>
      <c r="AC297" s="100"/>
      <c r="AD297" s="100"/>
      <c r="AE297" s="100"/>
      <c r="AF297" s="100"/>
      <c r="AG297" s="100"/>
      <c r="AH297" s="100"/>
      <c r="AI297" s="100"/>
      <c r="AJ297" s="100"/>
      <c r="AK297" s="100"/>
      <c r="AL297" s="100"/>
      <c r="AM297" s="100"/>
      <c r="AN297" s="100"/>
      <c r="AO297" s="351"/>
      <c r="AP297" s="100"/>
      <c r="AQ297" s="351"/>
      <c r="AR297" s="351"/>
      <c r="AS297" s="649"/>
      <c r="AT297" s="100"/>
      <c r="AU297" s="100"/>
      <c r="AV297" s="100"/>
      <c r="AW297" s="100"/>
      <c r="AX297" s="351"/>
      <c r="AY297" s="100"/>
      <c r="AZ297" s="100"/>
      <c r="BA297" s="100"/>
      <c r="BB297" s="100"/>
      <c r="BC297" s="657">
        <f t="shared" si="115"/>
        <v>0</v>
      </c>
      <c r="BD297" s="786">
        <f t="shared" si="116"/>
        <v>0</v>
      </c>
      <c r="BE297" s="786">
        <f t="shared" si="117"/>
        <v>0</v>
      </c>
      <c r="BG297" s="38"/>
    </row>
    <row r="298" spans="1:60" ht="15" customHeight="1">
      <c r="A298" s="68">
        <v>9</v>
      </c>
      <c r="B298" s="777">
        <v>9666</v>
      </c>
      <c r="C298" s="161" t="s">
        <v>64</v>
      </c>
      <c r="D298" s="174">
        <v>25</v>
      </c>
      <c r="E298" s="649">
        <v>0</v>
      </c>
      <c r="F298" s="100">
        <f>SUMIF(pro!$A:$A,$V:$V,pro!$N:$N)</f>
        <v>0</v>
      </c>
      <c r="G298" s="351"/>
      <c r="H298" s="100">
        <f>SUMIF(CBIN!$A:$A,BRAN!$V:$V,CBIN!$G:$G)</f>
        <v>0</v>
      </c>
      <c r="I298" s="351">
        <f>SUMIF(data!$D:$D,$B298&amp;$D298,data!$J:$J)</f>
        <v>0</v>
      </c>
      <c r="J298" s="351">
        <f>SUMIF(data!$D:$D,$B298&amp;$D298,data!$K:$K)</f>
        <v>0</v>
      </c>
      <c r="K298" s="100">
        <f>SUMIF(AJOUT!$A:$A,BRAN!$V:$V,AJOUT!$L:$L)</f>
        <v>0</v>
      </c>
      <c r="L298" s="100">
        <f>SUMIF(CBOUT!$A:$A,BRAN!$V:$V,CBOUT!$G:$G)</f>
        <v>0</v>
      </c>
      <c r="M298" s="650">
        <f t="shared" si="118"/>
        <v>0</v>
      </c>
      <c r="N298" s="351">
        <f t="shared" si="119"/>
        <v>0</v>
      </c>
      <c r="O298" s="649">
        <f t="shared" si="114"/>
        <v>0</v>
      </c>
      <c r="P298" s="665">
        <f>+N295+N297+N298+N299</f>
        <v>0</v>
      </c>
      <c r="Q298" s="665">
        <f>+O295+O297+O298+O299</f>
        <v>0</v>
      </c>
      <c r="R298" s="804">
        <f>O298/INTGRATE!$N$293</f>
        <v>0</v>
      </c>
      <c r="S298" s="665">
        <f t="shared" si="120"/>
        <v>0</v>
      </c>
      <c r="T298" s="403"/>
      <c r="U298" s="136"/>
      <c r="V298" s="836" t="str">
        <f t="shared" si="113"/>
        <v>966625</v>
      </c>
      <c r="W298" s="823">
        <v>366201</v>
      </c>
      <c r="X298" s="351"/>
      <c r="Y298" s="100"/>
      <c r="Z298" s="100"/>
      <c r="AA298" s="100"/>
      <c r="AB298" s="100"/>
      <c r="AC298" s="100"/>
      <c r="AD298" s="100"/>
      <c r="AE298" s="100"/>
      <c r="AF298" s="100"/>
      <c r="AG298" s="100"/>
      <c r="AH298" s="100"/>
      <c r="AI298" s="100"/>
      <c r="AJ298" s="100"/>
      <c r="AK298" s="100"/>
      <c r="AL298" s="100"/>
      <c r="AM298" s="100"/>
      <c r="AN298" s="100"/>
      <c r="AO298" s="351"/>
      <c r="AP298" s="100"/>
      <c r="AQ298" s="351"/>
      <c r="AR298" s="351"/>
      <c r="AS298" s="649"/>
      <c r="AT298" s="100"/>
      <c r="AU298" s="100"/>
      <c r="AV298" s="100"/>
      <c r="AW298" s="100"/>
      <c r="AX298" s="351"/>
      <c r="AY298" s="100"/>
      <c r="AZ298" s="100"/>
      <c r="BA298" s="100"/>
      <c r="BB298" s="100"/>
      <c r="BC298" s="657">
        <f t="shared" si="115"/>
        <v>0</v>
      </c>
      <c r="BD298" s="786">
        <f t="shared" si="116"/>
        <v>0</v>
      </c>
      <c r="BE298" s="786">
        <f t="shared" si="117"/>
        <v>0</v>
      </c>
      <c r="BG298" s="38"/>
    </row>
    <row r="299" spans="1:60" ht="15" customHeight="1">
      <c r="A299" s="68">
        <v>10</v>
      </c>
      <c r="B299" s="778">
        <v>9667</v>
      </c>
      <c r="C299" s="161" t="s">
        <v>64</v>
      </c>
      <c r="D299" s="178">
        <v>25</v>
      </c>
      <c r="E299" s="649">
        <v>0</v>
      </c>
      <c r="F299" s="100">
        <f>SUMIF(pro!$A:$A,$V:$V,pro!$N:$N)</f>
        <v>0</v>
      </c>
      <c r="G299" s="352"/>
      <c r="H299" s="100">
        <f>SUMIF(CBIN!$A:$A,BRAN!$V:$V,CBIN!$G:$G)</f>
        <v>0</v>
      </c>
      <c r="I299" s="352">
        <f>SUMIF(data!$D:$D,$B299&amp;$D299,data!$J:$J)</f>
        <v>0</v>
      </c>
      <c r="J299" s="351">
        <f>SUMIF(data!$D:$D,$B299&amp;$D299,data!$K:$K)</f>
        <v>0</v>
      </c>
      <c r="K299" s="100">
        <f>SUMIF(AJOUT!$A:$A,BRAN!$V:$V,AJOUT!$L:$L)</f>
        <v>0</v>
      </c>
      <c r="L299" s="100">
        <f>SUMIF(CBOUT!$A:$A,BRAN!$V:$V,CBOUT!$G:$G)</f>
        <v>0</v>
      </c>
      <c r="M299" s="650">
        <f t="shared" si="118"/>
        <v>0</v>
      </c>
      <c r="N299" s="351">
        <f t="shared" si="119"/>
        <v>0</v>
      </c>
      <c r="O299" s="649">
        <f t="shared" si="114"/>
        <v>0</v>
      </c>
      <c r="P299" s="1179"/>
      <c r="Q299" s="1179"/>
      <c r="R299" s="804">
        <f>O299/INTGRATE!$N$293</f>
        <v>0</v>
      </c>
      <c r="S299" s="665">
        <f t="shared" si="120"/>
        <v>0</v>
      </c>
      <c r="T299" s="402"/>
      <c r="U299" s="148"/>
      <c r="V299" s="836" t="str">
        <f t="shared" si="113"/>
        <v>966725</v>
      </c>
      <c r="W299" s="823">
        <v>367201</v>
      </c>
      <c r="X299" s="352"/>
      <c r="Y299" s="558"/>
      <c r="Z299" s="558"/>
      <c r="AA299" s="558"/>
      <c r="AB299" s="558"/>
      <c r="AC299" s="558"/>
      <c r="AD299" s="100"/>
      <c r="AE299" s="558"/>
      <c r="AF299" s="558"/>
      <c r="AG299" s="558"/>
      <c r="AH299" s="558"/>
      <c r="AI299" s="558"/>
      <c r="AJ299" s="558"/>
      <c r="AK299" s="558"/>
      <c r="AL299" s="558"/>
      <c r="AM299" s="558"/>
      <c r="AN299" s="558"/>
      <c r="AO299" s="351"/>
      <c r="AP299" s="558"/>
      <c r="AQ299" s="351"/>
      <c r="AR299" s="351"/>
      <c r="AS299" s="649"/>
      <c r="AT299" s="558"/>
      <c r="AU299" s="558"/>
      <c r="AV299" s="558"/>
      <c r="AW299" s="558"/>
      <c r="AX299" s="351"/>
      <c r="AY299" s="558"/>
      <c r="AZ299" s="558"/>
      <c r="BA299" s="558"/>
      <c r="BB299" s="558"/>
      <c r="BC299" s="657">
        <f t="shared" si="115"/>
        <v>0</v>
      </c>
      <c r="BD299" s="786">
        <f t="shared" si="116"/>
        <v>0</v>
      </c>
      <c r="BE299" s="786">
        <f t="shared" si="117"/>
        <v>0</v>
      </c>
      <c r="BG299" s="38"/>
    </row>
    <row r="300" spans="1:60" s="59" customFormat="1" ht="15" customHeight="1">
      <c r="A300" s="1099" t="s">
        <v>71</v>
      </c>
      <c r="B300" s="1100"/>
      <c r="C300" s="1100"/>
      <c r="D300" s="1101"/>
      <c r="E300" s="113"/>
      <c r="F300" s="113"/>
      <c r="G300" s="113"/>
      <c r="H300" s="113"/>
      <c r="I300" s="113"/>
      <c r="J300" s="113"/>
      <c r="K300" s="113"/>
      <c r="L300" s="113"/>
      <c r="M300" s="479"/>
      <c r="N300" s="113"/>
      <c r="O300" s="113"/>
      <c r="P300" s="113"/>
      <c r="Q300" s="113"/>
      <c r="R300" s="113"/>
      <c r="S300" s="114"/>
      <c r="T300" s="462"/>
      <c r="U300" s="113"/>
      <c r="V300" s="844" t="str">
        <f t="shared" si="113"/>
        <v/>
      </c>
      <c r="W300" s="845"/>
      <c r="X300" s="112">
        <f t="shared" ref="X300:BA300" si="121">SUM(X290:X299)</f>
        <v>0</v>
      </c>
      <c r="Y300" s="112">
        <f t="shared" si="121"/>
        <v>0</v>
      </c>
      <c r="Z300" s="112">
        <f t="shared" si="121"/>
        <v>0</v>
      </c>
      <c r="AA300" s="112">
        <f t="shared" si="121"/>
        <v>0</v>
      </c>
      <c r="AB300" s="112">
        <f t="shared" si="121"/>
        <v>0</v>
      </c>
      <c r="AC300" s="112">
        <f t="shared" si="121"/>
        <v>0</v>
      </c>
      <c r="AD300" s="112">
        <f t="shared" si="121"/>
        <v>0</v>
      </c>
      <c r="AE300" s="112">
        <f t="shared" si="121"/>
        <v>0</v>
      </c>
      <c r="AF300" s="112">
        <f t="shared" si="121"/>
        <v>0</v>
      </c>
      <c r="AG300" s="112">
        <f t="shared" si="121"/>
        <v>0</v>
      </c>
      <c r="AH300" s="112">
        <f t="shared" si="121"/>
        <v>0</v>
      </c>
      <c r="AI300" s="112">
        <f t="shared" si="121"/>
        <v>0</v>
      </c>
      <c r="AJ300" s="112">
        <f t="shared" si="121"/>
        <v>0</v>
      </c>
      <c r="AK300" s="112">
        <f t="shared" si="121"/>
        <v>0</v>
      </c>
      <c r="AL300" s="112">
        <f t="shared" si="121"/>
        <v>0</v>
      </c>
      <c r="AM300" s="112">
        <f t="shared" si="121"/>
        <v>0</v>
      </c>
      <c r="AN300" s="112">
        <f t="shared" si="121"/>
        <v>0</v>
      </c>
      <c r="AO300" s="112">
        <f t="shared" si="121"/>
        <v>0</v>
      </c>
      <c r="AP300" s="112">
        <f t="shared" si="121"/>
        <v>0</v>
      </c>
      <c r="AQ300" s="112">
        <f t="shared" si="121"/>
        <v>0</v>
      </c>
      <c r="AR300" s="112">
        <f t="shared" si="121"/>
        <v>0</v>
      </c>
      <c r="AS300" s="112">
        <f t="shared" si="121"/>
        <v>0</v>
      </c>
      <c r="AT300" s="112">
        <f t="shared" si="121"/>
        <v>0</v>
      </c>
      <c r="AU300" s="112">
        <f t="shared" si="121"/>
        <v>0</v>
      </c>
      <c r="AV300" s="112">
        <f t="shared" si="121"/>
        <v>0</v>
      </c>
      <c r="AW300" s="112">
        <f t="shared" si="121"/>
        <v>0</v>
      </c>
      <c r="AX300" s="112">
        <f t="shared" si="121"/>
        <v>0</v>
      </c>
      <c r="AY300" s="112">
        <f t="shared" si="121"/>
        <v>0</v>
      </c>
      <c r="AZ300" s="112">
        <f t="shared" si="121"/>
        <v>0</v>
      </c>
      <c r="BA300" s="112">
        <f t="shared" si="121"/>
        <v>0</v>
      </c>
      <c r="BB300" s="112">
        <f>SUM(BB290:BB299)</f>
        <v>0</v>
      </c>
      <c r="BC300" s="112">
        <f>SUM(BC290:BC299)</f>
        <v>0</v>
      </c>
      <c r="BD300" s="112"/>
      <c r="BE300" s="112"/>
      <c r="BG300" s="38"/>
      <c r="BH300" s="439"/>
    </row>
    <row r="301" spans="1:60" s="59" customFormat="1" ht="15" customHeight="1">
      <c r="A301" s="1099" t="s">
        <v>72</v>
      </c>
      <c r="B301" s="1100"/>
      <c r="C301" s="1100"/>
      <c r="D301" s="1101"/>
      <c r="E301" s="113">
        <f>SUM(E293:E299)</f>
        <v>0</v>
      </c>
      <c r="F301" s="113">
        <f>SUM(F293:F299)</f>
        <v>0</v>
      </c>
      <c r="G301" s="113">
        <f t="shared" ref="G301:L301" si="122">SUM(G293:G299)</f>
        <v>0</v>
      </c>
      <c r="H301" s="113">
        <f t="shared" si="122"/>
        <v>0</v>
      </c>
      <c r="I301" s="113">
        <f t="shared" si="122"/>
        <v>0</v>
      </c>
      <c r="J301" s="113">
        <f t="shared" si="122"/>
        <v>0</v>
      </c>
      <c r="K301" s="113">
        <f t="shared" si="122"/>
        <v>0</v>
      </c>
      <c r="L301" s="113">
        <f t="shared" si="122"/>
        <v>0</v>
      </c>
      <c r="M301" s="113">
        <f t="shared" ref="M301:R301" si="123">SUM(M293:M299)</f>
        <v>0</v>
      </c>
      <c r="N301" s="113">
        <f t="shared" si="123"/>
        <v>0</v>
      </c>
      <c r="O301" s="113">
        <f t="shared" si="123"/>
        <v>0</v>
      </c>
      <c r="P301" s="113">
        <f t="shared" si="123"/>
        <v>0</v>
      </c>
      <c r="Q301" s="113">
        <f t="shared" si="123"/>
        <v>0</v>
      </c>
      <c r="R301" s="113">
        <f t="shared" si="123"/>
        <v>0</v>
      </c>
      <c r="S301" s="113">
        <f>SUM(S294:S299)</f>
        <v>0</v>
      </c>
      <c r="T301" s="1105" t="e">
        <f>N305/R303</f>
        <v>#DIV/0!</v>
      </c>
      <c r="U301" s="155">
        <f>SUM(U294:U299)*25</f>
        <v>0</v>
      </c>
      <c r="V301" s="839" t="str">
        <f t="shared" si="113"/>
        <v/>
      </c>
      <c r="W301" s="823"/>
      <c r="X301" s="112"/>
      <c r="Y301" s="112"/>
      <c r="Z301" s="112"/>
      <c r="AA301" s="112"/>
      <c r="AB301" s="112"/>
      <c r="AC301" s="112"/>
      <c r="AD301" s="112"/>
      <c r="AE301" s="112"/>
      <c r="AF301" s="112"/>
      <c r="AG301" s="112"/>
      <c r="AH301" s="112"/>
      <c r="AI301" s="112"/>
      <c r="AJ301" s="112"/>
      <c r="AK301" s="75"/>
      <c r="AL301" s="75"/>
      <c r="AM301" s="75"/>
      <c r="AN301" s="75"/>
      <c r="AO301" s="75"/>
      <c r="AP301" s="75"/>
      <c r="AQ301" s="75"/>
      <c r="AR301" s="75"/>
      <c r="AS301" s="75"/>
      <c r="AT301" s="75"/>
      <c r="AU301" s="75"/>
      <c r="AV301" s="75"/>
      <c r="AW301" s="75"/>
      <c r="AX301" s="75"/>
      <c r="AY301" s="75"/>
      <c r="AZ301" s="75"/>
      <c r="BA301" s="75"/>
      <c r="BG301" s="38"/>
      <c r="BH301" s="439"/>
    </row>
    <row r="302" spans="1:60" s="59" customFormat="1" ht="15" customHeight="1">
      <c r="A302" s="1099" t="s">
        <v>73</v>
      </c>
      <c r="B302" s="1100"/>
      <c r="C302" s="1100"/>
      <c r="D302" s="1101"/>
      <c r="E302" s="113"/>
      <c r="F302" s="113"/>
      <c r="G302" s="113"/>
      <c r="H302" s="113"/>
      <c r="I302" s="113"/>
      <c r="J302" s="113"/>
      <c r="K302" s="113"/>
      <c r="L302" s="113"/>
      <c r="M302" s="479"/>
      <c r="N302" s="113"/>
      <c r="O302" s="113"/>
      <c r="P302" s="113"/>
      <c r="Q302" s="113"/>
      <c r="R302" s="113"/>
      <c r="S302" s="114"/>
      <c r="T302" s="1106"/>
      <c r="U302" s="155"/>
      <c r="V302" s="839" t="str">
        <f t="shared" si="113"/>
        <v/>
      </c>
      <c r="W302" s="823"/>
      <c r="X302" s="112"/>
      <c r="Y302" s="112"/>
      <c r="Z302" s="112"/>
      <c r="AA302" s="112"/>
      <c r="AB302" s="112"/>
      <c r="AC302" s="112"/>
      <c r="AD302" s="112"/>
      <c r="AE302" s="112"/>
      <c r="AF302" s="112"/>
      <c r="AG302" s="112"/>
      <c r="AH302" s="112"/>
      <c r="AI302" s="112"/>
      <c r="AJ302" s="112"/>
      <c r="AK302" s="75"/>
      <c r="AL302" s="75"/>
      <c r="AM302" s="75"/>
      <c r="AN302" s="75"/>
      <c r="AO302" s="75"/>
      <c r="AP302" s="75"/>
      <c r="AQ302" s="75"/>
      <c r="AR302" s="75"/>
      <c r="AS302" s="75"/>
      <c r="AT302" s="75"/>
      <c r="AU302" s="75"/>
      <c r="AV302" s="75"/>
      <c r="AW302" s="75"/>
      <c r="AX302" s="75"/>
      <c r="AY302" s="75"/>
      <c r="AZ302" s="75"/>
      <c r="BA302" s="75"/>
      <c r="BG302" s="38"/>
      <c r="BH302" s="439"/>
    </row>
    <row r="303" spans="1:60" s="129" customFormat="1" ht="15" customHeight="1">
      <c r="A303" s="1109" t="s">
        <v>75</v>
      </c>
      <c r="B303" s="1110"/>
      <c r="C303" s="1110"/>
      <c r="D303" s="1111"/>
      <c r="E303" s="73">
        <f t="shared" ref="E303:N303" si="124">SUM(E300:E302)</f>
        <v>0</v>
      </c>
      <c r="F303" s="73">
        <f t="shared" si="124"/>
        <v>0</v>
      </c>
      <c r="G303" s="73">
        <f t="shared" si="124"/>
        <v>0</v>
      </c>
      <c r="H303" s="73">
        <f t="shared" si="124"/>
        <v>0</v>
      </c>
      <c r="I303" s="73">
        <f t="shared" si="124"/>
        <v>0</v>
      </c>
      <c r="J303" s="73">
        <f t="shared" si="124"/>
        <v>0</v>
      </c>
      <c r="K303" s="73">
        <f t="shared" si="124"/>
        <v>0</v>
      </c>
      <c r="L303" s="73">
        <f t="shared" si="124"/>
        <v>0</v>
      </c>
      <c r="M303" s="478">
        <f t="shared" si="124"/>
        <v>0</v>
      </c>
      <c r="N303" s="73">
        <f t="shared" si="124"/>
        <v>0</v>
      </c>
      <c r="O303" s="767">
        <f>+O305-O304</f>
        <v>0</v>
      </c>
      <c r="P303" s="186"/>
      <c r="Q303" s="186"/>
      <c r="R303" s="1095">
        <f>SUM(R294:R299)</f>
        <v>0</v>
      </c>
      <c r="S303" s="1097" t="s">
        <v>250</v>
      </c>
      <c r="T303" s="1117"/>
      <c r="U303" s="142">
        <f>SUM(U294:U299)</f>
        <v>0</v>
      </c>
      <c r="V303" s="834" t="str">
        <f t="shared" si="113"/>
        <v/>
      </c>
      <c r="W303" s="831"/>
      <c r="X303" s="75"/>
      <c r="Y303" s="75"/>
      <c r="Z303" s="75"/>
      <c r="AA303" s="75"/>
      <c r="AB303" s="75"/>
      <c r="AC303" s="75"/>
      <c r="AD303" s="75"/>
      <c r="AE303" s="75"/>
      <c r="AF303" s="75"/>
      <c r="AG303" s="75"/>
      <c r="AH303" s="75"/>
      <c r="AI303" s="75"/>
      <c r="AJ303" s="75"/>
      <c r="AK303" s="75"/>
      <c r="AL303" s="75"/>
      <c r="AM303" s="75"/>
      <c r="AN303" s="75"/>
      <c r="AO303" s="75"/>
      <c r="AP303" s="75"/>
      <c r="AQ303" s="75"/>
      <c r="AR303" s="75"/>
      <c r="AS303" s="75"/>
      <c r="AT303" s="75"/>
      <c r="AU303" s="75"/>
      <c r="AV303" s="75"/>
      <c r="AW303" s="75"/>
      <c r="AX303" s="75"/>
      <c r="AY303" s="75"/>
      <c r="AZ303" s="75"/>
      <c r="BA303" s="75"/>
      <c r="BB303" s="59"/>
      <c r="BC303" s="354"/>
      <c r="BD303" s="354"/>
      <c r="BE303" s="354"/>
      <c r="BF303" s="354"/>
      <c r="BG303" s="354"/>
      <c r="BH303" s="439"/>
    </row>
    <row r="304" spans="1:60" s="129" customFormat="1" ht="15" customHeight="1">
      <c r="A304" s="1099" t="s">
        <v>74</v>
      </c>
      <c r="B304" s="1100"/>
      <c r="C304" s="1100"/>
      <c r="D304" s="1101"/>
      <c r="E304" s="73"/>
      <c r="F304" s="73">
        <f>+F290+F291+F292</f>
        <v>0</v>
      </c>
      <c r="G304" s="73">
        <f t="shared" ref="G304:L304" si="125">+G290+G291+G292</f>
        <v>0</v>
      </c>
      <c r="H304" s="73">
        <f t="shared" si="125"/>
        <v>0</v>
      </c>
      <c r="I304" s="73">
        <f t="shared" si="125"/>
        <v>0</v>
      </c>
      <c r="J304" s="73">
        <f t="shared" si="125"/>
        <v>0</v>
      </c>
      <c r="K304" s="73">
        <f t="shared" si="125"/>
        <v>0</v>
      </c>
      <c r="L304" s="73">
        <f t="shared" si="125"/>
        <v>0</v>
      </c>
      <c r="M304" s="73">
        <f>+M290</f>
        <v>0</v>
      </c>
      <c r="N304" s="73">
        <f>+N290</f>
        <v>0</v>
      </c>
      <c r="O304" s="767">
        <f>+O290+O291+O292</f>
        <v>0</v>
      </c>
      <c r="P304" s="596"/>
      <c r="Q304" s="596"/>
      <c r="R304" s="1127"/>
      <c r="S304" s="1126"/>
      <c r="T304" s="1117"/>
      <c r="U304" s="142"/>
      <c r="V304" s="834"/>
      <c r="W304" s="831"/>
      <c r="X304" s="75"/>
      <c r="Y304" s="75"/>
      <c r="Z304" s="75"/>
      <c r="AA304" s="75"/>
      <c r="AB304" s="75"/>
      <c r="AC304" s="75"/>
      <c r="AD304" s="75"/>
      <c r="AE304" s="75"/>
      <c r="AF304" s="75"/>
      <c r="AG304" s="75"/>
      <c r="AH304" s="75"/>
      <c r="AI304" s="75"/>
      <c r="AJ304" s="75"/>
      <c r="AK304" s="75"/>
      <c r="AL304" s="75"/>
      <c r="AM304" s="75"/>
      <c r="AN304" s="75"/>
      <c r="AO304" s="75"/>
      <c r="AP304" s="75"/>
      <c r="AQ304" s="75"/>
      <c r="AR304" s="75"/>
      <c r="AS304" s="75"/>
      <c r="AT304" s="75"/>
      <c r="AU304" s="75"/>
      <c r="AV304" s="75"/>
      <c r="AW304" s="75"/>
      <c r="AX304" s="75"/>
      <c r="AY304" s="75"/>
      <c r="AZ304" s="75"/>
      <c r="BA304" s="75"/>
      <c r="BB304" s="59"/>
      <c r="BC304" s="354"/>
      <c r="BD304" s="354"/>
      <c r="BE304" s="354"/>
      <c r="BF304" s="354"/>
      <c r="BG304" s="354"/>
      <c r="BH304" s="439"/>
    </row>
    <row r="305" spans="1:151" s="71" customFormat="1" ht="15" customHeight="1">
      <c r="A305" s="1099" t="s">
        <v>77</v>
      </c>
      <c r="B305" s="1100"/>
      <c r="C305" s="1100"/>
      <c r="D305" s="1101"/>
      <c r="E305" s="70">
        <f>SUM(E300:E301)*25+E302*40</f>
        <v>0</v>
      </c>
      <c r="F305" s="70">
        <f>+F304+F301*25+F302*40</f>
        <v>0</v>
      </c>
      <c r="G305" s="70">
        <f>+G304+G301*25+G302*40</f>
        <v>0</v>
      </c>
      <c r="H305" s="70">
        <f>+H304+H301*25+H302*40</f>
        <v>0</v>
      </c>
      <c r="I305" s="70">
        <f t="shared" ref="I305:N305" si="126">+I304+I303</f>
        <v>0</v>
      </c>
      <c r="J305" s="70">
        <f t="shared" si="126"/>
        <v>0</v>
      </c>
      <c r="K305" s="70">
        <f t="shared" si="126"/>
        <v>0</v>
      </c>
      <c r="L305" s="70">
        <f t="shared" si="126"/>
        <v>0</v>
      </c>
      <c r="M305" s="70">
        <f>+M304+M301*25+M302*40</f>
        <v>0</v>
      </c>
      <c r="N305" s="70">
        <f t="shared" si="126"/>
        <v>0</v>
      </c>
      <c r="O305" s="767">
        <f>+SUM(O290:O299)</f>
        <v>0</v>
      </c>
      <c r="P305" s="187"/>
      <c r="Q305" s="187"/>
      <c r="R305" s="1096"/>
      <c r="S305" s="1098"/>
      <c r="T305" s="1118"/>
      <c r="U305" s="142">
        <f>SUM(U300:U302)</f>
        <v>0</v>
      </c>
      <c r="V305" s="834" t="str">
        <f t="shared" si="113"/>
        <v/>
      </c>
      <c r="W305" s="831"/>
      <c r="X305" s="79"/>
      <c r="Y305" s="79"/>
      <c r="Z305" s="79"/>
      <c r="AA305" s="79"/>
      <c r="AB305" s="79"/>
      <c r="AC305" s="79"/>
      <c r="AD305" s="79"/>
      <c r="AE305" s="79"/>
      <c r="AF305" s="79"/>
      <c r="AG305" s="79"/>
      <c r="AH305" s="79"/>
      <c r="AI305" s="79"/>
      <c r="AJ305" s="79"/>
      <c r="AK305" s="79"/>
      <c r="AL305" s="79"/>
      <c r="AM305" s="79"/>
      <c r="AN305" s="79"/>
      <c r="AO305" s="79"/>
      <c r="AP305" s="79"/>
      <c r="AQ305" s="79"/>
      <c r="AR305" s="79"/>
      <c r="AS305" s="79"/>
      <c r="AT305" s="79"/>
      <c r="AU305" s="79"/>
      <c r="AV305" s="79"/>
      <c r="AW305" s="79"/>
      <c r="AX305" s="79"/>
      <c r="AY305" s="79"/>
      <c r="AZ305" s="79"/>
      <c r="BA305" s="79"/>
      <c r="BB305" s="79"/>
      <c r="BH305" s="439"/>
    </row>
    <row r="306" spans="1:151" s="71" customFormat="1" ht="15" customHeight="1">
      <c r="A306" s="286" t="s">
        <v>174</v>
      </c>
      <c r="B306" s="37"/>
      <c r="C306" s="37"/>
      <c r="D306" s="37"/>
      <c r="E306" s="130"/>
      <c r="F306" s="37"/>
      <c r="G306" s="37"/>
      <c r="H306" s="37"/>
      <c r="I306" s="37"/>
      <c r="J306" s="37"/>
      <c r="K306" s="37"/>
      <c r="L306" s="37"/>
      <c r="M306" s="472"/>
      <c r="N306" s="37"/>
      <c r="O306" s="37"/>
      <c r="P306" s="37"/>
      <c r="Q306" s="37"/>
      <c r="R306" s="37"/>
      <c r="S306" s="37"/>
      <c r="T306" s="458"/>
      <c r="U306" s="145"/>
      <c r="V306" s="834" t="str">
        <f t="shared" si="113"/>
        <v/>
      </c>
      <c r="W306" s="831"/>
      <c r="X306" s="115"/>
      <c r="Y306" s="115"/>
      <c r="Z306" s="115"/>
      <c r="AA306" s="115"/>
      <c r="AB306" s="115"/>
      <c r="AC306" s="115"/>
      <c r="AD306" s="115"/>
      <c r="AE306" s="115"/>
      <c r="AF306" s="115"/>
      <c r="AG306" s="115"/>
      <c r="AH306" s="115"/>
      <c r="AI306" s="115"/>
      <c r="AJ306" s="115"/>
      <c r="AK306" s="115"/>
      <c r="AL306" s="115"/>
      <c r="AM306" s="115"/>
      <c r="AN306" s="115"/>
      <c r="AO306" s="115"/>
      <c r="AP306" s="115"/>
      <c r="AQ306" s="115"/>
      <c r="AR306" s="115"/>
      <c r="AS306" s="115"/>
      <c r="AT306" s="115"/>
      <c r="AU306" s="115"/>
      <c r="AV306" s="115"/>
      <c r="AW306" s="115"/>
      <c r="AX306" s="115"/>
      <c r="AY306" s="115"/>
      <c r="AZ306" s="115"/>
      <c r="BA306" s="115"/>
      <c r="BB306" s="115"/>
      <c r="BH306" s="439"/>
    </row>
    <row r="307" spans="1:151" s="71" customFormat="1" ht="15" customHeight="1">
      <c r="A307" s="286" t="s">
        <v>175</v>
      </c>
      <c r="B307" s="38"/>
      <c r="C307" s="38"/>
      <c r="D307" s="38"/>
      <c r="E307" s="38"/>
      <c r="F307" s="38"/>
      <c r="G307" s="38"/>
      <c r="H307" s="38"/>
      <c r="I307" s="38"/>
      <c r="J307" s="38"/>
      <c r="K307" s="38"/>
      <c r="L307" s="38"/>
      <c r="M307" s="465"/>
      <c r="N307" s="38"/>
      <c r="O307" s="38"/>
      <c r="P307" s="38"/>
      <c r="Q307" s="38"/>
      <c r="R307" s="38"/>
      <c r="S307" s="38"/>
      <c r="T307" s="459"/>
      <c r="U307" s="134"/>
      <c r="V307" s="834" t="str">
        <f t="shared" si="113"/>
        <v/>
      </c>
      <c r="W307" s="831"/>
      <c r="X307" s="115"/>
      <c r="Y307" s="115"/>
      <c r="Z307" s="115"/>
      <c r="AA307" s="115"/>
      <c r="AB307" s="115"/>
      <c r="AC307" s="115"/>
      <c r="AD307" s="115"/>
      <c r="AE307" s="115"/>
      <c r="AF307" s="115"/>
      <c r="AG307" s="115"/>
      <c r="AH307" s="115"/>
      <c r="AI307" s="115"/>
      <c r="AJ307" s="115"/>
      <c r="AK307" s="115"/>
      <c r="AL307" s="115"/>
      <c r="AM307" s="115"/>
      <c r="AN307" s="115"/>
      <c r="AO307" s="115"/>
      <c r="AP307" s="115"/>
      <c r="AQ307" s="115"/>
      <c r="AR307" s="115"/>
      <c r="AS307" s="115"/>
      <c r="AT307" s="115"/>
      <c r="AU307" s="115"/>
      <c r="AV307" s="115"/>
      <c r="AW307" s="115"/>
      <c r="AX307" s="115"/>
      <c r="AY307" s="115"/>
      <c r="AZ307" s="115"/>
      <c r="BA307" s="115"/>
      <c r="BB307" s="115"/>
      <c r="BH307" s="439"/>
    </row>
    <row r="308" spans="1:151" s="71" customFormat="1" ht="15" customHeight="1">
      <c r="A308" s="286" t="s">
        <v>176</v>
      </c>
      <c r="B308" s="362"/>
      <c r="C308" s="362"/>
      <c r="D308" s="362"/>
      <c r="E308" s="362"/>
      <c r="F308" s="362"/>
      <c r="G308" s="362"/>
      <c r="H308" s="362"/>
      <c r="I308" s="362"/>
      <c r="J308" s="362"/>
      <c r="K308" s="362"/>
      <c r="L308" s="362"/>
      <c r="M308" s="473"/>
      <c r="N308" s="362"/>
      <c r="O308" s="362"/>
      <c r="P308" s="362"/>
      <c r="Q308" s="362"/>
      <c r="R308" s="362"/>
      <c r="S308" s="362"/>
      <c r="T308" s="460"/>
      <c r="U308" s="134"/>
      <c r="V308" s="834" t="str">
        <f t="shared" si="113"/>
        <v/>
      </c>
      <c r="W308" s="831"/>
      <c r="X308" s="115"/>
      <c r="Y308" s="115"/>
      <c r="Z308" s="115"/>
      <c r="AA308" s="115"/>
      <c r="AB308" s="115"/>
      <c r="AC308" s="115"/>
      <c r="AD308" s="115"/>
      <c r="AE308" s="115"/>
      <c r="AF308" s="115"/>
      <c r="AG308" s="115"/>
      <c r="AH308" s="115"/>
      <c r="AI308" s="115"/>
      <c r="AJ308" s="115"/>
      <c r="AK308" s="115"/>
      <c r="AL308" s="115"/>
      <c r="AM308" s="115"/>
      <c r="AN308" s="115"/>
      <c r="AO308" s="115"/>
      <c r="AP308" s="115"/>
      <c r="AQ308" s="115"/>
      <c r="AR308" s="115"/>
      <c r="AS308" s="115"/>
      <c r="AT308" s="115"/>
      <c r="AU308" s="115"/>
      <c r="AV308" s="115"/>
      <c r="AW308" s="115"/>
      <c r="AX308" s="115"/>
      <c r="AY308" s="115"/>
      <c r="AZ308" s="115"/>
      <c r="BA308" s="115"/>
      <c r="BB308" s="115"/>
      <c r="BH308" s="439"/>
    </row>
    <row r="309" spans="1:151" ht="15" customHeight="1">
      <c r="A309" s="443" t="s">
        <v>20</v>
      </c>
      <c r="B309" s="443"/>
      <c r="C309" s="443"/>
      <c r="D309" s="443"/>
      <c r="E309" s="443"/>
      <c r="F309" s="443"/>
      <c r="G309" s="443"/>
      <c r="H309" s="443"/>
      <c r="I309" s="443"/>
      <c r="J309" s="443"/>
      <c r="K309" s="443"/>
      <c r="L309" s="443"/>
      <c r="M309" s="468"/>
      <c r="N309" s="443"/>
      <c r="O309" s="443"/>
      <c r="P309" s="443"/>
      <c r="Q309" s="443"/>
      <c r="R309" s="443"/>
      <c r="S309" s="443"/>
      <c r="T309" s="78"/>
      <c r="U309" s="139"/>
      <c r="V309" s="839" t="str">
        <f t="shared" si="113"/>
        <v/>
      </c>
      <c r="AB309" s="290"/>
    </row>
    <row r="310" spans="1:151" ht="15" customHeight="1">
      <c r="A310" s="444" t="s">
        <v>78</v>
      </c>
      <c r="B310" s="444"/>
      <c r="C310" s="444"/>
      <c r="D310" s="444"/>
      <c r="E310" s="444"/>
      <c r="F310" s="444"/>
      <c r="G310" s="444"/>
      <c r="H310" s="444"/>
      <c r="I310" s="444"/>
      <c r="J310" s="444"/>
      <c r="K310" s="444"/>
      <c r="L310" s="444"/>
      <c r="M310" s="469"/>
      <c r="N310" s="444"/>
      <c r="O310" s="444"/>
      <c r="P310" s="444"/>
      <c r="Q310" s="444"/>
      <c r="R310" s="444"/>
      <c r="S310" s="444"/>
      <c r="T310" s="407"/>
      <c r="U310" s="140"/>
      <c r="V310" s="839" t="str">
        <f t="shared" si="113"/>
        <v/>
      </c>
    </row>
    <row r="311" spans="1:151" s="63" customFormat="1" ht="32.25" customHeight="1">
      <c r="A311" s="925" t="s">
        <v>22</v>
      </c>
      <c r="B311" s="916" t="s">
        <v>23</v>
      </c>
      <c r="C311" s="916" t="s">
        <v>24</v>
      </c>
      <c r="D311" s="928" t="s">
        <v>178</v>
      </c>
      <c r="E311" s="61" t="s">
        <v>26</v>
      </c>
      <c r="F311" s="931" t="s">
        <v>27</v>
      </c>
      <c r="G311" s="936"/>
      <c r="H311" s="932"/>
      <c r="I311" s="931" t="s">
        <v>28</v>
      </c>
      <c r="J311" s="936"/>
      <c r="K311" s="936"/>
      <c r="L311" s="936"/>
      <c r="M311" s="931" t="s">
        <v>29</v>
      </c>
      <c r="N311" s="932"/>
      <c r="O311" s="183" t="s">
        <v>30</v>
      </c>
      <c r="P311" s="183"/>
      <c r="Q311" s="183"/>
      <c r="R311" s="183" t="s">
        <v>31</v>
      </c>
      <c r="S311" s="928" t="s">
        <v>32</v>
      </c>
      <c r="T311" s="1049" t="s">
        <v>33</v>
      </c>
      <c r="U311" s="881" t="s">
        <v>34</v>
      </c>
      <c r="V311" s="830"/>
      <c r="W311" s="831"/>
      <c r="X311" s="83"/>
      <c r="Y311" s="83"/>
      <c r="Z311" s="83"/>
      <c r="AA311" s="83"/>
      <c r="AB311" s="83"/>
      <c r="AC311" s="83"/>
      <c r="AD311" s="83"/>
      <c r="AE311" s="83"/>
      <c r="AF311" s="83"/>
      <c r="AG311" s="83"/>
      <c r="AH311" s="83"/>
      <c r="AI311" s="83"/>
      <c r="AJ311" s="83"/>
      <c r="AK311" s="83"/>
      <c r="AL311" s="83"/>
      <c r="AM311" s="83"/>
      <c r="AN311" s="83"/>
      <c r="AO311" s="83"/>
      <c r="AP311" s="83"/>
      <c r="AQ311" s="83"/>
      <c r="AR311" s="83"/>
      <c r="AS311" s="83"/>
      <c r="AT311" s="83"/>
      <c r="AU311" s="83"/>
      <c r="AV311" s="83"/>
      <c r="AW311" s="83"/>
      <c r="AX311" s="83"/>
      <c r="AY311" s="83"/>
      <c r="AZ311" s="83"/>
      <c r="BA311" s="83"/>
      <c r="BH311" s="437"/>
    </row>
    <row r="312" spans="1:151" s="63" customFormat="1" ht="44.25" customHeight="1">
      <c r="A312" s="926"/>
      <c r="B312" s="917"/>
      <c r="C312" s="917"/>
      <c r="D312" s="929" t="s">
        <v>35</v>
      </c>
      <c r="E312" s="64" t="s">
        <v>36</v>
      </c>
      <c r="F312" s="680" t="s">
        <v>37</v>
      </c>
      <c r="G312" s="512" t="s">
        <v>38</v>
      </c>
      <c r="H312" s="681" t="s">
        <v>39</v>
      </c>
      <c r="I312" s="931" t="s">
        <v>40</v>
      </c>
      <c r="J312" s="936"/>
      <c r="K312" s="512" t="s">
        <v>41</v>
      </c>
      <c r="L312" s="681" t="s">
        <v>42</v>
      </c>
      <c r="M312" s="931" t="s">
        <v>43</v>
      </c>
      <c r="N312" s="932"/>
      <c r="O312" s="683" t="s">
        <v>44</v>
      </c>
      <c r="P312" s="184"/>
      <c r="Q312" s="184"/>
      <c r="R312" s="683" t="s">
        <v>45</v>
      </c>
      <c r="S312" s="929"/>
      <c r="T312" s="1050"/>
      <c r="U312" s="882"/>
      <c r="V312" s="830" t="str">
        <f t="shared" ref="V312:V319" si="127">B312&amp;D312</f>
        <v>SIZE</v>
      </c>
      <c r="W312" s="831"/>
      <c r="X312" s="83"/>
      <c r="Y312" s="83"/>
      <c r="Z312" s="83"/>
      <c r="AA312" s="83"/>
      <c r="AB312" s="83"/>
      <c r="AC312" s="83"/>
      <c r="AD312" s="83"/>
      <c r="AE312" s="83"/>
      <c r="AF312" s="83"/>
      <c r="AG312" s="83"/>
      <c r="AH312" s="83"/>
      <c r="AI312" s="83"/>
      <c r="AJ312" s="83"/>
      <c r="AK312" s="83"/>
      <c r="AL312" s="83"/>
      <c r="AM312" s="83"/>
      <c r="AN312" s="83"/>
      <c r="AO312" s="83"/>
      <c r="AP312" s="83"/>
      <c r="AQ312" s="83"/>
      <c r="AR312" s="83"/>
      <c r="AS312" s="83"/>
      <c r="AT312" s="83"/>
      <c r="AU312" s="83"/>
      <c r="AV312" s="83"/>
      <c r="AW312" s="83"/>
      <c r="AX312" s="83"/>
      <c r="AY312" s="83"/>
      <c r="AZ312" s="83"/>
      <c r="BA312" s="83"/>
      <c r="BH312" s="437"/>
    </row>
    <row r="313" spans="1:151" s="63" customFormat="1" ht="17.25" customHeight="1">
      <c r="A313" s="927"/>
      <c r="B313" s="918"/>
      <c r="C313" s="918"/>
      <c r="D313" s="930" t="s">
        <v>46</v>
      </c>
      <c r="E313" s="64" t="s">
        <v>47</v>
      </c>
      <c r="F313" s="64" t="s">
        <v>47</v>
      </c>
      <c r="G313" s="64" t="s">
        <v>47</v>
      </c>
      <c r="H313" s="64" t="s">
        <v>47</v>
      </c>
      <c r="I313" s="64" t="s">
        <v>47</v>
      </c>
      <c r="J313" s="64" t="s">
        <v>46</v>
      </c>
      <c r="K313" s="64" t="s">
        <v>47</v>
      </c>
      <c r="L313" s="64" t="s">
        <v>47</v>
      </c>
      <c r="M313" s="64" t="s">
        <v>47</v>
      </c>
      <c r="N313" s="65" t="s">
        <v>46</v>
      </c>
      <c r="O313" s="65" t="s">
        <v>46</v>
      </c>
      <c r="P313" s="185"/>
      <c r="Q313" s="185"/>
      <c r="R313" s="65" t="s">
        <v>48</v>
      </c>
      <c r="S313" s="930"/>
      <c r="T313" s="1051"/>
      <c r="U313" s="684" t="s">
        <v>47</v>
      </c>
      <c r="V313" s="835" t="str">
        <f t="shared" si="127"/>
        <v>(Kg)</v>
      </c>
      <c r="W313" s="831"/>
      <c r="X313" s="311">
        <v>1</v>
      </c>
      <c r="Y313" s="89">
        <v>2</v>
      </c>
      <c r="Z313" s="88">
        <v>3</v>
      </c>
      <c r="AA313" s="89">
        <v>4</v>
      </c>
      <c r="AB313" s="88">
        <v>5</v>
      </c>
      <c r="AC313" s="89">
        <v>6</v>
      </c>
      <c r="AD313" s="88">
        <v>7</v>
      </c>
      <c r="AE313" s="89">
        <v>8</v>
      </c>
      <c r="AF313" s="88">
        <v>9</v>
      </c>
      <c r="AG313" s="89">
        <v>10</v>
      </c>
      <c r="AH313" s="88">
        <v>11</v>
      </c>
      <c r="AI313" s="89">
        <v>12</v>
      </c>
      <c r="AJ313" s="88">
        <v>13</v>
      </c>
      <c r="AK313" s="89">
        <v>14</v>
      </c>
      <c r="AL313" s="88">
        <v>15</v>
      </c>
      <c r="AM313" s="89">
        <v>16</v>
      </c>
      <c r="AN313" s="88">
        <v>17</v>
      </c>
      <c r="AO313" s="89">
        <v>18</v>
      </c>
      <c r="AP313" s="88">
        <v>19</v>
      </c>
      <c r="AQ313" s="89">
        <v>20</v>
      </c>
      <c r="AR313" s="88">
        <v>21</v>
      </c>
      <c r="AS313" s="89">
        <v>22</v>
      </c>
      <c r="AT313" s="88">
        <v>23</v>
      </c>
      <c r="AU313" s="89">
        <v>24</v>
      </c>
      <c r="AV313" s="88">
        <v>25</v>
      </c>
      <c r="AW313" s="89">
        <v>26</v>
      </c>
      <c r="AX313" s="88">
        <v>27</v>
      </c>
      <c r="AY313" s="89">
        <v>28</v>
      </c>
      <c r="AZ313" s="88">
        <v>29</v>
      </c>
      <c r="BA313" s="89">
        <v>30</v>
      </c>
      <c r="BB313" s="89">
        <v>31</v>
      </c>
      <c r="BC313" s="66" t="s">
        <v>49</v>
      </c>
      <c r="BD313" s="785" t="s">
        <v>85</v>
      </c>
      <c r="BE313" s="785" t="s">
        <v>86</v>
      </c>
      <c r="BH313" s="437"/>
    </row>
    <row r="314" spans="1:151" s="63" customFormat="1" ht="15" customHeight="1">
      <c r="A314" s="68">
        <v>1</v>
      </c>
      <c r="B314" s="628">
        <v>6824</v>
      </c>
      <c r="C314" s="628" t="s">
        <v>79</v>
      </c>
      <c r="D314" s="629">
        <v>25</v>
      </c>
      <c r="E314" s="631">
        <v>0</v>
      </c>
      <c r="F314" s="100">
        <f>SUMIF(pro!$A:$A,$V:$V,pro!$N:$N)</f>
        <v>0</v>
      </c>
      <c r="G314" s="351"/>
      <c r="H314" s="100">
        <f>SUMIF(CBIN!$A:$A,BRAN!$V:$V,CBIN!$G:$G)</f>
        <v>0</v>
      </c>
      <c r="I314" s="351">
        <f>SUMIF(data!$D:$D,$B314&amp;$D314,data!$J:$J)</f>
        <v>0</v>
      </c>
      <c r="J314" s="351">
        <f>SUMIF(data!$D:$D,$B314&amp;$D314,data!$K:$K)</f>
        <v>0</v>
      </c>
      <c r="K314" s="100">
        <f>SUMIF(AJOUT!$A:$A,BRAN!$V:$V,AJOUT!$L:$L)</f>
        <v>0</v>
      </c>
      <c r="L314" s="100">
        <f>SUMIF(CBOUT!$A:$A,BRAN!$V:$V,CBOUT!$G:$G)</f>
        <v>0</v>
      </c>
      <c r="M314" s="650">
        <v>0</v>
      </c>
      <c r="N314" s="351">
        <f>M314*D314</f>
        <v>0</v>
      </c>
      <c r="O314" s="1161">
        <f t="shared" ref="O314:O319" si="128">SUM(X314:BB314)</f>
        <v>0</v>
      </c>
      <c r="P314" s="665"/>
      <c r="Q314" s="665"/>
      <c r="R314" s="804">
        <f>O314/INTGRATE!$N$293</f>
        <v>0</v>
      </c>
      <c r="S314" s="665">
        <f t="shared" ref="S314:S319" si="129">IF(R314=0,0,N314/R314)</f>
        <v>0</v>
      </c>
      <c r="T314" s="401"/>
      <c r="U314" s="136"/>
      <c r="V314" s="836" t="str">
        <f t="shared" si="127"/>
        <v>682425</v>
      </c>
      <c r="W314" s="831">
        <v>127800</v>
      </c>
      <c r="X314" s="68"/>
      <c r="Y314" s="68">
        <v>0</v>
      </c>
      <c r="Z314" s="390">
        <v>0</v>
      </c>
      <c r="AA314" s="100">
        <v>0</v>
      </c>
      <c r="AB314" s="100">
        <v>0</v>
      </c>
      <c r="AC314" s="100">
        <v>0</v>
      </c>
      <c r="AD314" s="351">
        <v>0</v>
      </c>
      <c r="AE314" s="100">
        <v>0</v>
      </c>
      <c r="AF314" s="100">
        <v>0</v>
      </c>
      <c r="AG314" s="100"/>
      <c r="AH314" s="100"/>
      <c r="AI314" s="100"/>
      <c r="AJ314" s="100"/>
      <c r="AK314" s="100"/>
      <c r="AL314" s="100"/>
      <c r="AM314" s="100"/>
      <c r="AN314" s="100"/>
      <c r="AO314" s="100"/>
      <c r="AP314" s="100"/>
      <c r="AQ314" s="351"/>
      <c r="AR314" s="100"/>
      <c r="AS314" s="100"/>
      <c r="AT314" s="100"/>
      <c r="AU314" s="100"/>
      <c r="AV314" s="100"/>
      <c r="AW314" s="100"/>
      <c r="AX314" s="351"/>
      <c r="AY314" s="100"/>
      <c r="AZ314" s="100"/>
      <c r="BA314" s="100"/>
      <c r="BB314" s="100"/>
      <c r="BC314" s="275">
        <f t="shared" ref="BC314:BC315" si="130">SUM(X314:BB314)</f>
        <v>0</v>
      </c>
      <c r="BD314" s="786">
        <f>COUNTIF(X314:BB314,"&gt;0")</f>
        <v>0</v>
      </c>
      <c r="BE314" s="786">
        <f>IFERROR(BC314/BD314,0)</f>
        <v>0</v>
      </c>
      <c r="BH314" s="437"/>
    </row>
    <row r="315" spans="1:151" s="63" customFormat="1" ht="15" customHeight="1">
      <c r="A315" s="68">
        <v>2</v>
      </c>
      <c r="B315" s="628">
        <v>6824</v>
      </c>
      <c r="C315" s="628" t="s">
        <v>79</v>
      </c>
      <c r="D315" s="629" t="s">
        <v>66</v>
      </c>
      <c r="E315" s="626">
        <v>0</v>
      </c>
      <c r="F315" s="100">
        <f>+J315</f>
        <v>0</v>
      </c>
      <c r="G315" s="351"/>
      <c r="H315" s="100">
        <f>SUMIF(CBIN!$A:$A,BRAN!$V:$V,CBIN!$G:$G)</f>
        <v>0</v>
      </c>
      <c r="I315" s="351">
        <f>SUMIF(data!$D:$D,$B315&amp;$D315,data!$J:$J)</f>
        <v>0</v>
      </c>
      <c r="J315" s="351">
        <f>SUMIF(data!$D:$D,$B315&amp;$D315,data!$K:$K)</f>
        <v>0</v>
      </c>
      <c r="K315" s="100">
        <f>SUMIF(AJOUT!$A:$A,BRAN!$V:$V,AJOUT!$L:$L)</f>
        <v>0</v>
      </c>
      <c r="L315" s="100">
        <f>SUMIF(CBOUT!$A:$A,BRAN!$V:$V,CBOUT!$G:$G)</f>
        <v>0</v>
      </c>
      <c r="M315" s="650">
        <v>0</v>
      </c>
      <c r="N315" s="351">
        <v>0</v>
      </c>
      <c r="O315" s="1161">
        <f t="shared" si="128"/>
        <v>0</v>
      </c>
      <c r="P315" s="665"/>
      <c r="Q315" s="665"/>
      <c r="R315" s="804">
        <f>O315/INTGRATE!$N$293</f>
        <v>0</v>
      </c>
      <c r="S315" s="665">
        <f t="shared" si="129"/>
        <v>0</v>
      </c>
      <c r="T315" s="401"/>
      <c r="U315" s="136"/>
      <c r="V315" s="836" t="str">
        <f t="shared" si="127"/>
        <v>6824SILO</v>
      </c>
      <c r="W315" s="831">
        <v>127800</v>
      </c>
      <c r="X315" s="68"/>
      <c r="Y315" s="68">
        <v>0</v>
      </c>
      <c r="Z315" s="390">
        <v>0</v>
      </c>
      <c r="AA315" s="100">
        <v>0</v>
      </c>
      <c r="AB315" s="100">
        <v>0</v>
      </c>
      <c r="AC315" s="100">
        <v>0</v>
      </c>
      <c r="AD315" s="351">
        <v>0</v>
      </c>
      <c r="AE315" s="100">
        <v>0</v>
      </c>
      <c r="AF315" s="100">
        <v>0</v>
      </c>
      <c r="AG315" s="100"/>
      <c r="AH315" s="100"/>
      <c r="AI315" s="100"/>
      <c r="AJ315" s="100"/>
      <c r="AK315" s="100"/>
      <c r="AL315" s="100"/>
      <c r="AM315" s="100"/>
      <c r="AN315" s="100"/>
      <c r="AO315" s="100"/>
      <c r="AP315" s="100"/>
      <c r="AQ315" s="351"/>
      <c r="AR315" s="100"/>
      <c r="AS315" s="100"/>
      <c r="AT315" s="100"/>
      <c r="AU315" s="100"/>
      <c r="AV315" s="100"/>
      <c r="AW315" s="100"/>
      <c r="AX315" s="351"/>
      <c r="AY315" s="100"/>
      <c r="AZ315" s="100"/>
      <c r="BA315" s="100"/>
      <c r="BB315" s="100"/>
      <c r="BC315" s="275">
        <f t="shared" si="130"/>
        <v>0</v>
      </c>
      <c r="BD315" s="786">
        <f t="shared" ref="BD315" si="131">COUNTIF(X315:BB315,"&gt;0")</f>
        <v>0</v>
      </c>
      <c r="BE315" s="786">
        <f t="shared" ref="BE315" si="132">IFERROR(BC315/BD315,0)</f>
        <v>0</v>
      </c>
      <c r="BH315" s="437"/>
    </row>
    <row r="316" spans="1:151" s="108" customFormat="1" ht="15" customHeight="1">
      <c r="A316" s="68">
        <v>3</v>
      </c>
      <c r="B316" s="175">
        <v>6911</v>
      </c>
      <c r="C316" s="175" t="s">
        <v>61</v>
      </c>
      <c r="D316" s="176">
        <v>25</v>
      </c>
      <c r="E316" s="649">
        <v>0</v>
      </c>
      <c r="F316" s="100">
        <f>SUMIF(pro!$A:$A,$V:$V,pro!$N:$N)</f>
        <v>0</v>
      </c>
      <c r="G316" s="351"/>
      <c r="H316" s="100">
        <f>SUMIF(CBIN!$A:$A,BRAN!$V:$V,CBIN!$G:$G)</f>
        <v>0</v>
      </c>
      <c r="I316" s="351">
        <f>SUMIF(data!$D:$D,$B316&amp;$D316,data!$J:$J)</f>
        <v>0</v>
      </c>
      <c r="J316" s="351">
        <f>SUMIF(data!$D:$D,$B316&amp;$D316,data!$K:$K)</f>
        <v>0</v>
      </c>
      <c r="K316" s="100">
        <f>SUMIF(AJOUT!$A:$A,BRAN!$V:$V,AJOUT!$L:$L)</f>
        <v>0</v>
      </c>
      <c r="L316" s="100">
        <f>SUMIF(CBOUT!$A:$A,BRAN!$V:$V,CBOUT!$G:$G)</f>
        <v>0</v>
      </c>
      <c r="M316" s="650">
        <f>E316+F316+H316-I316-L316+G316-K316</f>
        <v>0</v>
      </c>
      <c r="N316" s="351">
        <f>M316*D316</f>
        <v>0</v>
      </c>
      <c r="O316" s="1161">
        <f t="shared" si="128"/>
        <v>0</v>
      </c>
      <c r="P316" s="665"/>
      <c r="Q316" s="665"/>
      <c r="R316" s="804">
        <f>O316/INTGRATE!$N$293</f>
        <v>0</v>
      </c>
      <c r="S316" s="665">
        <f t="shared" si="129"/>
        <v>0</v>
      </c>
      <c r="T316" s="401"/>
      <c r="U316" s="136"/>
      <c r="V316" s="836" t="str">
        <f t="shared" si="127"/>
        <v>691125</v>
      </c>
      <c r="W316" s="823">
        <v>115701</v>
      </c>
      <c r="X316" s="68"/>
      <c r="Y316" s="68">
        <v>0</v>
      </c>
      <c r="Z316" s="390">
        <v>0</v>
      </c>
      <c r="AA316" s="100">
        <v>0</v>
      </c>
      <c r="AB316" s="100">
        <v>0</v>
      </c>
      <c r="AC316" s="100">
        <v>0</v>
      </c>
      <c r="AD316" s="351">
        <v>0</v>
      </c>
      <c r="AE316" s="100">
        <v>0</v>
      </c>
      <c r="AF316" s="100">
        <v>0</v>
      </c>
      <c r="AG316" s="100"/>
      <c r="AH316" s="100"/>
      <c r="AI316" s="100"/>
      <c r="AJ316" s="100"/>
      <c r="AK316" s="100"/>
      <c r="AL316" s="100"/>
      <c r="AM316" s="100"/>
      <c r="AN316" s="100"/>
      <c r="AO316" s="100"/>
      <c r="AP316" s="100"/>
      <c r="AQ316" s="351"/>
      <c r="AR316" s="100"/>
      <c r="AS316" s="100"/>
      <c r="AT316" s="100"/>
      <c r="AU316" s="100"/>
      <c r="AV316" s="100"/>
      <c r="AW316" s="351"/>
      <c r="AX316" s="351"/>
      <c r="AY316" s="100"/>
      <c r="AZ316" s="100"/>
      <c r="BA316" s="100"/>
      <c r="BB316" s="100"/>
      <c r="BC316" s="275">
        <f t="shared" ref="BC316:BC330" si="133">SUM(X316:BB316)</f>
        <v>0</v>
      </c>
      <c r="BD316" s="786">
        <f t="shared" ref="BD316:BD330" si="134">COUNTIF(X316:BB316,"&gt;0")</f>
        <v>0</v>
      </c>
      <c r="BE316" s="786">
        <f t="shared" ref="BE316:BE330" si="135">IFERROR(BC316/BD316,0)</f>
        <v>0</v>
      </c>
      <c r="BF316" s="58"/>
      <c r="BG316" s="58"/>
      <c r="BH316" s="438"/>
      <c r="BI316" s="58"/>
      <c r="BJ316" s="58"/>
      <c r="BK316" s="58"/>
      <c r="BL316" s="58"/>
      <c r="BM316" s="58"/>
      <c r="BN316" s="58"/>
      <c r="BO316" s="58"/>
      <c r="BP316" s="58"/>
      <c r="BQ316" s="58"/>
      <c r="BR316" s="58"/>
      <c r="BS316" s="58"/>
      <c r="BT316" s="58"/>
      <c r="BU316" s="58"/>
      <c r="BV316" s="58"/>
      <c r="BW316" s="58"/>
      <c r="BX316" s="58"/>
      <c r="BY316" s="58"/>
      <c r="BZ316" s="58"/>
      <c r="CA316" s="58"/>
      <c r="CB316" s="58"/>
      <c r="CC316" s="58"/>
      <c r="CD316" s="58"/>
      <c r="CE316" s="58"/>
      <c r="CF316" s="58"/>
      <c r="CG316" s="58"/>
      <c r="CH316" s="58"/>
      <c r="CI316" s="58"/>
      <c r="CJ316" s="58"/>
      <c r="CK316" s="58"/>
      <c r="CL316" s="58"/>
      <c r="CM316" s="58"/>
      <c r="CN316" s="58"/>
      <c r="CO316" s="58"/>
      <c r="CP316" s="58"/>
      <c r="CQ316" s="58"/>
      <c r="CR316" s="58"/>
      <c r="CS316" s="58"/>
      <c r="CT316" s="58"/>
      <c r="CU316" s="58"/>
      <c r="CV316" s="58"/>
      <c r="CW316" s="58"/>
      <c r="CX316" s="58"/>
      <c r="CY316" s="58"/>
      <c r="CZ316" s="58"/>
      <c r="DA316" s="58"/>
      <c r="DB316" s="58"/>
      <c r="DC316" s="58"/>
      <c r="DD316" s="58"/>
      <c r="DE316" s="58"/>
      <c r="DF316" s="58"/>
      <c r="DG316" s="58"/>
      <c r="DH316" s="58"/>
      <c r="DI316" s="58"/>
      <c r="DJ316" s="58"/>
      <c r="DK316" s="58"/>
      <c r="DL316" s="58"/>
      <c r="DM316" s="58"/>
      <c r="DN316" s="58"/>
      <c r="DO316" s="58"/>
      <c r="DP316" s="58"/>
      <c r="DQ316" s="58"/>
      <c r="DR316" s="58"/>
      <c r="DS316" s="58"/>
      <c r="DT316" s="58"/>
      <c r="DU316" s="58"/>
      <c r="DV316" s="58"/>
      <c r="DW316" s="58"/>
      <c r="DX316" s="58"/>
      <c r="DY316" s="58"/>
      <c r="DZ316" s="58"/>
      <c r="EA316" s="58"/>
      <c r="EB316" s="58"/>
      <c r="EC316" s="58"/>
      <c r="ED316" s="58"/>
      <c r="EE316" s="58"/>
      <c r="EF316" s="58"/>
      <c r="EG316" s="58"/>
      <c r="EH316" s="58"/>
      <c r="EI316" s="58"/>
      <c r="EJ316" s="58"/>
      <c r="EK316" s="58"/>
      <c r="EL316" s="58"/>
      <c r="EM316" s="58"/>
      <c r="EN316" s="58"/>
      <c r="EO316" s="58"/>
      <c r="EP316" s="58"/>
      <c r="EQ316" s="58"/>
      <c r="ER316" s="58"/>
      <c r="ES316" s="58"/>
      <c r="ET316" s="58"/>
      <c r="EU316" s="58"/>
    </row>
    <row r="317" spans="1:151" s="108" customFormat="1" ht="15" customHeight="1">
      <c r="A317" s="68">
        <v>4</v>
      </c>
      <c r="B317" s="630">
        <v>6924</v>
      </c>
      <c r="C317" s="630" t="s">
        <v>80</v>
      </c>
      <c r="D317" s="629">
        <v>25</v>
      </c>
      <c r="E317" s="649">
        <v>659</v>
      </c>
      <c r="F317" s="100">
        <f>SUMIF(pro!$A:$A,$V:$V,pro!$N:$N)</f>
        <v>0</v>
      </c>
      <c r="G317" s="351"/>
      <c r="H317" s="100">
        <f>SUMIF(CBIN!$A:$A,BRAN!$V:$V,CBIN!$G:$G)</f>
        <v>0</v>
      </c>
      <c r="I317" s="351">
        <f>SUMIF(data!$D:$D,$B317&amp;$D317,data!$J:$J)</f>
        <v>0</v>
      </c>
      <c r="J317" s="351">
        <f>SUMIF(data!$D:$D,$B317&amp;$D317,data!$K:$K)</f>
        <v>0</v>
      </c>
      <c r="K317" s="100">
        <f>SUMIF(AJOUT!$A:$A,BRAN!$V:$V,AJOUT!$L:$L)</f>
        <v>0</v>
      </c>
      <c r="L317" s="100">
        <f>SUMIF(CBOUT!$A:$A,BRAN!$V:$V,CBOUT!$G:$G)</f>
        <v>0</v>
      </c>
      <c r="M317" s="650">
        <f>E317+F317+H317-I317-L317+G317-K317</f>
        <v>659</v>
      </c>
      <c r="N317" s="351">
        <f>M317*D317</f>
        <v>16475</v>
      </c>
      <c r="O317" s="1161">
        <f t="shared" si="128"/>
        <v>13450</v>
      </c>
      <c r="P317" s="665"/>
      <c r="Q317" s="665"/>
      <c r="R317" s="804">
        <f>O317/INTGRATE!$N$293</f>
        <v>1494.4444444444443</v>
      </c>
      <c r="S317" s="665">
        <f t="shared" si="129"/>
        <v>11.024163568773234</v>
      </c>
      <c r="T317" s="401"/>
      <c r="U317" s="136"/>
      <c r="V317" s="836" t="str">
        <f t="shared" si="127"/>
        <v>692425</v>
      </c>
      <c r="W317" s="831">
        <v>127801</v>
      </c>
      <c r="X317" s="68"/>
      <c r="Y317" s="68">
        <v>1625</v>
      </c>
      <c r="Z317" s="390">
        <v>0</v>
      </c>
      <c r="AA317" s="100">
        <v>2100</v>
      </c>
      <c r="AB317" s="100">
        <v>0</v>
      </c>
      <c r="AC317" s="100">
        <v>3475</v>
      </c>
      <c r="AD317" s="351">
        <v>0</v>
      </c>
      <c r="AE317" s="100">
        <v>0</v>
      </c>
      <c r="AF317" s="100">
        <v>6250</v>
      </c>
      <c r="AG317" s="100"/>
      <c r="AH317" s="100"/>
      <c r="AI317" s="100"/>
      <c r="AJ317" s="100"/>
      <c r="AK317" s="100"/>
      <c r="AL317" s="100"/>
      <c r="AM317" s="100"/>
      <c r="AN317" s="100"/>
      <c r="AO317" s="100"/>
      <c r="AP317" s="100"/>
      <c r="AQ317" s="351"/>
      <c r="AR317" s="100"/>
      <c r="AS317" s="100"/>
      <c r="AT317" s="100"/>
      <c r="AU317" s="100"/>
      <c r="AV317" s="100"/>
      <c r="AW317" s="100"/>
      <c r="AX317" s="351"/>
      <c r="AY317" s="100"/>
      <c r="AZ317" s="100"/>
      <c r="BA317" s="100"/>
      <c r="BB317" s="100"/>
      <c r="BC317" s="275">
        <f t="shared" si="133"/>
        <v>13450</v>
      </c>
      <c r="BD317" s="786">
        <f t="shared" si="134"/>
        <v>4</v>
      </c>
      <c r="BE317" s="786">
        <f t="shared" si="135"/>
        <v>3362.5</v>
      </c>
      <c r="BF317" s="58"/>
      <c r="BG317" s="58"/>
      <c r="BH317" s="438"/>
      <c r="BI317" s="58"/>
      <c r="BJ317" s="58"/>
      <c r="BK317" s="58"/>
      <c r="BL317" s="58"/>
      <c r="BM317" s="58"/>
      <c r="BN317" s="58"/>
      <c r="BO317" s="58"/>
      <c r="BP317" s="58"/>
      <c r="BQ317" s="58"/>
      <c r="BR317" s="58"/>
      <c r="BS317" s="58"/>
      <c r="BT317" s="58"/>
      <c r="BU317" s="58"/>
      <c r="BV317" s="58"/>
      <c r="BW317" s="58"/>
      <c r="BX317" s="58"/>
      <c r="BY317" s="58"/>
      <c r="BZ317" s="58"/>
      <c r="CA317" s="58"/>
      <c r="CB317" s="58"/>
      <c r="CC317" s="58"/>
      <c r="CD317" s="58"/>
      <c r="CE317" s="58"/>
      <c r="CF317" s="58"/>
      <c r="CG317" s="58"/>
      <c r="CH317" s="58"/>
      <c r="CI317" s="58"/>
      <c r="CJ317" s="58"/>
      <c r="CK317" s="58"/>
      <c r="CL317" s="58"/>
      <c r="CM317" s="58"/>
      <c r="CN317" s="58"/>
      <c r="CO317" s="58"/>
      <c r="CP317" s="58"/>
      <c r="CQ317" s="58"/>
      <c r="CR317" s="58"/>
      <c r="CS317" s="58"/>
      <c r="CT317" s="58"/>
      <c r="CU317" s="58"/>
      <c r="CV317" s="58"/>
      <c r="CW317" s="58"/>
      <c r="CX317" s="58"/>
      <c r="CY317" s="58"/>
      <c r="CZ317" s="58"/>
      <c r="DA317" s="58"/>
      <c r="DB317" s="58"/>
      <c r="DC317" s="58"/>
      <c r="DD317" s="58"/>
      <c r="DE317" s="58"/>
      <c r="DF317" s="58"/>
      <c r="DG317" s="58"/>
      <c r="DH317" s="58"/>
      <c r="DI317" s="58"/>
      <c r="DJ317" s="58"/>
      <c r="DK317" s="58"/>
      <c r="DL317" s="58"/>
      <c r="DM317" s="58"/>
      <c r="DN317" s="58"/>
      <c r="DO317" s="58"/>
      <c r="DP317" s="58"/>
      <c r="DQ317" s="58"/>
      <c r="DR317" s="58"/>
      <c r="DS317" s="58"/>
      <c r="DT317" s="58"/>
      <c r="DU317" s="58"/>
      <c r="DV317" s="58"/>
      <c r="DW317" s="58"/>
      <c r="DX317" s="58"/>
      <c r="DY317" s="58"/>
      <c r="DZ317" s="58"/>
      <c r="EA317" s="58"/>
      <c r="EB317" s="58"/>
      <c r="EC317" s="58"/>
      <c r="ED317" s="58"/>
      <c r="EE317" s="58"/>
      <c r="EF317" s="58"/>
      <c r="EG317" s="58"/>
      <c r="EH317" s="58"/>
      <c r="EI317" s="58"/>
      <c r="EJ317" s="58"/>
      <c r="EK317" s="58"/>
      <c r="EL317" s="58"/>
      <c r="EM317" s="58"/>
      <c r="EN317" s="58"/>
      <c r="EO317" s="58"/>
      <c r="EP317" s="58"/>
      <c r="EQ317" s="58"/>
      <c r="ER317" s="58"/>
      <c r="ES317" s="58"/>
      <c r="ET317" s="58"/>
      <c r="EU317" s="58"/>
    </row>
    <row r="318" spans="1:151" s="108" customFormat="1" ht="15" customHeight="1">
      <c r="A318" s="68">
        <v>5</v>
      </c>
      <c r="B318" s="630" t="s">
        <v>81</v>
      </c>
      <c r="C318" s="630" t="s">
        <v>80</v>
      </c>
      <c r="D318" s="629">
        <v>25</v>
      </c>
      <c r="E318" s="649">
        <v>0</v>
      </c>
      <c r="F318" s="100">
        <f>SUMIF(pro!$A:$A,$V:$V,pro!$N:$N)</f>
        <v>0</v>
      </c>
      <c r="G318" s="351"/>
      <c r="H318" s="100">
        <f>SUMIF(CBIN!$A:$A,BRAN!$V:$V,CBIN!$G:$G)</f>
        <v>0</v>
      </c>
      <c r="I318" s="351">
        <f>SUMIF(data!$D:$D,$B318&amp;$D318,data!$J:$J)</f>
        <v>0</v>
      </c>
      <c r="J318" s="351">
        <f>SUMIF(data!$D:$D,$B318&amp;$D318,data!$K:$K)</f>
        <v>0</v>
      </c>
      <c r="K318" s="100">
        <f>SUMIF(AJOUT!$A:$A,BRAN!$V:$V,AJOUT!$L:$L)</f>
        <v>0</v>
      </c>
      <c r="L318" s="100">
        <f>SUMIF(CBOUT!$A:$A,BRAN!$V:$V,CBOUT!$G:$G)</f>
        <v>0</v>
      </c>
      <c r="M318" s="650">
        <f>E318+F318+H318-I318-L318+G318-K318</f>
        <v>0</v>
      </c>
      <c r="N318" s="351">
        <f>M318*D318</f>
        <v>0</v>
      </c>
      <c r="O318" s="1161">
        <f t="shared" si="128"/>
        <v>0</v>
      </c>
      <c r="P318" s="665"/>
      <c r="Q318" s="665"/>
      <c r="R318" s="804">
        <f>O318/INTGRATE!$N$293</f>
        <v>0</v>
      </c>
      <c r="S318" s="665">
        <f t="shared" si="129"/>
        <v>0</v>
      </c>
      <c r="T318" s="401"/>
      <c r="U318" s="136"/>
      <c r="V318" s="836" t="str">
        <f>B318&amp;D318</f>
        <v>6924P25</v>
      </c>
      <c r="W318" s="831">
        <v>127808</v>
      </c>
      <c r="X318" s="68"/>
      <c r="Y318" s="68">
        <v>0</v>
      </c>
      <c r="Z318" s="390">
        <v>0</v>
      </c>
      <c r="AA318" s="100">
        <v>0</v>
      </c>
      <c r="AB318" s="100">
        <v>0</v>
      </c>
      <c r="AC318" s="100">
        <v>0</v>
      </c>
      <c r="AD318" s="351">
        <v>0</v>
      </c>
      <c r="AE318" s="100">
        <v>0</v>
      </c>
      <c r="AF318" s="100">
        <v>0</v>
      </c>
      <c r="AG318" s="100"/>
      <c r="AH318" s="100"/>
      <c r="AI318" s="100"/>
      <c r="AJ318" s="100"/>
      <c r="AK318" s="100"/>
      <c r="AL318" s="100"/>
      <c r="AM318" s="100"/>
      <c r="AN318" s="100"/>
      <c r="AO318" s="100"/>
      <c r="AP318" s="100"/>
      <c r="AQ318" s="351"/>
      <c r="AR318" s="100"/>
      <c r="AS318" s="100"/>
      <c r="AT318" s="100"/>
      <c r="AU318" s="100"/>
      <c r="AV318" s="100"/>
      <c r="AW318" s="100"/>
      <c r="AX318" s="351"/>
      <c r="AY318" s="100"/>
      <c r="AZ318" s="100"/>
      <c r="BA318" s="100"/>
      <c r="BB318" s="100"/>
      <c r="BC318" s="275">
        <f t="shared" si="133"/>
        <v>0</v>
      </c>
      <c r="BD318" s="786">
        <f t="shared" si="134"/>
        <v>0</v>
      </c>
      <c r="BE318" s="786">
        <f t="shared" si="135"/>
        <v>0</v>
      </c>
      <c r="BF318" s="58"/>
      <c r="BG318" s="58"/>
      <c r="BH318" s="438"/>
      <c r="BI318" s="58"/>
      <c r="BJ318" s="58"/>
      <c r="BK318" s="58"/>
      <c r="BL318" s="58"/>
      <c r="BM318" s="58"/>
      <c r="BN318" s="58"/>
      <c r="BO318" s="58"/>
      <c r="BP318" s="58"/>
      <c r="BQ318" s="58"/>
      <c r="BR318" s="58"/>
      <c r="BS318" s="58"/>
      <c r="BT318" s="58"/>
      <c r="BU318" s="58"/>
      <c r="BV318" s="58"/>
      <c r="BW318" s="58"/>
      <c r="BX318" s="58"/>
      <c r="BY318" s="58"/>
      <c r="BZ318" s="58"/>
      <c r="CA318" s="58"/>
      <c r="CB318" s="58"/>
      <c r="CC318" s="58"/>
      <c r="CD318" s="58"/>
      <c r="CE318" s="58"/>
      <c r="CF318" s="58"/>
      <c r="CG318" s="58"/>
      <c r="CH318" s="58"/>
      <c r="CI318" s="58"/>
      <c r="CJ318" s="58"/>
      <c r="CK318" s="58"/>
      <c r="CL318" s="58"/>
      <c r="CM318" s="58"/>
      <c r="CN318" s="58"/>
      <c r="CO318" s="58"/>
      <c r="CP318" s="58"/>
      <c r="CQ318" s="58"/>
      <c r="CR318" s="58"/>
      <c r="CS318" s="58"/>
      <c r="CT318" s="58"/>
      <c r="CU318" s="58"/>
      <c r="CV318" s="58"/>
      <c r="CW318" s="58"/>
      <c r="CX318" s="58"/>
      <c r="CY318" s="58"/>
      <c r="CZ318" s="58"/>
      <c r="DA318" s="58"/>
      <c r="DB318" s="58"/>
      <c r="DC318" s="58"/>
      <c r="DD318" s="58"/>
      <c r="DE318" s="58"/>
      <c r="DF318" s="58"/>
      <c r="DG318" s="58"/>
      <c r="DH318" s="58"/>
      <c r="DI318" s="58"/>
      <c r="DJ318" s="58"/>
      <c r="DK318" s="58"/>
      <c r="DL318" s="58"/>
      <c r="DM318" s="58"/>
      <c r="DN318" s="58"/>
      <c r="DO318" s="58"/>
      <c r="DP318" s="58"/>
      <c r="DQ318" s="58"/>
      <c r="DR318" s="58"/>
      <c r="DS318" s="58"/>
      <c r="DT318" s="58"/>
      <c r="DU318" s="58"/>
      <c r="DV318" s="58"/>
      <c r="DW318" s="58"/>
      <c r="DX318" s="58"/>
      <c r="DY318" s="58"/>
      <c r="DZ318" s="58"/>
      <c r="EA318" s="58"/>
      <c r="EB318" s="58"/>
      <c r="EC318" s="58"/>
      <c r="ED318" s="58"/>
      <c r="EE318" s="58"/>
      <c r="EF318" s="58"/>
      <c r="EG318" s="58"/>
      <c r="EH318" s="58"/>
      <c r="EI318" s="58"/>
      <c r="EJ318" s="58"/>
      <c r="EK318" s="58"/>
      <c r="EL318" s="58"/>
      <c r="EM318" s="58"/>
      <c r="EN318" s="58"/>
      <c r="EO318" s="58"/>
      <c r="EP318" s="58"/>
      <c r="EQ318" s="58"/>
      <c r="ER318" s="58"/>
      <c r="ES318" s="58"/>
      <c r="ET318" s="58"/>
      <c r="EU318" s="58"/>
    </row>
    <row r="319" spans="1:151" s="116" customFormat="1" ht="15" customHeight="1">
      <c r="A319" s="68">
        <v>6</v>
      </c>
      <c r="B319" s="349">
        <v>6948</v>
      </c>
      <c r="C319" s="349" t="s">
        <v>55</v>
      </c>
      <c r="D319" s="660">
        <v>25</v>
      </c>
      <c r="E319" s="649">
        <v>0</v>
      </c>
      <c r="F319" s="100">
        <f>SUMIF(pro!$A:$A,$V:$V,pro!$N:$N)</f>
        <v>0</v>
      </c>
      <c r="G319" s="351"/>
      <c r="H319" s="100">
        <f>SUMIF(CBIN!$A:$A,BRAN!$V:$V,CBIN!$G:$G)</f>
        <v>0</v>
      </c>
      <c r="I319" s="351">
        <f>SUMIF(data!$D:$D,$B319&amp;$D319,data!$J:$J)</f>
        <v>0</v>
      </c>
      <c r="J319" s="351">
        <f>SUMIF(data!$D:$D,$B319&amp;$D319,data!$K:$K)</f>
        <v>0</v>
      </c>
      <c r="K319" s="100">
        <f>SUMIF(AJOUT!$A:$A,BRAN!$V:$V,AJOUT!$L:$L)</f>
        <v>0</v>
      </c>
      <c r="L319" s="100">
        <f>SUMIF(CBOUT!$A:$A,BRAN!$V:$V,CBOUT!$G:$G)</f>
        <v>0</v>
      </c>
      <c r="M319" s="650">
        <f>E319+F319+H319-I319-L319+G319-K319</f>
        <v>0</v>
      </c>
      <c r="N319" s="351">
        <f>M319*D319</f>
        <v>0</v>
      </c>
      <c r="O319" s="1161">
        <f t="shared" si="128"/>
        <v>0</v>
      </c>
      <c r="P319" s="665">
        <f>+N319</f>
        <v>0</v>
      </c>
      <c r="Q319" s="665">
        <f>+O319</f>
        <v>0</v>
      </c>
      <c r="R319" s="804">
        <f>O319/INTGRATE!$N$293</f>
        <v>0</v>
      </c>
      <c r="S319" s="665">
        <f t="shared" si="129"/>
        <v>0</v>
      </c>
      <c r="T319" s="401"/>
      <c r="U319" s="136"/>
      <c r="V319" s="836" t="str">
        <f t="shared" si="127"/>
        <v>694825</v>
      </c>
      <c r="W319" s="823">
        <v>201101</v>
      </c>
      <c r="X319" s="68"/>
      <c r="Y319" s="68">
        <v>0</v>
      </c>
      <c r="Z319" s="390">
        <v>0</v>
      </c>
      <c r="AA319" s="100">
        <v>0</v>
      </c>
      <c r="AB319" s="100">
        <v>0</v>
      </c>
      <c r="AC319" s="100">
        <v>0</v>
      </c>
      <c r="AD319" s="351">
        <v>0</v>
      </c>
      <c r="AE319" s="100">
        <v>0</v>
      </c>
      <c r="AF319" s="100">
        <v>0</v>
      </c>
      <c r="AG319" s="100"/>
      <c r="AH319" s="100"/>
      <c r="AI319" s="100"/>
      <c r="AJ319" s="100"/>
      <c r="AK319" s="100"/>
      <c r="AL319" s="100"/>
      <c r="AM319" s="100"/>
      <c r="AN319" s="100"/>
      <c r="AO319" s="100"/>
      <c r="AP319" s="100"/>
      <c r="AQ319" s="351"/>
      <c r="AR319" s="100"/>
      <c r="AS319" s="100"/>
      <c r="AT319" s="100"/>
      <c r="AU319" s="100"/>
      <c r="AV319" s="100"/>
      <c r="AW319" s="100"/>
      <c r="AX319" s="351"/>
      <c r="AY319" s="100"/>
      <c r="AZ319" s="100"/>
      <c r="BA319" s="100"/>
      <c r="BB319" s="100"/>
      <c r="BC319" s="275">
        <f t="shared" si="133"/>
        <v>0</v>
      </c>
      <c r="BD319" s="786">
        <f t="shared" si="134"/>
        <v>0</v>
      </c>
      <c r="BE319" s="786">
        <f t="shared" si="135"/>
        <v>0</v>
      </c>
      <c r="BF319" s="58"/>
      <c r="BG319" s="58"/>
      <c r="BH319" s="438"/>
      <c r="BI319" s="58"/>
      <c r="BJ319" s="58"/>
      <c r="BK319" s="58"/>
      <c r="BL319" s="58"/>
      <c r="BM319" s="58"/>
      <c r="BN319" s="58"/>
      <c r="BO319" s="58"/>
      <c r="BP319" s="58"/>
      <c r="BQ319" s="58"/>
      <c r="BR319" s="58"/>
      <c r="BS319" s="58"/>
      <c r="BT319" s="58"/>
      <c r="BU319" s="58"/>
      <c r="BV319" s="58"/>
      <c r="BW319" s="58"/>
      <c r="BX319" s="58"/>
      <c r="BY319" s="58"/>
      <c r="BZ319" s="58"/>
      <c r="CA319" s="58"/>
      <c r="CB319" s="58"/>
      <c r="CC319" s="58"/>
      <c r="CD319" s="58"/>
      <c r="CE319" s="58"/>
      <c r="CF319" s="58"/>
      <c r="CG319" s="58"/>
      <c r="CH319" s="58"/>
      <c r="CI319" s="58"/>
      <c r="CJ319" s="58"/>
      <c r="CK319" s="58"/>
      <c r="CL319" s="58"/>
      <c r="CM319" s="58"/>
      <c r="CN319" s="58"/>
      <c r="CO319" s="58"/>
      <c r="CP319" s="58"/>
      <c r="CQ319" s="58"/>
      <c r="CR319" s="58"/>
      <c r="CS319" s="58"/>
      <c r="CT319" s="58"/>
      <c r="CU319" s="58"/>
      <c r="CV319" s="58"/>
      <c r="CW319" s="58"/>
      <c r="CX319" s="58"/>
      <c r="CY319" s="58"/>
      <c r="CZ319" s="58"/>
      <c r="DA319" s="58"/>
      <c r="DB319" s="58"/>
      <c r="DC319" s="58"/>
      <c r="DD319" s="58"/>
      <c r="DE319" s="58"/>
      <c r="DF319" s="58"/>
      <c r="DG319" s="58"/>
      <c r="DH319" s="58"/>
      <c r="DI319" s="58"/>
      <c r="DJ319" s="58"/>
      <c r="DK319" s="58"/>
      <c r="DL319" s="58"/>
      <c r="DM319" s="58"/>
      <c r="DN319" s="58"/>
      <c r="DO319" s="58"/>
      <c r="DP319" s="58"/>
      <c r="DQ319" s="58"/>
      <c r="DR319" s="58"/>
      <c r="DS319" s="58"/>
      <c r="DT319" s="58"/>
      <c r="DU319" s="58"/>
      <c r="DV319" s="58"/>
      <c r="DW319" s="58"/>
      <c r="DX319" s="58"/>
      <c r="DY319" s="58"/>
      <c r="DZ319" s="58"/>
      <c r="EA319" s="58"/>
      <c r="EB319" s="58"/>
      <c r="EC319" s="58"/>
      <c r="ED319" s="58"/>
      <c r="EE319" s="58"/>
      <c r="EF319" s="58"/>
      <c r="EG319" s="58"/>
      <c r="EH319" s="58"/>
      <c r="EI319" s="58"/>
      <c r="EJ319" s="58"/>
      <c r="EK319" s="58"/>
      <c r="EL319" s="58"/>
      <c r="EM319" s="58"/>
      <c r="EN319" s="58"/>
      <c r="EO319" s="58"/>
      <c r="EP319" s="58"/>
      <c r="EQ319" s="58"/>
      <c r="ER319" s="58"/>
      <c r="ES319" s="58"/>
      <c r="ET319" s="58"/>
      <c r="EU319" s="58"/>
    </row>
    <row r="320" spans="1:151" s="116" customFormat="1" ht="15" customHeight="1">
      <c r="A320" s="68">
        <v>7</v>
      </c>
      <c r="B320" s="349">
        <v>6949</v>
      </c>
      <c r="C320" s="349" t="s">
        <v>64</v>
      </c>
      <c r="D320" s="660">
        <v>25</v>
      </c>
      <c r="E320" s="649">
        <v>732</v>
      </c>
      <c r="F320" s="100">
        <f>SUMIF(pro!$A:$A,$V:$V,pro!$N:$N)</f>
        <v>0</v>
      </c>
      <c r="G320" s="351"/>
      <c r="H320" s="100">
        <f>SUMIF(CBIN!$A:$A,BRAN!$V:$V,CBIN!$G:$G)</f>
        <v>0</v>
      </c>
      <c r="I320" s="351">
        <f>SUMIF(data!$D:$D,$B320&amp;$D320,data!$J:$J)</f>
        <v>0</v>
      </c>
      <c r="J320" s="351">
        <f>SUMIF(data!$D:$D,$B320&amp;$D320,data!$K:$K)</f>
        <v>0</v>
      </c>
      <c r="K320" s="100">
        <f>SUMIF(AJOUT!$A:$A,BRAN!$V:$V,AJOUT!$L:$L)</f>
        <v>0</v>
      </c>
      <c r="L320" s="100">
        <f>SUMIF(CBOUT!$A:$A,BRAN!$V:$V,CBOUT!$G:$G)</f>
        <v>0</v>
      </c>
      <c r="M320" s="650">
        <f t="shared" ref="M320:M329" si="136">E320+F320+H320-I320-L320+G320-K320</f>
        <v>732</v>
      </c>
      <c r="N320" s="351">
        <f t="shared" ref="N320:N329" si="137">M320*D320</f>
        <v>18300</v>
      </c>
      <c r="O320" s="1161">
        <f t="shared" ref="O320:O329" si="138">SUM(X320:BB320)</f>
        <v>11425</v>
      </c>
      <c r="P320" s="665">
        <f>SUM(N314:N330)-P319-P323-P324-P325</f>
        <v>57450</v>
      </c>
      <c r="Q320" s="665">
        <f>SUM(O314:O330)-Q319-Q323-Q324-Q325</f>
        <v>48175</v>
      </c>
      <c r="R320" s="804">
        <f>O320/INTGRATE!$N$293</f>
        <v>1269.4444444444443</v>
      </c>
      <c r="S320" s="665">
        <f t="shared" ref="S320:S329" si="139">IF(R320=0,0,N320/R320)</f>
        <v>14.415754923413568</v>
      </c>
      <c r="T320" s="401"/>
      <c r="U320" s="136"/>
      <c r="V320" s="836" t="str">
        <f t="shared" ref="V320:V329" si="140">B320&amp;D320</f>
        <v>694925</v>
      </c>
      <c r="W320" s="823">
        <v>203701</v>
      </c>
      <c r="X320" s="68"/>
      <c r="Y320" s="68">
        <v>1250</v>
      </c>
      <c r="Z320" s="390">
        <v>0</v>
      </c>
      <c r="AA320" s="100">
        <v>2925</v>
      </c>
      <c r="AB320" s="100">
        <v>7125</v>
      </c>
      <c r="AC320" s="100">
        <v>0</v>
      </c>
      <c r="AD320" s="1162">
        <v>0</v>
      </c>
      <c r="AE320" s="100">
        <v>0</v>
      </c>
      <c r="AF320" s="100">
        <v>125</v>
      </c>
      <c r="AG320" s="100"/>
      <c r="AH320" s="100"/>
      <c r="AI320" s="100"/>
      <c r="AJ320" s="100"/>
      <c r="AK320" s="100"/>
      <c r="AL320" s="100"/>
      <c r="AM320" s="100"/>
      <c r="AN320" s="100"/>
      <c r="AO320" s="100"/>
      <c r="AP320" s="100"/>
      <c r="AQ320" s="351"/>
      <c r="AR320" s="100"/>
      <c r="AS320" s="100"/>
      <c r="AT320" s="100"/>
      <c r="AU320" s="100"/>
      <c r="AV320" s="100"/>
      <c r="AW320" s="100"/>
      <c r="AX320" s="351"/>
      <c r="AY320" s="100"/>
      <c r="AZ320" s="100"/>
      <c r="BA320" s="100"/>
      <c r="BB320" s="100"/>
      <c r="BC320" s="275">
        <f t="shared" si="133"/>
        <v>11425</v>
      </c>
      <c r="BD320" s="786">
        <f t="shared" si="134"/>
        <v>4</v>
      </c>
      <c r="BE320" s="786">
        <f t="shared" si="135"/>
        <v>2856.25</v>
      </c>
      <c r="BF320" s="58"/>
      <c r="BG320" s="58"/>
      <c r="BH320" s="438"/>
      <c r="BI320" s="58"/>
      <c r="BJ320" s="58"/>
      <c r="BK320" s="58"/>
      <c r="BL320" s="58"/>
      <c r="BM320" s="58"/>
      <c r="BN320" s="58"/>
      <c r="BO320" s="58"/>
      <c r="BP320" s="58"/>
      <c r="BQ320" s="58"/>
      <c r="BR320" s="58"/>
      <c r="BS320" s="58"/>
      <c r="BT320" s="58"/>
      <c r="BU320" s="58"/>
      <c r="BV320" s="58"/>
      <c r="BW320" s="58"/>
      <c r="BX320" s="58"/>
      <c r="BY320" s="58"/>
      <c r="BZ320" s="58"/>
      <c r="CA320" s="58"/>
      <c r="CB320" s="58"/>
      <c r="CC320" s="58"/>
      <c r="CD320" s="58"/>
      <c r="CE320" s="58"/>
      <c r="CF320" s="58"/>
      <c r="CG320" s="58"/>
      <c r="CH320" s="58"/>
      <c r="CI320" s="58"/>
      <c r="CJ320" s="58"/>
      <c r="CK320" s="58"/>
      <c r="CL320" s="58"/>
      <c r="CM320" s="58"/>
      <c r="CN320" s="58"/>
      <c r="CO320" s="58"/>
      <c r="CP320" s="58"/>
      <c r="CQ320" s="58"/>
      <c r="CR320" s="58"/>
      <c r="CS320" s="58"/>
      <c r="CT320" s="58"/>
      <c r="CU320" s="58"/>
      <c r="CV320" s="58"/>
      <c r="CW320" s="58"/>
      <c r="CX320" s="58"/>
      <c r="CY320" s="58"/>
      <c r="CZ320" s="58"/>
      <c r="DA320" s="58"/>
      <c r="DB320" s="58"/>
      <c r="DC320" s="58"/>
      <c r="DD320" s="58"/>
      <c r="DE320" s="58"/>
      <c r="DF320" s="58"/>
      <c r="DG320" s="58"/>
      <c r="DH320" s="58"/>
      <c r="DI320" s="58"/>
      <c r="DJ320" s="58"/>
      <c r="DK320" s="58"/>
      <c r="DL320" s="58"/>
      <c r="DM320" s="58"/>
      <c r="DN320" s="58"/>
      <c r="DO320" s="58"/>
      <c r="DP320" s="58"/>
      <c r="DQ320" s="58"/>
      <c r="DR320" s="58"/>
      <c r="DS320" s="58"/>
      <c r="DT320" s="58"/>
      <c r="DU320" s="58"/>
      <c r="DV320" s="58"/>
      <c r="DW320" s="58"/>
      <c r="DX320" s="58"/>
      <c r="DY320" s="58"/>
      <c r="DZ320" s="58"/>
      <c r="EA320" s="58"/>
      <c r="EB320" s="58"/>
      <c r="EC320" s="58"/>
      <c r="ED320" s="58"/>
      <c r="EE320" s="58"/>
      <c r="EF320" s="58"/>
      <c r="EG320" s="58"/>
      <c r="EH320" s="58"/>
      <c r="EI320" s="58"/>
      <c r="EJ320" s="58"/>
      <c r="EK320" s="58"/>
      <c r="EL320" s="58"/>
      <c r="EM320" s="58"/>
      <c r="EN320" s="58"/>
      <c r="EO320" s="58"/>
      <c r="EP320" s="58"/>
      <c r="EQ320" s="58"/>
      <c r="ER320" s="58"/>
      <c r="ES320" s="58"/>
      <c r="ET320" s="58"/>
      <c r="EU320" s="58"/>
    </row>
    <row r="321" spans="1:151" s="116" customFormat="1" ht="15" customHeight="1">
      <c r="A321" s="68">
        <v>8</v>
      </c>
      <c r="B321" s="162">
        <v>6951</v>
      </c>
      <c r="C321" s="772" t="s">
        <v>61</v>
      </c>
      <c r="D321" s="177">
        <v>25</v>
      </c>
      <c r="E321" s="649">
        <v>599</v>
      </c>
      <c r="F321" s="100">
        <f>SUMIF(pro!$A:$A,$V:$V,pro!$N:$N)</f>
        <v>0</v>
      </c>
      <c r="G321" s="351"/>
      <c r="H321" s="100"/>
      <c r="I321" s="351">
        <f>SUMIF(data!$D:$D,$B321&amp;$D321,data!$J:$J)</f>
        <v>0</v>
      </c>
      <c r="J321" s="351">
        <f>SUMIF(data!$D:$D,$B321&amp;$D321,data!$K:$K)</f>
        <v>0</v>
      </c>
      <c r="K321" s="100">
        <f>SUMIF(AJOUT!$A:$A,BRAN!$V:$V,AJOUT!$L:$L)</f>
        <v>0</v>
      </c>
      <c r="L321" s="100">
        <f>SUMIF(CBOUT!$A:$A,BRAN!$V:$V,CBOUT!$G:$G)</f>
        <v>0</v>
      </c>
      <c r="M321" s="650">
        <f t="shared" si="136"/>
        <v>599</v>
      </c>
      <c r="N321" s="351">
        <f t="shared" ref="N321" si="141">M321*D321</f>
        <v>14975</v>
      </c>
      <c r="O321" s="1161">
        <f t="shared" ref="O321" si="142">SUM(X321:BB321)</f>
        <v>12175</v>
      </c>
      <c r="P321" s="665"/>
      <c r="Q321" s="665"/>
      <c r="R321" s="804">
        <f>O321/INTGRATE!$N$293</f>
        <v>1352.7777777777778</v>
      </c>
      <c r="S321" s="665">
        <f t="shared" ref="S321:S323" si="143">IF(R321=0,0,N321/R321)</f>
        <v>11.069815195071868</v>
      </c>
      <c r="T321" s="401"/>
      <c r="U321" s="136"/>
      <c r="V321" s="836" t="str">
        <f t="shared" si="140"/>
        <v>695125</v>
      </c>
      <c r="W321" s="823">
        <v>314081</v>
      </c>
      <c r="X321" s="68"/>
      <c r="Y321" s="68">
        <v>250</v>
      </c>
      <c r="Z321" s="390">
        <v>1025</v>
      </c>
      <c r="AA321" s="100">
        <v>1500</v>
      </c>
      <c r="AB321" s="100">
        <v>1175</v>
      </c>
      <c r="AC321" s="100">
        <v>3350</v>
      </c>
      <c r="AD321" s="1162">
        <v>1875</v>
      </c>
      <c r="AE321" s="100">
        <v>250</v>
      </c>
      <c r="AF321" s="100">
        <v>2750</v>
      </c>
      <c r="AG321" s="100"/>
      <c r="AH321" s="100"/>
      <c r="AI321" s="100"/>
      <c r="AJ321" s="100"/>
      <c r="AK321" s="100"/>
      <c r="AL321" s="100"/>
      <c r="AM321" s="100"/>
      <c r="AN321" s="100"/>
      <c r="AO321" s="100"/>
      <c r="AP321" s="100"/>
      <c r="AQ321" s="1162"/>
      <c r="AR321" s="100"/>
      <c r="AS321" s="100"/>
      <c r="AT321" s="100"/>
      <c r="AU321" s="100"/>
      <c r="AV321" s="100"/>
      <c r="AW321" s="100"/>
      <c r="AX321" s="1162"/>
      <c r="AY321" s="100"/>
      <c r="AZ321" s="100"/>
      <c r="BA321" s="100"/>
      <c r="BB321" s="100"/>
      <c r="BC321" s="275">
        <f t="shared" si="133"/>
        <v>12175</v>
      </c>
      <c r="BD321" s="786">
        <f t="shared" si="134"/>
        <v>8</v>
      </c>
      <c r="BE321" s="786">
        <f t="shared" si="135"/>
        <v>1521.875</v>
      </c>
      <c r="BF321" s="58"/>
      <c r="BG321" s="58"/>
      <c r="BH321" s="438"/>
      <c r="BI321" s="58"/>
      <c r="BJ321" s="58"/>
      <c r="BK321" s="58"/>
      <c r="BL321" s="58"/>
      <c r="BM321" s="58"/>
      <c r="BN321" s="58"/>
      <c r="BO321" s="58"/>
      <c r="BP321" s="58"/>
      <c r="BQ321" s="58"/>
      <c r="BR321" s="58"/>
      <c r="BS321" s="58"/>
      <c r="BT321" s="58"/>
      <c r="BU321" s="58"/>
      <c r="BV321" s="58"/>
      <c r="BW321" s="58"/>
      <c r="BX321" s="58"/>
      <c r="BY321" s="58"/>
      <c r="BZ321" s="58"/>
      <c r="CA321" s="58"/>
      <c r="CB321" s="58"/>
      <c r="CC321" s="58"/>
      <c r="CD321" s="58"/>
      <c r="CE321" s="58"/>
      <c r="CF321" s="58"/>
      <c r="CG321" s="58"/>
      <c r="CH321" s="58"/>
      <c r="CI321" s="58"/>
      <c r="CJ321" s="58"/>
      <c r="CK321" s="58"/>
      <c r="CL321" s="58"/>
      <c r="CM321" s="58"/>
      <c r="CN321" s="58"/>
      <c r="CO321" s="58"/>
      <c r="CP321" s="58"/>
      <c r="CQ321" s="58"/>
      <c r="CR321" s="58"/>
      <c r="CS321" s="58"/>
      <c r="CT321" s="58"/>
      <c r="CU321" s="58"/>
      <c r="CV321" s="58"/>
      <c r="CW321" s="58"/>
      <c r="CX321" s="58"/>
      <c r="CY321" s="58"/>
      <c r="CZ321" s="58"/>
      <c r="DA321" s="58"/>
      <c r="DB321" s="58"/>
      <c r="DC321" s="58"/>
      <c r="DD321" s="58"/>
      <c r="DE321" s="58"/>
      <c r="DF321" s="58"/>
      <c r="DG321" s="58"/>
      <c r="DH321" s="58"/>
      <c r="DI321" s="58"/>
      <c r="DJ321" s="58"/>
      <c r="DK321" s="58"/>
      <c r="DL321" s="58"/>
      <c r="DM321" s="58"/>
      <c r="DN321" s="58"/>
      <c r="DO321" s="58"/>
      <c r="DP321" s="58"/>
      <c r="DQ321" s="58"/>
      <c r="DR321" s="58"/>
      <c r="DS321" s="58"/>
      <c r="DT321" s="58"/>
      <c r="DU321" s="58"/>
      <c r="DV321" s="58"/>
      <c r="DW321" s="58"/>
      <c r="DX321" s="58"/>
      <c r="DY321" s="58"/>
      <c r="DZ321" s="58"/>
      <c r="EA321" s="58"/>
      <c r="EB321" s="58"/>
      <c r="EC321" s="58"/>
      <c r="ED321" s="58"/>
      <c r="EE321" s="58"/>
      <c r="EF321" s="58"/>
      <c r="EG321" s="58"/>
      <c r="EH321" s="58"/>
      <c r="EI321" s="58"/>
      <c r="EJ321" s="58"/>
      <c r="EK321" s="58"/>
      <c r="EL321" s="58"/>
      <c r="EM321" s="58"/>
      <c r="EN321" s="58"/>
      <c r="EO321" s="58"/>
      <c r="EP321" s="58"/>
      <c r="EQ321" s="58"/>
      <c r="ER321" s="58"/>
      <c r="ES321" s="58"/>
      <c r="ET321" s="58"/>
      <c r="EU321" s="58"/>
    </row>
    <row r="322" spans="1:151" s="116" customFormat="1" ht="15" customHeight="1">
      <c r="A322" s="68">
        <v>9</v>
      </c>
      <c r="B322" s="162" t="s">
        <v>82</v>
      </c>
      <c r="C322" s="772" t="s">
        <v>61</v>
      </c>
      <c r="D322" s="177">
        <v>25</v>
      </c>
      <c r="E322" s="649">
        <v>11</v>
      </c>
      <c r="F322" s="100">
        <f>SUMIF(pro!$A:$A,$V:$V,pro!$N:$N)</f>
        <v>0</v>
      </c>
      <c r="G322" s="351"/>
      <c r="H322" s="100"/>
      <c r="I322" s="351">
        <f>SUMIF(data!$D:$D,$B322&amp;$D322,data!$J:$J)</f>
        <v>0</v>
      </c>
      <c r="J322" s="351">
        <f>SUMIF(data!$D:$D,$B322&amp;$D322,data!$K:$K)</f>
        <v>0</v>
      </c>
      <c r="K322" s="100">
        <f>SUMIF(AJOUT!$A:$A,BRAN!$V:$V,AJOUT!$L:$L)</f>
        <v>0</v>
      </c>
      <c r="L322" s="100">
        <f>SUMIF(CBOUT!$A:$A,BRAN!$V:$V,CBOUT!$G:$G)</f>
        <v>0</v>
      </c>
      <c r="M322" s="650">
        <f t="shared" ref="M322" si="144">E322+F322+H322-I322-L322+G322-K322</f>
        <v>11</v>
      </c>
      <c r="N322" s="351">
        <f t="shared" ref="N322" si="145">M322*D322</f>
        <v>275</v>
      </c>
      <c r="O322" s="1161">
        <f t="shared" ref="O322" si="146">SUM(X322:BB322)</f>
        <v>0</v>
      </c>
      <c r="P322" s="665"/>
      <c r="Q322" s="665"/>
      <c r="R322" s="804">
        <f>O322/INTGRATE!$N$293</f>
        <v>0</v>
      </c>
      <c r="S322" s="665">
        <f t="shared" ref="S322" si="147">IF(R322=0,0,N322/R322)</f>
        <v>0</v>
      </c>
      <c r="T322" s="401"/>
      <c r="U322" s="136"/>
      <c r="V322" s="836" t="str">
        <f t="shared" si="140"/>
        <v>6951X25</v>
      </c>
      <c r="W322" s="823">
        <v>31408887</v>
      </c>
      <c r="X322" s="68"/>
      <c r="Y322" s="68">
        <v>0</v>
      </c>
      <c r="Z322" s="390">
        <v>0</v>
      </c>
      <c r="AA322" s="100">
        <v>0</v>
      </c>
      <c r="AB322" s="100">
        <v>0</v>
      </c>
      <c r="AC322" s="100">
        <v>0</v>
      </c>
      <c r="AD322" s="1162">
        <v>0</v>
      </c>
      <c r="AE322" s="100">
        <v>0</v>
      </c>
      <c r="AF322" s="100">
        <v>0</v>
      </c>
      <c r="AG322" s="100"/>
      <c r="AH322" s="100"/>
      <c r="AI322" s="100"/>
      <c r="AJ322" s="100"/>
      <c r="AK322" s="100"/>
      <c r="AL322" s="100"/>
      <c r="AM322" s="100"/>
      <c r="AN322" s="100"/>
      <c r="AO322" s="100"/>
      <c r="AP322" s="100"/>
      <c r="AQ322" s="1162"/>
      <c r="AR322" s="100"/>
      <c r="AS322" s="100"/>
      <c r="AT322" s="100"/>
      <c r="AU322" s="100"/>
      <c r="AV322" s="100"/>
      <c r="AW322" s="100"/>
      <c r="AX322" s="1162"/>
      <c r="AY322" s="100"/>
      <c r="AZ322" s="100"/>
      <c r="BA322" s="100"/>
      <c r="BB322" s="100"/>
      <c r="BC322" s="275">
        <f t="shared" si="133"/>
        <v>0</v>
      </c>
      <c r="BD322" s="786">
        <f t="shared" si="134"/>
        <v>0</v>
      </c>
      <c r="BE322" s="786">
        <f t="shared" si="135"/>
        <v>0</v>
      </c>
      <c r="BF322" s="58"/>
      <c r="BG322" s="58"/>
      <c r="BH322" s="438"/>
      <c r="BI322" s="58"/>
      <c r="BJ322" s="58"/>
      <c r="BK322" s="58"/>
      <c r="BL322" s="58"/>
      <c r="BM322" s="58"/>
      <c r="BN322" s="58"/>
      <c r="BO322" s="58"/>
      <c r="BP322" s="58"/>
      <c r="BQ322" s="58"/>
      <c r="BR322" s="58"/>
      <c r="BS322" s="58"/>
      <c r="BT322" s="58"/>
      <c r="BU322" s="58"/>
      <c r="BV322" s="58"/>
      <c r="BW322" s="58"/>
      <c r="BX322" s="58"/>
      <c r="BY322" s="58"/>
      <c r="BZ322" s="58"/>
      <c r="CA322" s="58"/>
      <c r="CB322" s="58"/>
      <c r="CC322" s="58"/>
      <c r="CD322" s="58"/>
      <c r="CE322" s="58"/>
      <c r="CF322" s="58"/>
      <c r="CG322" s="58"/>
      <c r="CH322" s="58"/>
      <c r="CI322" s="58"/>
      <c r="CJ322" s="58"/>
      <c r="CK322" s="58"/>
      <c r="CL322" s="58"/>
      <c r="CM322" s="58"/>
      <c r="CN322" s="58"/>
      <c r="CO322" s="58"/>
      <c r="CP322" s="58"/>
      <c r="CQ322" s="58"/>
      <c r="CR322" s="58"/>
      <c r="CS322" s="58"/>
      <c r="CT322" s="58"/>
      <c r="CU322" s="58"/>
      <c r="CV322" s="58"/>
      <c r="CW322" s="58"/>
      <c r="CX322" s="58"/>
      <c r="CY322" s="58"/>
      <c r="CZ322" s="58"/>
      <c r="DA322" s="58"/>
      <c r="DB322" s="58"/>
      <c r="DC322" s="58"/>
      <c r="DD322" s="58"/>
      <c r="DE322" s="58"/>
      <c r="DF322" s="58"/>
      <c r="DG322" s="58"/>
      <c r="DH322" s="58"/>
      <c r="DI322" s="58"/>
      <c r="DJ322" s="58"/>
      <c r="DK322" s="58"/>
      <c r="DL322" s="58"/>
      <c r="DM322" s="58"/>
      <c r="DN322" s="58"/>
      <c r="DO322" s="58"/>
      <c r="DP322" s="58"/>
      <c r="DQ322" s="58"/>
      <c r="DR322" s="58"/>
      <c r="DS322" s="58"/>
      <c r="DT322" s="58"/>
      <c r="DU322" s="58"/>
      <c r="DV322" s="58"/>
      <c r="DW322" s="58"/>
      <c r="DX322" s="58"/>
      <c r="DY322" s="58"/>
      <c r="DZ322" s="58"/>
      <c r="EA322" s="58"/>
      <c r="EB322" s="58"/>
      <c r="EC322" s="58"/>
      <c r="ED322" s="58"/>
      <c r="EE322" s="58"/>
      <c r="EF322" s="58"/>
      <c r="EG322" s="58"/>
      <c r="EH322" s="58"/>
      <c r="EI322" s="58"/>
      <c r="EJ322" s="58"/>
      <c r="EK322" s="58"/>
      <c r="EL322" s="58"/>
      <c r="EM322" s="58"/>
      <c r="EN322" s="58"/>
      <c r="EO322" s="58"/>
      <c r="EP322" s="58"/>
      <c r="EQ322" s="58"/>
      <c r="ER322" s="58"/>
      <c r="ES322" s="58"/>
      <c r="ET322" s="58"/>
      <c r="EU322" s="58"/>
    </row>
    <row r="323" spans="1:151" ht="15" customHeight="1">
      <c r="A323" s="68">
        <v>10</v>
      </c>
      <c r="B323" s="77">
        <v>6952</v>
      </c>
      <c r="C323" s="77" t="s">
        <v>64</v>
      </c>
      <c r="D323" s="67">
        <v>25</v>
      </c>
      <c r="E323" s="649">
        <v>555</v>
      </c>
      <c r="F323" s="100">
        <f>SUMIF(pro!$A:$A,$V:$V,pro!$N:$N)</f>
        <v>0</v>
      </c>
      <c r="G323" s="351"/>
      <c r="H323" s="100">
        <f>SUMIF(CBIN!$A:$A,BRAN!$V:$V,CBIN!$G:$G)</f>
        <v>0</v>
      </c>
      <c r="I323" s="351">
        <f>SUMIF(data!$D:$D,$B323&amp;$D323,data!$J:$J)</f>
        <v>0</v>
      </c>
      <c r="J323" s="351">
        <f>SUMIF(data!$D:$D,$B323&amp;$D323,data!$K:$K)</f>
        <v>0</v>
      </c>
      <c r="K323" s="100">
        <f>SUMIF(AJOUT!$A:$A,BRAN!$V:$V,AJOUT!$L:$L)</f>
        <v>0</v>
      </c>
      <c r="L323" s="100">
        <f>SUMIF(CBOUT!$A:$A,BRAN!$V:$V,CBOUT!$G:$G)</f>
        <v>0</v>
      </c>
      <c r="M323" s="650">
        <f t="shared" si="136"/>
        <v>555</v>
      </c>
      <c r="N323" s="351">
        <f t="shared" si="137"/>
        <v>13875</v>
      </c>
      <c r="O323" s="1161">
        <f t="shared" si="138"/>
        <v>12250</v>
      </c>
      <c r="P323" s="665">
        <f>N316+N321+N322</f>
        <v>15250</v>
      </c>
      <c r="Q323" s="665">
        <f>O316+O321+O322</f>
        <v>12175</v>
      </c>
      <c r="R323" s="804">
        <f>O323/INTGRATE!$N$293</f>
        <v>1361.1111111111111</v>
      </c>
      <c r="S323" s="665">
        <f t="shared" si="143"/>
        <v>10.193877551020408</v>
      </c>
      <c r="T323" s="401"/>
      <c r="U323" s="136"/>
      <c r="V323" s="836" t="str">
        <f t="shared" si="140"/>
        <v>695225</v>
      </c>
      <c r="W323" s="823">
        <v>320041</v>
      </c>
      <c r="X323" s="68"/>
      <c r="Y323" s="68">
        <v>1750</v>
      </c>
      <c r="Z323" s="390">
        <v>875</v>
      </c>
      <c r="AA323" s="100">
        <v>2250</v>
      </c>
      <c r="AB323" s="100">
        <v>875</v>
      </c>
      <c r="AC323" s="100">
        <v>4000</v>
      </c>
      <c r="AD323" s="1162">
        <v>1000</v>
      </c>
      <c r="AE323" s="100">
        <v>1000</v>
      </c>
      <c r="AF323" s="100">
        <v>500</v>
      </c>
      <c r="AG323" s="100"/>
      <c r="AH323" s="100"/>
      <c r="AI323" s="100"/>
      <c r="AJ323" s="100"/>
      <c r="AK323" s="100"/>
      <c r="AL323" s="100"/>
      <c r="AM323" s="100"/>
      <c r="AN323" s="100"/>
      <c r="AO323" s="100"/>
      <c r="AP323" s="100"/>
      <c r="AQ323" s="1162"/>
      <c r="AR323" s="100"/>
      <c r="AS323" s="100"/>
      <c r="AT323" s="100"/>
      <c r="AU323" s="100"/>
      <c r="AV323" s="100"/>
      <c r="AW323" s="100"/>
      <c r="AX323" s="1162"/>
      <c r="AY323" s="100"/>
      <c r="AZ323" s="100"/>
      <c r="BA323" s="100"/>
      <c r="BB323" s="100"/>
      <c r="BC323" s="275">
        <f t="shared" si="133"/>
        <v>12250</v>
      </c>
      <c r="BD323" s="786">
        <f t="shared" si="134"/>
        <v>8</v>
      </c>
      <c r="BE323" s="786">
        <f t="shared" si="135"/>
        <v>1531.25</v>
      </c>
    </row>
    <row r="324" spans="1:151" ht="15" customHeight="1">
      <c r="A324" s="68">
        <v>11</v>
      </c>
      <c r="B324" s="77">
        <v>6953</v>
      </c>
      <c r="C324" s="77" t="s">
        <v>64</v>
      </c>
      <c r="D324" s="67">
        <v>25</v>
      </c>
      <c r="E324" s="649">
        <v>387</v>
      </c>
      <c r="F324" s="100">
        <f>SUMIF(pro!$A:$A,$V:$V,pro!$N:$N)</f>
        <v>0</v>
      </c>
      <c r="G324" s="351"/>
      <c r="H324" s="100">
        <f>SUMIF(CBIN!$A:$A,BRAN!$V:$V,CBIN!$G:$G)</f>
        <v>0</v>
      </c>
      <c r="I324" s="351">
        <f>SUMIF(data!$D:$D,$B324&amp;$D324,data!$J:$J)</f>
        <v>0</v>
      </c>
      <c r="J324" s="351">
        <f>SUMIF(data!$D:$D,$B324&amp;$D324,data!$K:$K)</f>
        <v>0</v>
      </c>
      <c r="K324" s="100">
        <f>SUMIF(AJOUT!$A:$A,BRAN!$V:$V,AJOUT!$L:$L)</f>
        <v>0</v>
      </c>
      <c r="L324" s="100">
        <f>SUMIF(CBOUT!$A:$A,BRAN!$V:$V,CBOUT!$G:$G)</f>
        <v>0</v>
      </c>
      <c r="M324" s="650">
        <f t="shared" si="136"/>
        <v>387</v>
      </c>
      <c r="N324" s="351">
        <f t="shared" si="137"/>
        <v>9675</v>
      </c>
      <c r="O324" s="1161">
        <f t="shared" si="138"/>
        <v>8675</v>
      </c>
      <c r="P324" s="665">
        <f>+N327+N326</f>
        <v>19150</v>
      </c>
      <c r="Q324" s="665">
        <f>+O327+O326</f>
        <v>11550</v>
      </c>
      <c r="R324" s="804">
        <f>O324/INTGRATE!$N$293</f>
        <v>963.88888888888891</v>
      </c>
      <c r="S324" s="665">
        <f t="shared" si="139"/>
        <v>10.037463976945245</v>
      </c>
      <c r="T324" s="401"/>
      <c r="U324" s="136"/>
      <c r="V324" s="836" t="str">
        <f t="shared" si="140"/>
        <v>695325</v>
      </c>
      <c r="W324" s="823">
        <v>332401</v>
      </c>
      <c r="X324" s="68"/>
      <c r="Y324" s="68">
        <v>1000</v>
      </c>
      <c r="Z324" s="390">
        <v>500</v>
      </c>
      <c r="AA324" s="100">
        <v>375</v>
      </c>
      <c r="AB324" s="100">
        <v>200</v>
      </c>
      <c r="AC324" s="100">
        <v>1000</v>
      </c>
      <c r="AD324" s="1162">
        <v>4600</v>
      </c>
      <c r="AE324" s="100">
        <v>1000</v>
      </c>
      <c r="AF324" s="100">
        <v>0</v>
      </c>
      <c r="AG324" s="100"/>
      <c r="AH324" s="100"/>
      <c r="AI324" s="100"/>
      <c r="AJ324" s="100"/>
      <c r="AK324" s="100"/>
      <c r="AL324" s="100"/>
      <c r="AM324" s="100"/>
      <c r="AN324" s="100"/>
      <c r="AO324" s="100"/>
      <c r="AP324" s="100"/>
      <c r="AQ324" s="1162"/>
      <c r="AR324" s="100"/>
      <c r="AS324" s="100"/>
      <c r="AT324" s="100"/>
      <c r="AU324" s="100"/>
      <c r="AV324" s="100"/>
      <c r="AW324" s="100"/>
      <c r="AX324" s="1162"/>
      <c r="AY324" s="100"/>
      <c r="AZ324" s="100"/>
      <c r="BA324" s="100"/>
      <c r="BB324" s="100"/>
      <c r="BC324" s="275">
        <f t="shared" si="133"/>
        <v>8675</v>
      </c>
      <c r="BD324" s="786">
        <f t="shared" si="134"/>
        <v>7</v>
      </c>
      <c r="BE324" s="786">
        <f t="shared" si="135"/>
        <v>1239.2857142857142</v>
      </c>
    </row>
    <row r="325" spans="1:151" ht="15" customHeight="1">
      <c r="A325" s="68">
        <v>12</v>
      </c>
      <c r="B325" s="77">
        <v>6954</v>
      </c>
      <c r="C325" s="77" t="s">
        <v>64</v>
      </c>
      <c r="D325" s="67">
        <v>25</v>
      </c>
      <c r="E325" s="649">
        <v>0</v>
      </c>
      <c r="F325" s="100">
        <f>SUMIF(pro!$A:$A,$V:$V,pro!$N:$N)</f>
        <v>0</v>
      </c>
      <c r="G325" s="351"/>
      <c r="H325" s="100">
        <f>SUMIF(CBIN!$A:$A,BRAN!$V:$V,CBIN!$G:$G)</f>
        <v>0</v>
      </c>
      <c r="I325" s="351">
        <f>SUMIF(data!$D:$D,$B325&amp;$D325,data!$J:$J)</f>
        <v>0</v>
      </c>
      <c r="J325" s="351">
        <f>SUMIF(data!$D:$D,$B325&amp;$D325,data!$K:$K)</f>
        <v>0</v>
      </c>
      <c r="K325" s="100">
        <f>SUMIF(AJOUT!$A:$A,BRAN!$V:$V,AJOUT!$L:$L)</f>
        <v>0</v>
      </c>
      <c r="L325" s="100">
        <f>SUMIF(CBOUT!$A:$A,BRAN!$V:$V,CBOUT!$G:$G)</f>
        <v>0</v>
      </c>
      <c r="M325" s="650">
        <f t="shared" si="136"/>
        <v>0</v>
      </c>
      <c r="N325" s="351">
        <f t="shared" si="137"/>
        <v>0</v>
      </c>
      <c r="O325" s="1161">
        <f t="shared" si="138"/>
        <v>0</v>
      </c>
      <c r="P325" s="665">
        <f>+N317+N318</f>
        <v>16475</v>
      </c>
      <c r="Q325" s="665">
        <f>+O317+O318</f>
        <v>13450</v>
      </c>
      <c r="R325" s="804">
        <f>O325/INTGRATE!$N$293</f>
        <v>0</v>
      </c>
      <c r="S325" s="665">
        <f t="shared" si="139"/>
        <v>0</v>
      </c>
      <c r="T325" s="401"/>
      <c r="U325" s="136"/>
      <c r="V325" s="836" t="str">
        <f t="shared" si="140"/>
        <v>695425</v>
      </c>
      <c r="W325" s="823">
        <v>332341</v>
      </c>
      <c r="X325" s="68"/>
      <c r="Y325" s="68">
        <v>0</v>
      </c>
      <c r="Z325" s="390">
        <v>0</v>
      </c>
      <c r="AA325" s="100">
        <v>0</v>
      </c>
      <c r="AB325" s="100">
        <v>0</v>
      </c>
      <c r="AC325" s="100">
        <v>0</v>
      </c>
      <c r="AD325" s="351">
        <v>0</v>
      </c>
      <c r="AE325" s="100">
        <v>0</v>
      </c>
      <c r="AF325" s="100">
        <v>0</v>
      </c>
      <c r="AG325" s="100"/>
      <c r="AH325" s="100"/>
      <c r="AI325" s="100"/>
      <c r="AJ325" s="100"/>
      <c r="AK325" s="100"/>
      <c r="AL325" s="100"/>
      <c r="AM325" s="100"/>
      <c r="AN325" s="100"/>
      <c r="AO325" s="100"/>
      <c r="AP325" s="100"/>
      <c r="AQ325" s="351"/>
      <c r="AR325" s="100"/>
      <c r="AS325" s="100"/>
      <c r="AT325" s="100"/>
      <c r="AU325" s="100"/>
      <c r="AV325" s="100"/>
      <c r="AW325" s="100"/>
      <c r="AX325" s="351"/>
      <c r="AY325" s="100"/>
      <c r="AZ325" s="100"/>
      <c r="BA325" s="100"/>
      <c r="BB325" s="100"/>
      <c r="BC325" s="275">
        <f t="shared" si="133"/>
        <v>0</v>
      </c>
      <c r="BD325" s="786">
        <f t="shared" si="134"/>
        <v>0</v>
      </c>
      <c r="BE325" s="786">
        <f t="shared" si="135"/>
        <v>0</v>
      </c>
    </row>
    <row r="326" spans="1:151" ht="15" customHeight="1">
      <c r="A326" s="68">
        <v>13</v>
      </c>
      <c r="B326" s="410">
        <v>6895</v>
      </c>
      <c r="C326" s="410" t="s">
        <v>79</v>
      </c>
      <c r="D326" s="410">
        <v>25</v>
      </c>
      <c r="E326" s="649">
        <v>614</v>
      </c>
      <c r="F326" s="100">
        <f>SUMIF(pro!$A:$A,$V:$V,pro!$N:$N)</f>
        <v>0</v>
      </c>
      <c r="G326" s="351"/>
      <c r="H326" s="100">
        <f>SUMIF(CBIN!$A:$A,BRAN!$V:$V,CBIN!$G:$G)</f>
        <v>0</v>
      </c>
      <c r="I326" s="351">
        <f>SUMIF(data!$D:$D,$B326&amp;$D326,data!$J:$J)</f>
        <v>0</v>
      </c>
      <c r="J326" s="351">
        <f>SUMIF(data!$D:$D,$B326&amp;$D326,data!$K:$K)</f>
        <v>0</v>
      </c>
      <c r="K326" s="100">
        <f>SUMIF(AJOUT!$A:$A,BRAN!$V:$V,AJOUT!$L:$L)</f>
        <v>0</v>
      </c>
      <c r="L326" s="100">
        <f>SUMIF(CBOUT!$A:$A,BRAN!$V:$V,CBOUT!$G:$G)</f>
        <v>0</v>
      </c>
      <c r="M326" s="650">
        <f t="shared" si="136"/>
        <v>614</v>
      </c>
      <c r="N326" s="351">
        <f t="shared" si="137"/>
        <v>15350</v>
      </c>
      <c r="O326" s="1161">
        <f t="shared" si="138"/>
        <v>10675</v>
      </c>
      <c r="P326" s="665"/>
      <c r="Q326" s="665"/>
      <c r="R326" s="804">
        <f>O326/INTGRATE!$N$293</f>
        <v>1186.1111111111111</v>
      </c>
      <c r="S326" s="665">
        <f t="shared" si="139"/>
        <v>12.941451990632318</v>
      </c>
      <c r="T326" s="401"/>
      <c r="U326" s="136"/>
      <c r="V326" s="836" t="str">
        <f t="shared" si="140"/>
        <v>689525</v>
      </c>
      <c r="W326" s="823">
        <v>423700</v>
      </c>
      <c r="X326" s="68"/>
      <c r="Y326" s="68">
        <v>675</v>
      </c>
      <c r="Z326" s="390">
        <v>500</v>
      </c>
      <c r="AA326" s="100">
        <v>6750</v>
      </c>
      <c r="AB326" s="100">
        <v>0</v>
      </c>
      <c r="AC326" s="100">
        <v>250</v>
      </c>
      <c r="AD326" s="351">
        <v>750</v>
      </c>
      <c r="AE326" s="100">
        <v>0</v>
      </c>
      <c r="AF326" s="100">
        <v>1750</v>
      </c>
      <c r="AG326" s="100"/>
      <c r="AH326" s="100"/>
      <c r="AI326" s="100"/>
      <c r="AJ326" s="100"/>
      <c r="AK326" s="100"/>
      <c r="AL326" s="100"/>
      <c r="AM326" s="100"/>
      <c r="AN326" s="100"/>
      <c r="AO326" s="100"/>
      <c r="AP326" s="100"/>
      <c r="AQ326" s="351"/>
      <c r="AR326" s="100"/>
      <c r="AS326" s="100"/>
      <c r="AT326" s="100"/>
      <c r="AU326" s="100"/>
      <c r="AV326" s="100"/>
      <c r="AW326" s="100"/>
      <c r="AX326" s="100"/>
      <c r="AY326" s="100"/>
      <c r="AZ326" s="100"/>
      <c r="BA326" s="100"/>
      <c r="BB326" s="100"/>
      <c r="BC326" s="275">
        <f t="shared" si="133"/>
        <v>10675</v>
      </c>
      <c r="BD326" s="786">
        <f t="shared" si="134"/>
        <v>6</v>
      </c>
      <c r="BE326" s="786">
        <f t="shared" si="135"/>
        <v>1779.1666666666667</v>
      </c>
    </row>
    <row r="327" spans="1:151" ht="15" customHeight="1">
      <c r="A327" s="68">
        <v>14</v>
      </c>
      <c r="B327" s="410">
        <v>6884</v>
      </c>
      <c r="C327" s="410" t="s">
        <v>79</v>
      </c>
      <c r="D327" s="410">
        <v>25</v>
      </c>
      <c r="E327" s="649">
        <v>152</v>
      </c>
      <c r="F327" s="100">
        <f>SUMIF(pro!$A:$A,$V:$V,pro!$N:$N)</f>
        <v>0</v>
      </c>
      <c r="G327" s="351"/>
      <c r="H327" s="100">
        <f>SUMIF(CBIN!$A:$A,BRAN!$V:$V,CBIN!$G:$G)</f>
        <v>0</v>
      </c>
      <c r="I327" s="351">
        <f>SUMIF(data!$D:$D,$B327&amp;$D327,data!$J:$J)</f>
        <v>0</v>
      </c>
      <c r="J327" s="351">
        <f>SUMIF(data!$D:$D,$B327&amp;$D327,data!$K:$K)</f>
        <v>0</v>
      </c>
      <c r="K327" s="100">
        <f>SUMIF(AJOUT!$A:$A,BRAN!$V:$V,AJOUT!$L:$L)</f>
        <v>0</v>
      </c>
      <c r="L327" s="100">
        <f>SUMIF(CBOUT!$A:$A,BRAN!$V:$V,CBOUT!$G:$G)</f>
        <v>0</v>
      </c>
      <c r="M327" s="650">
        <f>E327+F327+H327-I327-L327+G327-K327</f>
        <v>152</v>
      </c>
      <c r="N327" s="351">
        <f>M327*D327</f>
        <v>3800</v>
      </c>
      <c r="O327" s="1161">
        <f>SUM(X327:BB327)</f>
        <v>875</v>
      </c>
      <c r="P327" s="665"/>
      <c r="Q327" s="665"/>
      <c r="R327" s="804">
        <f>O327/INTGRATE!$N$293</f>
        <v>97.222222222222229</v>
      </c>
      <c r="S327" s="665">
        <f>IF(R327=0,0,N327/R327)</f>
        <v>39.085714285714282</v>
      </c>
      <c r="T327" s="401"/>
      <c r="U327" s="136"/>
      <c r="V327" s="836" t="str">
        <f t="shared" si="140"/>
        <v>688425</v>
      </c>
      <c r="W327" s="823">
        <v>433700</v>
      </c>
      <c r="X327" s="68"/>
      <c r="Y327" s="68">
        <v>0</v>
      </c>
      <c r="Z327" s="390">
        <v>0</v>
      </c>
      <c r="AA327" s="100">
        <v>0</v>
      </c>
      <c r="AB327" s="100">
        <v>0</v>
      </c>
      <c r="AC327" s="100">
        <v>250</v>
      </c>
      <c r="AD327" s="351">
        <v>500</v>
      </c>
      <c r="AE327" s="100">
        <v>0</v>
      </c>
      <c r="AF327" s="100">
        <v>125</v>
      </c>
      <c r="AG327" s="100"/>
      <c r="AH327" s="100"/>
      <c r="AI327" s="100"/>
      <c r="AJ327" s="100"/>
      <c r="AK327" s="100"/>
      <c r="AL327" s="100"/>
      <c r="AM327" s="100"/>
      <c r="AN327" s="100"/>
      <c r="AO327" s="100"/>
      <c r="AP327" s="100"/>
      <c r="AQ327" s="351"/>
      <c r="AR327" s="100"/>
      <c r="AS327" s="100"/>
      <c r="AT327" s="100"/>
      <c r="AU327" s="100"/>
      <c r="AV327" s="100"/>
      <c r="AW327" s="100"/>
      <c r="AX327" s="100"/>
      <c r="AY327" s="100"/>
      <c r="AZ327" s="100"/>
      <c r="BA327" s="100"/>
      <c r="BB327" s="100"/>
      <c r="BC327" s="275">
        <f t="shared" si="133"/>
        <v>875</v>
      </c>
      <c r="BD327" s="786">
        <f t="shared" si="134"/>
        <v>3</v>
      </c>
      <c r="BE327" s="786">
        <f t="shared" si="135"/>
        <v>291.66666666666669</v>
      </c>
    </row>
    <row r="328" spans="1:151" ht="15" customHeight="1">
      <c r="A328" s="68">
        <v>15</v>
      </c>
      <c r="B328" s="410">
        <v>6984</v>
      </c>
      <c r="C328" s="410" t="s">
        <v>64</v>
      </c>
      <c r="D328" s="410">
        <v>25</v>
      </c>
      <c r="E328" s="649">
        <v>0</v>
      </c>
      <c r="F328" s="100">
        <f>SUMIF(pro!$A:$A,$V:$V,pro!$N:$N)</f>
        <v>0</v>
      </c>
      <c r="G328" s="351"/>
      <c r="H328" s="100">
        <f>SUMIF(CBIN!$A:$A,BRAN!$V:$V,CBIN!$G:$G)</f>
        <v>0</v>
      </c>
      <c r="I328" s="351">
        <f>SUMIF(data!$D:$D,$B328&amp;$D328,data!$J:$J)</f>
        <v>0</v>
      </c>
      <c r="J328" s="351">
        <f>SUMIF(data!$D:$D,$B328&amp;$D328,data!$K:$K)</f>
        <v>0</v>
      </c>
      <c r="K328" s="100">
        <f>SUMIF(AJOUT!$A:$A,BRAN!$V:$V,AJOUT!$L:$L)</f>
        <v>0</v>
      </c>
      <c r="L328" s="100">
        <f>SUMIF(CBOUT!$A:$A,BRAN!$V:$V,CBOUT!$G:$G)</f>
        <v>0</v>
      </c>
      <c r="M328" s="650">
        <f>E328+F328+H328-I328-L328+G328-K328</f>
        <v>0</v>
      </c>
      <c r="N328" s="351">
        <f>M328*D328</f>
        <v>0</v>
      </c>
      <c r="O328" s="1161">
        <f>SUM(X328:BB328)</f>
        <v>0</v>
      </c>
      <c r="P328" s="665"/>
      <c r="Q328" s="665"/>
      <c r="R328" s="804">
        <f>O328/INTGRATE!$N$293</f>
        <v>0</v>
      </c>
      <c r="S328" s="665">
        <f>IF(R328=0,0,N328/R328)</f>
        <v>0</v>
      </c>
      <c r="T328" s="401"/>
      <c r="U328" s="136"/>
      <c r="V328" s="836" t="str">
        <f t="shared" si="140"/>
        <v>698425</v>
      </c>
      <c r="W328" s="823">
        <v>433701</v>
      </c>
      <c r="X328" s="68"/>
      <c r="Y328" s="68">
        <v>0</v>
      </c>
      <c r="Z328" s="390">
        <v>0</v>
      </c>
      <c r="AA328" s="100">
        <v>0</v>
      </c>
      <c r="AB328" s="100">
        <v>0</v>
      </c>
      <c r="AC328" s="100">
        <v>0</v>
      </c>
      <c r="AD328" s="351">
        <v>0</v>
      </c>
      <c r="AE328" s="100">
        <v>0</v>
      </c>
      <c r="AF328" s="100">
        <v>0</v>
      </c>
      <c r="AG328" s="100"/>
      <c r="AH328" s="100"/>
      <c r="AI328" s="100"/>
      <c r="AJ328" s="100"/>
      <c r="AK328" s="100"/>
      <c r="AL328" s="100"/>
      <c r="AM328" s="100"/>
      <c r="AN328" s="100"/>
      <c r="AO328" s="100"/>
      <c r="AP328" s="100"/>
      <c r="AQ328" s="351"/>
      <c r="AR328" s="100"/>
      <c r="AS328" s="100"/>
      <c r="AT328" s="100"/>
      <c r="AU328" s="100"/>
      <c r="AV328" s="100"/>
      <c r="AW328" s="100"/>
      <c r="AX328" s="100"/>
      <c r="AY328" s="100"/>
      <c r="AZ328" s="100"/>
      <c r="BA328" s="100"/>
      <c r="BB328" s="100"/>
      <c r="BC328" s="275">
        <f t="shared" si="133"/>
        <v>0</v>
      </c>
      <c r="BD328" s="786">
        <f t="shared" si="134"/>
        <v>0</v>
      </c>
      <c r="BE328" s="786">
        <f t="shared" si="135"/>
        <v>0</v>
      </c>
    </row>
    <row r="329" spans="1:151" ht="15" customHeight="1">
      <c r="A329" s="68">
        <v>16</v>
      </c>
      <c r="B329" s="410">
        <v>6995</v>
      </c>
      <c r="C329" s="410" t="s">
        <v>64</v>
      </c>
      <c r="D329" s="410">
        <v>25</v>
      </c>
      <c r="E329" s="649">
        <v>539</v>
      </c>
      <c r="F329" s="100">
        <f>SUMIF(pro!$A:$A,$V:$V,pro!$N:$N)</f>
        <v>0</v>
      </c>
      <c r="G329" s="351"/>
      <c r="H329" s="100">
        <f>SUMIF(CBIN!$A:$A,BRAN!$V:$V,CBIN!$G:$G)</f>
        <v>0</v>
      </c>
      <c r="I329" s="351">
        <f>SUMIF(data!$D:$D,$B329&amp;$D329,data!$J:$J)</f>
        <v>0</v>
      </c>
      <c r="J329" s="351">
        <f>SUMIF(data!$D:$D,$B329&amp;$D329,data!$K:$K)</f>
        <v>0</v>
      </c>
      <c r="K329" s="100">
        <f>SUMIF(AJOUT!$A:$A,BRAN!$V:$V,AJOUT!$L:$L)</f>
        <v>0</v>
      </c>
      <c r="L329" s="100">
        <f>SUMIF(CBOUT!$A:$A,BRAN!$V:$V,CBOUT!$G:$G)</f>
        <v>0</v>
      </c>
      <c r="M329" s="650">
        <f t="shared" si="136"/>
        <v>539</v>
      </c>
      <c r="N329" s="351">
        <f t="shared" si="137"/>
        <v>13475</v>
      </c>
      <c r="O329" s="1161">
        <f t="shared" si="138"/>
        <v>12450</v>
      </c>
      <c r="P329" s="665"/>
      <c r="Q329" s="665"/>
      <c r="R329" s="804">
        <f>O329/INTGRATE!$N$293</f>
        <v>1383.3333333333333</v>
      </c>
      <c r="S329" s="665">
        <f t="shared" si="139"/>
        <v>9.740963855421688</v>
      </c>
      <c r="T329" s="401"/>
      <c r="U329" s="136"/>
      <c r="V329" s="836" t="str">
        <f t="shared" si="140"/>
        <v>699525</v>
      </c>
      <c r="W329" s="823">
        <v>423701</v>
      </c>
      <c r="X329" s="68"/>
      <c r="Y329" s="68">
        <v>1250</v>
      </c>
      <c r="Z329" s="390">
        <v>125</v>
      </c>
      <c r="AA329" s="100">
        <v>500</v>
      </c>
      <c r="AB329" s="100">
        <v>1750</v>
      </c>
      <c r="AC329" s="100">
        <v>1750</v>
      </c>
      <c r="AD329" s="351">
        <v>5500</v>
      </c>
      <c r="AE329" s="100">
        <v>250</v>
      </c>
      <c r="AF329" s="100">
        <v>1325</v>
      </c>
      <c r="AG329" s="100"/>
      <c r="AH329" s="100"/>
      <c r="AI329" s="100"/>
      <c r="AJ329" s="100"/>
      <c r="AK329" s="100"/>
      <c r="AL329" s="100"/>
      <c r="AM329" s="100"/>
      <c r="AN329" s="100"/>
      <c r="AO329" s="100"/>
      <c r="AP329" s="100"/>
      <c r="AQ329" s="351"/>
      <c r="AR329" s="100"/>
      <c r="AS329" s="100"/>
      <c r="AT329" s="100"/>
      <c r="AU329" s="100"/>
      <c r="AV329" s="100"/>
      <c r="AW329" s="100"/>
      <c r="AX329" s="100"/>
      <c r="AY329" s="100"/>
      <c r="AZ329" s="100"/>
      <c r="BA329" s="100"/>
      <c r="BB329" s="100"/>
      <c r="BC329" s="275">
        <f t="shared" si="133"/>
        <v>12450</v>
      </c>
      <c r="BD329" s="786">
        <f t="shared" si="134"/>
        <v>8</v>
      </c>
      <c r="BE329" s="786">
        <f t="shared" si="135"/>
        <v>1556.25</v>
      </c>
    </row>
    <row r="330" spans="1:151" ht="15" customHeight="1">
      <c r="A330" s="68">
        <v>17</v>
      </c>
      <c r="B330" s="448">
        <v>6991</v>
      </c>
      <c r="C330" s="448" t="s">
        <v>64</v>
      </c>
      <c r="D330" s="448">
        <v>25</v>
      </c>
      <c r="E330" s="649">
        <v>85</v>
      </c>
      <c r="F330" s="100">
        <f>SUMIF(pro!$A:$A,$V:$V,pro!$N:$N)</f>
        <v>0</v>
      </c>
      <c r="G330" s="351"/>
      <c r="H330" s="100">
        <f>SUMIF(CBIN!$A:$A,BRAN!$V:$V,CBIN!$G:$G)</f>
        <v>0</v>
      </c>
      <c r="I330" s="351">
        <f>SUMIF(data!$D:$D,$B330&amp;$D330,data!$J:$J)</f>
        <v>0</v>
      </c>
      <c r="J330" s="351">
        <f>SUMIF(data!$D:$D,$B330&amp;$D330,data!$K:$K)</f>
        <v>0</v>
      </c>
      <c r="K330" s="100">
        <f>SUMIF(AJOUT!$A:$A,BRAN!$V:$V,AJOUT!$L:$L)</f>
        <v>0</v>
      </c>
      <c r="L330" s="100">
        <f>SUMIF(CBOUT!$A:$A,BRAN!$V:$V,CBOUT!$G:$G)</f>
        <v>0</v>
      </c>
      <c r="M330" s="650">
        <f>E330+F330+H330-I330-L330+G330-K330</f>
        <v>85</v>
      </c>
      <c r="N330" s="351">
        <f>M330*D330</f>
        <v>2125</v>
      </c>
      <c r="O330" s="1161">
        <f>SUM(X330:BB330)</f>
        <v>3375</v>
      </c>
      <c r="P330" s="665"/>
      <c r="Q330" s="665"/>
      <c r="R330" s="804">
        <f>O330/INTGRATE!$N$293</f>
        <v>375</v>
      </c>
      <c r="S330" s="665">
        <f>IF(R330=0,0,N330/R330)</f>
        <v>5.666666666666667</v>
      </c>
      <c r="T330" s="592"/>
      <c r="U330" s="613"/>
      <c r="V330" s="836" t="str">
        <f>B330&amp;D330</f>
        <v>699125</v>
      </c>
      <c r="W330" s="823">
        <v>513021</v>
      </c>
      <c r="X330" s="666"/>
      <c r="Y330" s="666">
        <v>1375</v>
      </c>
      <c r="Z330" s="667">
        <v>500</v>
      </c>
      <c r="AA330" s="157">
        <v>250</v>
      </c>
      <c r="AB330" s="157">
        <v>0</v>
      </c>
      <c r="AC330" s="157">
        <v>625</v>
      </c>
      <c r="AD330" s="1162">
        <v>0</v>
      </c>
      <c r="AE330" s="157">
        <v>500</v>
      </c>
      <c r="AF330" s="157">
        <v>125</v>
      </c>
      <c r="AG330" s="157"/>
      <c r="AH330" s="157"/>
      <c r="AI330" s="157"/>
      <c r="AJ330" s="157"/>
      <c r="AK330" s="157"/>
      <c r="AL330" s="157"/>
      <c r="AM330" s="157"/>
      <c r="AN330" s="157"/>
      <c r="AO330" s="157"/>
      <c r="AP330" s="157"/>
      <c r="AQ330" s="1162"/>
      <c r="AR330" s="157"/>
      <c r="AS330" s="157"/>
      <c r="AT330" s="157"/>
      <c r="AU330" s="157"/>
      <c r="AV330" s="157"/>
      <c r="AW330" s="157"/>
      <c r="AX330" s="157"/>
      <c r="AY330" s="157"/>
      <c r="AZ330" s="157"/>
      <c r="BA330" s="157"/>
      <c r="BB330" s="157"/>
      <c r="BC330" s="275">
        <f t="shared" si="133"/>
        <v>3375</v>
      </c>
      <c r="BD330" s="786">
        <f t="shared" si="134"/>
        <v>6</v>
      </c>
      <c r="BE330" s="786">
        <f t="shared" si="135"/>
        <v>562.5</v>
      </c>
    </row>
    <row r="331" spans="1:151" s="59" customFormat="1" ht="15" customHeight="1">
      <c r="A331" s="1099" t="s">
        <v>71</v>
      </c>
      <c r="B331" s="1100"/>
      <c r="C331" s="1100"/>
      <c r="D331" s="1101"/>
      <c r="E331" s="113"/>
      <c r="F331" s="113"/>
      <c r="G331" s="113"/>
      <c r="H331" s="113"/>
      <c r="I331" s="113"/>
      <c r="J331" s="113"/>
      <c r="K331" s="113"/>
      <c r="L331" s="113"/>
      <c r="M331" s="479"/>
      <c r="N331" s="113"/>
      <c r="O331" s="113"/>
      <c r="P331" s="113"/>
      <c r="Q331" s="113"/>
      <c r="R331" s="113"/>
      <c r="S331" s="114"/>
      <c r="T331" s="462"/>
      <c r="U331" s="155"/>
      <c r="V331" s="836"/>
      <c r="W331" s="823"/>
      <c r="X331" s="669">
        <f t="shared" ref="X331:BC331" si="148">SUM(X314:X330)</f>
        <v>0</v>
      </c>
      <c r="Y331" s="670">
        <f t="shared" si="148"/>
        <v>9175</v>
      </c>
      <c r="Z331" s="670">
        <f t="shared" si="148"/>
        <v>3525</v>
      </c>
      <c r="AA331" s="670">
        <f t="shared" si="148"/>
        <v>16650</v>
      </c>
      <c r="AB331" s="670">
        <f t="shared" si="148"/>
        <v>11125</v>
      </c>
      <c r="AC331" s="670">
        <f t="shared" si="148"/>
        <v>14700</v>
      </c>
      <c r="AD331" s="670">
        <f t="shared" si="148"/>
        <v>14225</v>
      </c>
      <c r="AE331" s="670">
        <f t="shared" si="148"/>
        <v>3000</v>
      </c>
      <c r="AF331" s="670">
        <f t="shared" si="148"/>
        <v>12950</v>
      </c>
      <c r="AG331" s="670">
        <f t="shared" si="148"/>
        <v>0</v>
      </c>
      <c r="AH331" s="670">
        <f t="shared" si="148"/>
        <v>0</v>
      </c>
      <c r="AI331" s="670">
        <f t="shared" si="148"/>
        <v>0</v>
      </c>
      <c r="AJ331" s="670">
        <f t="shared" si="148"/>
        <v>0</v>
      </c>
      <c r="AK331" s="670">
        <f t="shared" si="148"/>
        <v>0</v>
      </c>
      <c r="AL331" s="670">
        <f t="shared" si="148"/>
        <v>0</v>
      </c>
      <c r="AM331" s="670">
        <f t="shared" si="148"/>
        <v>0</v>
      </c>
      <c r="AN331" s="670">
        <f t="shared" si="148"/>
        <v>0</v>
      </c>
      <c r="AO331" s="670">
        <f t="shared" si="148"/>
        <v>0</v>
      </c>
      <c r="AP331" s="670">
        <f t="shared" si="148"/>
        <v>0</v>
      </c>
      <c r="AQ331" s="670">
        <f t="shared" si="148"/>
        <v>0</v>
      </c>
      <c r="AR331" s="670">
        <f t="shared" si="148"/>
        <v>0</v>
      </c>
      <c r="AS331" s="670">
        <f t="shared" si="148"/>
        <v>0</v>
      </c>
      <c r="AT331" s="670">
        <f t="shared" si="148"/>
        <v>0</v>
      </c>
      <c r="AU331" s="670">
        <f t="shared" si="148"/>
        <v>0</v>
      </c>
      <c r="AV331" s="670">
        <f t="shared" si="148"/>
        <v>0</v>
      </c>
      <c r="AW331" s="670">
        <f t="shared" si="148"/>
        <v>0</v>
      </c>
      <c r="AX331" s="670">
        <f t="shared" si="148"/>
        <v>0</v>
      </c>
      <c r="AY331" s="670">
        <f t="shared" si="148"/>
        <v>0</v>
      </c>
      <c r="AZ331" s="670">
        <f t="shared" si="148"/>
        <v>0</v>
      </c>
      <c r="BA331" s="670">
        <f t="shared" si="148"/>
        <v>0</v>
      </c>
      <c r="BB331" s="670">
        <f t="shared" si="148"/>
        <v>0</v>
      </c>
      <c r="BC331" s="670">
        <f t="shared" si="148"/>
        <v>85350</v>
      </c>
      <c r="BD331" s="112"/>
      <c r="BE331" s="112"/>
      <c r="BH331" s="439"/>
    </row>
    <row r="332" spans="1:151" s="59" customFormat="1" ht="15" customHeight="1">
      <c r="A332" s="1099" t="s">
        <v>72</v>
      </c>
      <c r="B332" s="1100"/>
      <c r="C332" s="1100"/>
      <c r="D332" s="1101"/>
      <c r="E332" s="113">
        <f>SUM(E314:E330)</f>
        <v>4333</v>
      </c>
      <c r="F332" s="113">
        <f>SUM(F314:F330)-F334</f>
        <v>0</v>
      </c>
      <c r="G332" s="113">
        <f>SUM(G314:G330)</f>
        <v>0</v>
      </c>
      <c r="H332" s="113">
        <f>SUM(H314:H330)</f>
        <v>0</v>
      </c>
      <c r="I332" s="113">
        <f>SUM(I314:I330)</f>
        <v>0</v>
      </c>
      <c r="J332" s="113">
        <f>SUM(J314:J330)-J334</f>
        <v>0</v>
      </c>
      <c r="K332" s="113">
        <f t="shared" ref="K332:S332" si="149">SUM(K314:K330)</f>
        <v>0</v>
      </c>
      <c r="L332" s="113">
        <f t="shared" si="149"/>
        <v>0</v>
      </c>
      <c r="M332" s="113">
        <f t="shared" si="149"/>
        <v>4333</v>
      </c>
      <c r="N332" s="113">
        <f t="shared" si="149"/>
        <v>108325</v>
      </c>
      <c r="O332" s="113">
        <f t="shared" si="149"/>
        <v>85350</v>
      </c>
      <c r="P332" s="113">
        <f t="shared" si="149"/>
        <v>108325</v>
      </c>
      <c r="Q332" s="113">
        <f t="shared" si="149"/>
        <v>85350</v>
      </c>
      <c r="R332" s="113">
        <f t="shared" si="149"/>
        <v>9483.3333333333339</v>
      </c>
      <c r="S332" s="113">
        <f t="shared" si="149"/>
        <v>124.17587201365929</v>
      </c>
      <c r="T332" s="1105"/>
      <c r="U332" s="155">
        <f>SUM(U316:U316,U319:U325)*25</f>
        <v>0</v>
      </c>
      <c r="V332" s="836"/>
      <c r="W332" s="823"/>
      <c r="X332" s="112"/>
      <c r="Y332" s="112"/>
      <c r="Z332" s="112"/>
      <c r="AA332" s="112"/>
      <c r="AB332" s="112"/>
      <c r="AC332" s="112"/>
      <c r="AD332" s="112"/>
      <c r="AE332" s="112"/>
      <c r="AF332" s="112"/>
      <c r="AG332" s="112"/>
      <c r="AH332" s="112"/>
      <c r="AI332" s="75"/>
      <c r="AJ332" s="75"/>
      <c r="AK332" s="75"/>
      <c r="AL332" s="75"/>
      <c r="AM332" s="75"/>
      <c r="AN332" s="75"/>
      <c r="AO332" s="75"/>
      <c r="AP332" s="75"/>
      <c r="AQ332" s="75"/>
      <c r="AR332" s="75"/>
      <c r="AS332" s="75"/>
      <c r="AT332" s="75"/>
      <c r="AU332" s="75"/>
      <c r="AV332" s="75"/>
      <c r="AW332" s="75"/>
      <c r="AX332" s="75"/>
      <c r="AY332" s="75"/>
      <c r="BA332" s="112"/>
      <c r="BB332" s="112"/>
      <c r="BC332" s="329">
        <f>+BC331+BC300+BC276+BC193+BC150</f>
        <v>3621740</v>
      </c>
      <c r="BD332" s="329"/>
      <c r="BE332" s="329"/>
      <c r="BH332" s="439"/>
    </row>
    <row r="333" spans="1:151" s="59" customFormat="1" ht="15" customHeight="1">
      <c r="A333" s="1099" t="s">
        <v>73</v>
      </c>
      <c r="B333" s="1100"/>
      <c r="C333" s="1100"/>
      <c r="D333" s="1101"/>
      <c r="E333" s="113"/>
      <c r="F333" s="113"/>
      <c r="G333" s="113"/>
      <c r="H333" s="113"/>
      <c r="I333" s="113"/>
      <c r="J333" s="113"/>
      <c r="K333" s="113"/>
      <c r="L333" s="113"/>
      <c r="M333" s="479"/>
      <c r="N333" s="113"/>
      <c r="O333" s="113"/>
      <c r="P333" s="113"/>
      <c r="Q333" s="113"/>
      <c r="R333" s="113"/>
      <c r="S333" s="113"/>
      <c r="T333" s="1106"/>
      <c r="U333" s="155"/>
      <c r="V333" s="839"/>
      <c r="W333" s="823"/>
      <c r="X333" s="671">
        <f t="shared" ref="X333:BB333" si="150">X331+X300+X276+X193+X150</f>
        <v>0</v>
      </c>
      <c r="Y333" s="671">
        <f t="shared" si="150"/>
        <v>617180</v>
      </c>
      <c r="Z333" s="671">
        <f t="shared" si="150"/>
        <v>194990</v>
      </c>
      <c r="AA333" s="671">
        <f t="shared" si="150"/>
        <v>565630</v>
      </c>
      <c r="AB333" s="671">
        <f t="shared" si="150"/>
        <v>534855</v>
      </c>
      <c r="AC333" s="671">
        <f t="shared" si="150"/>
        <v>495125</v>
      </c>
      <c r="AD333" s="671">
        <f t="shared" si="150"/>
        <v>389925</v>
      </c>
      <c r="AE333" s="671">
        <f t="shared" si="150"/>
        <v>493910</v>
      </c>
      <c r="AF333" s="671">
        <f t="shared" si="150"/>
        <v>330125</v>
      </c>
      <c r="AG333" s="671">
        <f t="shared" si="150"/>
        <v>0</v>
      </c>
      <c r="AH333" s="671">
        <f t="shared" si="150"/>
        <v>0</v>
      </c>
      <c r="AI333" s="671">
        <f t="shared" si="150"/>
        <v>0</v>
      </c>
      <c r="AJ333" s="671">
        <f t="shared" si="150"/>
        <v>0</v>
      </c>
      <c r="AK333" s="671">
        <f t="shared" si="150"/>
        <v>0</v>
      </c>
      <c r="AL333" s="671">
        <f t="shared" si="150"/>
        <v>0</v>
      </c>
      <c r="AM333" s="671">
        <f t="shared" si="150"/>
        <v>0</v>
      </c>
      <c r="AN333" s="671">
        <f t="shared" si="150"/>
        <v>0</v>
      </c>
      <c r="AO333" s="671">
        <f t="shared" si="150"/>
        <v>0</v>
      </c>
      <c r="AP333" s="671">
        <f t="shared" si="150"/>
        <v>0</v>
      </c>
      <c r="AQ333" s="671">
        <f t="shared" si="150"/>
        <v>0</v>
      </c>
      <c r="AR333" s="671">
        <f t="shared" si="150"/>
        <v>0</v>
      </c>
      <c r="AS333" s="671">
        <f t="shared" si="150"/>
        <v>0</v>
      </c>
      <c r="AT333" s="671">
        <f t="shared" si="150"/>
        <v>0</v>
      </c>
      <c r="AU333" s="671">
        <f t="shared" si="150"/>
        <v>0</v>
      </c>
      <c r="AV333" s="671">
        <f t="shared" si="150"/>
        <v>0</v>
      </c>
      <c r="AW333" s="671">
        <f t="shared" si="150"/>
        <v>0</v>
      </c>
      <c r="AX333" s="671">
        <f t="shared" si="150"/>
        <v>0</v>
      </c>
      <c r="AY333" s="671">
        <f t="shared" si="150"/>
        <v>0</v>
      </c>
      <c r="AZ333" s="671">
        <f t="shared" si="150"/>
        <v>0</v>
      </c>
      <c r="BA333" s="671">
        <f t="shared" si="150"/>
        <v>0</v>
      </c>
      <c r="BB333" s="671">
        <f t="shared" si="150"/>
        <v>0</v>
      </c>
      <c r="BC333" s="440">
        <f>+SUM(BF15:BF27)</f>
        <v>3621740</v>
      </c>
      <c r="BD333" s="440"/>
      <c r="BE333" s="440"/>
      <c r="BH333" s="439"/>
    </row>
    <row r="334" spans="1:151" s="59" customFormat="1" ht="15" customHeight="1">
      <c r="A334" s="1099" t="s">
        <v>74</v>
      </c>
      <c r="B334" s="1100"/>
      <c r="C334" s="1100"/>
      <c r="D334" s="1101"/>
      <c r="E334" s="113"/>
      <c r="F334" s="113">
        <f>+F315</f>
        <v>0</v>
      </c>
      <c r="G334" s="113">
        <f>+G315</f>
        <v>0</v>
      </c>
      <c r="I334" s="113">
        <f>+I315</f>
        <v>0</v>
      </c>
      <c r="J334" s="113">
        <f>+J315</f>
        <v>0</v>
      </c>
      <c r="K334" s="113"/>
      <c r="L334" s="113"/>
      <c r="M334" s="479"/>
      <c r="N334" s="113"/>
      <c r="O334" s="188"/>
      <c r="P334" s="188"/>
      <c r="Q334" s="188"/>
      <c r="R334" s="188"/>
      <c r="S334" s="188"/>
      <c r="T334" s="1106"/>
      <c r="U334" s="155"/>
      <c r="V334" s="839"/>
      <c r="W334" s="823"/>
      <c r="X334" s="75"/>
      <c r="Y334" s="75"/>
      <c r="Z334" s="75"/>
      <c r="AA334" s="75"/>
      <c r="AB334" s="75"/>
      <c r="AC334" s="75"/>
      <c r="AD334" s="75"/>
      <c r="AE334" s="75"/>
      <c r="AF334" s="75"/>
      <c r="AG334" s="75"/>
      <c r="AH334" s="75"/>
      <c r="AI334" s="75"/>
      <c r="AJ334" s="75"/>
      <c r="AK334" s="75"/>
      <c r="AL334" s="75"/>
      <c r="AM334" s="75"/>
      <c r="AN334" s="75"/>
      <c r="AO334" s="75"/>
      <c r="AP334" s="75"/>
      <c r="AQ334" s="75"/>
      <c r="AR334" s="75"/>
      <c r="AS334" s="75"/>
      <c r="AT334" s="75"/>
      <c r="AU334" s="75"/>
      <c r="AV334" s="75"/>
      <c r="AW334" s="75"/>
      <c r="AX334" s="75"/>
      <c r="AY334" s="75"/>
      <c r="BA334" s="75"/>
      <c r="BB334" s="75"/>
      <c r="BC334" s="440"/>
      <c r="BD334" s="440"/>
      <c r="BE334" s="440"/>
      <c r="BH334" s="439"/>
    </row>
    <row r="335" spans="1:151" s="129" customFormat="1" ht="15" customHeight="1">
      <c r="A335" s="1109" t="s">
        <v>75</v>
      </c>
      <c r="B335" s="1110"/>
      <c r="C335" s="1110"/>
      <c r="D335" s="1111"/>
      <c r="E335" s="73">
        <f>SUM(E331:E333)</f>
        <v>4333</v>
      </c>
      <c r="F335" s="73">
        <f>SUM(F331:F333)-F332</f>
        <v>0</v>
      </c>
      <c r="G335" s="73">
        <f>SUM(G331:G333)-G332</f>
        <v>0</v>
      </c>
      <c r="H335" s="73">
        <f>SUM(H331:H333)-H332</f>
        <v>0</v>
      </c>
      <c r="I335" s="73">
        <f>+SUM(I331:I334)</f>
        <v>0</v>
      </c>
      <c r="J335" s="73">
        <f>+SUM(J331:J333)</f>
        <v>0</v>
      </c>
      <c r="K335" s="73">
        <f>SUM(K331:K333)</f>
        <v>0</v>
      </c>
      <c r="L335" s="73">
        <f>SUM(L331:L333)</f>
        <v>0</v>
      </c>
      <c r="M335" s="478">
        <f>SUM(M331:M333)</f>
        <v>4333</v>
      </c>
      <c r="N335" s="73">
        <f>SUM(N331:N333)</f>
        <v>108325</v>
      </c>
      <c r="O335" s="1112">
        <f>SUM(O316:O330)</f>
        <v>85350</v>
      </c>
      <c r="P335" s="186"/>
      <c r="Q335" s="186"/>
      <c r="R335" s="1095">
        <f>SUM(R316:R330)</f>
        <v>9483.3333333333339</v>
      </c>
      <c r="S335" s="1095" t="s">
        <v>83</v>
      </c>
      <c r="T335" s="1117"/>
      <c r="U335" s="146">
        <f>SUM(U316:U325)</f>
        <v>0</v>
      </c>
      <c r="V335" s="839"/>
      <c r="W335" s="823"/>
      <c r="X335" s="79"/>
      <c r="Y335" s="79"/>
      <c r="Z335" s="79"/>
      <c r="AA335" s="79"/>
      <c r="AB335" s="79"/>
      <c r="AC335" s="79"/>
      <c r="AD335" s="79"/>
      <c r="AE335" s="79"/>
      <c r="AF335" s="79"/>
      <c r="AG335" s="79"/>
      <c r="AH335" s="79"/>
      <c r="AI335" s="79"/>
      <c r="AJ335" s="79"/>
      <c r="AK335" s="79"/>
      <c r="AL335" s="79"/>
      <c r="AM335" s="79"/>
      <c r="AN335" s="79"/>
      <c r="AO335" s="79"/>
      <c r="AP335" s="79"/>
      <c r="AQ335" s="79"/>
      <c r="AR335" s="79"/>
      <c r="AS335" s="79"/>
      <c r="AT335" s="79"/>
      <c r="AU335" s="79"/>
      <c r="AV335" s="79"/>
      <c r="AW335" s="79"/>
      <c r="AX335" s="79"/>
      <c r="AY335" s="79"/>
      <c r="AZ335" s="79"/>
      <c r="BA335" s="79"/>
      <c r="BB335" s="79"/>
      <c r="BC335" s="441">
        <f>+BC332-BC333</f>
        <v>0</v>
      </c>
      <c r="BD335" s="441"/>
      <c r="BE335" s="441"/>
      <c r="BF335" s="354"/>
      <c r="BG335" s="354"/>
      <c r="BH335" s="439"/>
      <c r="BI335" s="354"/>
      <c r="BJ335" s="354"/>
      <c r="BK335" s="354"/>
      <c r="BL335" s="354"/>
      <c r="BM335" s="354"/>
      <c r="BN335" s="354"/>
      <c r="BO335" s="354"/>
      <c r="BP335" s="354"/>
      <c r="BQ335" s="354"/>
      <c r="BR335" s="354"/>
      <c r="BS335" s="354"/>
      <c r="BT335" s="354"/>
      <c r="BU335" s="354"/>
      <c r="BV335" s="354"/>
      <c r="BW335" s="354"/>
      <c r="BX335" s="354"/>
      <c r="BY335" s="354"/>
      <c r="BZ335" s="354"/>
      <c r="CA335" s="354"/>
      <c r="CB335" s="354"/>
      <c r="CC335" s="354"/>
      <c r="CD335" s="354"/>
      <c r="CE335" s="354"/>
      <c r="CF335" s="354"/>
      <c r="CG335" s="354"/>
      <c r="CH335" s="354"/>
      <c r="CI335" s="354"/>
      <c r="CJ335" s="354"/>
      <c r="CK335" s="354"/>
      <c r="CL335" s="354"/>
      <c r="CM335" s="354"/>
      <c r="CN335" s="354"/>
      <c r="CO335" s="354"/>
      <c r="CP335" s="354"/>
      <c r="CQ335" s="354"/>
      <c r="CR335" s="354"/>
      <c r="CS335" s="354"/>
      <c r="CT335" s="354"/>
      <c r="CU335" s="354"/>
      <c r="CV335" s="354"/>
      <c r="CW335" s="354"/>
      <c r="CX335" s="354"/>
      <c r="CY335" s="354"/>
      <c r="CZ335" s="354"/>
      <c r="DA335" s="354"/>
      <c r="DB335" s="354"/>
      <c r="DC335" s="354"/>
      <c r="DD335" s="354"/>
      <c r="DE335" s="354"/>
      <c r="DF335" s="354"/>
      <c r="DG335" s="354"/>
      <c r="DH335" s="354"/>
      <c r="DI335" s="354"/>
      <c r="DJ335" s="354"/>
      <c r="DK335" s="354"/>
      <c r="DL335" s="354"/>
      <c r="DM335" s="354"/>
      <c r="DN335" s="354"/>
      <c r="DO335" s="354"/>
      <c r="DP335" s="354"/>
      <c r="DQ335" s="354"/>
      <c r="DR335" s="354"/>
      <c r="DS335" s="354"/>
      <c r="DT335" s="354"/>
      <c r="DU335" s="354"/>
      <c r="DV335" s="354"/>
      <c r="DW335" s="354"/>
      <c r="DX335" s="354"/>
      <c r="DY335" s="354"/>
      <c r="DZ335" s="354"/>
      <c r="EA335" s="354"/>
      <c r="EB335" s="354"/>
      <c r="EC335" s="354"/>
      <c r="ED335" s="354"/>
      <c r="EE335" s="354"/>
      <c r="EF335" s="354"/>
      <c r="EG335" s="354"/>
      <c r="EH335" s="354"/>
      <c r="EI335" s="354"/>
      <c r="EJ335" s="354"/>
      <c r="EK335" s="354"/>
      <c r="EL335" s="354"/>
      <c r="EM335" s="354"/>
      <c r="EN335" s="354"/>
      <c r="EO335" s="354"/>
      <c r="EP335" s="354"/>
      <c r="EQ335" s="354"/>
      <c r="ER335" s="354"/>
      <c r="ES335" s="354"/>
      <c r="ET335" s="354"/>
      <c r="EU335" s="354"/>
    </row>
    <row r="336" spans="1:151" s="71" customFormat="1" ht="15" customHeight="1">
      <c r="A336" s="1099" t="s">
        <v>77</v>
      </c>
      <c r="B336" s="1100"/>
      <c r="C336" s="1100"/>
      <c r="D336" s="1101"/>
      <c r="E336" s="70">
        <f>SUM(E331:E332)*25+E333*40</f>
        <v>108325</v>
      </c>
      <c r="F336" s="70">
        <f>SUM(F331:F332)*25+F333*40</f>
        <v>0</v>
      </c>
      <c r="G336" s="70">
        <f>SUM(G331:G332)*25+G333*40</f>
        <v>0</v>
      </c>
      <c r="H336" s="70">
        <f>SUM(H331:H332)*25+H333*40</f>
        <v>0</v>
      </c>
      <c r="I336" s="70">
        <f>SUM(I331:I332)*25+I333*40</f>
        <v>0</v>
      </c>
      <c r="J336" s="70">
        <f>SUM(J331:J332)+J333+J334</f>
        <v>0</v>
      </c>
      <c r="K336" s="70">
        <f>+K335*25</f>
        <v>0</v>
      </c>
      <c r="L336" s="70">
        <f>SUM(L331:L332)*25+L333*40</f>
        <v>0</v>
      </c>
      <c r="M336" s="480">
        <f>SUM(M331:M332)*25+M333*40</f>
        <v>108325</v>
      </c>
      <c r="N336" s="70">
        <f>SUM(N331:N332)+N333</f>
        <v>108325</v>
      </c>
      <c r="O336" s="1113"/>
      <c r="P336" s="187"/>
      <c r="Q336" s="187"/>
      <c r="R336" s="1096"/>
      <c r="S336" s="1096"/>
      <c r="T336" s="1118"/>
      <c r="U336" s="146">
        <f>SUM(U331:U333)</f>
        <v>0</v>
      </c>
      <c r="V336" s="839"/>
      <c r="W336" s="823"/>
      <c r="X336" s="79"/>
      <c r="Y336" s="79"/>
      <c r="Z336" s="79"/>
      <c r="AA336" s="79"/>
      <c r="AB336" s="79"/>
      <c r="AC336" s="79"/>
      <c r="AD336" s="79"/>
      <c r="AE336" s="79"/>
      <c r="AF336" s="79"/>
      <c r="AG336" s="79"/>
      <c r="AH336" s="79"/>
      <c r="AI336" s="79"/>
      <c r="AJ336" s="79"/>
      <c r="AK336" s="79"/>
      <c r="AL336" s="79"/>
      <c r="AM336" s="79"/>
      <c r="AN336" s="79"/>
      <c r="AO336" s="79"/>
      <c r="AP336" s="79"/>
      <c r="AQ336" s="79"/>
      <c r="AR336" s="79"/>
      <c r="AS336" s="79"/>
      <c r="AT336" s="79"/>
      <c r="AU336" s="79"/>
      <c r="AV336" s="79"/>
      <c r="AW336" s="79"/>
      <c r="AX336" s="79"/>
      <c r="AY336" s="79"/>
      <c r="AZ336" s="79"/>
      <c r="BA336" s="79"/>
      <c r="BB336" s="79"/>
      <c r="BH336" s="439"/>
    </row>
    <row r="337" spans="1:54" ht="15" customHeight="1">
      <c r="A337" s="286" t="s">
        <v>174</v>
      </c>
      <c r="B337" s="37"/>
      <c r="C337" s="37"/>
      <c r="D337" s="37"/>
      <c r="E337" s="130"/>
      <c r="F337" s="37"/>
      <c r="G337" s="37"/>
      <c r="H337" s="37"/>
      <c r="I337" s="37"/>
      <c r="J337" s="37"/>
      <c r="K337" s="37"/>
      <c r="L337" s="37"/>
      <c r="M337" s="472"/>
      <c r="N337" s="37"/>
      <c r="O337" s="37"/>
      <c r="P337" s="37"/>
      <c r="Q337" s="37"/>
      <c r="R337" s="37"/>
      <c r="S337" s="37"/>
      <c r="T337" s="458"/>
      <c r="U337" s="149"/>
      <c r="AZ337" s="58"/>
      <c r="BB337" s="72"/>
    </row>
    <row r="338" spans="1:54" ht="15" customHeight="1">
      <c r="A338" s="286" t="s">
        <v>175</v>
      </c>
      <c r="B338" s="38"/>
      <c r="C338" s="38"/>
      <c r="D338" s="38"/>
      <c r="E338" s="38"/>
      <c r="F338" s="38"/>
      <c r="G338" s="38"/>
      <c r="H338" s="38"/>
      <c r="I338" s="38"/>
      <c r="J338" s="38"/>
      <c r="K338" s="38"/>
      <c r="L338" s="38"/>
      <c r="M338" s="465"/>
      <c r="N338" s="38"/>
      <c r="O338" s="38"/>
      <c r="P338" s="38"/>
      <c r="Q338" s="38"/>
      <c r="R338" s="38"/>
      <c r="S338" s="38"/>
      <c r="T338" s="459"/>
      <c r="U338" s="131"/>
      <c r="V338" s="839"/>
      <c r="X338" s="112"/>
      <c r="Y338" s="112"/>
      <c r="Z338" s="112"/>
      <c r="AA338" s="112"/>
      <c r="AB338" s="112"/>
      <c r="AC338" s="112"/>
      <c r="AD338" s="112"/>
      <c r="AE338" s="112"/>
      <c r="AF338" s="112"/>
      <c r="AG338" s="112"/>
      <c r="AH338" s="112"/>
      <c r="AZ338" s="58"/>
      <c r="BA338" s="112"/>
      <c r="BB338" s="112"/>
    </row>
    <row r="339" spans="1:54" ht="15" customHeight="1">
      <c r="A339" s="286" t="s">
        <v>176</v>
      </c>
      <c r="B339" s="38"/>
      <c r="C339" s="38"/>
      <c r="D339" s="38"/>
      <c r="E339" s="38"/>
      <c r="F339" s="38"/>
      <c r="G339" s="38"/>
      <c r="H339" s="38"/>
      <c r="I339" s="38"/>
      <c r="J339" s="38"/>
      <c r="K339" s="38"/>
      <c r="L339" s="38"/>
      <c r="M339" s="465"/>
      <c r="N339" s="38"/>
      <c r="O339" s="38"/>
      <c r="P339" s="38"/>
      <c r="Q339" s="38"/>
      <c r="R339" s="38"/>
      <c r="S339" s="38"/>
      <c r="T339" s="459"/>
      <c r="AZ339" s="58"/>
      <c r="BB339" s="72"/>
    </row>
    <row r="340" spans="1:54">
      <c r="T340" s="463"/>
    </row>
    <row r="341" spans="1:54">
      <c r="F341" s="60"/>
      <c r="G341" s="60"/>
      <c r="N341" s="633"/>
    </row>
    <row r="344" spans="1:54">
      <c r="I344" s="60"/>
    </row>
    <row r="361" spans="13:48" s="58" customFormat="1" ht="15">
      <c r="M361" s="481"/>
      <c r="T361" s="72"/>
      <c r="V361" s="846"/>
      <c r="W361" s="846"/>
      <c r="AV361" s="68"/>
    </row>
  </sheetData>
  <sortState xmlns:xlrd2="http://schemas.microsoft.com/office/spreadsheetml/2017/richdata2" ref="X188:BC205">
    <sortCondition sortBy="icon" ref="AK188"/>
  </sortState>
  <mergeCells count="112">
    <mergeCell ref="A302:D302"/>
    <mergeCell ref="A278:D278"/>
    <mergeCell ref="A300:D300"/>
    <mergeCell ref="C203:C205"/>
    <mergeCell ref="A303:D303"/>
    <mergeCell ref="A287:A289"/>
    <mergeCell ref="R303:R305"/>
    <mergeCell ref="T301:T305"/>
    <mergeCell ref="S303:S305"/>
    <mergeCell ref="C287:C289"/>
    <mergeCell ref="A305:D305"/>
    <mergeCell ref="A301:D301"/>
    <mergeCell ref="D287:D289"/>
    <mergeCell ref="B287:B289"/>
    <mergeCell ref="A304:D304"/>
    <mergeCell ref="M203:N203"/>
    <mergeCell ref="R279:R281"/>
    <mergeCell ref="I287:L287"/>
    <mergeCell ref="M287:N287"/>
    <mergeCell ref="T287:T289"/>
    <mergeCell ref="S203:S205"/>
    <mergeCell ref="F287:H287"/>
    <mergeCell ref="A281:D281"/>
    <mergeCell ref="T276:T281"/>
    <mergeCell ref="T332:T336"/>
    <mergeCell ref="S311:S313"/>
    <mergeCell ref="C311:C313"/>
    <mergeCell ref="R335:R336"/>
    <mergeCell ref="O335:O336"/>
    <mergeCell ref="T311:T313"/>
    <mergeCell ref="A331:D331"/>
    <mergeCell ref="I311:L311"/>
    <mergeCell ref="A311:A313"/>
    <mergeCell ref="B311:B313"/>
    <mergeCell ref="M311:N311"/>
    <mergeCell ref="M312:N312"/>
    <mergeCell ref="S335:S336"/>
    <mergeCell ref="A333:D333"/>
    <mergeCell ref="A336:D336"/>
    <mergeCell ref="A335:D335"/>
    <mergeCell ref="A332:D332"/>
    <mergeCell ref="D311:D313"/>
    <mergeCell ref="A334:D334"/>
    <mergeCell ref="F311:H311"/>
    <mergeCell ref="A2:F2"/>
    <mergeCell ref="A3:F3"/>
    <mergeCell ref="O3:T3"/>
    <mergeCell ref="S156:S157"/>
    <mergeCell ref="O156:O157"/>
    <mergeCell ref="A155:D155"/>
    <mergeCell ref="I11:J11"/>
    <mergeCell ref="T10:T12"/>
    <mergeCell ref="T150:T157"/>
    <mergeCell ref="R156:R157"/>
    <mergeCell ref="A154:D154"/>
    <mergeCell ref="A156:D156"/>
    <mergeCell ref="A152:D152"/>
    <mergeCell ref="A151:D151"/>
    <mergeCell ref="A153:D153"/>
    <mergeCell ref="F10:H10"/>
    <mergeCell ref="S10:S12"/>
    <mergeCell ref="A150:D150"/>
    <mergeCell ref="D10:D12"/>
    <mergeCell ref="C10:C12"/>
    <mergeCell ref="B10:B12"/>
    <mergeCell ref="A10:A12"/>
    <mergeCell ref="A157:D157"/>
    <mergeCell ref="A280:D280"/>
    <mergeCell ref="A276:D276"/>
    <mergeCell ref="A277:D277"/>
    <mergeCell ref="A197:D197"/>
    <mergeCell ref="C163:C165"/>
    <mergeCell ref="B163:B165"/>
    <mergeCell ref="B203:B205"/>
    <mergeCell ref="U287:U288"/>
    <mergeCell ref="I288:J288"/>
    <mergeCell ref="I203:L203"/>
    <mergeCell ref="T163:T165"/>
    <mergeCell ref="S163:S165"/>
    <mergeCell ref="R196:R197"/>
    <mergeCell ref="A279:D279"/>
    <mergeCell ref="A193:D193"/>
    <mergeCell ref="A195:D195"/>
    <mergeCell ref="D163:D165"/>
    <mergeCell ref="A196:D196"/>
    <mergeCell ref="A194:D194"/>
    <mergeCell ref="A163:A165"/>
    <mergeCell ref="A203:A205"/>
    <mergeCell ref="F163:H163"/>
    <mergeCell ref="D203:D205"/>
    <mergeCell ref="F203:H203"/>
    <mergeCell ref="U311:U312"/>
    <mergeCell ref="I312:J312"/>
    <mergeCell ref="I10:L10"/>
    <mergeCell ref="M10:N10"/>
    <mergeCell ref="M11:N11"/>
    <mergeCell ref="I163:L163"/>
    <mergeCell ref="M163:N163"/>
    <mergeCell ref="M164:N164"/>
    <mergeCell ref="U10:U11"/>
    <mergeCell ref="U163:U164"/>
    <mergeCell ref="I164:J164"/>
    <mergeCell ref="U203:U204"/>
    <mergeCell ref="I204:J204"/>
    <mergeCell ref="M204:N204"/>
    <mergeCell ref="S287:S289"/>
    <mergeCell ref="M288:N288"/>
    <mergeCell ref="O196:O197"/>
    <mergeCell ref="T193:T197"/>
    <mergeCell ref="S279:S281"/>
    <mergeCell ref="S196:S197"/>
    <mergeCell ref="T203:T205"/>
  </mergeCells>
  <phoneticPr fontId="6" type="noConversion"/>
  <conditionalFormatting sqref="S273:S275 S290:S299 S166:S192 S314:S330 S206:S265 S13:S149">
    <cfRule type="cellIs" dxfId="7" priority="15" stopIfTrue="1" operator="lessThan">
      <formula>1</formula>
    </cfRule>
  </conditionalFormatting>
  <conditionalFormatting sqref="S273:S276 S290:S299 S166:S192 S314:S330 S206:S265 S13:S149">
    <cfRule type="cellIs" dxfId="6" priority="13" stopIfTrue="1" operator="lessThan">
      <formula>2</formula>
    </cfRule>
  </conditionalFormatting>
  <conditionalFormatting sqref="S270:S272">
    <cfRule type="cellIs" dxfId="5" priority="4" stopIfTrue="1" operator="lessThan">
      <formula>1</formula>
    </cfRule>
  </conditionalFormatting>
  <conditionalFormatting sqref="S270:S272">
    <cfRule type="cellIs" dxfId="4" priority="3" stopIfTrue="1" operator="lessThan">
      <formula>2</formula>
    </cfRule>
  </conditionalFormatting>
  <conditionalFormatting sqref="S266:S269">
    <cfRule type="cellIs" dxfId="3" priority="2" stopIfTrue="1" operator="lessThan">
      <formula>1</formula>
    </cfRule>
  </conditionalFormatting>
  <conditionalFormatting sqref="S266:S269">
    <cfRule type="cellIs" dxfId="2" priority="1" stopIfTrue="1" operator="lessThan">
      <formula>2</formula>
    </cfRule>
  </conditionalFormatting>
  <pageMargins left="0.21" right="0.17" top="0.17" bottom="0.16" header="0.17" footer="0.16"/>
  <pageSetup paperSize="9" scale="70" orientation="landscape" blackAndWhite="1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2F6F0-91A5-42DD-8EEA-1681BD7B7E1B}">
  <sheetPr codeName="Sheet20"/>
  <dimension ref="A1:DD416"/>
  <sheetViews>
    <sheetView tabSelected="1" zoomScale="80" zoomScaleNormal="80" zoomScaleSheetLayoutView="80" workbookViewId="0">
      <pane xSplit="5" ySplit="9" topLeftCell="I256" activePane="bottomRight" state="frozen"/>
      <selection pane="bottomRight" activeCell="Q286" sqref="Q286:U286"/>
      <selection pane="bottomLeft" activeCell="A10" sqref="A10"/>
      <selection pane="topRight" activeCell="F1" sqref="F1"/>
    </sheetView>
  </sheetViews>
  <sheetFormatPr defaultColWidth="13.42578125" defaultRowHeight="15"/>
  <cols>
    <col min="1" max="1" width="10.140625" style="286" customWidth="1"/>
    <col min="2" max="2" width="19.85546875" style="191" customWidth="1"/>
    <col min="3" max="3" width="19" style="191" customWidth="1"/>
    <col min="4" max="4" width="15.5703125" style="340" customWidth="1"/>
    <col min="5" max="5" width="15.5703125" style="191" customWidth="1"/>
    <col min="6" max="6" width="14.28515625" style="191" customWidth="1"/>
    <col min="7" max="7" width="11.42578125" style="191" customWidth="1"/>
    <col min="8" max="8" width="15.140625" style="191" customWidth="1"/>
    <col min="9" max="9" width="16.5703125" style="191" customWidth="1"/>
    <col min="10" max="10" width="13.42578125" style="191" hidden="1" customWidth="1"/>
    <col min="11" max="11" width="10.140625" style="191" hidden="1" customWidth="1"/>
    <col min="12" max="12" width="15.42578125" style="191" customWidth="1"/>
    <col min="13" max="13" width="11.42578125" style="191" customWidth="1"/>
    <col min="14" max="14" width="12.5703125" style="191" customWidth="1"/>
    <col min="15" max="15" width="15.5703125" style="492" customWidth="1"/>
    <col min="16" max="16" width="19" style="191" customWidth="1"/>
    <col min="17" max="17" width="15.7109375" style="191" customWidth="1"/>
    <col min="18" max="18" width="17.85546875" style="207" hidden="1" customWidth="1"/>
    <col min="19" max="19" width="13.140625" style="207" hidden="1" customWidth="1"/>
    <col min="20" max="20" width="12" style="191" customWidth="1"/>
    <col min="21" max="21" width="11.42578125" style="195" customWidth="1"/>
    <col min="22" max="22" width="13" style="195" customWidth="1"/>
    <col min="23" max="23" width="17.140625" style="195" customWidth="1"/>
    <col min="24" max="24" width="12.85546875" style="196" customWidth="1"/>
    <col min="25" max="25" width="19.42578125" style="853" customWidth="1"/>
    <col min="26" max="26" width="14.85546875" style="816" customWidth="1"/>
    <col min="27" max="41" width="14.140625" style="191" customWidth="1"/>
    <col min="42" max="42" width="13" style="191" customWidth="1"/>
    <col min="43" max="57" width="12.28515625" style="191" customWidth="1"/>
    <col min="58" max="16384" width="13.42578125" style="191"/>
  </cols>
  <sheetData>
    <row r="1" spans="1:62" s="189" customFormat="1" ht="15" customHeight="1">
      <c r="A1" s="750" t="s">
        <v>13</v>
      </c>
      <c r="B1" s="750"/>
      <c r="C1" s="750"/>
      <c r="D1" s="750"/>
      <c r="E1" s="750"/>
      <c r="F1" s="750"/>
      <c r="G1" s="750"/>
      <c r="H1" s="750"/>
      <c r="I1" s="750"/>
      <c r="J1" s="750"/>
      <c r="K1" s="750"/>
      <c r="L1" s="750"/>
      <c r="M1" s="750"/>
      <c r="N1" s="750"/>
      <c r="O1" s="750"/>
      <c r="P1" s="750"/>
      <c r="Q1" s="750"/>
      <c r="R1" s="750"/>
      <c r="S1" s="750"/>
      <c r="T1" s="750"/>
      <c r="U1" s="750"/>
      <c r="V1" s="750"/>
      <c r="W1" s="750"/>
      <c r="X1" s="190"/>
      <c r="Y1" s="852"/>
      <c r="Z1" s="816"/>
    </row>
    <row r="2" spans="1:62" ht="15" customHeight="1">
      <c r="A2" s="1075" t="s">
        <v>14</v>
      </c>
      <c r="B2" s="1075"/>
      <c r="C2" s="1075"/>
      <c r="D2" s="1075"/>
      <c r="E2" s="1075"/>
      <c r="F2" s="933" t="s">
        <v>251</v>
      </c>
      <c r="G2" s="933"/>
      <c r="H2" s="933"/>
      <c r="I2" s="933"/>
      <c r="J2" s="933"/>
      <c r="K2" s="933"/>
      <c r="L2" s="933"/>
      <c r="M2" s="933"/>
      <c r="N2" s="933"/>
      <c r="O2" s="933"/>
      <c r="P2" s="193"/>
      <c r="Q2" s="193"/>
      <c r="R2" s="194"/>
      <c r="S2" s="194"/>
      <c r="AF2" s="197"/>
    </row>
    <row r="3" spans="1:62" ht="15" customHeight="1">
      <c r="A3" s="1075" t="s">
        <v>252</v>
      </c>
      <c r="B3" s="1075"/>
      <c r="C3" s="1075"/>
      <c r="D3" s="1075"/>
      <c r="E3" s="1075"/>
      <c r="F3" s="933"/>
      <c r="G3" s="933"/>
      <c r="H3" s="933"/>
      <c r="I3" s="933"/>
      <c r="J3" s="933"/>
      <c r="K3" s="933"/>
      <c r="L3" s="933"/>
      <c r="M3" s="933"/>
      <c r="N3" s="933"/>
      <c r="O3" s="933"/>
      <c r="P3" s="718" t="s">
        <v>15</v>
      </c>
      <c r="Q3" s="1034">
        <f>BRAN!O3</f>
        <v>46152</v>
      </c>
      <c r="R3" s="1034"/>
      <c r="S3" s="1034"/>
      <c r="T3" s="1034"/>
      <c r="U3" s="1034"/>
      <c r="V3" s="1034"/>
      <c r="W3" s="719"/>
    </row>
    <row r="4" spans="1:62" ht="15" customHeight="1">
      <c r="A4" s="38" t="s">
        <v>16</v>
      </c>
      <c r="B4" s="721"/>
      <c r="C4" s="721"/>
      <c r="D4" s="721"/>
      <c r="E4" s="721"/>
      <c r="F4" s="1035" t="s">
        <v>253</v>
      </c>
      <c r="G4" s="1035"/>
      <c r="H4" s="1035"/>
      <c r="I4" s="1035"/>
      <c r="J4" s="1035"/>
      <c r="K4" s="1035"/>
      <c r="L4" s="1035"/>
      <c r="M4" s="1035"/>
      <c r="N4" s="1035"/>
      <c r="O4" s="1035"/>
      <c r="P4" s="199"/>
      <c r="Q4" s="198"/>
      <c r="R4" s="200"/>
      <c r="S4" s="200"/>
      <c r="T4" s="198"/>
      <c r="U4" s="198"/>
      <c r="V4" s="198"/>
      <c r="W4" s="198"/>
      <c r="AP4" s="191" t="s">
        <v>254</v>
      </c>
    </row>
    <row r="5" spans="1:62" ht="15" customHeight="1">
      <c r="A5" s="38" t="s">
        <v>18</v>
      </c>
      <c r="B5" s="721"/>
      <c r="C5" s="721"/>
      <c r="D5" s="721"/>
      <c r="E5" s="721"/>
      <c r="F5" s="1035" t="s">
        <v>255</v>
      </c>
      <c r="G5" s="1035"/>
      <c r="H5" s="1035"/>
      <c r="I5" s="1035"/>
      <c r="J5" s="1035"/>
      <c r="K5" s="1035"/>
      <c r="L5" s="1035"/>
      <c r="M5" s="1035"/>
      <c r="N5" s="1035"/>
      <c r="O5" s="1035"/>
      <c r="P5" s="1076" t="s">
        <v>17</v>
      </c>
      <c r="Q5" s="1076"/>
      <c r="R5" s="202"/>
      <c r="S5" s="202"/>
      <c r="U5" s="198"/>
      <c r="V5" s="198"/>
    </row>
    <row r="6" spans="1:62" ht="15" customHeight="1">
      <c r="A6" s="38" t="s">
        <v>19</v>
      </c>
      <c r="B6" s="722"/>
      <c r="C6" s="722"/>
      <c r="D6" s="722"/>
      <c r="E6" s="722"/>
      <c r="F6" s="722"/>
      <c r="G6" s="722"/>
      <c r="H6" s="722"/>
      <c r="I6" s="722"/>
      <c r="J6" s="722"/>
      <c r="K6" s="722"/>
      <c r="L6" s="722"/>
      <c r="M6" s="722"/>
      <c r="N6" s="722"/>
      <c r="O6" s="722"/>
      <c r="P6" s="722"/>
      <c r="Q6" s="722"/>
      <c r="R6" s="722"/>
      <c r="S6" s="722"/>
      <c r="T6" s="722"/>
      <c r="U6" s="722"/>
      <c r="V6" s="722"/>
      <c r="W6" s="722"/>
    </row>
    <row r="7" spans="1:62" s="83" customFormat="1" ht="26.25" customHeight="1">
      <c r="A7" s="925" t="s">
        <v>22</v>
      </c>
      <c r="B7" s="916" t="s">
        <v>23</v>
      </c>
      <c r="C7" s="916" t="s">
        <v>24</v>
      </c>
      <c r="D7" s="928" t="s">
        <v>256</v>
      </c>
      <c r="E7" s="61" t="s">
        <v>26</v>
      </c>
      <c r="F7" s="931" t="s">
        <v>27</v>
      </c>
      <c r="G7" s="936"/>
      <c r="H7" s="932"/>
      <c r="I7" s="931" t="s">
        <v>28</v>
      </c>
      <c r="J7" s="936"/>
      <c r="K7" s="936"/>
      <c r="L7" s="936"/>
      <c r="M7" s="936"/>
      <c r="N7" s="932"/>
      <c r="O7" s="931" t="s">
        <v>29</v>
      </c>
      <c r="P7" s="932"/>
      <c r="Q7" s="183" t="s">
        <v>30</v>
      </c>
      <c r="R7" s="305"/>
      <c r="S7" s="305"/>
      <c r="T7" s="183" t="s">
        <v>31</v>
      </c>
      <c r="U7" s="919" t="s">
        <v>257</v>
      </c>
      <c r="V7" s="920"/>
      <c r="W7" s="1049" t="s">
        <v>33</v>
      </c>
      <c r="X7" s="881" t="s">
        <v>34</v>
      </c>
      <c r="Y7" s="854"/>
      <c r="Z7" s="817"/>
    </row>
    <row r="8" spans="1:62" s="83" customFormat="1" ht="48.75" customHeight="1">
      <c r="A8" s="926"/>
      <c r="B8" s="917"/>
      <c r="C8" s="917"/>
      <c r="D8" s="929" t="s">
        <v>35</v>
      </c>
      <c r="E8" s="64" t="s">
        <v>36</v>
      </c>
      <c r="F8" s="680" t="s">
        <v>37</v>
      </c>
      <c r="G8" s="512" t="s">
        <v>38</v>
      </c>
      <c r="H8" s="681" t="s">
        <v>39</v>
      </c>
      <c r="I8" s="931" t="s">
        <v>40</v>
      </c>
      <c r="J8" s="936"/>
      <c r="K8" s="936"/>
      <c r="L8" s="932"/>
      <c r="M8" s="512" t="s">
        <v>41</v>
      </c>
      <c r="N8" s="681" t="s">
        <v>42</v>
      </c>
      <c r="O8" s="1074" t="s">
        <v>43</v>
      </c>
      <c r="P8" s="932"/>
      <c r="Q8" s="683" t="s">
        <v>44</v>
      </c>
      <c r="R8" s="682"/>
      <c r="S8" s="682"/>
      <c r="T8" s="683" t="s">
        <v>45</v>
      </c>
      <c r="U8" s="921"/>
      <c r="V8" s="922"/>
      <c r="W8" s="1050"/>
      <c r="X8" s="882"/>
      <c r="Y8" s="854"/>
      <c r="Z8" s="817"/>
    </row>
    <row r="9" spans="1:62" s="83" customFormat="1" ht="18.75" customHeight="1">
      <c r="A9" s="927"/>
      <c r="B9" s="918"/>
      <c r="C9" s="918"/>
      <c r="D9" s="930" t="s">
        <v>46</v>
      </c>
      <c r="E9" s="626" t="s">
        <v>47</v>
      </c>
      <c r="F9" s="626" t="s">
        <v>47</v>
      </c>
      <c r="G9" s="626" t="s">
        <v>47</v>
      </c>
      <c r="H9" s="626" t="s">
        <v>47</v>
      </c>
      <c r="I9" s="626" t="s">
        <v>47</v>
      </c>
      <c r="J9" s="76"/>
      <c r="K9" s="76"/>
      <c r="L9" s="64" t="s">
        <v>46</v>
      </c>
      <c r="M9" s="626" t="s">
        <v>47</v>
      </c>
      <c r="N9" s="626" t="s">
        <v>47</v>
      </c>
      <c r="O9" s="64" t="s">
        <v>47</v>
      </c>
      <c r="P9" s="64" t="s">
        <v>46</v>
      </c>
      <c r="Q9" s="65" t="s">
        <v>46</v>
      </c>
      <c r="R9" s="307"/>
      <c r="S9" s="307"/>
      <c r="T9" s="65" t="s">
        <v>48</v>
      </c>
      <c r="U9" s="923"/>
      <c r="V9" s="924"/>
      <c r="W9" s="1051"/>
      <c r="X9" s="684" t="s">
        <v>47</v>
      </c>
      <c r="Y9" s="855"/>
      <c r="Z9" s="817"/>
      <c r="AA9" s="311">
        <v>1</v>
      </c>
      <c r="AB9" s="312">
        <v>2</v>
      </c>
      <c r="AC9" s="88">
        <v>3</v>
      </c>
      <c r="AD9" s="312">
        <v>4</v>
      </c>
      <c r="AE9" s="88">
        <v>5</v>
      </c>
      <c r="AF9" s="313">
        <v>6</v>
      </c>
      <c r="AG9" s="313">
        <v>7</v>
      </c>
      <c r="AH9" s="313">
        <v>8</v>
      </c>
      <c r="AI9" s="88">
        <v>9</v>
      </c>
      <c r="AJ9" s="312">
        <v>10</v>
      </c>
      <c r="AK9" s="88">
        <v>11</v>
      </c>
      <c r="AL9" s="312">
        <v>12</v>
      </c>
      <c r="AM9" s="88">
        <v>13</v>
      </c>
      <c r="AN9" s="312">
        <v>14</v>
      </c>
      <c r="AO9" s="312">
        <v>15</v>
      </c>
      <c r="AP9" s="312">
        <v>16</v>
      </c>
      <c r="AQ9" s="88">
        <v>17</v>
      </c>
      <c r="AR9" s="312">
        <v>18</v>
      </c>
      <c r="AS9" s="88">
        <v>19</v>
      </c>
      <c r="AT9" s="312">
        <v>20</v>
      </c>
      <c r="AU9" s="88">
        <v>21</v>
      </c>
      <c r="AV9" s="312">
        <v>22</v>
      </c>
      <c r="AW9" s="88">
        <v>23</v>
      </c>
      <c r="AX9" s="312">
        <v>24</v>
      </c>
      <c r="AY9" s="88">
        <v>25</v>
      </c>
      <c r="AZ9" s="312">
        <v>26</v>
      </c>
      <c r="BA9" s="88">
        <v>27</v>
      </c>
      <c r="BB9" s="312">
        <v>28</v>
      </c>
      <c r="BC9" s="88">
        <v>29</v>
      </c>
      <c r="BD9" s="312">
        <v>30</v>
      </c>
      <c r="BE9" s="312">
        <v>31</v>
      </c>
      <c r="BF9" s="66" t="s">
        <v>49</v>
      </c>
      <c r="BG9" s="785" t="s">
        <v>85</v>
      </c>
      <c r="BH9" s="785" t="s">
        <v>86</v>
      </c>
    </row>
    <row r="10" spans="1:62" s="207" customFormat="1" ht="15" customHeight="1">
      <c r="A10" s="285">
        <v>1</v>
      </c>
      <c r="B10" s="208" t="s">
        <v>258</v>
      </c>
      <c r="C10" s="208" t="s">
        <v>51</v>
      </c>
      <c r="D10" s="332">
        <v>50</v>
      </c>
      <c r="E10" s="314">
        <v>0</v>
      </c>
      <c r="F10" s="100">
        <f>SUMIF(pro!$A:$A,INTGRATE!$Y:$Y,pro!$N:$N)</f>
        <v>0</v>
      </c>
      <c r="G10" s="314"/>
      <c r="H10" s="314">
        <f>SUMIF(CBIN!$A:$A,INTGRATE!$Y:$Y,CBIN!$G:$G)</f>
        <v>0</v>
      </c>
      <c r="I10" s="314">
        <f>SUMIF(data!$D:$D,INTGRATE!$B10&amp;INTGRATE!$D10,data!$J:$J)</f>
        <v>0</v>
      </c>
      <c r="J10" s="314"/>
      <c r="K10" s="314"/>
      <c r="L10" s="314">
        <f>SUMIF(data!$D:$D,INTGRATE!$B10&amp;INTGRATE!$D10,data!$K:$K)</f>
        <v>0</v>
      </c>
      <c r="M10" s="314">
        <f>SUMIF(AJOUT!$A:$A,INTGRATE!$Y:$Y,AJOUT!$L:$L)</f>
        <v>0</v>
      </c>
      <c r="N10" s="100">
        <f>SUMIF(CBOUT!$A:$A,INTGRATE!$Y:$Y,CBOUT!$G:$G)</f>
        <v>0</v>
      </c>
      <c r="O10" s="482">
        <f t="shared" ref="O10:O23" si="0">E10+F10+H10-I10-N10+G10-M10</f>
        <v>0</v>
      </c>
      <c r="P10" s="1180">
        <f t="shared" ref="P10:P47" si="1">O10*D10</f>
        <v>0</v>
      </c>
      <c r="Q10" s="314">
        <f t="shared" ref="Q10:Q31" si="2">SUM(AA10:BE10)</f>
        <v>0</v>
      </c>
      <c r="T10" s="1181">
        <f t="shared" ref="T10:T41" si="3">Q10/$N$293</f>
        <v>0</v>
      </c>
      <c r="U10" s="875">
        <f>IF(T10=0,0,P10/T10)</f>
        <v>0</v>
      </c>
      <c r="V10" s="876"/>
      <c r="W10" s="345"/>
      <c r="X10" s="206"/>
      <c r="Y10" s="856" t="str">
        <f t="shared" ref="Y10:Y35" si="4">B10&amp;D10</f>
        <v>510F50</v>
      </c>
      <c r="Z10" s="818" t="s">
        <v>259</v>
      </c>
      <c r="AA10" s="380"/>
      <c r="AB10" s="380">
        <v>0</v>
      </c>
      <c r="AC10" s="314">
        <v>0</v>
      </c>
      <c r="AD10" s="314">
        <v>0</v>
      </c>
      <c r="AE10" s="314">
        <v>0</v>
      </c>
      <c r="AF10" s="314">
        <v>0</v>
      </c>
      <c r="AG10" s="314">
        <v>0</v>
      </c>
      <c r="AH10" s="314">
        <v>0</v>
      </c>
      <c r="AI10" s="314">
        <v>0</v>
      </c>
      <c r="AJ10" s="314"/>
      <c r="AK10" s="314"/>
      <c r="AL10" s="314"/>
      <c r="AM10" s="314"/>
      <c r="AN10" s="314"/>
      <c r="AO10" s="314"/>
      <c r="AP10" s="314"/>
      <c r="AQ10" s="314"/>
      <c r="AR10" s="314"/>
      <c r="AS10" s="314"/>
      <c r="AT10" s="314"/>
      <c r="AU10" s="314"/>
      <c r="AV10" s="314"/>
      <c r="AW10" s="314"/>
      <c r="AX10" s="314"/>
      <c r="AY10" s="314"/>
      <c r="AZ10" s="314"/>
      <c r="BA10" s="314"/>
      <c r="BB10" s="314"/>
      <c r="BC10" s="314"/>
      <c r="BD10" s="314"/>
      <c r="BE10" s="314"/>
      <c r="BF10" s="205">
        <f t="shared" ref="BF10:BF90" si="5">SUM(AA10:BE10)</f>
        <v>0</v>
      </c>
      <c r="BG10" s="786">
        <f>COUNTIF(AA10:BE10,"&gt;0")</f>
        <v>0</v>
      </c>
      <c r="BH10" s="786">
        <f>IFERROR(BF10/BG10,0)</f>
        <v>0</v>
      </c>
      <c r="BI10" s="367">
        <f>SUM(BF10:BF45,BF62:BF68,BF80:BF102)</f>
        <v>491350</v>
      </c>
      <c r="BJ10" s="207" t="s">
        <v>260</v>
      </c>
    </row>
    <row r="11" spans="1:62" s="207" customFormat="1" ht="15" customHeight="1">
      <c r="A11" s="285">
        <v>2</v>
      </c>
      <c r="B11" s="208" t="s">
        <v>261</v>
      </c>
      <c r="C11" s="208" t="s">
        <v>64</v>
      </c>
      <c r="D11" s="332">
        <v>50</v>
      </c>
      <c r="E11" s="314">
        <v>0</v>
      </c>
      <c r="F11" s="100">
        <f>SUMIF(pro!$A:$A,INTGRATE!$Y:$Y,pro!$N:$N)</f>
        <v>0</v>
      </c>
      <c r="G11" s="314"/>
      <c r="H11" s="314">
        <f>SUMIF(CBIN!$A:$A,INTGRATE!$Y:$Y,CBIN!$G:$G)</f>
        <v>0</v>
      </c>
      <c r="I11" s="314">
        <f>SUMIF(data!$D:$D,INTGRATE!$B11&amp;INTGRATE!$D11,data!$J:$J)</f>
        <v>0</v>
      </c>
      <c r="J11" s="314"/>
      <c r="K11" s="314"/>
      <c r="L11" s="314">
        <f>SUMIF(data!$D:$D,INTGRATE!$B11&amp;INTGRATE!$D11,data!$K:$K)</f>
        <v>0</v>
      </c>
      <c r="M11" s="314">
        <f>SUMIF(AJOUT!$A:$A,INTGRATE!$Y:$Y,AJOUT!$L:$L)</f>
        <v>0</v>
      </c>
      <c r="N11" s="100">
        <f>SUMIF(CBOUT!$A:$A,INTGRATE!$Y:$Y,CBOUT!$G:$G)</f>
        <v>0</v>
      </c>
      <c r="O11" s="482">
        <f t="shared" si="0"/>
        <v>0</v>
      </c>
      <c r="P11" s="314">
        <f t="shared" si="1"/>
        <v>0</v>
      </c>
      <c r="Q11" s="314">
        <f t="shared" si="2"/>
        <v>0</v>
      </c>
      <c r="R11" s="314" t="s">
        <v>201</v>
      </c>
      <c r="S11" s="314"/>
      <c r="T11" s="1181">
        <f t="shared" si="3"/>
        <v>0</v>
      </c>
      <c r="U11" s="875">
        <f>IF(T11=0,0,P11/T11)</f>
        <v>0</v>
      </c>
      <c r="V11" s="876"/>
      <c r="W11" s="345"/>
      <c r="X11" s="206"/>
      <c r="Y11" s="856" t="str">
        <f t="shared" si="4"/>
        <v>510MF50</v>
      </c>
      <c r="Z11" s="818">
        <v>161211</v>
      </c>
      <c r="AA11" s="380"/>
      <c r="AB11" s="380">
        <v>0</v>
      </c>
      <c r="AC11" s="314">
        <v>0</v>
      </c>
      <c r="AD11" s="314">
        <v>0</v>
      </c>
      <c r="AE11" s="314">
        <v>0</v>
      </c>
      <c r="AF11" s="314">
        <v>0</v>
      </c>
      <c r="AG11" s="314">
        <v>0</v>
      </c>
      <c r="AH11" s="314">
        <v>0</v>
      </c>
      <c r="AI11" s="314">
        <v>0</v>
      </c>
      <c r="AJ11" s="314"/>
      <c r="AK11" s="314"/>
      <c r="AL11" s="314"/>
      <c r="AM11" s="314"/>
      <c r="AN11" s="314"/>
      <c r="AO11" s="314"/>
      <c r="AP11" s="314"/>
      <c r="AQ11" s="314"/>
      <c r="AR11" s="314"/>
      <c r="AS11" s="314"/>
      <c r="AT11" s="314"/>
      <c r="AU11" s="314"/>
      <c r="AV11" s="314"/>
      <c r="AW11" s="314"/>
      <c r="AX11" s="314"/>
      <c r="AY11" s="314"/>
      <c r="AZ11" s="314"/>
      <c r="BA11" s="314"/>
      <c r="BB11" s="314"/>
      <c r="BC11" s="314"/>
      <c r="BD11" s="314"/>
      <c r="BE11" s="314"/>
      <c r="BF11" s="205">
        <f t="shared" si="5"/>
        <v>0</v>
      </c>
      <c r="BG11" s="786">
        <f t="shared" ref="BG11:BG75" si="6">COUNTIF(AA11:BE11,"&gt;0")</f>
        <v>0</v>
      </c>
      <c r="BH11" s="786">
        <f t="shared" ref="BH11:BH75" si="7">IFERROR(BF11/BG11,0)</f>
        <v>0</v>
      </c>
      <c r="BI11" s="367">
        <f>+SUM(BF46:BF52)</f>
        <v>0</v>
      </c>
      <c r="BJ11" s="207" t="s">
        <v>262</v>
      </c>
    </row>
    <row r="12" spans="1:62" s="207" customFormat="1" ht="15" customHeight="1">
      <c r="A12" s="285">
        <v>3</v>
      </c>
      <c r="B12" s="208" t="s">
        <v>263</v>
      </c>
      <c r="C12" s="208" t="s">
        <v>64</v>
      </c>
      <c r="D12" s="332">
        <v>50</v>
      </c>
      <c r="E12" s="314">
        <v>0</v>
      </c>
      <c r="F12" s="100">
        <f>SUMIF(pro!$A:$A,INTGRATE!$Y:$Y,pro!$N:$N)</f>
        <v>0</v>
      </c>
      <c r="G12" s="314"/>
      <c r="H12" s="314">
        <f>SUMIF(CBIN!$A:$A,INTGRATE!$Y:$Y,CBIN!$G:$G)</f>
        <v>0</v>
      </c>
      <c r="I12" s="314">
        <f>SUMIF(data!$D:$D,INTGRATE!$B12&amp;INTGRATE!$D12,data!$J:$J)</f>
        <v>0</v>
      </c>
      <c r="J12" s="314"/>
      <c r="K12" s="314"/>
      <c r="L12" s="314">
        <f>SUMIF(data!$D:$D,INTGRATE!$B12&amp;INTGRATE!$D12,data!$K:$K)</f>
        <v>0</v>
      </c>
      <c r="M12" s="314">
        <f>SUMIF(AJOUT!$A:$A,INTGRATE!$Y:$Y,AJOUT!$L:$L)</f>
        <v>0</v>
      </c>
      <c r="N12" s="100">
        <f>SUMIF(CBOUT!$A:$A,INTGRATE!$Y:$Y,CBOUT!$G:$G)</f>
        <v>0</v>
      </c>
      <c r="O12" s="482">
        <f t="shared" si="0"/>
        <v>0</v>
      </c>
      <c r="P12" s="314">
        <f t="shared" si="1"/>
        <v>0</v>
      </c>
      <c r="Q12" s="314">
        <f t="shared" si="2"/>
        <v>0</v>
      </c>
      <c r="R12" s="314"/>
      <c r="S12" s="314">
        <f>SUM(Q57:Q60,Q70,Q75:Q77,Q78)</f>
        <v>30900</v>
      </c>
      <c r="T12" s="1181">
        <f t="shared" si="3"/>
        <v>0</v>
      </c>
      <c r="U12" s="875">
        <f>IF(T12=0,0,P12/T12)</f>
        <v>0</v>
      </c>
      <c r="V12" s="876"/>
      <c r="W12" s="345"/>
      <c r="X12" s="206"/>
      <c r="Y12" s="856" t="str">
        <f t="shared" si="4"/>
        <v>510NF50</v>
      </c>
      <c r="Z12" s="818" t="s">
        <v>264</v>
      </c>
      <c r="AA12" s="380"/>
      <c r="AB12" s="380">
        <v>0</v>
      </c>
      <c r="AC12" s="314">
        <v>0</v>
      </c>
      <c r="AD12" s="314">
        <v>0</v>
      </c>
      <c r="AE12" s="314">
        <v>0</v>
      </c>
      <c r="AF12" s="314">
        <v>0</v>
      </c>
      <c r="AG12" s="314">
        <v>0</v>
      </c>
      <c r="AH12" s="314">
        <v>0</v>
      </c>
      <c r="AI12" s="314">
        <v>0</v>
      </c>
      <c r="AJ12" s="314"/>
      <c r="AK12" s="314"/>
      <c r="AL12" s="314"/>
      <c r="AM12" s="314"/>
      <c r="AN12" s="314"/>
      <c r="AO12" s="314"/>
      <c r="AP12" s="314"/>
      <c r="AQ12" s="314"/>
      <c r="AR12" s="314"/>
      <c r="AS12" s="314"/>
      <c r="AT12" s="314"/>
      <c r="AU12" s="314"/>
      <c r="AV12" s="314"/>
      <c r="AW12" s="314"/>
      <c r="AX12" s="314"/>
      <c r="AY12" s="314"/>
      <c r="AZ12" s="314"/>
      <c r="BA12" s="314"/>
      <c r="BB12" s="314"/>
      <c r="BC12" s="314"/>
      <c r="BD12" s="314"/>
      <c r="BE12" s="314"/>
      <c r="BF12" s="205">
        <f t="shared" si="5"/>
        <v>0</v>
      </c>
      <c r="BG12" s="786">
        <f t="shared" si="6"/>
        <v>0</v>
      </c>
      <c r="BH12" s="786">
        <f t="shared" si="7"/>
        <v>0</v>
      </c>
      <c r="BI12" s="367">
        <f>+SUM(BF53:BF55)</f>
        <v>0</v>
      </c>
      <c r="BJ12" s="207" t="s">
        <v>265</v>
      </c>
    </row>
    <row r="13" spans="1:62" s="207" customFormat="1" ht="15" customHeight="1">
      <c r="A13" s="285">
        <v>4</v>
      </c>
      <c r="B13" s="208" t="s">
        <v>266</v>
      </c>
      <c r="C13" s="208" t="s">
        <v>64</v>
      </c>
      <c r="D13" s="332">
        <v>50</v>
      </c>
      <c r="E13" s="314">
        <v>0</v>
      </c>
      <c r="F13" s="100">
        <f>SUMIF(pro!$A:$A,INTGRATE!$Y:$Y,pro!$N:$N)</f>
        <v>0</v>
      </c>
      <c r="G13" s="314"/>
      <c r="H13" s="314">
        <f>SUMIF(CBIN!$A:$A,INTGRATE!$Y:$Y,CBIN!$G:$G)</f>
        <v>0</v>
      </c>
      <c r="I13" s="314">
        <f>SUMIF(data!$D:$D,INTGRATE!$B13&amp;INTGRATE!$D13,data!$J:$J)</f>
        <v>0</v>
      </c>
      <c r="J13" s="314"/>
      <c r="K13" s="314"/>
      <c r="L13" s="314">
        <f>SUMIF(data!$D:$D,INTGRATE!$B13&amp;INTGRATE!$D13,data!$K:$K)</f>
        <v>0</v>
      </c>
      <c r="M13" s="314">
        <f>SUMIF(AJOUT!$A:$A,INTGRATE!$Y:$Y,AJOUT!$L:$L)</f>
        <v>0</v>
      </c>
      <c r="N13" s="100">
        <f>SUMIF(CBOUT!$A:$A,INTGRATE!$Y:$Y,CBOUT!$G:$G)</f>
        <v>0</v>
      </c>
      <c r="O13" s="482">
        <f t="shared" ref="O13" si="8">E13+F13+H13-I13-N13+G13-M13</f>
        <v>0</v>
      </c>
      <c r="P13" s="314">
        <f t="shared" ref="P13" si="9">O13*D13</f>
        <v>0</v>
      </c>
      <c r="Q13" s="314">
        <f t="shared" ref="Q13" si="10">SUM(AA13:BE13)</f>
        <v>0</v>
      </c>
      <c r="R13" s="314">
        <f>SUM(P57:P60,P70,P75:P78)</f>
        <v>31050</v>
      </c>
      <c r="S13" s="314">
        <f>SUM(Q57:Q60,Q70,Q75:Q78)</f>
        <v>30900</v>
      </c>
      <c r="T13" s="1181">
        <f t="shared" si="3"/>
        <v>0</v>
      </c>
      <c r="U13" s="875">
        <f>IF(T13=0,0,P13/T13)</f>
        <v>0</v>
      </c>
      <c r="V13" s="876"/>
      <c r="W13" s="345"/>
      <c r="X13" s="206"/>
      <c r="Y13" s="856" t="str">
        <f t="shared" si="4"/>
        <v>510NFTL350</v>
      </c>
      <c r="Z13" s="818">
        <v>112591</v>
      </c>
      <c r="AA13" s="380"/>
      <c r="AB13" s="380">
        <v>0</v>
      </c>
      <c r="AC13" s="314">
        <v>0</v>
      </c>
      <c r="AD13" s="314">
        <v>0</v>
      </c>
      <c r="AE13" s="314">
        <v>0</v>
      </c>
      <c r="AF13" s="314">
        <v>0</v>
      </c>
      <c r="AG13" s="314">
        <v>0</v>
      </c>
      <c r="AH13" s="314">
        <v>0</v>
      </c>
      <c r="AI13" s="314">
        <v>0</v>
      </c>
      <c r="AJ13" s="314"/>
      <c r="AK13" s="314"/>
      <c r="AL13" s="314"/>
      <c r="AM13" s="314"/>
      <c r="AN13" s="314"/>
      <c r="AO13" s="314"/>
      <c r="AP13" s="314"/>
      <c r="AQ13" s="314"/>
      <c r="AR13" s="314"/>
      <c r="AS13" s="314"/>
      <c r="AT13" s="314"/>
      <c r="AU13" s="314"/>
      <c r="AV13" s="314"/>
      <c r="AW13" s="314"/>
      <c r="AX13" s="314"/>
      <c r="AY13" s="314"/>
      <c r="AZ13" s="314"/>
      <c r="BA13" s="314"/>
      <c r="BB13" s="314"/>
      <c r="BC13" s="314"/>
      <c r="BD13" s="314"/>
      <c r="BE13" s="314"/>
      <c r="BF13" s="205">
        <f t="shared" ref="BF13" si="11">SUM(AA13:BE13)</f>
        <v>0</v>
      </c>
      <c r="BG13" s="786">
        <f t="shared" ref="BG13" si="12">COUNTIF(AA13:BE13,"&gt;0")</f>
        <v>0</v>
      </c>
      <c r="BH13" s="786">
        <f t="shared" ref="BH13" si="13">IFERROR(BF13/BG13,0)</f>
        <v>0</v>
      </c>
      <c r="BI13" s="367"/>
    </row>
    <row r="14" spans="1:62" s="207" customFormat="1" ht="15" customHeight="1">
      <c r="A14" s="285">
        <v>5</v>
      </c>
      <c r="B14" s="208" t="s">
        <v>267</v>
      </c>
      <c r="C14" s="208" t="s">
        <v>64</v>
      </c>
      <c r="D14" s="332">
        <v>50</v>
      </c>
      <c r="E14" s="314">
        <v>0</v>
      </c>
      <c r="F14" s="100">
        <f>SUMIF(pro!$A:$A,INTGRATE!$Y:$Y,pro!$N:$N)</f>
        <v>0</v>
      </c>
      <c r="G14" s="314"/>
      <c r="H14" s="314">
        <f>SUMIF(CBIN!$A:$A,INTGRATE!$Y:$Y,CBIN!$G:$G)</f>
        <v>0</v>
      </c>
      <c r="I14" s="314">
        <f>SUMIF(data!$D:$D,INTGRATE!$B14&amp;INTGRATE!$D14,data!$J:$J)</f>
        <v>0</v>
      </c>
      <c r="J14" s="314"/>
      <c r="K14" s="314"/>
      <c r="L14" s="314">
        <f>SUMIF(data!$D:$D,INTGRATE!$B14&amp;INTGRATE!$D14,data!$K:$K)</f>
        <v>0</v>
      </c>
      <c r="M14" s="314">
        <f>SUMIF(AJOUT!$A:$A,INTGRATE!$Y:$Y,AJOUT!$L:$L)</f>
        <v>0</v>
      </c>
      <c r="N14" s="100">
        <f>SUMIF(CBOUT!$A:$A,INTGRATE!$Y:$Y,CBOUT!$G:$G)</f>
        <v>0</v>
      </c>
      <c r="O14" s="482">
        <f t="shared" si="0"/>
        <v>0</v>
      </c>
      <c r="P14" s="314">
        <f>O14*D14</f>
        <v>0</v>
      </c>
      <c r="Q14" s="314">
        <f>SUM(AA14:BE14)</f>
        <v>0</v>
      </c>
      <c r="R14" s="314"/>
      <c r="S14" s="314"/>
      <c r="T14" s="1181">
        <f t="shared" si="3"/>
        <v>0</v>
      </c>
      <c r="U14" s="875">
        <f>IF(T14=0,0,P14/T14)</f>
        <v>0</v>
      </c>
      <c r="V14" s="876"/>
      <c r="W14" s="345"/>
      <c r="X14" s="206"/>
      <c r="Y14" s="856" t="str">
        <f t="shared" si="4"/>
        <v>510NFTL3P1250</v>
      </c>
      <c r="Z14" s="818">
        <v>11259812</v>
      </c>
      <c r="AA14" s="380"/>
      <c r="AB14" s="380">
        <v>0</v>
      </c>
      <c r="AC14" s="314">
        <v>0</v>
      </c>
      <c r="AD14" s="314">
        <v>0</v>
      </c>
      <c r="AE14" s="314">
        <v>0</v>
      </c>
      <c r="AF14" s="314">
        <v>0</v>
      </c>
      <c r="AG14" s="314">
        <v>0</v>
      </c>
      <c r="AH14" s="314">
        <v>0</v>
      </c>
      <c r="AI14" s="314">
        <v>0</v>
      </c>
      <c r="AJ14" s="314"/>
      <c r="AK14" s="314"/>
      <c r="AL14" s="314"/>
      <c r="AM14" s="314"/>
      <c r="AN14" s="314"/>
      <c r="AO14" s="314"/>
      <c r="AP14" s="314"/>
      <c r="AQ14" s="314"/>
      <c r="AR14" s="314"/>
      <c r="AS14" s="314"/>
      <c r="AT14" s="314"/>
      <c r="AU14" s="314"/>
      <c r="AV14" s="314"/>
      <c r="AW14" s="314"/>
      <c r="AX14" s="314"/>
      <c r="AY14" s="314"/>
      <c r="AZ14" s="314"/>
      <c r="BA14" s="314"/>
      <c r="BB14" s="314"/>
      <c r="BC14" s="314"/>
      <c r="BD14" s="314"/>
      <c r="BE14" s="314"/>
      <c r="BF14" s="205">
        <f t="shared" si="5"/>
        <v>0</v>
      </c>
      <c r="BG14" s="786">
        <f t="shared" si="6"/>
        <v>0</v>
      </c>
      <c r="BH14" s="786">
        <f t="shared" si="7"/>
        <v>0</v>
      </c>
      <c r="BI14" s="367"/>
    </row>
    <row r="15" spans="1:62" s="207" customFormat="1" ht="15" customHeight="1">
      <c r="A15" s="285">
        <v>6</v>
      </c>
      <c r="B15" s="208" t="s">
        <v>268</v>
      </c>
      <c r="C15" s="208" t="s">
        <v>64</v>
      </c>
      <c r="D15" s="332">
        <v>50</v>
      </c>
      <c r="E15" s="314">
        <v>0</v>
      </c>
      <c r="F15" s="100">
        <f>SUMIF(pro!$A:$A,INTGRATE!$Y:$Y,pro!$N:$N)</f>
        <v>0</v>
      </c>
      <c r="G15" s="314"/>
      <c r="H15" s="314">
        <f>SUMIF(CBIN!$A:$A,INTGRATE!$Y:$Y,CBIN!$G:$G)</f>
        <v>0</v>
      </c>
      <c r="I15" s="314">
        <f>SUMIF(data!$D:$D,INTGRATE!$B15&amp;INTGRATE!$D15,data!$J:$J)</f>
        <v>0</v>
      </c>
      <c r="J15" s="314"/>
      <c r="K15" s="314"/>
      <c r="L15" s="314">
        <f>SUMIF(data!$D:$D,INTGRATE!$B15&amp;INTGRATE!$D15,data!$K:$K)</f>
        <v>0</v>
      </c>
      <c r="M15" s="314">
        <f>SUMIF(AJOUT!$A:$A,INTGRATE!$Y:$Y,AJOUT!$L:$L)</f>
        <v>0</v>
      </c>
      <c r="N15" s="100">
        <f>SUMIF(CBOUT!$A:$A,INTGRATE!$Y:$Y,CBOUT!$G:$G)</f>
        <v>0</v>
      </c>
      <c r="O15" s="482">
        <f t="shared" si="0"/>
        <v>0</v>
      </c>
      <c r="P15" s="314">
        <f t="shared" si="1"/>
        <v>0</v>
      </c>
      <c r="Q15" s="314">
        <f>SUM(AA15:BE15)</f>
        <v>0</v>
      </c>
      <c r="R15" s="314" t="s">
        <v>218</v>
      </c>
      <c r="S15" s="314"/>
      <c r="T15" s="1181">
        <f t="shared" si="3"/>
        <v>0</v>
      </c>
      <c r="U15" s="875">
        <f t="shared" ref="U15:U24" si="14">IF(T15=0,0,P15/T15)</f>
        <v>0</v>
      </c>
      <c r="V15" s="876"/>
      <c r="W15" s="345"/>
      <c r="X15" s="206"/>
      <c r="Y15" s="856" t="str">
        <f>B15&amp;D15</f>
        <v>510NFP1250</v>
      </c>
      <c r="Z15" s="818">
        <v>11252812</v>
      </c>
      <c r="AA15" s="380"/>
      <c r="AB15" s="380">
        <v>0</v>
      </c>
      <c r="AC15" s="314">
        <v>0</v>
      </c>
      <c r="AD15" s="314">
        <v>0</v>
      </c>
      <c r="AE15" s="314">
        <v>0</v>
      </c>
      <c r="AF15" s="314">
        <v>0</v>
      </c>
      <c r="AG15" s="314">
        <v>0</v>
      </c>
      <c r="AH15" s="314">
        <v>0</v>
      </c>
      <c r="AI15" s="314">
        <v>0</v>
      </c>
      <c r="AJ15" s="314"/>
      <c r="AK15" s="314"/>
      <c r="AL15" s="314"/>
      <c r="AM15" s="314"/>
      <c r="AN15" s="314"/>
      <c r="AO15" s="314"/>
      <c r="AP15" s="314"/>
      <c r="AQ15" s="314"/>
      <c r="AR15" s="314"/>
      <c r="AS15" s="314"/>
      <c r="AT15" s="314"/>
      <c r="AU15" s="314"/>
      <c r="AV15" s="314"/>
      <c r="AW15" s="314"/>
      <c r="AX15" s="314"/>
      <c r="AY15" s="314"/>
      <c r="AZ15" s="314"/>
      <c r="BA15" s="314"/>
      <c r="BB15" s="314"/>
      <c r="BC15" s="314"/>
      <c r="BD15" s="314"/>
      <c r="BE15" s="314"/>
      <c r="BF15" s="205">
        <f t="shared" si="5"/>
        <v>0</v>
      </c>
      <c r="BG15" s="786">
        <f t="shared" si="6"/>
        <v>0</v>
      </c>
      <c r="BH15" s="786">
        <f t="shared" si="7"/>
        <v>0</v>
      </c>
      <c r="BI15" s="367"/>
    </row>
    <row r="16" spans="1:62" s="207" customFormat="1" ht="15" customHeight="1">
      <c r="A16" s="285">
        <v>7</v>
      </c>
      <c r="B16" s="208" t="s">
        <v>269</v>
      </c>
      <c r="C16" s="208" t="s">
        <v>64</v>
      </c>
      <c r="D16" s="332">
        <v>50</v>
      </c>
      <c r="E16" s="314">
        <v>0</v>
      </c>
      <c r="F16" s="100">
        <f>SUMIF(pro!$A:$A,INTGRATE!$Y:$Y,pro!$N:$N)</f>
        <v>0</v>
      </c>
      <c r="G16" s="314"/>
      <c r="H16" s="314">
        <f>SUMIF(CBIN!$A:$A,INTGRATE!$Y:$Y,CBIN!$G:$G)</f>
        <v>0</v>
      </c>
      <c r="I16" s="314">
        <f>SUMIF(data!$D:$D,INTGRATE!$B16&amp;INTGRATE!$D16,data!$J:$J)</f>
        <v>0</v>
      </c>
      <c r="J16" s="314"/>
      <c r="K16" s="314"/>
      <c r="L16" s="314">
        <f>SUMIF(data!$D:$D,INTGRATE!$B16&amp;INTGRATE!$D16,data!$K:$K)</f>
        <v>0</v>
      </c>
      <c r="M16" s="314">
        <f>SUMIF(AJOUT!$A:$A,INTGRATE!$Y:$Y,AJOUT!$L:$L)</f>
        <v>0</v>
      </c>
      <c r="N16" s="100">
        <f>SUMIF(CBOUT!$A:$A,INTGRATE!$Y:$Y,CBOUT!$G:$G)</f>
        <v>0</v>
      </c>
      <c r="O16" s="482">
        <f t="shared" si="0"/>
        <v>0</v>
      </c>
      <c r="P16" s="314">
        <f t="shared" si="1"/>
        <v>0</v>
      </c>
      <c r="Q16" s="314">
        <f t="shared" si="2"/>
        <v>0</v>
      </c>
      <c r="R16" s="314">
        <f>+SUM(P10:P102)-R13-R19</f>
        <v>47400</v>
      </c>
      <c r="S16" s="314">
        <f>+SUM(Q10:Q102)-S13-S19</f>
        <v>201700</v>
      </c>
      <c r="T16" s="1181">
        <f t="shared" si="3"/>
        <v>0</v>
      </c>
      <c r="U16" s="875">
        <f t="shared" si="14"/>
        <v>0</v>
      </c>
      <c r="V16" s="876"/>
      <c r="W16" s="345"/>
      <c r="X16" s="206"/>
      <c r="Y16" s="856" t="str">
        <f t="shared" si="4"/>
        <v>510NFP8750</v>
      </c>
      <c r="Z16" s="818">
        <v>11252887</v>
      </c>
      <c r="AA16" s="380"/>
      <c r="AB16" s="380">
        <v>0</v>
      </c>
      <c r="AC16" s="314">
        <v>0</v>
      </c>
      <c r="AD16" s="314">
        <v>0</v>
      </c>
      <c r="AE16" s="314">
        <v>0</v>
      </c>
      <c r="AF16" s="314">
        <v>0</v>
      </c>
      <c r="AG16" s="314">
        <v>0</v>
      </c>
      <c r="AH16" s="314">
        <v>0</v>
      </c>
      <c r="AI16" s="314">
        <v>0</v>
      </c>
      <c r="AJ16" s="314"/>
      <c r="AK16" s="314"/>
      <c r="AL16" s="314"/>
      <c r="AM16" s="314"/>
      <c r="AN16" s="314"/>
      <c r="AO16" s="314"/>
      <c r="AP16" s="314"/>
      <c r="AQ16" s="314"/>
      <c r="AR16" s="314"/>
      <c r="AS16" s="314"/>
      <c r="AT16" s="314"/>
      <c r="AU16" s="314"/>
      <c r="AV16" s="314"/>
      <c r="AW16" s="314"/>
      <c r="AX16" s="314"/>
      <c r="AY16" s="314"/>
      <c r="AZ16" s="314"/>
      <c r="BA16" s="314"/>
      <c r="BB16" s="314"/>
      <c r="BC16" s="314"/>
      <c r="BD16" s="314"/>
      <c r="BE16" s="314"/>
      <c r="BF16" s="205">
        <f t="shared" si="5"/>
        <v>0</v>
      </c>
      <c r="BG16" s="786">
        <f t="shared" si="6"/>
        <v>0</v>
      </c>
      <c r="BH16" s="786">
        <f t="shared" si="7"/>
        <v>0</v>
      </c>
      <c r="BI16" s="367">
        <f>SUM(BF74:BF79)</f>
        <v>133600</v>
      </c>
      <c r="BJ16" s="207" t="s">
        <v>270</v>
      </c>
    </row>
    <row r="17" spans="1:64" s="207" customFormat="1" ht="15" customHeight="1">
      <c r="A17" s="285">
        <v>8</v>
      </c>
      <c r="B17" s="208" t="s">
        <v>271</v>
      </c>
      <c r="C17" s="208" t="s">
        <v>64</v>
      </c>
      <c r="D17" s="332">
        <v>50</v>
      </c>
      <c r="E17" s="314">
        <v>0</v>
      </c>
      <c r="F17" s="100">
        <v>0</v>
      </c>
      <c r="G17" s="314"/>
      <c r="H17" s="314">
        <f>SUMIF(CBIN!$A:$A,INTGRATE!$Y:$Y,CBIN!$G:$G)</f>
        <v>0</v>
      </c>
      <c r="I17" s="314">
        <f>SUMIF(data!$D:$D,INTGRATE!$B17&amp;INTGRATE!$D17,data!$J:$J)</f>
        <v>0</v>
      </c>
      <c r="J17" s="314"/>
      <c r="K17" s="314"/>
      <c r="L17" s="314">
        <f>SUMIF(data!$D:$D,INTGRATE!$B17&amp;INTGRATE!$D17,data!$K:$K)</f>
        <v>0</v>
      </c>
      <c r="M17" s="314">
        <f>SUMIF(AJOUT!$A:$A,INTGRATE!$Y:$Y,AJOUT!$L:$L)</f>
        <v>0</v>
      </c>
      <c r="N17" s="100">
        <f>SUMIF(CBOUT!$A:$A,INTGRATE!$Y:$Y,CBOUT!$G:$G)</f>
        <v>0</v>
      </c>
      <c r="O17" s="482">
        <f t="shared" si="0"/>
        <v>0</v>
      </c>
      <c r="P17" s="314">
        <f t="shared" si="1"/>
        <v>0</v>
      </c>
      <c r="Q17" s="314">
        <f t="shared" si="2"/>
        <v>0</v>
      </c>
      <c r="R17" s="314"/>
      <c r="S17" s="314"/>
      <c r="T17" s="1181">
        <f t="shared" si="3"/>
        <v>0</v>
      </c>
      <c r="U17" s="875">
        <f t="shared" si="14"/>
        <v>0</v>
      </c>
      <c r="V17" s="876"/>
      <c r="W17" s="345"/>
      <c r="X17" s="206"/>
      <c r="Y17" s="856" t="str">
        <f t="shared" si="4"/>
        <v>510NFP8850</v>
      </c>
      <c r="Z17" s="818">
        <v>11252888</v>
      </c>
      <c r="AA17" s="380"/>
      <c r="AB17" s="380">
        <v>0</v>
      </c>
      <c r="AC17" s="314">
        <v>0</v>
      </c>
      <c r="AD17" s="314">
        <v>0</v>
      </c>
      <c r="AE17" s="314">
        <v>0</v>
      </c>
      <c r="AF17" s="314">
        <v>0</v>
      </c>
      <c r="AG17" s="314">
        <v>0</v>
      </c>
      <c r="AH17" s="314">
        <v>0</v>
      </c>
      <c r="AI17" s="314">
        <v>0</v>
      </c>
      <c r="AJ17" s="314"/>
      <c r="AK17" s="314"/>
      <c r="AL17" s="314"/>
      <c r="AM17" s="314"/>
      <c r="AN17" s="314"/>
      <c r="AO17" s="314"/>
      <c r="AP17" s="314"/>
      <c r="AQ17" s="314"/>
      <c r="AR17" s="314"/>
      <c r="AS17" s="314"/>
      <c r="AT17" s="314"/>
      <c r="AU17" s="314"/>
      <c r="AV17" s="314"/>
      <c r="AW17" s="314"/>
      <c r="AX17" s="314"/>
      <c r="AY17" s="314"/>
      <c r="AZ17" s="314"/>
      <c r="BA17" s="314"/>
      <c r="BB17" s="314"/>
      <c r="BC17" s="314"/>
      <c r="BD17" s="314"/>
      <c r="BE17" s="314"/>
      <c r="BF17" s="205">
        <f t="shared" si="5"/>
        <v>0</v>
      </c>
      <c r="BG17" s="786">
        <f t="shared" si="6"/>
        <v>0</v>
      </c>
      <c r="BH17" s="786">
        <f t="shared" si="7"/>
        <v>0</v>
      </c>
      <c r="BI17" s="367">
        <f>SUM(BF80:BF102)</f>
        <v>0</v>
      </c>
      <c r="BJ17" s="207" t="s">
        <v>123</v>
      </c>
    </row>
    <row r="18" spans="1:64" s="207" customFormat="1" ht="15" customHeight="1">
      <c r="A18" s="285">
        <v>9</v>
      </c>
      <c r="B18" s="208" t="s">
        <v>272</v>
      </c>
      <c r="C18" s="208" t="s">
        <v>64</v>
      </c>
      <c r="D18" s="332">
        <v>50</v>
      </c>
      <c r="E18" s="314">
        <v>0</v>
      </c>
      <c r="F18" s="100">
        <f>SUMIF(pro!$A:$A,INTGRATE!$Y:$Y,pro!$N:$N)</f>
        <v>0</v>
      </c>
      <c r="G18" s="314"/>
      <c r="H18" s="314">
        <f>SUMIF(CBIN!$A:$A,INTGRATE!$Y:$Y,CBIN!$G:$G)</f>
        <v>0</v>
      </c>
      <c r="I18" s="314">
        <f>SUMIF(data!$D:$D,INTGRATE!$B18&amp;INTGRATE!$D18,data!$J:$J)</f>
        <v>0</v>
      </c>
      <c r="J18" s="314"/>
      <c r="K18" s="314"/>
      <c r="L18" s="314">
        <f>SUMIF(data!$D:$D,INTGRATE!$B18&amp;INTGRATE!$D18,data!$K:$K)</f>
        <v>0</v>
      </c>
      <c r="M18" s="314">
        <f>SUMIF(AJOUT!$A:$A,INTGRATE!$Y:$Y,AJOUT!$L:$L)</f>
        <v>0</v>
      </c>
      <c r="N18" s="100">
        <f>SUMIF(CBOUT!$A:$A,INTGRATE!$Y:$Y,CBOUT!$G:$G)</f>
        <v>0</v>
      </c>
      <c r="O18" s="482">
        <f t="shared" si="0"/>
        <v>0</v>
      </c>
      <c r="P18" s="314">
        <f t="shared" si="1"/>
        <v>0</v>
      </c>
      <c r="Q18" s="314">
        <f t="shared" si="2"/>
        <v>0</v>
      </c>
      <c r="R18" s="314" t="s">
        <v>273</v>
      </c>
      <c r="S18" s="314"/>
      <c r="T18" s="1181">
        <f t="shared" si="3"/>
        <v>0</v>
      </c>
      <c r="U18" s="875">
        <f t="shared" si="14"/>
        <v>0</v>
      </c>
      <c r="V18" s="876"/>
      <c r="W18" s="345"/>
      <c r="X18" s="206"/>
      <c r="Y18" s="856" t="str">
        <f t="shared" si="4"/>
        <v>510NFP9150</v>
      </c>
      <c r="Z18" s="818">
        <v>11252891</v>
      </c>
      <c r="AA18" s="380"/>
      <c r="AB18" s="380">
        <v>0</v>
      </c>
      <c r="AC18" s="314">
        <v>0</v>
      </c>
      <c r="AD18" s="314">
        <v>0</v>
      </c>
      <c r="AE18" s="314">
        <v>0</v>
      </c>
      <c r="AF18" s="314">
        <v>0</v>
      </c>
      <c r="AG18" s="314">
        <v>0</v>
      </c>
      <c r="AH18" s="314">
        <v>0</v>
      </c>
      <c r="AI18" s="314">
        <v>0</v>
      </c>
      <c r="AJ18" s="314"/>
      <c r="AK18" s="314"/>
      <c r="AL18" s="314"/>
      <c r="AM18" s="314"/>
      <c r="AN18" s="314"/>
      <c r="AO18" s="314"/>
      <c r="AP18" s="314"/>
      <c r="AQ18" s="314"/>
      <c r="AR18" s="314"/>
      <c r="AS18" s="314"/>
      <c r="AT18" s="314"/>
      <c r="AU18" s="314"/>
      <c r="AV18" s="314"/>
      <c r="AW18" s="314"/>
      <c r="AX18" s="314"/>
      <c r="AY18" s="314"/>
      <c r="AZ18" s="314"/>
      <c r="BA18" s="314"/>
      <c r="BB18" s="314"/>
      <c r="BC18" s="314"/>
      <c r="BD18" s="314"/>
      <c r="BE18" s="314"/>
      <c r="BF18" s="205">
        <f t="shared" si="5"/>
        <v>0</v>
      </c>
      <c r="BG18" s="786">
        <f t="shared" si="6"/>
        <v>0</v>
      </c>
      <c r="BH18" s="786">
        <f t="shared" si="7"/>
        <v>0</v>
      </c>
      <c r="BI18" s="367"/>
    </row>
    <row r="19" spans="1:64" s="207" customFormat="1" ht="15" customHeight="1">
      <c r="A19" s="285">
        <v>10</v>
      </c>
      <c r="B19" s="208" t="s">
        <v>274</v>
      </c>
      <c r="C19" s="208" t="s">
        <v>64</v>
      </c>
      <c r="D19" s="332">
        <v>50</v>
      </c>
      <c r="E19" s="314">
        <v>0</v>
      </c>
      <c r="F19" s="100">
        <f>SUMIF(pro!$A:$A,INTGRATE!$Y:$Y,pro!$N:$N)</f>
        <v>0</v>
      </c>
      <c r="G19" s="314"/>
      <c r="H19" s="314">
        <f>SUMIF(CBIN!$A:$A,INTGRATE!$Y:$Y,CBIN!$G:$G)</f>
        <v>0</v>
      </c>
      <c r="I19" s="314">
        <f>SUMIF(data!$D:$D,INTGRATE!$B19&amp;INTGRATE!$D19,data!$J:$J)</f>
        <v>0</v>
      </c>
      <c r="J19" s="314"/>
      <c r="K19" s="314"/>
      <c r="L19" s="314">
        <f>SUMIF(data!$D:$D,INTGRATE!$B19&amp;INTGRATE!$D19,data!$K:$K)</f>
        <v>0</v>
      </c>
      <c r="M19" s="314">
        <f>SUMIF(AJOUT!$A:$A,INTGRATE!$Y:$Y,AJOUT!$L:$L)</f>
        <v>0</v>
      </c>
      <c r="N19" s="100">
        <f>SUMIF(CBOUT!$A:$A,INTGRATE!$Y:$Y,CBOUT!$G:$G)</f>
        <v>0</v>
      </c>
      <c r="O19" s="482">
        <f t="shared" si="0"/>
        <v>0</v>
      </c>
      <c r="P19" s="314">
        <f t="shared" si="1"/>
        <v>0</v>
      </c>
      <c r="Q19" s="314">
        <f t="shared" si="2"/>
        <v>0</v>
      </c>
      <c r="R19" s="314">
        <f>+SUM(P11:P34,P44:P45,P56,P61:P63,P65:P66,P68:P69,P71:P74,P79,P82:P95,P102)</f>
        <v>405100</v>
      </c>
      <c r="S19" s="314">
        <f>+SUM(Q11:Q34,Q44:Q45,Q56,Q61:Q63,Q65:Q66,Q68:Q69,Q71:Q74,Q79,Q82:Q95,Q102)</f>
        <v>708200</v>
      </c>
      <c r="T19" s="1181">
        <f t="shared" si="3"/>
        <v>0</v>
      </c>
      <c r="U19" s="875">
        <f t="shared" si="14"/>
        <v>0</v>
      </c>
      <c r="V19" s="876"/>
      <c r="W19" s="345"/>
      <c r="X19" s="206"/>
      <c r="Y19" s="856" t="str">
        <f t="shared" si="4"/>
        <v>510NFP8950</v>
      </c>
      <c r="Z19" s="818">
        <v>11252889</v>
      </c>
      <c r="AA19" s="380"/>
      <c r="AB19" s="380">
        <v>0</v>
      </c>
      <c r="AC19" s="314">
        <v>0</v>
      </c>
      <c r="AD19" s="314">
        <v>0</v>
      </c>
      <c r="AE19" s="314">
        <v>0</v>
      </c>
      <c r="AF19" s="314">
        <v>0</v>
      </c>
      <c r="AG19" s="314">
        <v>0</v>
      </c>
      <c r="AH19" s="314">
        <v>0</v>
      </c>
      <c r="AI19" s="314">
        <v>0</v>
      </c>
      <c r="AJ19" s="314"/>
      <c r="AK19" s="314"/>
      <c r="AL19" s="314"/>
      <c r="AM19" s="314"/>
      <c r="AN19" s="314"/>
      <c r="AO19" s="314"/>
      <c r="AP19" s="314"/>
      <c r="AQ19" s="314"/>
      <c r="AR19" s="314"/>
      <c r="AS19" s="314"/>
      <c r="AT19" s="314"/>
      <c r="AU19" s="314"/>
      <c r="AV19" s="314"/>
      <c r="AW19" s="314"/>
      <c r="AX19" s="314"/>
      <c r="AY19" s="314"/>
      <c r="AZ19" s="314"/>
      <c r="BA19" s="314"/>
      <c r="BB19" s="314"/>
      <c r="BC19" s="314"/>
      <c r="BD19" s="314"/>
      <c r="BE19" s="314"/>
      <c r="BF19" s="205">
        <f t="shared" si="5"/>
        <v>0</v>
      </c>
      <c r="BG19" s="786">
        <f t="shared" si="6"/>
        <v>0</v>
      </c>
      <c r="BH19" s="786">
        <f t="shared" si="7"/>
        <v>0</v>
      </c>
      <c r="BI19" s="367">
        <f>SUM(BF69:BF79,BF56:BF61)</f>
        <v>449450</v>
      </c>
      <c r="BJ19" s="207" t="s">
        <v>275</v>
      </c>
      <c r="BK19" s="367">
        <f>+BI17+BI23</f>
        <v>491350</v>
      </c>
      <c r="BL19" s="207" t="s">
        <v>276</v>
      </c>
    </row>
    <row r="20" spans="1:64" s="207" customFormat="1" ht="15" customHeight="1">
      <c r="A20" s="285">
        <v>11</v>
      </c>
      <c r="B20" s="208" t="s">
        <v>277</v>
      </c>
      <c r="C20" s="208" t="s">
        <v>64</v>
      </c>
      <c r="D20" s="332">
        <v>50</v>
      </c>
      <c r="E20" s="314">
        <v>0</v>
      </c>
      <c r="F20" s="100">
        <f>SUMIF(pro!$A:$A,INTGRATE!$Y:$Y,pro!$N:$N)</f>
        <v>0</v>
      </c>
      <c r="G20" s="314"/>
      <c r="H20" s="314">
        <f>SUMIF(CBIN!$A:$A,INTGRATE!$Y:$Y,CBIN!$G:$G)</f>
        <v>0</v>
      </c>
      <c r="I20" s="314">
        <f>SUMIF(data!$D:$D,INTGRATE!$B20&amp;INTGRATE!$D20,data!$J:$J)</f>
        <v>0</v>
      </c>
      <c r="J20" s="314"/>
      <c r="K20" s="314"/>
      <c r="L20" s="314">
        <f>SUMIF(data!$D:$D,INTGRATE!$B20&amp;INTGRATE!$D20,data!$K:$K)</f>
        <v>0</v>
      </c>
      <c r="M20" s="314">
        <f>SUMIF(AJOUT!$A:$A,INTGRATE!$Y:$Y,AJOUT!$L:$L)</f>
        <v>0</v>
      </c>
      <c r="N20" s="100">
        <f>SUMIF(CBOUT!$A:$A,INTGRATE!$Y:$Y,CBOUT!$G:$G)</f>
        <v>0</v>
      </c>
      <c r="O20" s="482">
        <f t="shared" si="0"/>
        <v>0</v>
      </c>
      <c r="P20" s="314">
        <f t="shared" si="1"/>
        <v>0</v>
      </c>
      <c r="Q20" s="314">
        <f t="shared" si="2"/>
        <v>0</v>
      </c>
      <c r="R20" s="314"/>
      <c r="S20" s="314"/>
      <c r="T20" s="1181">
        <f t="shared" si="3"/>
        <v>0</v>
      </c>
      <c r="U20" s="875">
        <f t="shared" si="14"/>
        <v>0</v>
      </c>
      <c r="V20" s="876"/>
      <c r="W20" s="345"/>
      <c r="X20" s="206"/>
      <c r="Y20" s="856" t="str">
        <f t="shared" si="4"/>
        <v>510NFP8550</v>
      </c>
      <c r="Z20" s="818">
        <v>11252885</v>
      </c>
      <c r="AA20" s="380"/>
      <c r="AB20" s="380">
        <v>0</v>
      </c>
      <c r="AC20" s="314">
        <v>0</v>
      </c>
      <c r="AD20" s="314">
        <v>0</v>
      </c>
      <c r="AE20" s="314">
        <v>0</v>
      </c>
      <c r="AF20" s="314">
        <v>0</v>
      </c>
      <c r="AG20" s="314">
        <v>0</v>
      </c>
      <c r="AH20" s="314">
        <v>0</v>
      </c>
      <c r="AI20" s="314">
        <v>0</v>
      </c>
      <c r="AJ20" s="314"/>
      <c r="AK20" s="314"/>
      <c r="AL20" s="314"/>
      <c r="AM20" s="314"/>
      <c r="AN20" s="314"/>
      <c r="AO20" s="314"/>
      <c r="AP20" s="314"/>
      <c r="AQ20" s="314"/>
      <c r="AR20" s="314"/>
      <c r="AS20" s="314"/>
      <c r="AT20" s="314"/>
      <c r="AU20" s="314"/>
      <c r="AV20" s="314"/>
      <c r="AW20" s="314"/>
      <c r="AX20" s="314"/>
      <c r="AY20" s="314"/>
      <c r="AZ20" s="314"/>
      <c r="BA20" s="314"/>
      <c r="BB20" s="314"/>
      <c r="BC20" s="314"/>
      <c r="BD20" s="314"/>
      <c r="BE20" s="314"/>
      <c r="BF20" s="205">
        <f t="shared" si="5"/>
        <v>0</v>
      </c>
      <c r="BG20" s="786">
        <f t="shared" si="6"/>
        <v>0</v>
      </c>
      <c r="BH20" s="786">
        <f t="shared" si="7"/>
        <v>0</v>
      </c>
      <c r="BI20" s="367"/>
      <c r="BK20" s="367">
        <f>BI16+BI26</f>
        <v>449450</v>
      </c>
      <c r="BL20" s="207" t="s">
        <v>278</v>
      </c>
    </row>
    <row r="21" spans="1:64" s="207" customFormat="1" ht="15" customHeight="1">
      <c r="A21" s="285">
        <v>12</v>
      </c>
      <c r="B21" s="208" t="s">
        <v>279</v>
      </c>
      <c r="C21" s="208" t="s">
        <v>64</v>
      </c>
      <c r="D21" s="332">
        <v>50</v>
      </c>
      <c r="E21" s="314">
        <v>300</v>
      </c>
      <c r="F21" s="100">
        <f>SUMIF(pro!$A:$A,INTGRATE!$Y:$Y,pro!$N:$N)</f>
        <v>1506</v>
      </c>
      <c r="G21" s="314"/>
      <c r="H21" s="314">
        <f>SUMIF(CBIN!$A:$A,INTGRATE!$Y:$Y,CBIN!$G:$G)</f>
        <v>0</v>
      </c>
      <c r="I21" s="314">
        <f>SUMIF(data!$D:$D,INTGRATE!$B21&amp;INTGRATE!$D21,data!$J:$J)</f>
        <v>0</v>
      </c>
      <c r="J21" s="314"/>
      <c r="K21" s="314"/>
      <c r="L21" s="314">
        <f>SUMIF(data!$D:$D,INTGRATE!$B21&amp;INTGRATE!$D21,data!$K:$K)</f>
        <v>0</v>
      </c>
      <c r="M21" s="314">
        <f>SUMIF(AJOUT!$A:$A,INTGRATE!$Y:$Y,AJOUT!$L:$L)</f>
        <v>0</v>
      </c>
      <c r="N21" s="100">
        <f>SUMIF(CBOUT!$A:$A,INTGRATE!$Y:$Y,CBOUT!$G:$G)</f>
        <v>0</v>
      </c>
      <c r="O21" s="482">
        <f t="shared" si="0"/>
        <v>1806</v>
      </c>
      <c r="P21" s="314">
        <f t="shared" si="1"/>
        <v>90300</v>
      </c>
      <c r="Q21" s="314">
        <f t="shared" si="2"/>
        <v>69250</v>
      </c>
      <c r="R21" s="314"/>
      <c r="S21" s="314"/>
      <c r="T21" s="1181">
        <f t="shared" si="3"/>
        <v>7694.4444444444443</v>
      </c>
      <c r="U21" s="875">
        <f t="shared" si="14"/>
        <v>11.735740072202166</v>
      </c>
      <c r="V21" s="876"/>
      <c r="W21" s="345"/>
      <c r="X21" s="206"/>
      <c r="Y21" s="856" t="str">
        <f t="shared" si="4"/>
        <v>510NFP9250</v>
      </c>
      <c r="Z21" s="818">
        <v>11252892</v>
      </c>
      <c r="AA21" s="380"/>
      <c r="AB21" s="380">
        <v>4000</v>
      </c>
      <c r="AC21" s="314">
        <v>15500</v>
      </c>
      <c r="AD21" s="314">
        <v>19950</v>
      </c>
      <c r="AE21" s="314">
        <v>7300</v>
      </c>
      <c r="AF21" s="314">
        <v>0</v>
      </c>
      <c r="AG21" s="314">
        <v>11750</v>
      </c>
      <c r="AH21" s="314">
        <v>4150</v>
      </c>
      <c r="AI21" s="314">
        <v>6600</v>
      </c>
      <c r="AJ21" s="314"/>
      <c r="AK21" s="314"/>
      <c r="AL21" s="314"/>
      <c r="AM21" s="314"/>
      <c r="AN21" s="314"/>
      <c r="AO21" s="314"/>
      <c r="AP21" s="314"/>
      <c r="AQ21" s="314"/>
      <c r="AR21" s="314"/>
      <c r="AS21" s="314"/>
      <c r="AT21" s="314"/>
      <c r="AU21" s="314"/>
      <c r="AV21" s="314"/>
      <c r="AW21" s="314"/>
      <c r="AX21" s="314"/>
      <c r="AY21" s="314"/>
      <c r="AZ21" s="314"/>
      <c r="BA21" s="314"/>
      <c r="BB21" s="314"/>
      <c r="BC21" s="314"/>
      <c r="BD21" s="314"/>
      <c r="BE21" s="314"/>
      <c r="BF21" s="205">
        <f t="shared" si="5"/>
        <v>69250</v>
      </c>
      <c r="BG21" s="786">
        <f t="shared" si="6"/>
        <v>7</v>
      </c>
      <c r="BH21" s="786">
        <f t="shared" si="7"/>
        <v>9892.8571428571431</v>
      </c>
      <c r="BI21" s="367"/>
    </row>
    <row r="22" spans="1:64" s="207" customFormat="1" ht="15" customHeight="1">
      <c r="A22" s="285">
        <v>13</v>
      </c>
      <c r="B22" s="208" t="s">
        <v>280</v>
      </c>
      <c r="C22" s="208" t="s">
        <v>64</v>
      </c>
      <c r="D22" s="332">
        <v>50</v>
      </c>
      <c r="E22" s="314">
        <v>0</v>
      </c>
      <c r="F22" s="100">
        <f>SUMIF(pro!$A:$A,INTGRATE!$Y:$Y,pro!$N:$N)</f>
        <v>0</v>
      </c>
      <c r="G22" s="314"/>
      <c r="H22" s="314">
        <f>SUMIF(CBIN!$A:$A,INTGRATE!$Y:$Y,CBIN!$G:$G)</f>
        <v>0</v>
      </c>
      <c r="I22" s="314">
        <f>SUMIF(data!$D:$D,INTGRATE!$B22&amp;INTGRATE!$D22,data!$J:$J)</f>
        <v>0</v>
      </c>
      <c r="J22" s="314"/>
      <c r="K22" s="314"/>
      <c r="L22" s="314">
        <f>SUMIF(data!$D:$D,INTGRATE!$B22&amp;INTGRATE!$D22,data!$K:$K)</f>
        <v>0</v>
      </c>
      <c r="M22" s="314">
        <f>SUMIF(AJOUT!$A:$A,INTGRATE!$Y:$Y,AJOUT!$L:$L)</f>
        <v>0</v>
      </c>
      <c r="N22" s="100">
        <f>SUMIF(CBOUT!$A:$A,INTGRATE!$Y:$Y,CBOUT!$G:$G)</f>
        <v>0</v>
      </c>
      <c r="O22" s="482">
        <f t="shared" si="0"/>
        <v>0</v>
      </c>
      <c r="P22" s="314">
        <f t="shared" si="1"/>
        <v>0</v>
      </c>
      <c r="Q22" s="314">
        <f t="shared" si="2"/>
        <v>0</v>
      </c>
      <c r="R22" s="314"/>
      <c r="S22" s="314"/>
      <c r="T22" s="1181">
        <f t="shared" si="3"/>
        <v>0</v>
      </c>
      <c r="U22" s="875">
        <f t="shared" si="14"/>
        <v>0</v>
      </c>
      <c r="V22" s="876"/>
      <c r="W22" s="345"/>
      <c r="X22" s="206"/>
      <c r="Y22" s="856" t="str">
        <f t="shared" si="4"/>
        <v>511AF50</v>
      </c>
      <c r="Z22" s="818" t="s">
        <v>281</v>
      </c>
      <c r="AA22" s="380"/>
      <c r="AB22" s="380">
        <v>0</v>
      </c>
      <c r="AC22" s="314">
        <v>0</v>
      </c>
      <c r="AD22" s="314">
        <v>0</v>
      </c>
      <c r="AE22" s="314">
        <v>0</v>
      </c>
      <c r="AF22" s="314">
        <v>0</v>
      </c>
      <c r="AG22" s="314">
        <v>0</v>
      </c>
      <c r="AH22" s="314">
        <v>0</v>
      </c>
      <c r="AI22" s="314">
        <v>0</v>
      </c>
      <c r="AJ22" s="314"/>
      <c r="AK22" s="314"/>
      <c r="AL22" s="314"/>
      <c r="AM22" s="314"/>
      <c r="AN22" s="314"/>
      <c r="AO22" s="314"/>
      <c r="AP22" s="314"/>
      <c r="AQ22" s="314"/>
      <c r="AR22" s="314"/>
      <c r="AS22" s="314"/>
      <c r="AT22" s="314"/>
      <c r="AU22" s="314"/>
      <c r="AV22" s="314"/>
      <c r="AW22" s="314"/>
      <c r="AX22" s="314"/>
      <c r="AY22" s="314"/>
      <c r="AZ22" s="314"/>
      <c r="BA22" s="314"/>
      <c r="BB22" s="314"/>
      <c r="BC22" s="314"/>
      <c r="BD22" s="314"/>
      <c r="BE22" s="314"/>
      <c r="BF22" s="205">
        <f t="shared" si="5"/>
        <v>0</v>
      </c>
      <c r="BG22" s="786">
        <f t="shared" si="6"/>
        <v>0</v>
      </c>
      <c r="BH22" s="786">
        <f t="shared" si="7"/>
        <v>0</v>
      </c>
    </row>
    <row r="23" spans="1:64" s="207" customFormat="1" ht="15" customHeight="1">
      <c r="A23" s="285">
        <v>14</v>
      </c>
      <c r="B23" s="208" t="s">
        <v>282</v>
      </c>
      <c r="C23" s="208" t="s">
        <v>64</v>
      </c>
      <c r="D23" s="332">
        <v>50</v>
      </c>
      <c r="E23" s="314">
        <v>0</v>
      </c>
      <c r="F23" s="100">
        <f>SUMIF(pro!$A:$A,INTGRATE!$Y:$Y,pro!$N:$N)</f>
        <v>0</v>
      </c>
      <c r="G23" s="314"/>
      <c r="H23" s="314">
        <f>SUMIF(CBIN!$A:$A,INTGRATE!$Y:$Y,CBIN!$G:$G)</f>
        <v>0</v>
      </c>
      <c r="I23" s="314">
        <f>SUMIF(data!$D:$D,INTGRATE!$B23&amp;INTGRATE!$D23,data!$J:$J)</f>
        <v>0</v>
      </c>
      <c r="J23" s="314"/>
      <c r="K23" s="314"/>
      <c r="L23" s="314">
        <f>SUMIF(data!$D:$D,INTGRATE!$B23&amp;INTGRATE!$D23,data!$K:$K)</f>
        <v>0</v>
      </c>
      <c r="M23" s="314">
        <f>SUMIF(AJOUT!$A:$A,INTGRATE!$Y:$Y,AJOUT!$L:$L)</f>
        <v>0</v>
      </c>
      <c r="N23" s="100">
        <f>SUMIF(CBOUT!$A:$A,INTGRATE!$Y:$Y,CBOUT!$G:$G)</f>
        <v>0</v>
      </c>
      <c r="O23" s="482">
        <f t="shared" si="0"/>
        <v>0</v>
      </c>
      <c r="P23" s="314">
        <f t="shared" si="1"/>
        <v>0</v>
      </c>
      <c r="Q23" s="314">
        <f t="shared" si="2"/>
        <v>0</v>
      </c>
      <c r="R23" s="314"/>
      <c r="S23" s="314"/>
      <c r="T23" s="1181">
        <f t="shared" si="3"/>
        <v>0</v>
      </c>
      <c r="U23" s="875">
        <f t="shared" si="14"/>
        <v>0</v>
      </c>
      <c r="V23" s="876"/>
      <c r="W23" s="345"/>
      <c r="X23" s="206"/>
      <c r="Y23" s="856" t="str">
        <f t="shared" si="4"/>
        <v>511ANF50</v>
      </c>
      <c r="Z23" s="818" t="s">
        <v>283</v>
      </c>
      <c r="AA23" s="380"/>
      <c r="AB23" s="380">
        <v>0</v>
      </c>
      <c r="AC23" s="314">
        <v>0</v>
      </c>
      <c r="AD23" s="314">
        <v>0</v>
      </c>
      <c r="AE23" s="314">
        <v>0</v>
      </c>
      <c r="AF23" s="314">
        <v>0</v>
      </c>
      <c r="AG23" s="314">
        <v>0</v>
      </c>
      <c r="AH23" s="314">
        <v>0</v>
      </c>
      <c r="AI23" s="314">
        <v>0</v>
      </c>
      <c r="AJ23" s="314"/>
      <c r="AK23" s="314"/>
      <c r="AL23" s="314"/>
      <c r="AM23" s="314"/>
      <c r="AN23" s="314"/>
      <c r="AO23" s="314"/>
      <c r="AP23" s="314"/>
      <c r="AQ23" s="314"/>
      <c r="AR23" s="314"/>
      <c r="AS23" s="314"/>
      <c r="AT23" s="314"/>
      <c r="AU23" s="314"/>
      <c r="AV23" s="314"/>
      <c r="AW23" s="314"/>
      <c r="AX23" s="314"/>
      <c r="AY23" s="314"/>
      <c r="AZ23" s="314"/>
      <c r="BA23" s="314"/>
      <c r="BB23" s="314"/>
      <c r="BC23" s="314"/>
      <c r="BD23" s="314"/>
      <c r="BE23" s="314"/>
      <c r="BF23" s="205">
        <f t="shared" si="5"/>
        <v>0</v>
      </c>
      <c r="BG23" s="786">
        <f t="shared" si="6"/>
        <v>0</v>
      </c>
      <c r="BH23" s="786">
        <f t="shared" si="7"/>
        <v>0</v>
      </c>
      <c r="BI23" s="367">
        <f>+SUM(BF10:BF55,BF62:BF68)</f>
        <v>491350</v>
      </c>
      <c r="BJ23" s="207" t="s">
        <v>284</v>
      </c>
    </row>
    <row r="24" spans="1:64" s="207" customFormat="1" ht="15" customHeight="1">
      <c r="A24" s="285">
        <v>15</v>
      </c>
      <c r="B24" s="208" t="s">
        <v>285</v>
      </c>
      <c r="C24" s="208" t="s">
        <v>64</v>
      </c>
      <c r="D24" s="332">
        <v>50</v>
      </c>
      <c r="E24" s="314">
        <v>0</v>
      </c>
      <c r="F24" s="100">
        <f>SUMIF(pro!$A:$A,INTGRATE!$Y:$Y,pro!$N:$N)</f>
        <v>0</v>
      </c>
      <c r="G24" s="314"/>
      <c r="H24" s="314">
        <f>SUMIF(CBIN!$A:$A,INTGRATE!$Y:$Y,CBIN!$G:$G)</f>
        <v>0</v>
      </c>
      <c r="I24" s="314">
        <f>SUMIF(data!$D:$D,INTGRATE!$B24&amp;INTGRATE!$D24,data!$J:$J)</f>
        <v>0</v>
      </c>
      <c r="J24" s="314"/>
      <c r="K24" s="314"/>
      <c r="L24" s="314">
        <f>SUMIF(data!$D:$D,INTGRATE!$B24&amp;INTGRATE!$D24,data!$K:$K)</f>
        <v>0</v>
      </c>
      <c r="M24" s="314">
        <f>SUMIF(AJOUT!$A:$A,INTGRATE!$Y:$Y,AJOUT!$L:$L)</f>
        <v>0</v>
      </c>
      <c r="N24" s="100">
        <f>SUMIF(CBOUT!$A:$A,INTGRATE!$Y:$Y,CBOUT!$G:$G)</f>
        <v>0</v>
      </c>
      <c r="O24" s="482">
        <f t="shared" ref="O24:O29" si="15">E24+F24+H24-I24-N24+G24-M24</f>
        <v>0</v>
      </c>
      <c r="P24" s="314">
        <f t="shared" si="1"/>
        <v>0</v>
      </c>
      <c r="Q24" s="314">
        <f>SUM(AA24:BE24)</f>
        <v>0</v>
      </c>
      <c r="R24" s="314"/>
      <c r="S24" s="314"/>
      <c r="T24" s="1181">
        <f t="shared" si="3"/>
        <v>0</v>
      </c>
      <c r="U24" s="875">
        <f t="shared" si="14"/>
        <v>0</v>
      </c>
      <c r="V24" s="876"/>
      <c r="W24" s="345"/>
      <c r="X24" s="206"/>
      <c r="Y24" s="856" t="str">
        <f t="shared" si="4"/>
        <v>511ANFTL350</v>
      </c>
      <c r="Z24" s="818">
        <v>113591</v>
      </c>
      <c r="AA24" s="380"/>
      <c r="AB24" s="380">
        <v>0</v>
      </c>
      <c r="AC24" s="314">
        <v>0</v>
      </c>
      <c r="AD24" s="314">
        <v>0</v>
      </c>
      <c r="AE24" s="314">
        <v>0</v>
      </c>
      <c r="AF24" s="314">
        <v>0</v>
      </c>
      <c r="AG24" s="314">
        <v>0</v>
      </c>
      <c r="AH24" s="314">
        <v>0</v>
      </c>
      <c r="AI24" s="314">
        <v>0</v>
      </c>
      <c r="AJ24" s="314"/>
      <c r="AK24" s="314"/>
      <c r="AL24" s="314"/>
      <c r="AM24" s="314"/>
      <c r="AN24" s="314"/>
      <c r="AO24" s="314"/>
      <c r="AP24" s="314"/>
      <c r="AQ24" s="314"/>
      <c r="AR24" s="314"/>
      <c r="AS24" s="314"/>
      <c r="AT24" s="314"/>
      <c r="AU24" s="314"/>
      <c r="AV24" s="314"/>
      <c r="AW24" s="314"/>
      <c r="AX24" s="314"/>
      <c r="AY24" s="314"/>
      <c r="AZ24" s="314"/>
      <c r="BA24" s="314"/>
      <c r="BB24" s="314"/>
      <c r="BC24" s="314"/>
      <c r="BD24" s="314"/>
      <c r="BE24" s="314"/>
      <c r="BF24" s="205">
        <f t="shared" si="5"/>
        <v>0</v>
      </c>
      <c r="BG24" s="786">
        <f t="shared" si="6"/>
        <v>0</v>
      </c>
      <c r="BH24" s="786">
        <f t="shared" si="7"/>
        <v>0</v>
      </c>
      <c r="BI24" s="367"/>
    </row>
    <row r="25" spans="1:64" s="207" customFormat="1" ht="15" customHeight="1">
      <c r="A25" s="285">
        <v>16</v>
      </c>
      <c r="B25" s="208" t="s">
        <v>286</v>
      </c>
      <c r="C25" s="208" t="s">
        <v>64</v>
      </c>
      <c r="D25" s="332">
        <v>50</v>
      </c>
      <c r="E25" s="314">
        <v>0</v>
      </c>
      <c r="F25" s="100">
        <f>SUMIF(pro!$A:$A,INTGRATE!$Y:$Y,pro!$N:$N)</f>
        <v>0</v>
      </c>
      <c r="G25" s="314"/>
      <c r="H25" s="314">
        <f>SUMIF(CBIN!$A:$A,INTGRATE!$Y:$Y,CBIN!$G:$G)</f>
        <v>0</v>
      </c>
      <c r="I25" s="314">
        <f>SUMIF(data!$D:$D,INTGRATE!$B25&amp;INTGRATE!$D25,data!$J:$J)</f>
        <v>0</v>
      </c>
      <c r="J25" s="314"/>
      <c r="K25" s="314"/>
      <c r="L25" s="314">
        <f>SUMIF(data!$D:$D,INTGRATE!$B25&amp;INTGRATE!$D25,data!$K:$K)</f>
        <v>0</v>
      </c>
      <c r="M25" s="314">
        <f>SUMIF(AJOUT!$A:$A,INTGRATE!$Y:$Y,AJOUT!$L:$L)</f>
        <v>0</v>
      </c>
      <c r="N25" s="100">
        <f>SUMIF(CBOUT!$A:$A,INTGRATE!$Y:$Y,CBOUT!$G:$G)</f>
        <v>0</v>
      </c>
      <c r="O25" s="482">
        <f t="shared" si="15"/>
        <v>0</v>
      </c>
      <c r="P25" s="314">
        <f>O25*D25</f>
        <v>0</v>
      </c>
      <c r="Q25" s="314">
        <f>SUM(AA25:BE25)</f>
        <v>0</v>
      </c>
      <c r="R25" s="314"/>
      <c r="S25" s="314"/>
      <c r="T25" s="1181">
        <f t="shared" si="3"/>
        <v>0</v>
      </c>
      <c r="U25" s="875">
        <f>IF(T25=0,0,P25/T25)</f>
        <v>0</v>
      </c>
      <c r="V25" s="876"/>
      <c r="W25" s="345"/>
      <c r="X25" s="206"/>
      <c r="Y25" s="856" t="str">
        <f t="shared" si="4"/>
        <v>511ANFTL3P1250</v>
      </c>
      <c r="Z25" s="818">
        <v>11359812</v>
      </c>
      <c r="AA25" s="380"/>
      <c r="AB25" s="380">
        <v>0</v>
      </c>
      <c r="AC25" s="314">
        <v>0</v>
      </c>
      <c r="AD25" s="314">
        <v>0</v>
      </c>
      <c r="AE25" s="314">
        <v>0</v>
      </c>
      <c r="AF25" s="314">
        <v>0</v>
      </c>
      <c r="AG25" s="314">
        <v>0</v>
      </c>
      <c r="AH25" s="314">
        <v>0</v>
      </c>
      <c r="AI25" s="314">
        <v>0</v>
      </c>
      <c r="AJ25" s="314"/>
      <c r="AK25" s="314"/>
      <c r="AL25" s="314"/>
      <c r="AM25" s="314"/>
      <c r="AN25" s="314"/>
      <c r="AO25" s="314"/>
      <c r="AP25" s="314"/>
      <c r="AQ25" s="314"/>
      <c r="AR25" s="314"/>
      <c r="AS25" s="314"/>
      <c r="AT25" s="314"/>
      <c r="AU25" s="314"/>
      <c r="AV25" s="314"/>
      <c r="AW25" s="314"/>
      <c r="AX25" s="314"/>
      <c r="AY25" s="314"/>
      <c r="AZ25" s="314"/>
      <c r="BA25" s="314"/>
      <c r="BB25" s="314"/>
      <c r="BC25" s="314"/>
      <c r="BD25" s="314"/>
      <c r="BE25" s="314"/>
      <c r="BF25" s="205">
        <f t="shared" si="5"/>
        <v>0</v>
      </c>
      <c r="BG25" s="786">
        <f t="shared" si="6"/>
        <v>0</v>
      </c>
      <c r="BH25" s="786">
        <f t="shared" si="7"/>
        <v>0</v>
      </c>
      <c r="BI25" s="367"/>
    </row>
    <row r="26" spans="1:64" s="207" customFormat="1" ht="14.25" customHeight="1">
      <c r="A26" s="285">
        <v>17</v>
      </c>
      <c r="B26" s="208" t="s">
        <v>287</v>
      </c>
      <c r="C26" s="208" t="s">
        <v>64</v>
      </c>
      <c r="D26" s="332">
        <v>50</v>
      </c>
      <c r="E26" s="314">
        <v>0</v>
      </c>
      <c r="F26" s="100">
        <f>SUMIF(pro!$A:$A,INTGRATE!$Y:$Y,pro!$N:$N)</f>
        <v>0</v>
      </c>
      <c r="G26" s="314"/>
      <c r="H26" s="314">
        <f>SUMIF(CBIN!$A:$A,INTGRATE!$Y:$Y,CBIN!$G:$G)</f>
        <v>0</v>
      </c>
      <c r="I26" s="314">
        <f>SUMIF(data!$D:$D,INTGRATE!$B26&amp;INTGRATE!$D26,data!$J:$J)</f>
        <v>0</v>
      </c>
      <c r="J26" s="314"/>
      <c r="K26" s="314"/>
      <c r="L26" s="314">
        <f>SUMIF(data!$D:$D,INTGRATE!$B26&amp;INTGRATE!$D26,data!$K:$K)</f>
        <v>0</v>
      </c>
      <c r="M26" s="314">
        <f>SUMIF(AJOUT!$A:$A,INTGRATE!$Y:$Y,AJOUT!$L:$L)</f>
        <v>0</v>
      </c>
      <c r="N26" s="100">
        <f>SUMIF(CBOUT!$A:$A,INTGRATE!$Y:$Y,CBOUT!$G:$G)</f>
        <v>0</v>
      </c>
      <c r="O26" s="482">
        <f t="shared" si="15"/>
        <v>0</v>
      </c>
      <c r="P26" s="314">
        <f t="shared" si="1"/>
        <v>0</v>
      </c>
      <c r="Q26" s="314">
        <f t="shared" si="2"/>
        <v>0</v>
      </c>
      <c r="R26" s="314"/>
      <c r="S26" s="314"/>
      <c r="T26" s="1181">
        <f t="shared" si="3"/>
        <v>0</v>
      </c>
      <c r="U26" s="875">
        <f t="shared" ref="U26:U35" si="16">IF(T26=0,0,P26/T26)</f>
        <v>0</v>
      </c>
      <c r="V26" s="876"/>
      <c r="W26" s="345"/>
      <c r="X26" s="206"/>
      <c r="Y26" s="856" t="str">
        <f t="shared" si="4"/>
        <v>511ANFP1250</v>
      </c>
      <c r="Z26" s="818">
        <v>11352812</v>
      </c>
      <c r="AA26" s="380"/>
      <c r="AB26" s="380">
        <v>0</v>
      </c>
      <c r="AC26" s="314">
        <v>0</v>
      </c>
      <c r="AD26" s="314">
        <v>0</v>
      </c>
      <c r="AE26" s="314">
        <v>0</v>
      </c>
      <c r="AF26" s="314">
        <v>0</v>
      </c>
      <c r="AG26" s="314">
        <v>0</v>
      </c>
      <c r="AH26" s="314">
        <v>0</v>
      </c>
      <c r="AI26" s="314">
        <v>0</v>
      </c>
      <c r="AJ26" s="314"/>
      <c r="AK26" s="314"/>
      <c r="AL26" s="314"/>
      <c r="AM26" s="314"/>
      <c r="AN26" s="314"/>
      <c r="AO26" s="314"/>
      <c r="AP26" s="314"/>
      <c r="AQ26" s="314"/>
      <c r="AR26" s="314"/>
      <c r="AS26" s="314"/>
      <c r="AT26" s="314"/>
      <c r="AU26" s="314"/>
      <c r="AV26" s="314"/>
      <c r="AW26" s="314"/>
      <c r="AX26" s="314"/>
      <c r="AY26" s="314"/>
      <c r="AZ26" s="314"/>
      <c r="BA26" s="314"/>
      <c r="BB26" s="314"/>
      <c r="BC26" s="314"/>
      <c r="BD26" s="314"/>
      <c r="BE26" s="314"/>
      <c r="BF26" s="205">
        <f t="shared" si="5"/>
        <v>0</v>
      </c>
      <c r="BG26" s="786">
        <f t="shared" si="6"/>
        <v>0</v>
      </c>
      <c r="BH26" s="786">
        <f t="shared" si="7"/>
        <v>0</v>
      </c>
      <c r="BI26" s="367">
        <f>+SUM(BF56:BF61,BF69:BF73)</f>
        <v>315850</v>
      </c>
      <c r="BJ26" s="207" t="s">
        <v>288</v>
      </c>
    </row>
    <row r="27" spans="1:64" s="207" customFormat="1" ht="15" customHeight="1">
      <c r="A27" s="285">
        <v>18</v>
      </c>
      <c r="B27" s="208" t="s">
        <v>289</v>
      </c>
      <c r="C27" s="208" t="s">
        <v>64</v>
      </c>
      <c r="D27" s="332">
        <v>50</v>
      </c>
      <c r="E27" s="314">
        <v>0</v>
      </c>
      <c r="F27" s="100">
        <f>SUMIF(pro!$A:$A,INTGRATE!$Y:$Y,pro!$N:$N)</f>
        <v>0</v>
      </c>
      <c r="G27" s="314"/>
      <c r="H27" s="314">
        <f>SUMIF(CBIN!$A:$A,INTGRATE!$Y:$Y,CBIN!$G:$G)</f>
        <v>0</v>
      </c>
      <c r="I27" s="314">
        <f>SUMIF(data!$D:$D,INTGRATE!$B27&amp;INTGRATE!$D27,data!$J:$J)</f>
        <v>0</v>
      </c>
      <c r="J27" s="314"/>
      <c r="K27" s="314"/>
      <c r="L27" s="314">
        <f>SUMIF(data!$D:$D,INTGRATE!$B27&amp;INTGRATE!$D27,data!$K:$K)</f>
        <v>0</v>
      </c>
      <c r="M27" s="314">
        <f>SUMIF(AJOUT!$A:$A,INTGRATE!$Y:$Y,AJOUT!$L:$L)</f>
        <v>0</v>
      </c>
      <c r="N27" s="100">
        <f>SUMIF(CBOUT!$A:$A,INTGRATE!$Y:$Y,CBOUT!$G:$G)</f>
        <v>0</v>
      </c>
      <c r="O27" s="482">
        <f t="shared" si="15"/>
        <v>0</v>
      </c>
      <c r="P27" s="314">
        <f t="shared" si="1"/>
        <v>0</v>
      </c>
      <c r="Q27" s="314">
        <f t="shared" si="2"/>
        <v>0</v>
      </c>
      <c r="R27" s="314"/>
      <c r="S27" s="314"/>
      <c r="T27" s="1181">
        <f t="shared" si="3"/>
        <v>0</v>
      </c>
      <c r="U27" s="875">
        <f t="shared" si="16"/>
        <v>0</v>
      </c>
      <c r="V27" s="876"/>
      <c r="W27" s="345"/>
      <c r="X27" s="206"/>
      <c r="Y27" s="856" t="str">
        <f t="shared" si="4"/>
        <v>511ANFP3550</v>
      </c>
      <c r="Z27" s="818">
        <v>11352835</v>
      </c>
      <c r="AA27" s="380"/>
      <c r="AB27" s="380">
        <v>0</v>
      </c>
      <c r="AC27" s="314">
        <v>0</v>
      </c>
      <c r="AD27" s="314">
        <v>0</v>
      </c>
      <c r="AE27" s="314">
        <v>0</v>
      </c>
      <c r="AF27" s="314">
        <v>0</v>
      </c>
      <c r="AG27" s="314">
        <v>0</v>
      </c>
      <c r="AH27" s="314">
        <v>0</v>
      </c>
      <c r="AI27" s="314">
        <v>0</v>
      </c>
      <c r="AJ27" s="314"/>
      <c r="AK27" s="314"/>
      <c r="AL27" s="314"/>
      <c r="AM27" s="314"/>
      <c r="AN27" s="314"/>
      <c r="AO27" s="314"/>
      <c r="AP27" s="314"/>
      <c r="AQ27" s="314"/>
      <c r="AR27" s="314"/>
      <c r="AS27" s="314"/>
      <c r="AT27" s="314"/>
      <c r="AU27" s="314"/>
      <c r="AV27" s="314"/>
      <c r="AW27" s="314"/>
      <c r="AX27" s="314"/>
      <c r="AY27" s="314"/>
      <c r="AZ27" s="314"/>
      <c r="BA27" s="314"/>
      <c r="BB27" s="314"/>
      <c r="BC27" s="314"/>
      <c r="BD27" s="314"/>
      <c r="BE27" s="314"/>
      <c r="BF27" s="205">
        <f t="shared" si="5"/>
        <v>0</v>
      </c>
      <c r="BG27" s="786">
        <f t="shared" si="6"/>
        <v>0</v>
      </c>
      <c r="BH27" s="786">
        <f t="shared" si="7"/>
        <v>0</v>
      </c>
    </row>
    <row r="28" spans="1:64" s="207" customFormat="1" ht="15" customHeight="1">
      <c r="A28" s="285">
        <v>19</v>
      </c>
      <c r="B28" s="208" t="s">
        <v>290</v>
      </c>
      <c r="C28" s="208" t="s">
        <v>64</v>
      </c>
      <c r="D28" s="332">
        <v>50</v>
      </c>
      <c r="E28" s="314">
        <v>0</v>
      </c>
      <c r="F28" s="100">
        <f>SUMIF(pro!$A:$A,INTGRATE!$Y:$Y,pro!$N:$N)</f>
        <v>0</v>
      </c>
      <c r="G28" s="314"/>
      <c r="H28" s="314">
        <f>SUMIF(CBIN!$A:$A,INTGRATE!$Y:$Y,CBIN!$G:$G)</f>
        <v>0</v>
      </c>
      <c r="I28" s="314">
        <f>SUMIF(data!$D:$D,INTGRATE!$B28&amp;INTGRATE!$D28,data!$J:$J)</f>
        <v>0</v>
      </c>
      <c r="J28" s="314"/>
      <c r="K28" s="314"/>
      <c r="L28" s="314">
        <f>SUMIF(data!$D:$D,INTGRATE!$B28&amp;INTGRATE!$D28,data!$K:$K)</f>
        <v>0</v>
      </c>
      <c r="M28" s="314">
        <f>SUMIF(AJOUT!$A:$A,INTGRATE!$Y:$Y,AJOUT!$L:$L)</f>
        <v>0</v>
      </c>
      <c r="N28" s="100">
        <f>SUMIF(CBOUT!$A:$A,INTGRATE!$Y:$Y,CBOUT!$G:$G)</f>
        <v>0</v>
      </c>
      <c r="O28" s="482">
        <f t="shared" si="15"/>
        <v>0</v>
      </c>
      <c r="P28" s="314">
        <f t="shared" si="1"/>
        <v>0</v>
      </c>
      <c r="Q28" s="314">
        <f>SUM(AA28:BE28)</f>
        <v>0</v>
      </c>
      <c r="R28" s="314"/>
      <c r="S28" s="314"/>
      <c r="T28" s="1181">
        <f t="shared" si="3"/>
        <v>0</v>
      </c>
      <c r="U28" s="875">
        <f t="shared" si="16"/>
        <v>0</v>
      </c>
      <c r="V28" s="876"/>
      <c r="W28" s="345"/>
      <c r="X28" s="206"/>
      <c r="Y28" s="856" t="str">
        <f>B28&amp;D28</f>
        <v>511ANFP8150</v>
      </c>
      <c r="Z28" s="818">
        <v>11352881</v>
      </c>
      <c r="AA28" s="380"/>
      <c r="AB28" s="380">
        <v>0</v>
      </c>
      <c r="AC28" s="314">
        <v>0</v>
      </c>
      <c r="AD28" s="314">
        <v>0</v>
      </c>
      <c r="AE28" s="314">
        <v>0</v>
      </c>
      <c r="AF28" s="314">
        <v>0</v>
      </c>
      <c r="AG28" s="314">
        <v>0</v>
      </c>
      <c r="AH28" s="314">
        <v>0</v>
      </c>
      <c r="AI28" s="314">
        <v>0</v>
      </c>
      <c r="AJ28" s="314"/>
      <c r="AK28" s="314"/>
      <c r="AL28" s="314"/>
      <c r="AM28" s="314"/>
      <c r="AN28" s="314"/>
      <c r="AO28" s="314"/>
      <c r="AP28" s="314"/>
      <c r="AQ28" s="314"/>
      <c r="AR28" s="314"/>
      <c r="AS28" s="314"/>
      <c r="AT28" s="314"/>
      <c r="AU28" s="314"/>
      <c r="AV28" s="314"/>
      <c r="AW28" s="314"/>
      <c r="AX28" s="314"/>
      <c r="AY28" s="314"/>
      <c r="AZ28" s="314"/>
      <c r="BA28" s="314"/>
      <c r="BB28" s="314"/>
      <c r="BC28" s="314"/>
      <c r="BD28" s="314"/>
      <c r="BE28" s="314"/>
      <c r="BF28" s="205">
        <f t="shared" si="5"/>
        <v>0</v>
      </c>
      <c r="BG28" s="786">
        <f t="shared" si="6"/>
        <v>0</v>
      </c>
      <c r="BH28" s="786">
        <f t="shared" si="7"/>
        <v>0</v>
      </c>
    </row>
    <row r="29" spans="1:64" s="207" customFormat="1" ht="15" customHeight="1">
      <c r="A29" s="285">
        <v>20</v>
      </c>
      <c r="B29" s="208" t="s">
        <v>291</v>
      </c>
      <c r="C29" s="208" t="s">
        <v>64</v>
      </c>
      <c r="D29" s="332">
        <v>50</v>
      </c>
      <c r="E29" s="314">
        <v>0</v>
      </c>
      <c r="F29" s="100">
        <f>SUMIF(pro!$A:$A,INTGRATE!$Y:$Y,pro!$N:$N)</f>
        <v>0</v>
      </c>
      <c r="G29" s="314"/>
      <c r="H29" s="314">
        <f>SUMIF(CBIN!$A:$A,INTGRATE!$Y:$Y,CBIN!$G:$G)</f>
        <v>0</v>
      </c>
      <c r="I29" s="314">
        <f>SUMIF(data!$D:$D,INTGRATE!$B29&amp;INTGRATE!$D29,data!$J:$J)</f>
        <v>0</v>
      </c>
      <c r="J29" s="314"/>
      <c r="K29" s="314"/>
      <c r="L29" s="314">
        <f>SUMIF(data!$D:$D,INTGRATE!$B29&amp;INTGRATE!$D29,data!$K:$K)</f>
        <v>0</v>
      </c>
      <c r="M29" s="314">
        <f>SUMIF(AJOUT!$A:$A,INTGRATE!$Y:$Y,AJOUT!$L:$L)</f>
        <v>0</v>
      </c>
      <c r="N29" s="100">
        <f>SUMIF(CBOUT!$A:$A,INTGRATE!$Y:$Y,CBOUT!$G:$G)</f>
        <v>0</v>
      </c>
      <c r="O29" s="482">
        <f t="shared" si="15"/>
        <v>0</v>
      </c>
      <c r="P29" s="314">
        <f t="shared" si="1"/>
        <v>0</v>
      </c>
      <c r="Q29" s="314">
        <f t="shared" si="2"/>
        <v>0</v>
      </c>
      <c r="R29" s="314"/>
      <c r="S29" s="314"/>
      <c r="T29" s="1181">
        <f t="shared" si="3"/>
        <v>0</v>
      </c>
      <c r="U29" s="875">
        <f t="shared" si="16"/>
        <v>0</v>
      </c>
      <c r="V29" s="876"/>
      <c r="W29" s="345"/>
      <c r="X29" s="206"/>
      <c r="Y29" s="856" t="str">
        <f t="shared" si="4"/>
        <v>511ANFP8750</v>
      </c>
      <c r="Z29" s="818">
        <v>11352887</v>
      </c>
      <c r="AA29" s="380"/>
      <c r="AB29" s="380">
        <v>0</v>
      </c>
      <c r="AC29" s="314">
        <v>0</v>
      </c>
      <c r="AD29" s="314">
        <v>0</v>
      </c>
      <c r="AE29" s="314">
        <v>0</v>
      </c>
      <c r="AF29" s="314">
        <v>0</v>
      </c>
      <c r="AG29" s="314">
        <v>0</v>
      </c>
      <c r="AH29" s="314">
        <v>0</v>
      </c>
      <c r="AI29" s="314">
        <v>0</v>
      </c>
      <c r="AJ29" s="314"/>
      <c r="AK29" s="314"/>
      <c r="AL29" s="314"/>
      <c r="AM29" s="314"/>
      <c r="AN29" s="314"/>
      <c r="AO29" s="314"/>
      <c r="AP29" s="314"/>
      <c r="AQ29" s="314"/>
      <c r="AR29" s="314"/>
      <c r="AS29" s="314"/>
      <c r="AT29" s="314"/>
      <c r="AU29" s="314"/>
      <c r="AV29" s="314"/>
      <c r="AW29" s="314"/>
      <c r="AX29" s="314"/>
      <c r="AY29" s="314"/>
      <c r="AZ29" s="314"/>
      <c r="BA29" s="314"/>
      <c r="BB29" s="314"/>
      <c r="BC29" s="314"/>
      <c r="BD29" s="314"/>
      <c r="BE29" s="314"/>
      <c r="BF29" s="205">
        <f t="shared" si="5"/>
        <v>0</v>
      </c>
      <c r="BG29" s="786">
        <f t="shared" si="6"/>
        <v>0</v>
      </c>
      <c r="BH29" s="786">
        <f t="shared" si="7"/>
        <v>0</v>
      </c>
      <c r="BK29" s="367"/>
    </row>
    <row r="30" spans="1:64" s="207" customFormat="1" ht="15" customHeight="1">
      <c r="A30" s="285">
        <v>21</v>
      </c>
      <c r="B30" s="208" t="s">
        <v>292</v>
      </c>
      <c r="C30" s="208" t="s">
        <v>64</v>
      </c>
      <c r="D30" s="332">
        <v>50</v>
      </c>
      <c r="E30" s="314">
        <v>0</v>
      </c>
      <c r="F30" s="100">
        <f>SUMIF(pro!$A:$A,INTGRATE!$Y:$Y,pro!$N:$N)</f>
        <v>0</v>
      </c>
      <c r="G30" s="314"/>
      <c r="H30" s="314">
        <f>SUMIF(CBIN!$A:$A,INTGRATE!$Y:$Y,CBIN!$G:$G)</f>
        <v>0</v>
      </c>
      <c r="I30" s="314">
        <f>SUMIF(data!$D:$D,INTGRATE!$B30&amp;INTGRATE!$D30,data!$J:$J)</f>
        <v>0</v>
      </c>
      <c r="J30" s="314"/>
      <c r="K30" s="314"/>
      <c r="L30" s="314">
        <f>SUMIF(data!$D:$D,INTGRATE!$B30&amp;INTGRATE!$D30,data!$K:$K)</f>
        <v>0</v>
      </c>
      <c r="M30" s="314">
        <f>SUMIF(AJOUT!$A:$A,INTGRATE!$Y:$Y,AJOUT!$L:$L)</f>
        <v>0</v>
      </c>
      <c r="N30" s="100">
        <f>SUMIF(CBOUT!$A:$A,INTGRATE!$Y:$Y,CBOUT!$G:$G)</f>
        <v>0</v>
      </c>
      <c r="O30" s="482">
        <f t="shared" ref="O30:O63" si="17">E30+F30+H30-I30-N30+G30-M30</f>
        <v>0</v>
      </c>
      <c r="P30" s="314">
        <f t="shared" si="1"/>
        <v>0</v>
      </c>
      <c r="Q30" s="314">
        <f t="shared" si="2"/>
        <v>0</v>
      </c>
      <c r="R30" s="314"/>
      <c r="S30" s="314"/>
      <c r="T30" s="1181">
        <f t="shared" si="3"/>
        <v>0</v>
      </c>
      <c r="U30" s="875">
        <f t="shared" si="16"/>
        <v>0</v>
      </c>
      <c r="V30" s="876"/>
      <c r="W30" s="345"/>
      <c r="X30" s="206"/>
      <c r="Y30" s="856" t="str">
        <f t="shared" si="4"/>
        <v>511ANFP8850</v>
      </c>
      <c r="Z30" s="818">
        <v>11352888</v>
      </c>
      <c r="AA30" s="380"/>
      <c r="AB30" s="380">
        <v>0</v>
      </c>
      <c r="AC30" s="314">
        <v>0</v>
      </c>
      <c r="AD30" s="314">
        <v>0</v>
      </c>
      <c r="AE30" s="314">
        <v>0</v>
      </c>
      <c r="AF30" s="314">
        <v>0</v>
      </c>
      <c r="AG30" s="314">
        <v>0</v>
      </c>
      <c r="AH30" s="314">
        <v>0</v>
      </c>
      <c r="AI30" s="314">
        <v>0</v>
      </c>
      <c r="AJ30" s="314"/>
      <c r="AK30" s="314"/>
      <c r="AL30" s="314"/>
      <c r="AM30" s="314"/>
      <c r="AN30" s="314"/>
      <c r="AO30" s="314"/>
      <c r="AP30" s="314"/>
      <c r="AQ30" s="314"/>
      <c r="AR30" s="314"/>
      <c r="AS30" s="314"/>
      <c r="AT30" s="314"/>
      <c r="AU30" s="314"/>
      <c r="AV30" s="314"/>
      <c r="AW30" s="314"/>
      <c r="AX30" s="314"/>
      <c r="AY30" s="314"/>
      <c r="AZ30" s="314"/>
      <c r="BA30" s="314"/>
      <c r="BB30" s="314"/>
      <c r="BC30" s="314"/>
      <c r="BD30" s="314"/>
      <c r="BE30" s="314"/>
      <c r="BF30" s="205">
        <f t="shared" si="5"/>
        <v>0</v>
      </c>
      <c r="BG30" s="786">
        <f t="shared" si="6"/>
        <v>0</v>
      </c>
      <c r="BH30" s="786">
        <f t="shared" si="7"/>
        <v>0</v>
      </c>
    </row>
    <row r="31" spans="1:64" s="207" customFormat="1" ht="15" customHeight="1">
      <c r="A31" s="285">
        <v>22</v>
      </c>
      <c r="B31" s="208" t="s">
        <v>293</v>
      </c>
      <c r="C31" s="208" t="s">
        <v>64</v>
      </c>
      <c r="D31" s="332">
        <v>50</v>
      </c>
      <c r="E31" s="314">
        <v>0</v>
      </c>
      <c r="F31" s="100">
        <f>SUMIF(pro!$A:$A,INTGRATE!$Y:$Y,pro!$N:$N)</f>
        <v>0</v>
      </c>
      <c r="G31" s="314"/>
      <c r="H31" s="314">
        <f>SUMIF(CBIN!$A:$A,INTGRATE!$Y:$Y,CBIN!$G:$G)</f>
        <v>0</v>
      </c>
      <c r="I31" s="314">
        <f>SUMIF(data!$D:$D,INTGRATE!$B31&amp;INTGRATE!$D31,data!$J:$J)</f>
        <v>0</v>
      </c>
      <c r="J31" s="314"/>
      <c r="K31" s="314"/>
      <c r="L31" s="314">
        <f>SUMIF(data!$D:$D,INTGRATE!$B31&amp;INTGRATE!$D31,data!$K:$K)</f>
        <v>0</v>
      </c>
      <c r="M31" s="314">
        <f>SUMIF(AJOUT!$A:$A,INTGRATE!$Y:$Y,AJOUT!$L:$L)</f>
        <v>0</v>
      </c>
      <c r="N31" s="100">
        <f>SUMIF(CBOUT!$A:$A,INTGRATE!$Y:$Y,CBOUT!$G:$G)</f>
        <v>0</v>
      </c>
      <c r="O31" s="482">
        <f t="shared" si="17"/>
        <v>0</v>
      </c>
      <c r="P31" s="314">
        <f t="shared" si="1"/>
        <v>0</v>
      </c>
      <c r="Q31" s="314">
        <f t="shared" si="2"/>
        <v>0</v>
      </c>
      <c r="R31" s="314"/>
      <c r="S31" s="314"/>
      <c r="T31" s="1181">
        <f t="shared" si="3"/>
        <v>0</v>
      </c>
      <c r="U31" s="875">
        <f t="shared" si="16"/>
        <v>0</v>
      </c>
      <c r="V31" s="876"/>
      <c r="W31" s="345"/>
      <c r="X31" s="206"/>
      <c r="Y31" s="856" t="str">
        <f t="shared" si="4"/>
        <v>511ANFP8950</v>
      </c>
      <c r="Z31" s="818">
        <v>11352889</v>
      </c>
      <c r="AA31" s="380"/>
      <c r="AB31" s="380">
        <v>0</v>
      </c>
      <c r="AC31" s="314">
        <v>0</v>
      </c>
      <c r="AD31" s="314">
        <v>0</v>
      </c>
      <c r="AE31" s="314">
        <v>0</v>
      </c>
      <c r="AF31" s="314">
        <v>0</v>
      </c>
      <c r="AG31" s="314">
        <v>0</v>
      </c>
      <c r="AH31" s="314">
        <v>0</v>
      </c>
      <c r="AI31" s="314">
        <v>0</v>
      </c>
      <c r="AJ31" s="314"/>
      <c r="AK31" s="314"/>
      <c r="AL31" s="314"/>
      <c r="AM31" s="314"/>
      <c r="AN31" s="314"/>
      <c r="AO31" s="314"/>
      <c r="AP31" s="314"/>
      <c r="AQ31" s="314"/>
      <c r="AR31" s="314"/>
      <c r="AS31" s="314"/>
      <c r="AT31" s="314"/>
      <c r="AU31" s="314"/>
      <c r="AV31" s="314"/>
      <c r="AW31" s="314"/>
      <c r="AX31" s="314"/>
      <c r="AY31" s="314"/>
      <c r="AZ31" s="314"/>
      <c r="BA31" s="314"/>
      <c r="BB31" s="314"/>
      <c r="BC31" s="314"/>
      <c r="BD31" s="314"/>
      <c r="BE31" s="314"/>
      <c r="BF31" s="205">
        <f t="shared" si="5"/>
        <v>0</v>
      </c>
      <c r="BG31" s="786">
        <f t="shared" si="6"/>
        <v>0</v>
      </c>
      <c r="BH31" s="786">
        <f t="shared" si="7"/>
        <v>0</v>
      </c>
    </row>
    <row r="32" spans="1:64" s="207" customFormat="1" ht="15" customHeight="1">
      <c r="A32" s="285">
        <v>23</v>
      </c>
      <c r="B32" s="208" t="s">
        <v>294</v>
      </c>
      <c r="C32" s="208" t="s">
        <v>64</v>
      </c>
      <c r="D32" s="332">
        <v>50</v>
      </c>
      <c r="E32" s="314">
        <v>0</v>
      </c>
      <c r="F32" s="100">
        <f>SUMIF(pro!$A:$A,INTGRATE!$Y:$Y,pro!$N:$N)</f>
        <v>0</v>
      </c>
      <c r="G32" s="314"/>
      <c r="H32" s="314">
        <f>SUMIF(CBIN!$A:$A,INTGRATE!$Y:$Y,CBIN!$G:$G)</f>
        <v>0</v>
      </c>
      <c r="I32" s="314">
        <f>SUMIF(data!$D:$D,INTGRATE!$B32&amp;INTGRATE!$D32,data!$J:$J)</f>
        <v>0</v>
      </c>
      <c r="J32" s="314"/>
      <c r="K32" s="314"/>
      <c r="L32" s="314">
        <f>SUMIF(data!$D:$D,INTGRATE!$B32&amp;INTGRATE!$D32,data!$K:$K)</f>
        <v>0</v>
      </c>
      <c r="M32" s="314">
        <f>SUMIF(AJOUT!$A:$A,INTGRATE!$Y:$Y,AJOUT!$L:$L)</f>
        <v>0</v>
      </c>
      <c r="N32" s="100">
        <f>SUMIF(CBOUT!$A:$A,INTGRATE!$Y:$Y,CBOUT!$G:$G)</f>
        <v>0</v>
      </c>
      <c r="O32" s="482">
        <f t="shared" si="17"/>
        <v>0</v>
      </c>
      <c r="P32" s="314">
        <f t="shared" si="1"/>
        <v>0</v>
      </c>
      <c r="Q32" s="314">
        <f>SUM(AA32:BE32)</f>
        <v>0</v>
      </c>
      <c r="R32" s="314"/>
      <c r="S32" s="314"/>
      <c r="T32" s="1181">
        <f t="shared" si="3"/>
        <v>0</v>
      </c>
      <c r="U32" s="875">
        <f t="shared" si="16"/>
        <v>0</v>
      </c>
      <c r="V32" s="876"/>
      <c r="W32" s="345"/>
      <c r="X32" s="206"/>
      <c r="Y32" s="856" t="str">
        <f>B32&amp;D32</f>
        <v>511ANFP9150</v>
      </c>
      <c r="Z32" s="818">
        <v>11352891</v>
      </c>
      <c r="AA32" s="380"/>
      <c r="AB32" s="380">
        <v>0</v>
      </c>
      <c r="AC32" s="314">
        <v>0</v>
      </c>
      <c r="AD32" s="314">
        <v>0</v>
      </c>
      <c r="AE32" s="314">
        <v>0</v>
      </c>
      <c r="AF32" s="314">
        <v>0</v>
      </c>
      <c r="AG32" s="314">
        <v>0</v>
      </c>
      <c r="AH32" s="314">
        <v>0</v>
      </c>
      <c r="AI32" s="314">
        <v>0</v>
      </c>
      <c r="AJ32" s="314"/>
      <c r="AK32" s="314"/>
      <c r="AL32" s="314"/>
      <c r="AM32" s="314"/>
      <c r="AN32" s="314"/>
      <c r="AO32" s="314"/>
      <c r="AP32" s="314"/>
      <c r="AQ32" s="314"/>
      <c r="AR32" s="314"/>
      <c r="AS32" s="314"/>
      <c r="AT32" s="314"/>
      <c r="AU32" s="314"/>
      <c r="AV32" s="314"/>
      <c r="AW32" s="314"/>
      <c r="AX32" s="314"/>
      <c r="AY32" s="314"/>
      <c r="AZ32" s="314"/>
      <c r="BA32" s="314"/>
      <c r="BB32" s="314"/>
      <c r="BC32" s="314"/>
      <c r="BD32" s="314"/>
      <c r="BE32" s="314"/>
      <c r="BF32" s="205">
        <f t="shared" si="5"/>
        <v>0</v>
      </c>
      <c r="BG32" s="786">
        <f t="shared" si="6"/>
        <v>0</v>
      </c>
      <c r="BH32" s="786">
        <f t="shared" si="7"/>
        <v>0</v>
      </c>
    </row>
    <row r="33" spans="1:60" s="207" customFormat="1" ht="15" customHeight="1">
      <c r="A33" s="285">
        <v>24</v>
      </c>
      <c r="B33" s="208" t="s">
        <v>295</v>
      </c>
      <c r="C33" s="208" t="s">
        <v>64</v>
      </c>
      <c r="D33" s="332">
        <v>50</v>
      </c>
      <c r="E33" s="314">
        <v>56</v>
      </c>
      <c r="F33" s="100">
        <f>SUMIF(pro!$A:$A,INTGRATE!$Y:$Y,pro!$N:$N)</f>
        <v>938</v>
      </c>
      <c r="G33" s="314"/>
      <c r="H33" s="314">
        <f>SUMIF(CBIN!$A:$A,INTGRATE!$Y:$Y,CBIN!$G:$G)</f>
        <v>0</v>
      </c>
      <c r="I33" s="314">
        <f>SUMIF(data!$D:$D,INTGRATE!$B33&amp;INTGRATE!$D33,data!$J:$J)</f>
        <v>0</v>
      </c>
      <c r="J33" s="314"/>
      <c r="K33" s="314"/>
      <c r="L33" s="314">
        <f>SUMIF(data!$D:$D,INTGRATE!$B33&amp;INTGRATE!$D33,data!$K:$K)</f>
        <v>0</v>
      </c>
      <c r="M33" s="314">
        <f>SUMIF(AJOUT!$A:$A,INTGRATE!$Y:$Y,AJOUT!$L:$L)</f>
        <v>0</v>
      </c>
      <c r="N33" s="100">
        <f>SUMIF(CBOUT!$A:$A,INTGRATE!$Y:$Y,CBOUT!$G:$G)</f>
        <v>0</v>
      </c>
      <c r="O33" s="482">
        <f t="shared" si="17"/>
        <v>994</v>
      </c>
      <c r="P33" s="314">
        <f t="shared" si="1"/>
        <v>49700</v>
      </c>
      <c r="Q33" s="314">
        <f>SUM(AA33:BE33)</f>
        <v>52750</v>
      </c>
      <c r="R33" s="314"/>
      <c r="S33" s="314"/>
      <c r="T33" s="1181">
        <f t="shared" si="3"/>
        <v>5861.1111111111113</v>
      </c>
      <c r="U33" s="875">
        <f t="shared" si="16"/>
        <v>8.4796208530805686</v>
      </c>
      <c r="V33" s="876"/>
      <c r="W33" s="345"/>
      <c r="X33" s="206"/>
      <c r="Y33" s="856" t="str">
        <f>B33&amp;D33</f>
        <v>511ANFP9250</v>
      </c>
      <c r="Z33" s="818">
        <v>11352892</v>
      </c>
      <c r="AA33" s="380"/>
      <c r="AB33" s="380">
        <v>0</v>
      </c>
      <c r="AC33" s="314">
        <v>11350</v>
      </c>
      <c r="AD33" s="314">
        <v>13100</v>
      </c>
      <c r="AE33" s="314">
        <v>0</v>
      </c>
      <c r="AF33" s="314">
        <v>7500</v>
      </c>
      <c r="AG33" s="314">
        <v>4950</v>
      </c>
      <c r="AH33" s="314">
        <v>14450</v>
      </c>
      <c r="AI33" s="314">
        <v>1400</v>
      </c>
      <c r="AJ33" s="314"/>
      <c r="AK33" s="314"/>
      <c r="AL33" s="314"/>
      <c r="AM33" s="314"/>
      <c r="AN33" s="314"/>
      <c r="AO33" s="314"/>
      <c r="AP33" s="314"/>
      <c r="AQ33" s="314"/>
      <c r="AR33" s="314"/>
      <c r="AS33" s="314"/>
      <c r="AT33" s="314"/>
      <c r="AU33" s="314"/>
      <c r="AV33" s="314"/>
      <c r="AW33" s="314"/>
      <c r="AX33" s="314"/>
      <c r="AY33" s="314"/>
      <c r="AZ33" s="314"/>
      <c r="BA33" s="314"/>
      <c r="BB33" s="314"/>
      <c r="BC33" s="314"/>
      <c r="BD33" s="314"/>
      <c r="BE33" s="314"/>
      <c r="BF33" s="205">
        <f t="shared" si="5"/>
        <v>52750</v>
      </c>
      <c r="BG33" s="786">
        <f t="shared" si="6"/>
        <v>6</v>
      </c>
      <c r="BH33" s="786">
        <f t="shared" si="7"/>
        <v>8791.6666666666661</v>
      </c>
    </row>
    <row r="34" spans="1:60" s="207" customFormat="1" ht="15" customHeight="1">
      <c r="A34" s="285">
        <v>25</v>
      </c>
      <c r="B34" s="208" t="s">
        <v>296</v>
      </c>
      <c r="C34" s="208" t="s">
        <v>64</v>
      </c>
      <c r="D34" s="332">
        <v>50</v>
      </c>
      <c r="E34" s="314">
        <v>0</v>
      </c>
      <c r="F34" s="100">
        <f>SUMIF(pro!$A:$A,INTGRATE!$Y:$Y,pro!$N:$N)</f>
        <v>0</v>
      </c>
      <c r="G34" s="314"/>
      <c r="H34" s="314">
        <f>SUMIF(CBIN!$A:$A,INTGRATE!$Y:$Y,CBIN!$G:$G)</f>
        <v>0</v>
      </c>
      <c r="I34" s="314">
        <f>SUMIF(data!$D:$D,INTGRATE!$B34&amp;INTGRATE!$D34,data!$J:$J)</f>
        <v>0</v>
      </c>
      <c r="J34" s="314"/>
      <c r="K34" s="314"/>
      <c r="L34" s="314">
        <f>SUMIF(data!$D:$D,INTGRATE!$B34&amp;INTGRATE!$D34,data!$K:$K)</f>
        <v>0</v>
      </c>
      <c r="M34" s="314">
        <f>SUMIF(AJOUT!$A:$A,INTGRATE!$Y:$Y,AJOUT!$L:$L)</f>
        <v>0</v>
      </c>
      <c r="N34" s="100">
        <f>SUMIF(CBOUT!$A:$A,INTGRATE!$Y:$Y,CBOUT!$G:$G)</f>
        <v>0</v>
      </c>
      <c r="O34" s="482">
        <f t="shared" si="17"/>
        <v>0</v>
      </c>
      <c r="P34" s="314">
        <f t="shared" si="1"/>
        <v>0</v>
      </c>
      <c r="Q34" s="314">
        <f t="shared" ref="Q34:Q47" si="18">SUM(AA34:BE34)</f>
        <v>0</v>
      </c>
      <c r="R34" s="314"/>
      <c r="S34" s="314"/>
      <c r="T34" s="1181">
        <f t="shared" si="3"/>
        <v>0</v>
      </c>
      <c r="U34" s="875">
        <f t="shared" si="16"/>
        <v>0</v>
      </c>
      <c r="V34" s="876"/>
      <c r="W34" s="345"/>
      <c r="X34" s="206"/>
      <c r="Y34" s="856" t="str">
        <f t="shared" si="4"/>
        <v>511ANFP8550</v>
      </c>
      <c r="Z34" s="818">
        <v>11352885</v>
      </c>
      <c r="AA34" s="380"/>
      <c r="AB34" s="380">
        <v>0</v>
      </c>
      <c r="AC34" s="314">
        <v>0</v>
      </c>
      <c r="AD34" s="314">
        <v>0</v>
      </c>
      <c r="AE34" s="314">
        <v>0</v>
      </c>
      <c r="AF34" s="314">
        <v>0</v>
      </c>
      <c r="AG34" s="314">
        <v>0</v>
      </c>
      <c r="AH34" s="314">
        <v>0</v>
      </c>
      <c r="AI34" s="314">
        <v>0</v>
      </c>
      <c r="AJ34" s="314"/>
      <c r="AK34" s="314"/>
      <c r="AL34" s="314"/>
      <c r="AM34" s="314"/>
      <c r="AN34" s="314"/>
      <c r="AO34" s="314"/>
      <c r="AP34" s="314"/>
      <c r="AQ34" s="314"/>
      <c r="AR34" s="314"/>
      <c r="AS34" s="314"/>
      <c r="AT34" s="314"/>
      <c r="AU34" s="314"/>
      <c r="AV34" s="314"/>
      <c r="AW34" s="314"/>
      <c r="AX34" s="314"/>
      <c r="AY34" s="314"/>
      <c r="AZ34" s="314"/>
      <c r="BA34" s="314"/>
      <c r="BB34" s="314"/>
      <c r="BC34" s="314"/>
      <c r="BD34" s="314"/>
      <c r="BE34" s="314"/>
      <c r="BF34" s="205">
        <f t="shared" si="5"/>
        <v>0</v>
      </c>
      <c r="BG34" s="786">
        <f t="shared" si="6"/>
        <v>0</v>
      </c>
      <c r="BH34" s="786">
        <f t="shared" si="7"/>
        <v>0</v>
      </c>
    </row>
    <row r="35" spans="1:60" s="207" customFormat="1" ht="14.25" customHeight="1">
      <c r="A35" s="285">
        <v>26</v>
      </c>
      <c r="B35" s="208" t="s">
        <v>297</v>
      </c>
      <c r="C35" s="208" t="s">
        <v>51</v>
      </c>
      <c r="D35" s="332">
        <v>50</v>
      </c>
      <c r="E35" s="314">
        <v>0</v>
      </c>
      <c r="F35" s="100">
        <f>SUMIF(pro!$A:$A,INTGRATE!$Y:$Y,pro!$N:$N)</f>
        <v>0</v>
      </c>
      <c r="G35" s="314"/>
      <c r="H35" s="314">
        <f>SUMIF(CBIN!$A:$A,INTGRATE!$Y:$Y,CBIN!$G:$G)</f>
        <v>0</v>
      </c>
      <c r="I35" s="314">
        <f>SUMIF(data!$D:$D,INTGRATE!$B35&amp;INTGRATE!$D35,data!$J:$J)</f>
        <v>0</v>
      </c>
      <c r="J35" s="314"/>
      <c r="K35" s="314"/>
      <c r="L35" s="314">
        <f>SUMIF(data!$D:$D,INTGRATE!$B35&amp;INTGRATE!$D35,data!$K:$K)</f>
        <v>0</v>
      </c>
      <c r="M35" s="314">
        <f>SUMIF(AJOUT!$A:$A,INTGRATE!$Y:$Y,AJOUT!$L:$L)</f>
        <v>0</v>
      </c>
      <c r="N35" s="100">
        <f>SUMIF(CBOUT!$A:$A,INTGRATE!$Y:$Y,CBOUT!$G:$G)</f>
        <v>0</v>
      </c>
      <c r="O35" s="482">
        <f t="shared" si="17"/>
        <v>0</v>
      </c>
      <c r="P35" s="314">
        <f t="shared" si="1"/>
        <v>0</v>
      </c>
      <c r="Q35" s="314">
        <f t="shared" si="18"/>
        <v>0</v>
      </c>
      <c r="R35" s="314"/>
      <c r="S35" s="314"/>
      <c r="T35" s="1181">
        <f t="shared" si="3"/>
        <v>0</v>
      </c>
      <c r="U35" s="875">
        <f t="shared" si="16"/>
        <v>0</v>
      </c>
      <c r="V35" s="876"/>
      <c r="W35" s="345"/>
      <c r="X35" s="206"/>
      <c r="Y35" s="856" t="str">
        <f t="shared" si="4"/>
        <v>511F50</v>
      </c>
      <c r="Z35" s="818" t="s">
        <v>298</v>
      </c>
      <c r="AA35" s="380"/>
      <c r="AB35" s="380">
        <v>0</v>
      </c>
      <c r="AC35" s="314">
        <v>0</v>
      </c>
      <c r="AD35" s="314">
        <v>0</v>
      </c>
      <c r="AE35" s="314">
        <v>0</v>
      </c>
      <c r="AF35" s="314">
        <v>0</v>
      </c>
      <c r="AG35" s="314">
        <v>0</v>
      </c>
      <c r="AH35" s="314">
        <v>0</v>
      </c>
      <c r="AI35" s="314">
        <v>0</v>
      </c>
      <c r="AJ35" s="314"/>
      <c r="AK35" s="314"/>
      <c r="AL35" s="314"/>
      <c r="AM35" s="314"/>
      <c r="AN35" s="314"/>
      <c r="AO35" s="314"/>
      <c r="AP35" s="314"/>
      <c r="AQ35" s="314"/>
      <c r="AR35" s="314"/>
      <c r="AS35" s="314"/>
      <c r="AT35" s="314"/>
      <c r="AU35" s="314"/>
      <c r="AV35" s="314"/>
      <c r="AW35" s="314"/>
      <c r="AX35" s="314"/>
      <c r="AY35" s="314"/>
      <c r="AZ35" s="314"/>
      <c r="BA35" s="314"/>
      <c r="BB35" s="314"/>
      <c r="BC35" s="314"/>
      <c r="BD35" s="314"/>
      <c r="BE35" s="314"/>
      <c r="BF35" s="205">
        <f t="shared" si="5"/>
        <v>0</v>
      </c>
      <c r="BG35" s="786">
        <f t="shared" si="6"/>
        <v>0</v>
      </c>
      <c r="BH35" s="786">
        <f t="shared" si="7"/>
        <v>0</v>
      </c>
    </row>
    <row r="36" spans="1:60" s="207" customFormat="1" ht="15" customHeight="1">
      <c r="A36" s="285">
        <v>27</v>
      </c>
      <c r="B36" s="208" t="s">
        <v>299</v>
      </c>
      <c r="C36" s="208" t="s">
        <v>51</v>
      </c>
      <c r="D36" s="332">
        <v>50</v>
      </c>
      <c r="E36" s="314">
        <v>0</v>
      </c>
      <c r="F36" s="100">
        <f>SUMIF(pro!$A:$A,INTGRATE!$Y:$Y,pro!$N:$N)</f>
        <v>0</v>
      </c>
      <c r="G36" s="314"/>
      <c r="H36" s="314">
        <f>SUMIF(CBIN!$A:$A,INTGRATE!$Y:$Y,CBIN!$G:$G)</f>
        <v>0</v>
      </c>
      <c r="I36" s="314">
        <f>SUMIF(data!$D:$D,INTGRATE!$B36&amp;INTGRATE!$D36,data!$J:$J)</f>
        <v>0</v>
      </c>
      <c r="J36" s="314"/>
      <c r="K36" s="314"/>
      <c r="L36" s="314">
        <f>SUMIF(data!$D:$D,INTGRATE!$B36&amp;INTGRATE!$D36,data!$K:$K)</f>
        <v>0</v>
      </c>
      <c r="M36" s="314">
        <f>SUMIF(AJOUT!$A:$A,INTGRATE!$Y:$Y,AJOUT!$L:$L)</f>
        <v>0</v>
      </c>
      <c r="N36" s="100">
        <f>SUMIF(CBOUT!$A:$A,INTGRATE!$Y:$Y,CBOUT!$G:$G)</f>
        <v>0</v>
      </c>
      <c r="O36" s="482">
        <f t="shared" si="17"/>
        <v>0</v>
      </c>
      <c r="P36" s="314">
        <f t="shared" si="1"/>
        <v>0</v>
      </c>
      <c r="Q36" s="314">
        <f t="shared" si="18"/>
        <v>95000</v>
      </c>
      <c r="R36" s="314"/>
      <c r="S36" s="314"/>
      <c r="T36" s="1181">
        <f t="shared" si="3"/>
        <v>10555.555555555555</v>
      </c>
      <c r="U36" s="875">
        <f t="shared" ref="U36:U61" si="19">IF(T36=0,0,P36/T36)</f>
        <v>0</v>
      </c>
      <c r="V36" s="876"/>
      <c r="W36" s="345"/>
      <c r="X36" s="206"/>
      <c r="Y36" s="856" t="str">
        <f t="shared" ref="Y36:Y97" si="20">B36&amp;D36</f>
        <v>511NF50</v>
      </c>
      <c r="Z36" s="818" t="s">
        <v>300</v>
      </c>
      <c r="AA36" s="380"/>
      <c r="AB36" s="380">
        <v>0</v>
      </c>
      <c r="AC36" s="314">
        <v>0</v>
      </c>
      <c r="AD36" s="314">
        <v>16000</v>
      </c>
      <c r="AE36" s="314">
        <v>29000</v>
      </c>
      <c r="AF36" s="314">
        <v>44750</v>
      </c>
      <c r="AG36" s="314">
        <v>5250</v>
      </c>
      <c r="AH36" s="314">
        <v>0</v>
      </c>
      <c r="AI36" s="314">
        <v>0</v>
      </c>
      <c r="AJ36" s="314"/>
      <c r="AK36" s="314"/>
      <c r="AL36" s="314"/>
      <c r="AM36" s="314"/>
      <c r="AN36" s="314"/>
      <c r="AO36" s="314"/>
      <c r="AP36" s="314"/>
      <c r="AQ36" s="314"/>
      <c r="AR36" s="314"/>
      <c r="AS36" s="314"/>
      <c r="AT36" s="314"/>
      <c r="AU36" s="314"/>
      <c r="AV36" s="314"/>
      <c r="AW36" s="314"/>
      <c r="AX36" s="314"/>
      <c r="AY36" s="314"/>
      <c r="AZ36" s="314"/>
      <c r="BA36" s="314"/>
      <c r="BB36" s="314"/>
      <c r="BC36" s="314"/>
      <c r="BD36" s="314"/>
      <c r="BE36" s="314"/>
      <c r="BF36" s="205">
        <f t="shared" si="5"/>
        <v>95000</v>
      </c>
      <c r="BG36" s="786">
        <f t="shared" si="6"/>
        <v>4</v>
      </c>
      <c r="BH36" s="786">
        <f t="shared" si="7"/>
        <v>23750</v>
      </c>
    </row>
    <row r="37" spans="1:60" s="207" customFormat="1" ht="15" customHeight="1">
      <c r="A37" s="285">
        <v>28</v>
      </c>
      <c r="B37" s="208" t="s">
        <v>301</v>
      </c>
      <c r="C37" s="208" t="s">
        <v>51</v>
      </c>
      <c r="D37" s="332">
        <v>50</v>
      </c>
      <c r="E37" s="314">
        <v>0</v>
      </c>
      <c r="F37" s="100">
        <f>SUMIF(pro!$A:$A,INTGRATE!$Y:$Y,pro!$N:$N)</f>
        <v>0</v>
      </c>
      <c r="G37" s="314"/>
      <c r="H37" s="314">
        <f>SUMIF(CBIN!$A:$A,INTGRATE!$Y:$Y,CBIN!$G:$G)</f>
        <v>0</v>
      </c>
      <c r="I37" s="314">
        <f>SUMIF(data!$D:$D,INTGRATE!$B37&amp;INTGRATE!$D37,data!$J:$J)</f>
        <v>0</v>
      </c>
      <c r="J37" s="314"/>
      <c r="K37" s="314"/>
      <c r="L37" s="314">
        <f>SUMIF(data!$D:$D,INTGRATE!$B37&amp;INTGRATE!$D37,data!$K:$K)</f>
        <v>0</v>
      </c>
      <c r="M37" s="314">
        <f>SUMIF(AJOUT!$A:$A,INTGRATE!$Y:$Y,AJOUT!$L:$L)</f>
        <v>0</v>
      </c>
      <c r="N37" s="100">
        <f>SUMIF(CBOUT!$A:$A,INTGRATE!$Y:$Y,CBOUT!$G:$G)</f>
        <v>0</v>
      </c>
      <c r="O37" s="482">
        <f t="shared" si="17"/>
        <v>0</v>
      </c>
      <c r="P37" s="314">
        <f t="shared" si="1"/>
        <v>0</v>
      </c>
      <c r="Q37" s="314">
        <f>SUM(AA37:BE37)</f>
        <v>0</v>
      </c>
      <c r="R37" s="314"/>
      <c r="S37" s="314"/>
      <c r="T37" s="1181">
        <f t="shared" si="3"/>
        <v>0</v>
      </c>
      <c r="U37" s="875">
        <f>IF(T37=0,0,P37/T37)</f>
        <v>0</v>
      </c>
      <c r="V37" s="876"/>
      <c r="W37" s="345"/>
      <c r="X37" s="206"/>
      <c r="Y37" s="856" t="str">
        <f t="shared" si="20"/>
        <v>511NFTL350</v>
      </c>
      <c r="Z37" s="818">
        <v>114591</v>
      </c>
      <c r="AA37" s="380"/>
      <c r="AB37" s="380">
        <v>0</v>
      </c>
      <c r="AC37" s="314">
        <v>0</v>
      </c>
      <c r="AD37" s="314">
        <v>0</v>
      </c>
      <c r="AE37" s="314">
        <v>0</v>
      </c>
      <c r="AF37" s="314">
        <v>0</v>
      </c>
      <c r="AG37" s="314">
        <v>0</v>
      </c>
      <c r="AH37" s="314">
        <v>0</v>
      </c>
      <c r="AI37" s="314">
        <v>0</v>
      </c>
      <c r="AJ37" s="314"/>
      <c r="AK37" s="314"/>
      <c r="AL37" s="314"/>
      <c r="AM37" s="314"/>
      <c r="AN37" s="314"/>
      <c r="AO37" s="314"/>
      <c r="AP37" s="314"/>
      <c r="AQ37" s="314"/>
      <c r="AR37" s="314"/>
      <c r="AS37" s="314"/>
      <c r="AT37" s="314"/>
      <c r="AU37" s="314"/>
      <c r="AV37" s="314"/>
      <c r="AW37" s="314"/>
      <c r="AX37" s="314"/>
      <c r="AY37" s="314"/>
      <c r="AZ37" s="314"/>
      <c r="BA37" s="314"/>
      <c r="BB37" s="314"/>
      <c r="BC37" s="314"/>
      <c r="BD37" s="314"/>
      <c r="BE37" s="314"/>
      <c r="BF37" s="205">
        <f t="shared" si="5"/>
        <v>0</v>
      </c>
      <c r="BG37" s="786">
        <f t="shared" si="6"/>
        <v>0</v>
      </c>
      <c r="BH37" s="786">
        <f t="shared" si="7"/>
        <v>0</v>
      </c>
    </row>
    <row r="38" spans="1:60" s="207" customFormat="1" ht="15" customHeight="1">
      <c r="A38" s="285">
        <v>29</v>
      </c>
      <c r="B38" s="208" t="s">
        <v>302</v>
      </c>
      <c r="C38" s="208" t="s">
        <v>51</v>
      </c>
      <c r="D38" s="332">
        <v>50</v>
      </c>
      <c r="E38" s="314">
        <v>0</v>
      </c>
      <c r="F38" s="100">
        <f>SUMIF(pro!$A:$A,INTGRATE!$Y:$Y,pro!$N:$N)</f>
        <v>0</v>
      </c>
      <c r="G38" s="314"/>
      <c r="H38" s="314">
        <f>SUMIF(CBIN!$A:$A,INTGRATE!$Y:$Y,CBIN!$G:$G)</f>
        <v>0</v>
      </c>
      <c r="I38" s="314">
        <f>SUMIF(data!$D:$D,INTGRATE!$B38&amp;INTGRATE!$D38,data!$J:$J)</f>
        <v>0</v>
      </c>
      <c r="J38" s="314"/>
      <c r="K38" s="314"/>
      <c r="L38" s="314">
        <f>SUMIF(data!$D:$D,INTGRATE!$B38&amp;INTGRATE!$D38,data!$K:$K)</f>
        <v>0</v>
      </c>
      <c r="M38" s="314">
        <f>SUMIF(AJOUT!$A:$A,INTGRATE!$Y:$Y,AJOUT!$L:$L)</f>
        <v>0</v>
      </c>
      <c r="N38" s="100">
        <f>SUMIF(CBOUT!$A:$A,INTGRATE!$Y:$Y,CBOUT!$G:$G)</f>
        <v>0</v>
      </c>
      <c r="O38" s="482">
        <f t="shared" si="17"/>
        <v>0</v>
      </c>
      <c r="P38" s="314">
        <f t="shared" si="1"/>
        <v>0</v>
      </c>
      <c r="Q38" s="314">
        <f>SUM(AA38:BE38)</f>
        <v>0</v>
      </c>
      <c r="R38" s="314"/>
      <c r="S38" s="314"/>
      <c r="T38" s="1181">
        <f t="shared" si="3"/>
        <v>0</v>
      </c>
      <c r="U38" s="875">
        <f>IF(T38=0,0,P38/T38)</f>
        <v>0</v>
      </c>
      <c r="V38" s="876"/>
      <c r="W38" s="345"/>
      <c r="X38" s="206"/>
      <c r="Y38" s="856" t="str">
        <f t="shared" si="20"/>
        <v>511NFP3150</v>
      </c>
      <c r="Z38" s="818">
        <v>11452831</v>
      </c>
      <c r="AA38" s="380"/>
      <c r="AB38" s="380">
        <v>0</v>
      </c>
      <c r="AC38" s="314">
        <v>0</v>
      </c>
      <c r="AD38" s="314">
        <v>0</v>
      </c>
      <c r="AE38" s="314">
        <v>0</v>
      </c>
      <c r="AF38" s="314">
        <v>0</v>
      </c>
      <c r="AG38" s="314">
        <v>0</v>
      </c>
      <c r="AH38" s="314">
        <v>0</v>
      </c>
      <c r="AI38" s="314">
        <v>0</v>
      </c>
      <c r="AJ38" s="314"/>
      <c r="AK38" s="314"/>
      <c r="AL38" s="314"/>
      <c r="AM38" s="314"/>
      <c r="AN38" s="314"/>
      <c r="AO38" s="314"/>
      <c r="AP38" s="314"/>
      <c r="AQ38" s="314"/>
      <c r="AR38" s="314"/>
      <c r="AS38" s="314"/>
      <c r="AT38" s="314"/>
      <c r="AU38" s="314"/>
      <c r="AV38" s="314"/>
      <c r="AW38" s="314"/>
      <c r="AX38" s="314"/>
      <c r="AY38" s="314"/>
      <c r="AZ38" s="314"/>
      <c r="BA38" s="314"/>
      <c r="BB38" s="314"/>
      <c r="BC38" s="314"/>
      <c r="BD38" s="314"/>
      <c r="BE38" s="314"/>
      <c r="BF38" s="205">
        <f t="shared" si="5"/>
        <v>0</v>
      </c>
      <c r="BG38" s="786">
        <f t="shared" si="6"/>
        <v>0</v>
      </c>
      <c r="BH38" s="786">
        <f t="shared" si="7"/>
        <v>0</v>
      </c>
    </row>
    <row r="39" spans="1:60" s="207" customFormat="1" ht="15" customHeight="1">
      <c r="A39" s="285">
        <v>30</v>
      </c>
      <c r="B39" s="208" t="s">
        <v>303</v>
      </c>
      <c r="C39" s="208" t="s">
        <v>51</v>
      </c>
      <c r="D39" s="332">
        <v>50</v>
      </c>
      <c r="E39" s="314">
        <v>0</v>
      </c>
      <c r="F39" s="100">
        <f>SUMIF(pro!$A:$A,INTGRATE!$Y:$Y,pro!$N:$N)</f>
        <v>0</v>
      </c>
      <c r="G39" s="314"/>
      <c r="H39" s="314">
        <f>SUMIF(CBIN!$A:$A,INTGRATE!$Y:$Y,CBIN!$G:$G)</f>
        <v>0</v>
      </c>
      <c r="I39" s="314">
        <f>SUMIF(data!$D:$D,INTGRATE!$B39&amp;INTGRATE!$D39,data!$J:$J)</f>
        <v>0</v>
      </c>
      <c r="J39" s="314"/>
      <c r="K39" s="314"/>
      <c r="L39" s="314">
        <f>SUMIF(data!$D:$D,INTGRATE!$B39&amp;INTGRATE!$D39,data!$K:$K)</f>
        <v>0</v>
      </c>
      <c r="M39" s="314">
        <f>SUMIF(AJOUT!$A:$A,INTGRATE!$Y:$Y,AJOUT!$L:$L)</f>
        <v>0</v>
      </c>
      <c r="N39" s="100"/>
      <c r="O39" s="482">
        <f>E39+F39+H39-I39-N39+G39-M39</f>
        <v>0</v>
      </c>
      <c r="P39" s="314">
        <f>O39*D39</f>
        <v>0</v>
      </c>
      <c r="Q39" s="314">
        <f>SUM(AA39:BE39)</f>
        <v>0</v>
      </c>
      <c r="R39" s="314"/>
      <c r="S39" s="314"/>
      <c r="T39" s="1181">
        <f t="shared" si="3"/>
        <v>0</v>
      </c>
      <c r="U39" s="875">
        <f>IF(T39=0,0,P39/T39)</f>
        <v>0</v>
      </c>
      <c r="V39" s="876"/>
      <c r="W39" s="345"/>
      <c r="X39" s="206"/>
      <c r="Y39" s="856" t="str">
        <f>B39&amp;D39</f>
        <v>511NFP3250</v>
      </c>
      <c r="Z39" s="818">
        <v>11452832</v>
      </c>
      <c r="AA39" s="380"/>
      <c r="AB39" s="380">
        <v>0</v>
      </c>
      <c r="AC39" s="314">
        <v>0</v>
      </c>
      <c r="AD39" s="314">
        <v>0</v>
      </c>
      <c r="AE39" s="314">
        <v>0</v>
      </c>
      <c r="AF39" s="314">
        <v>0</v>
      </c>
      <c r="AG39" s="314">
        <v>0</v>
      </c>
      <c r="AH39" s="314">
        <v>0</v>
      </c>
      <c r="AI39" s="314">
        <v>0</v>
      </c>
      <c r="AJ39" s="314"/>
      <c r="AK39" s="314"/>
      <c r="AL39" s="314"/>
      <c r="AM39" s="314"/>
      <c r="AN39" s="314"/>
      <c r="AO39" s="314"/>
      <c r="AP39" s="314"/>
      <c r="AQ39" s="314"/>
      <c r="AR39" s="314"/>
      <c r="AS39" s="314"/>
      <c r="AT39" s="314"/>
      <c r="AU39" s="314"/>
      <c r="AV39" s="314"/>
      <c r="AW39" s="314"/>
      <c r="AX39" s="314"/>
      <c r="AY39" s="314"/>
      <c r="AZ39" s="314"/>
      <c r="BA39" s="314"/>
      <c r="BB39" s="314"/>
      <c r="BC39" s="314"/>
      <c r="BD39" s="314"/>
      <c r="BE39" s="314"/>
      <c r="BF39" s="205">
        <f t="shared" si="5"/>
        <v>0</v>
      </c>
      <c r="BG39" s="786">
        <f t="shared" si="6"/>
        <v>0</v>
      </c>
      <c r="BH39" s="786">
        <f t="shared" si="7"/>
        <v>0</v>
      </c>
    </row>
    <row r="40" spans="1:60" s="207" customFormat="1" ht="15" customHeight="1">
      <c r="A40" s="285">
        <v>31</v>
      </c>
      <c r="B40" s="208" t="s">
        <v>304</v>
      </c>
      <c r="C40" s="208" t="s">
        <v>51</v>
      </c>
      <c r="D40" s="332">
        <v>50</v>
      </c>
      <c r="E40" s="314">
        <v>0</v>
      </c>
      <c r="F40" s="100">
        <f>SUMIF(pro!$A:$A,INTGRATE!$Y:$Y,pro!$N:$N)</f>
        <v>0</v>
      </c>
      <c r="G40" s="314"/>
      <c r="H40" s="314">
        <f>SUMIF(CBIN!$A:$A,INTGRATE!$Y:$Y,CBIN!$G:$G)</f>
        <v>0</v>
      </c>
      <c r="I40" s="314">
        <f>SUMIF(data!$D:$D,INTGRATE!$B40&amp;INTGRATE!$D40,data!$J:$J)</f>
        <v>0</v>
      </c>
      <c r="J40" s="314"/>
      <c r="K40" s="314"/>
      <c r="L40" s="314">
        <f>SUMIF(data!$D:$D,INTGRATE!$B40&amp;INTGRATE!$D40,data!$K:$K)</f>
        <v>0</v>
      </c>
      <c r="M40" s="314">
        <f>SUMIF(AJOUT!$A:$A,INTGRATE!$Y:$Y,AJOUT!$L:$L)</f>
        <v>0</v>
      </c>
      <c r="N40" s="100">
        <f>SUMIF(CBOUT!$A:$A,INTGRATE!$Y:$Y,CBOUT!$G:$G)</f>
        <v>0</v>
      </c>
      <c r="O40" s="482">
        <f t="shared" si="17"/>
        <v>0</v>
      </c>
      <c r="P40" s="314">
        <f t="shared" si="1"/>
        <v>0</v>
      </c>
      <c r="Q40" s="314">
        <f t="shared" si="18"/>
        <v>0</v>
      </c>
      <c r="R40" s="314"/>
      <c r="S40" s="314"/>
      <c r="T40" s="1181">
        <f t="shared" si="3"/>
        <v>0</v>
      </c>
      <c r="U40" s="875">
        <f t="shared" si="19"/>
        <v>0</v>
      </c>
      <c r="V40" s="876"/>
      <c r="W40" s="345"/>
      <c r="X40" s="206"/>
      <c r="Y40" s="856" t="str">
        <f>B40&amp;D40</f>
        <v>511NFP3350</v>
      </c>
      <c r="Z40" s="818">
        <v>11452833</v>
      </c>
      <c r="AA40" s="380"/>
      <c r="AB40" s="380">
        <v>0</v>
      </c>
      <c r="AC40" s="314">
        <v>0</v>
      </c>
      <c r="AD40" s="314">
        <v>0</v>
      </c>
      <c r="AE40" s="314">
        <v>0</v>
      </c>
      <c r="AF40" s="314">
        <v>0</v>
      </c>
      <c r="AG40" s="314">
        <v>0</v>
      </c>
      <c r="AH40" s="314">
        <v>0</v>
      </c>
      <c r="AI40" s="314">
        <v>0</v>
      </c>
      <c r="AJ40" s="314"/>
      <c r="AK40" s="314"/>
      <c r="AL40" s="314"/>
      <c r="AM40" s="314"/>
      <c r="AN40" s="314"/>
      <c r="AO40" s="314"/>
      <c r="AP40" s="314"/>
      <c r="AQ40" s="314"/>
      <c r="AR40" s="314"/>
      <c r="AS40" s="314"/>
      <c r="AT40" s="314"/>
      <c r="AU40" s="314"/>
      <c r="AV40" s="314"/>
      <c r="AW40" s="314"/>
      <c r="AX40" s="314"/>
      <c r="AY40" s="314"/>
      <c r="AZ40" s="314"/>
      <c r="BA40" s="314"/>
      <c r="BB40" s="314"/>
      <c r="BC40" s="314"/>
      <c r="BD40" s="314"/>
      <c r="BE40" s="314"/>
      <c r="BF40" s="205">
        <f t="shared" si="5"/>
        <v>0</v>
      </c>
      <c r="BG40" s="786">
        <f t="shared" si="6"/>
        <v>0</v>
      </c>
      <c r="BH40" s="786">
        <f t="shared" si="7"/>
        <v>0</v>
      </c>
    </row>
    <row r="41" spans="1:60" s="207" customFormat="1" ht="15" customHeight="1">
      <c r="A41" s="285">
        <v>32</v>
      </c>
      <c r="B41" s="208" t="s">
        <v>305</v>
      </c>
      <c r="C41" s="208" t="s">
        <v>51</v>
      </c>
      <c r="D41" s="332">
        <v>50</v>
      </c>
      <c r="E41" s="314">
        <v>948</v>
      </c>
      <c r="F41" s="100">
        <f>SUMIF(pro!$A:$A,INTGRATE!$Y:$Y,pro!$N:$N)</f>
        <v>0</v>
      </c>
      <c r="G41" s="314"/>
      <c r="H41" s="314">
        <f>SUMIF(CBIN!$A:$A,INTGRATE!$Y:$Y,CBIN!$G:$G)</f>
        <v>0</v>
      </c>
      <c r="I41" s="314">
        <f>SUMIF(data!$D:$D,INTGRATE!$B41&amp;INTGRATE!$D41,data!$J:$J)</f>
        <v>0</v>
      </c>
      <c r="J41" s="314"/>
      <c r="K41" s="314"/>
      <c r="L41" s="314">
        <f>SUMIF(data!$D:$D,INTGRATE!$B41&amp;INTGRATE!$D41,data!$K:$K)</f>
        <v>0</v>
      </c>
      <c r="M41" s="314">
        <f>SUMIF(AJOUT!$A:$A,INTGRATE!$Y:$Y,AJOUT!$L:$L)</f>
        <v>0</v>
      </c>
      <c r="N41" s="100">
        <f>SUMIF(CBOUT!$A:$A,INTGRATE!$Y:$Y,CBOUT!$G:$G)</f>
        <v>0</v>
      </c>
      <c r="O41" s="482">
        <f t="shared" si="17"/>
        <v>948</v>
      </c>
      <c r="P41" s="314">
        <f t="shared" si="1"/>
        <v>47400</v>
      </c>
      <c r="Q41" s="314">
        <f t="shared" si="18"/>
        <v>106700</v>
      </c>
      <c r="R41" s="314"/>
      <c r="S41" s="314"/>
      <c r="T41" s="1181">
        <f t="shared" si="3"/>
        <v>11855.555555555555</v>
      </c>
      <c r="U41" s="875">
        <f t="shared" si="19"/>
        <v>3.998125585754452</v>
      </c>
      <c r="V41" s="876"/>
      <c r="W41" s="345"/>
      <c r="X41" s="206"/>
      <c r="Y41" s="856" t="str">
        <f t="shared" si="20"/>
        <v>511NFP3550</v>
      </c>
      <c r="Z41" s="818">
        <v>11452835</v>
      </c>
      <c r="AA41" s="380"/>
      <c r="AB41" s="380">
        <v>44000</v>
      </c>
      <c r="AC41" s="314">
        <v>21300</v>
      </c>
      <c r="AD41" s="314">
        <v>0</v>
      </c>
      <c r="AE41" s="314">
        <v>0</v>
      </c>
      <c r="AF41" s="314">
        <v>0</v>
      </c>
      <c r="AG41" s="314">
        <v>27400</v>
      </c>
      <c r="AH41" s="314">
        <v>14000</v>
      </c>
      <c r="AI41" s="314">
        <v>0</v>
      </c>
      <c r="AJ41" s="314"/>
      <c r="AK41" s="314"/>
      <c r="AL41" s="314"/>
      <c r="AM41" s="314"/>
      <c r="AN41" s="314"/>
      <c r="AO41" s="314"/>
      <c r="AP41" s="314"/>
      <c r="AQ41" s="314"/>
      <c r="AR41" s="314"/>
      <c r="AS41" s="314"/>
      <c r="AT41" s="314"/>
      <c r="AU41" s="314"/>
      <c r="AV41" s="314"/>
      <c r="AW41" s="314"/>
      <c r="AX41" s="314"/>
      <c r="AY41" s="314"/>
      <c r="AZ41" s="314"/>
      <c r="BA41" s="314"/>
      <c r="BB41" s="314"/>
      <c r="BC41" s="314"/>
      <c r="BD41" s="314"/>
      <c r="BE41" s="314"/>
      <c r="BF41" s="205">
        <f t="shared" si="5"/>
        <v>106700</v>
      </c>
      <c r="BG41" s="786">
        <f t="shared" si="6"/>
        <v>4</v>
      </c>
      <c r="BH41" s="786">
        <f t="shared" si="7"/>
        <v>26675</v>
      </c>
    </row>
    <row r="42" spans="1:60" s="207" customFormat="1" ht="15" customHeight="1">
      <c r="A42" s="285">
        <v>33</v>
      </c>
      <c r="B42" s="208" t="s">
        <v>306</v>
      </c>
      <c r="C42" s="208" t="s">
        <v>51</v>
      </c>
      <c r="D42" s="332">
        <v>50</v>
      </c>
      <c r="E42" s="314">
        <v>0</v>
      </c>
      <c r="F42" s="100">
        <f>SUMIF(pro!$A:$A,INTGRATE!$Y:$Y,pro!$N:$N)</f>
        <v>0</v>
      </c>
      <c r="G42" s="314"/>
      <c r="H42" s="314">
        <f>SUMIF(CBIN!$A:$A,INTGRATE!$Y:$Y,CBIN!$G:$G)</f>
        <v>0</v>
      </c>
      <c r="I42" s="314">
        <f>SUMIF(data!$D:$D,INTGRATE!$B42&amp;INTGRATE!$D42,data!$J:$J)</f>
        <v>0</v>
      </c>
      <c r="J42" s="314"/>
      <c r="K42" s="314"/>
      <c r="L42" s="314">
        <f>SUMIF(data!$D:$D,INTGRATE!$B42&amp;INTGRATE!$D42,data!$K:$K)</f>
        <v>0</v>
      </c>
      <c r="M42" s="314">
        <f>SUMIF(AJOUT!$A:$A,INTGRATE!$Y:$Y,AJOUT!$L:$L)</f>
        <v>0</v>
      </c>
      <c r="N42" s="100">
        <f>SUMIF(CBOUT!$A:$A,INTGRATE!$Y:$Y,CBOUT!$G:$G)</f>
        <v>0</v>
      </c>
      <c r="O42" s="482">
        <f t="shared" si="17"/>
        <v>0</v>
      </c>
      <c r="P42" s="314">
        <f t="shared" si="1"/>
        <v>0</v>
      </c>
      <c r="Q42" s="314">
        <f t="shared" si="18"/>
        <v>0</v>
      </c>
      <c r="R42" s="314"/>
      <c r="S42" s="314"/>
      <c r="T42" s="1181">
        <f t="shared" ref="T42:T72" si="21">Q42/$N$293</f>
        <v>0</v>
      </c>
      <c r="U42" s="875">
        <f t="shared" si="19"/>
        <v>0</v>
      </c>
      <c r="V42" s="876"/>
      <c r="W42" s="345"/>
      <c r="X42" s="206"/>
      <c r="Y42" s="856" t="str">
        <f t="shared" si="20"/>
        <v>511NFP8550</v>
      </c>
      <c r="Z42" s="818">
        <v>11452885</v>
      </c>
      <c r="AA42" s="380"/>
      <c r="AB42" s="380">
        <v>0</v>
      </c>
      <c r="AC42" s="314">
        <v>0</v>
      </c>
      <c r="AD42" s="314">
        <v>0</v>
      </c>
      <c r="AE42" s="314">
        <v>0</v>
      </c>
      <c r="AF42" s="314">
        <v>0</v>
      </c>
      <c r="AG42" s="314">
        <v>0</v>
      </c>
      <c r="AH42" s="314">
        <v>0</v>
      </c>
      <c r="AI42" s="314">
        <v>0</v>
      </c>
      <c r="AJ42" s="314"/>
      <c r="AK42" s="314"/>
      <c r="AL42" s="314"/>
      <c r="AM42" s="314"/>
      <c r="AN42" s="314"/>
      <c r="AO42" s="314"/>
      <c r="AP42" s="314"/>
      <c r="AQ42" s="314"/>
      <c r="AR42" s="314"/>
      <c r="AS42" s="314"/>
      <c r="AT42" s="314"/>
      <c r="AU42" s="314"/>
      <c r="AV42" s="314"/>
      <c r="AW42" s="314"/>
      <c r="AX42" s="314"/>
      <c r="AY42" s="314"/>
      <c r="AZ42" s="314"/>
      <c r="BA42" s="314"/>
      <c r="BB42" s="314"/>
      <c r="BC42" s="314"/>
      <c r="BD42" s="314"/>
      <c r="BE42" s="314"/>
      <c r="BF42" s="205">
        <f t="shared" si="5"/>
        <v>0</v>
      </c>
      <c r="BG42" s="786">
        <f t="shared" si="6"/>
        <v>0</v>
      </c>
      <c r="BH42" s="786">
        <f t="shared" si="7"/>
        <v>0</v>
      </c>
    </row>
    <row r="43" spans="1:60" s="207" customFormat="1" ht="15" customHeight="1">
      <c r="A43" s="285">
        <v>34</v>
      </c>
      <c r="B43" s="208" t="s">
        <v>307</v>
      </c>
      <c r="C43" s="208" t="s">
        <v>51</v>
      </c>
      <c r="D43" s="332">
        <v>50</v>
      </c>
      <c r="E43" s="314">
        <v>0</v>
      </c>
      <c r="F43" s="100">
        <f>SUMIF(pro!$A:$A,INTGRATE!$Y:$Y,pro!$N:$N)</f>
        <v>0</v>
      </c>
      <c r="G43" s="314"/>
      <c r="H43" s="314">
        <f>SUMIF(CBIN!$A:$A,INTGRATE!$Y:$Y,CBIN!$G:$G)</f>
        <v>0</v>
      </c>
      <c r="I43" s="314">
        <f>SUMIF(data!$D:$D,INTGRATE!$B43&amp;INTGRATE!$D43,data!$J:$J)</f>
        <v>0</v>
      </c>
      <c r="J43" s="314"/>
      <c r="K43" s="314"/>
      <c r="L43" s="314">
        <f>SUMIF(data!$D:$D,INTGRATE!$B43&amp;INTGRATE!$D43,data!$K:$K)</f>
        <v>0</v>
      </c>
      <c r="M43" s="314">
        <f>SUMIF(AJOUT!$A:$A,INTGRATE!$Y:$Y,AJOUT!$L:$L)</f>
        <v>0</v>
      </c>
      <c r="N43" s="100">
        <f>SUMIF(CBOUT!$A:$A,INTGRATE!$Y:$Y,CBOUT!$G:$G)</f>
        <v>0</v>
      </c>
      <c r="O43" s="482">
        <f t="shared" si="17"/>
        <v>0</v>
      </c>
      <c r="P43" s="314">
        <f t="shared" si="1"/>
        <v>0</v>
      </c>
      <c r="Q43" s="314">
        <f t="shared" si="18"/>
        <v>0</v>
      </c>
      <c r="R43" s="314"/>
      <c r="S43" s="314"/>
      <c r="T43" s="1181">
        <f t="shared" si="21"/>
        <v>0</v>
      </c>
      <c r="U43" s="875">
        <f>IF(T43=0,0,P43/T43)</f>
        <v>0</v>
      </c>
      <c r="V43" s="876"/>
      <c r="W43" s="345"/>
      <c r="X43" s="206"/>
      <c r="Y43" s="856" t="str">
        <f>B43&amp;D43</f>
        <v>511NFP8750</v>
      </c>
      <c r="Z43" s="818">
        <v>11452887</v>
      </c>
      <c r="AA43" s="380"/>
      <c r="AB43" s="380">
        <v>0</v>
      </c>
      <c r="AC43" s="314">
        <v>0</v>
      </c>
      <c r="AD43" s="314">
        <v>0</v>
      </c>
      <c r="AE43" s="314">
        <v>0</v>
      </c>
      <c r="AF43" s="314">
        <v>0</v>
      </c>
      <c r="AG43" s="314">
        <v>0</v>
      </c>
      <c r="AH43" s="314">
        <v>0</v>
      </c>
      <c r="AI43" s="314">
        <v>0</v>
      </c>
      <c r="AJ43" s="314"/>
      <c r="AK43" s="314"/>
      <c r="AL43" s="314"/>
      <c r="AM43" s="314"/>
      <c r="AN43" s="314"/>
      <c r="AO43" s="314"/>
      <c r="AP43" s="314"/>
      <c r="AQ43" s="314"/>
      <c r="AR43" s="314"/>
      <c r="AS43" s="314"/>
      <c r="AT43" s="314"/>
      <c r="AU43" s="314"/>
      <c r="AV43" s="314"/>
      <c r="AW43" s="314"/>
      <c r="AX43" s="314"/>
      <c r="AY43" s="314"/>
      <c r="AZ43" s="314"/>
      <c r="BA43" s="314"/>
      <c r="BB43" s="314"/>
      <c r="BC43" s="314"/>
      <c r="BD43" s="314"/>
      <c r="BE43" s="314"/>
      <c r="BF43" s="205">
        <f t="shared" si="5"/>
        <v>0</v>
      </c>
      <c r="BG43" s="786">
        <f t="shared" si="6"/>
        <v>0</v>
      </c>
      <c r="BH43" s="786">
        <f t="shared" si="7"/>
        <v>0</v>
      </c>
    </row>
    <row r="44" spans="1:60" s="207" customFormat="1" ht="15" customHeight="1">
      <c r="A44" s="285">
        <v>35</v>
      </c>
      <c r="B44" s="208" t="s">
        <v>308</v>
      </c>
      <c r="C44" s="208" t="s">
        <v>64</v>
      </c>
      <c r="D44" s="332">
        <v>50</v>
      </c>
      <c r="E44" s="314">
        <v>0</v>
      </c>
      <c r="F44" s="100">
        <f>SUMIF(pro!$A:$A,INTGRATE!$Y:$Y,pro!$N:$N)</f>
        <v>0</v>
      </c>
      <c r="G44" s="314"/>
      <c r="H44" s="314">
        <f>SUMIF(CBIN!$A:$A,INTGRATE!$Y:$Y,CBIN!$G:$G)</f>
        <v>0</v>
      </c>
      <c r="I44" s="314">
        <f>SUMIF(data!$D:$D,INTGRATE!$B44&amp;INTGRATE!$D44,data!$J:$J)</f>
        <v>0</v>
      </c>
      <c r="J44" s="314"/>
      <c r="K44" s="314"/>
      <c r="L44" s="314">
        <f>SUMIF(data!$D:$D,INTGRATE!$B44&amp;INTGRATE!$D44,data!$K:$K)</f>
        <v>0</v>
      </c>
      <c r="M44" s="314">
        <f>SUMIF(AJOUT!$A:$A,INTGRATE!$Y:$Y,AJOUT!$L:$L)</f>
        <v>0</v>
      </c>
      <c r="N44" s="100">
        <f>SUMIF(CBOUT!$A:$A,INTGRATE!$Y:$Y,CBOUT!$G:$G)</f>
        <v>0</v>
      </c>
      <c r="O44" s="482">
        <f t="shared" si="17"/>
        <v>0</v>
      </c>
      <c r="P44" s="314">
        <f>O44*D44</f>
        <v>0</v>
      </c>
      <c r="Q44" s="314">
        <f>SUM(AA44:BE44)</f>
        <v>0</v>
      </c>
      <c r="R44" s="314"/>
      <c r="S44" s="314"/>
      <c r="T44" s="1181">
        <f t="shared" si="21"/>
        <v>0</v>
      </c>
      <c r="U44" s="875">
        <f>IF(T44=0,0,P44/T44)</f>
        <v>0</v>
      </c>
      <c r="V44" s="876"/>
      <c r="W44" s="345"/>
      <c r="X44" s="206"/>
      <c r="Y44" s="856" t="str">
        <f>B44&amp;D44</f>
        <v>513FTL350</v>
      </c>
      <c r="Z44" s="818">
        <v>115591</v>
      </c>
      <c r="AA44" s="380"/>
      <c r="AB44" s="380">
        <v>0</v>
      </c>
      <c r="AC44" s="314">
        <v>0</v>
      </c>
      <c r="AD44" s="314">
        <v>0</v>
      </c>
      <c r="AE44" s="314">
        <v>0</v>
      </c>
      <c r="AF44" s="314">
        <v>0</v>
      </c>
      <c r="AG44" s="314">
        <v>0</v>
      </c>
      <c r="AH44" s="314">
        <v>0</v>
      </c>
      <c r="AI44" s="314">
        <v>0</v>
      </c>
      <c r="AJ44" s="314"/>
      <c r="AK44" s="314"/>
      <c r="AL44" s="314"/>
      <c r="AM44" s="314"/>
      <c r="AN44" s="314"/>
      <c r="AO44" s="314"/>
      <c r="AP44" s="314"/>
      <c r="AQ44" s="314"/>
      <c r="AR44" s="314"/>
      <c r="AS44" s="314"/>
      <c r="AT44" s="314"/>
      <c r="AU44" s="314"/>
      <c r="AV44" s="314"/>
      <c r="AW44" s="314"/>
      <c r="AX44" s="314"/>
      <c r="AY44" s="314"/>
      <c r="AZ44" s="314"/>
      <c r="BA44" s="314"/>
      <c r="BB44" s="314"/>
      <c r="BC44" s="314"/>
      <c r="BD44" s="314"/>
      <c r="BE44" s="314"/>
      <c r="BF44" s="205">
        <f t="shared" si="5"/>
        <v>0</v>
      </c>
      <c r="BG44" s="786">
        <f t="shared" si="6"/>
        <v>0</v>
      </c>
      <c r="BH44" s="786">
        <f t="shared" si="7"/>
        <v>0</v>
      </c>
    </row>
    <row r="45" spans="1:60" s="207" customFormat="1" ht="15" customHeight="1">
      <c r="A45" s="285">
        <v>36</v>
      </c>
      <c r="B45" s="208" t="s">
        <v>309</v>
      </c>
      <c r="C45" s="208" t="s">
        <v>64</v>
      </c>
      <c r="D45" s="332">
        <v>50</v>
      </c>
      <c r="E45" s="314">
        <v>2</v>
      </c>
      <c r="F45" s="100">
        <f>SUMIF(pro!$A:$A,INTGRATE!$Y:$Y,pro!$N:$N)</f>
        <v>2453</v>
      </c>
      <c r="G45" s="314"/>
      <c r="H45" s="314">
        <f>SUMIF(CBIN!$A:$A,INTGRATE!$Y:$Y,CBIN!$G:$G)</f>
        <v>0</v>
      </c>
      <c r="I45" s="314">
        <f>SUMIF(data!$D:$D,INTGRATE!$B45&amp;INTGRATE!$D45,data!$J:$J)</f>
        <v>0</v>
      </c>
      <c r="J45" s="314"/>
      <c r="K45" s="314"/>
      <c r="L45" s="314">
        <f>SUMIF(data!$D:$D,INTGRATE!$B45&amp;INTGRATE!$D45,data!$K:$K)</f>
        <v>0</v>
      </c>
      <c r="M45" s="314">
        <f>SUMIF(AJOUT!$A:$A,INTGRATE!$Y:$Y,AJOUT!$L:$L)</f>
        <v>0</v>
      </c>
      <c r="N45" s="100">
        <f>SUMIF(CBOUT!$A:$A,INTGRATE!$Y:$Y,CBOUT!$G:$G)</f>
        <v>0</v>
      </c>
      <c r="O45" s="482">
        <f t="shared" si="17"/>
        <v>2455</v>
      </c>
      <c r="P45" s="314">
        <f t="shared" si="1"/>
        <v>122750</v>
      </c>
      <c r="Q45" s="314">
        <f t="shared" si="18"/>
        <v>103250</v>
      </c>
      <c r="R45" s="314"/>
      <c r="S45" s="314"/>
      <c r="T45" s="1181">
        <f t="shared" si="21"/>
        <v>11472.222222222223</v>
      </c>
      <c r="U45" s="875">
        <f t="shared" si="19"/>
        <v>10.699757869249394</v>
      </c>
      <c r="V45" s="876"/>
      <c r="W45" s="533"/>
      <c r="X45" s="534"/>
      <c r="Y45" s="856" t="str">
        <f t="shared" si="20"/>
        <v>513F50</v>
      </c>
      <c r="Z45" s="818" t="s">
        <v>310</v>
      </c>
      <c r="AA45" s="380"/>
      <c r="AB45" s="380">
        <v>15450</v>
      </c>
      <c r="AC45" s="314">
        <v>0</v>
      </c>
      <c r="AD45" s="314">
        <v>0</v>
      </c>
      <c r="AE45" s="314">
        <v>25350</v>
      </c>
      <c r="AF45" s="314">
        <v>0</v>
      </c>
      <c r="AG45" s="314">
        <v>0</v>
      </c>
      <c r="AH45" s="314">
        <v>41000</v>
      </c>
      <c r="AI45" s="314">
        <v>21450</v>
      </c>
      <c r="AJ45" s="314"/>
      <c r="AK45" s="314"/>
      <c r="AL45" s="314"/>
      <c r="AM45" s="314"/>
      <c r="AN45" s="314"/>
      <c r="AO45" s="314"/>
      <c r="AP45" s="314"/>
      <c r="AQ45" s="314"/>
      <c r="AR45" s="314"/>
      <c r="AS45" s="314"/>
      <c r="AT45" s="314"/>
      <c r="AU45" s="314"/>
      <c r="AV45" s="314"/>
      <c r="AW45" s="314"/>
      <c r="AX45" s="314"/>
      <c r="AY45" s="314"/>
      <c r="AZ45" s="314"/>
      <c r="BA45" s="314"/>
      <c r="BB45" s="314"/>
      <c r="BC45" s="314"/>
      <c r="BD45" s="314"/>
      <c r="BE45" s="314"/>
      <c r="BF45" s="205">
        <f t="shared" si="5"/>
        <v>103250</v>
      </c>
      <c r="BG45" s="786">
        <f t="shared" si="6"/>
        <v>4</v>
      </c>
      <c r="BH45" s="786">
        <f t="shared" si="7"/>
        <v>25812.5</v>
      </c>
    </row>
    <row r="46" spans="1:60" s="207" customFormat="1" ht="16.5" customHeight="1">
      <c r="A46" s="285">
        <v>37</v>
      </c>
      <c r="B46" s="282" t="s">
        <v>311</v>
      </c>
      <c r="C46" s="282" t="s">
        <v>51</v>
      </c>
      <c r="D46" s="1182">
        <v>50</v>
      </c>
      <c r="E46" s="314">
        <v>0</v>
      </c>
      <c r="F46" s="100">
        <f>SUMIF(pro!$A:$A,INTGRATE!$Y:$Y,pro!$N:$N)</f>
        <v>0</v>
      </c>
      <c r="G46" s="314"/>
      <c r="H46" s="314">
        <f>SUMIF(CBIN!$A:$A,INTGRATE!$Y:$Y,CBIN!$G:$G)</f>
        <v>0</v>
      </c>
      <c r="I46" s="314">
        <f>SUMIF(data!$D:$D,INTGRATE!$B46&amp;INTGRATE!$D46,data!$J:$J)</f>
        <v>0</v>
      </c>
      <c r="J46" s="314"/>
      <c r="K46" s="314"/>
      <c r="L46" s="314">
        <f>SUMIF(data!$D:$D,INTGRATE!$B46&amp;INTGRATE!$D46,data!$K:$K)</f>
        <v>0</v>
      </c>
      <c r="M46" s="314">
        <f>SUMIF(AJOUT!$A:$A,INTGRATE!$Y:$Y,AJOUT!$L:$L)</f>
        <v>0</v>
      </c>
      <c r="N46" s="100">
        <f>SUMIF(CBOUT!$A:$A,INTGRATE!$Y:$Y,CBOUT!$G:$G)</f>
        <v>0</v>
      </c>
      <c r="O46" s="482">
        <f t="shared" si="17"/>
        <v>0</v>
      </c>
      <c r="P46" s="314">
        <f t="shared" si="1"/>
        <v>0</v>
      </c>
      <c r="Q46" s="314">
        <f t="shared" si="18"/>
        <v>0</v>
      </c>
      <c r="R46" s="314"/>
      <c r="S46" s="314"/>
      <c r="T46" s="1181">
        <f t="shared" si="21"/>
        <v>0</v>
      </c>
      <c r="U46" s="875">
        <f t="shared" si="19"/>
        <v>0</v>
      </c>
      <c r="V46" s="876"/>
      <c r="W46" s="345"/>
      <c r="X46" s="206"/>
      <c r="Y46" s="856" t="str">
        <f t="shared" si="20"/>
        <v>521F50</v>
      </c>
      <c r="Z46" s="818" t="s">
        <v>312</v>
      </c>
      <c r="AA46" s="380"/>
      <c r="AB46" s="380">
        <v>0</v>
      </c>
      <c r="AC46" s="314">
        <v>0</v>
      </c>
      <c r="AD46" s="314">
        <v>0</v>
      </c>
      <c r="AE46" s="314">
        <v>0</v>
      </c>
      <c r="AF46" s="314">
        <v>0</v>
      </c>
      <c r="AG46" s="314">
        <v>0</v>
      </c>
      <c r="AH46" s="314">
        <v>0</v>
      </c>
      <c r="AI46" s="314">
        <v>0</v>
      </c>
      <c r="AJ46" s="314"/>
      <c r="AK46" s="314"/>
      <c r="AL46" s="314"/>
      <c r="AM46" s="314"/>
      <c r="AN46" s="314"/>
      <c r="AO46" s="314"/>
      <c r="AP46" s="314"/>
      <c r="AQ46" s="314"/>
      <c r="AR46" s="314"/>
      <c r="AS46" s="314"/>
      <c r="AT46" s="314"/>
      <c r="AU46" s="314"/>
      <c r="AV46" s="314"/>
      <c r="AW46" s="314"/>
      <c r="AX46" s="314"/>
      <c r="AY46" s="314"/>
      <c r="AZ46" s="314"/>
      <c r="BA46" s="314"/>
      <c r="BB46" s="314"/>
      <c r="BC46" s="314"/>
      <c r="BD46" s="314"/>
      <c r="BE46" s="314"/>
      <c r="BF46" s="205">
        <f t="shared" si="5"/>
        <v>0</v>
      </c>
      <c r="BG46" s="786">
        <f t="shared" si="6"/>
        <v>0</v>
      </c>
      <c r="BH46" s="786">
        <f t="shared" si="7"/>
        <v>0</v>
      </c>
    </row>
    <row r="47" spans="1:60" s="207" customFormat="1" ht="15" customHeight="1">
      <c r="A47" s="285">
        <v>38</v>
      </c>
      <c r="B47" s="282" t="s">
        <v>313</v>
      </c>
      <c r="C47" s="282" t="s">
        <v>51</v>
      </c>
      <c r="D47" s="1182">
        <v>50</v>
      </c>
      <c r="E47" s="314">
        <v>0</v>
      </c>
      <c r="F47" s="100">
        <f>SUMIF(pro!$A:$A,INTGRATE!$Y:$Y,pro!$N:$N)</f>
        <v>0</v>
      </c>
      <c r="G47" s="314"/>
      <c r="H47" s="314">
        <f>SUMIF(CBIN!$A:$A,INTGRATE!$Y:$Y,CBIN!$G:$G)</f>
        <v>0</v>
      </c>
      <c r="I47" s="314">
        <f>SUMIF(data!$D:$D,INTGRATE!$B47&amp;INTGRATE!$D47,data!$J:$J)</f>
        <v>0</v>
      </c>
      <c r="J47" s="314"/>
      <c r="K47" s="314"/>
      <c r="L47" s="314">
        <f>SUMIF(data!$D:$D,INTGRATE!$B47&amp;INTGRATE!$D47,data!$K:$K)</f>
        <v>0</v>
      </c>
      <c r="M47" s="314">
        <f>SUMIF(AJOUT!$A:$A,INTGRATE!$Y:$Y,AJOUT!$L:$L)</f>
        <v>0</v>
      </c>
      <c r="N47" s="100">
        <f>SUMIF(CBOUT!$A:$A,INTGRATE!$Y:$Y,CBOUT!$G:$G)</f>
        <v>0</v>
      </c>
      <c r="O47" s="482">
        <f t="shared" si="17"/>
        <v>0</v>
      </c>
      <c r="P47" s="314">
        <f t="shared" si="1"/>
        <v>0</v>
      </c>
      <c r="Q47" s="314">
        <f t="shared" si="18"/>
        <v>0</v>
      </c>
      <c r="R47" s="314"/>
      <c r="S47" s="314"/>
      <c r="T47" s="1181">
        <f t="shared" si="21"/>
        <v>0</v>
      </c>
      <c r="U47" s="875">
        <f t="shared" si="19"/>
        <v>0</v>
      </c>
      <c r="V47" s="876"/>
      <c r="W47" s="345"/>
      <c r="X47" s="206"/>
      <c r="Y47" s="856" t="str">
        <f t="shared" si="20"/>
        <v>521NF50</v>
      </c>
      <c r="Z47" s="818">
        <v>122021</v>
      </c>
      <c r="AA47" s="380"/>
      <c r="AB47" s="380">
        <v>0</v>
      </c>
      <c r="AC47" s="314">
        <v>0</v>
      </c>
      <c r="AD47" s="314">
        <v>0</v>
      </c>
      <c r="AE47" s="314">
        <v>0</v>
      </c>
      <c r="AF47" s="314">
        <v>0</v>
      </c>
      <c r="AG47" s="314">
        <v>0</v>
      </c>
      <c r="AH47" s="314">
        <v>0</v>
      </c>
      <c r="AI47" s="314">
        <v>0</v>
      </c>
      <c r="AJ47" s="314"/>
      <c r="AK47" s="314"/>
      <c r="AL47" s="314"/>
      <c r="AM47" s="314"/>
      <c r="AN47" s="314"/>
      <c r="AO47" s="314"/>
      <c r="AP47" s="314"/>
      <c r="AQ47" s="314"/>
      <c r="AR47" s="314"/>
      <c r="AS47" s="314"/>
      <c r="AT47" s="314"/>
      <c r="AU47" s="314"/>
      <c r="AV47" s="314"/>
      <c r="AW47" s="314"/>
      <c r="AX47" s="314"/>
      <c r="AY47" s="314"/>
      <c r="AZ47" s="314"/>
      <c r="BA47" s="314"/>
      <c r="BB47" s="314"/>
      <c r="BC47" s="314"/>
      <c r="BD47" s="314"/>
      <c r="BE47" s="314"/>
      <c r="BF47" s="205">
        <f t="shared" si="5"/>
        <v>0</v>
      </c>
      <c r="BG47" s="786">
        <f t="shared" si="6"/>
        <v>0</v>
      </c>
      <c r="BH47" s="786">
        <f t="shared" si="7"/>
        <v>0</v>
      </c>
    </row>
    <row r="48" spans="1:60" s="207" customFormat="1" ht="15" customHeight="1">
      <c r="A48" s="285">
        <v>39</v>
      </c>
      <c r="B48" s="282" t="s">
        <v>313</v>
      </c>
      <c r="C48" s="282" t="s">
        <v>51</v>
      </c>
      <c r="D48" s="1182">
        <v>25</v>
      </c>
      <c r="E48" s="314">
        <v>0</v>
      </c>
      <c r="F48" s="100">
        <f>SUMIF(pro!$A:$A,INTGRATE!$Y:$Y,pro!$N:$N)</f>
        <v>0</v>
      </c>
      <c r="G48" s="314"/>
      <c r="H48" s="314">
        <f>SUMIF(CBIN!$A:$A,INTGRATE!$Y:$Y,CBIN!$G:$G)</f>
        <v>0</v>
      </c>
      <c r="I48" s="314">
        <f>SUMIF(data!$D:$D,INTGRATE!$B48&amp;INTGRATE!$D48,data!$J:$J)</f>
        <v>0</v>
      </c>
      <c r="J48" s="314"/>
      <c r="K48" s="314"/>
      <c r="L48" s="314">
        <f>SUMIF(data!$D:$D,INTGRATE!$B48&amp;INTGRATE!$D48,data!$K:$K)</f>
        <v>0</v>
      </c>
      <c r="M48" s="314">
        <f>SUMIF(AJOUT!$A:$A,INTGRATE!$Y:$Y,AJOUT!$L:$L)</f>
        <v>0</v>
      </c>
      <c r="N48" s="100">
        <f>SUMIF(CBOUT!$A:$A,INTGRATE!$Y:$Y,CBOUT!$G:$G)</f>
        <v>0</v>
      </c>
      <c r="O48" s="482">
        <f t="shared" si="17"/>
        <v>0</v>
      </c>
      <c r="P48" s="314">
        <f t="shared" ref="P48:P55" si="22">O48*D48</f>
        <v>0</v>
      </c>
      <c r="Q48" s="314">
        <f t="shared" ref="Q48:Q55" si="23">SUM(AA48:BE48)</f>
        <v>0</v>
      </c>
      <c r="R48" s="314"/>
      <c r="S48" s="314"/>
      <c r="T48" s="322">
        <f t="shared" si="21"/>
        <v>0</v>
      </c>
      <c r="U48" s="875">
        <f t="shared" si="19"/>
        <v>0</v>
      </c>
      <c r="V48" s="876"/>
      <c r="W48" s="210"/>
      <c r="X48" s="206"/>
      <c r="Y48" s="856" t="str">
        <f t="shared" si="20"/>
        <v>521NF25</v>
      </c>
      <c r="Z48" s="818">
        <v>122021</v>
      </c>
      <c r="AA48" s="380"/>
      <c r="AB48" s="380">
        <v>0</v>
      </c>
      <c r="AC48" s="314">
        <v>0</v>
      </c>
      <c r="AD48" s="314">
        <v>0</v>
      </c>
      <c r="AE48" s="314">
        <v>0</v>
      </c>
      <c r="AF48" s="314">
        <v>0</v>
      </c>
      <c r="AG48" s="314">
        <v>0</v>
      </c>
      <c r="AH48" s="314">
        <v>0</v>
      </c>
      <c r="AI48" s="314">
        <v>0</v>
      </c>
      <c r="AJ48" s="314"/>
      <c r="AK48" s="314"/>
      <c r="AL48" s="314"/>
      <c r="AM48" s="314"/>
      <c r="AN48" s="314"/>
      <c r="AO48" s="314"/>
      <c r="AP48" s="314"/>
      <c r="AQ48" s="314"/>
      <c r="AR48" s="314"/>
      <c r="AS48" s="314"/>
      <c r="AT48" s="314"/>
      <c r="AU48" s="314"/>
      <c r="AV48" s="314"/>
      <c r="AW48" s="314"/>
      <c r="AX48" s="314"/>
      <c r="AY48" s="314"/>
      <c r="AZ48" s="314"/>
      <c r="BA48" s="314"/>
      <c r="BB48" s="314"/>
      <c r="BC48" s="314"/>
      <c r="BD48" s="314"/>
      <c r="BE48" s="314"/>
      <c r="BF48" s="205">
        <f t="shared" si="5"/>
        <v>0</v>
      </c>
      <c r="BG48" s="786">
        <f t="shared" si="6"/>
        <v>0</v>
      </c>
      <c r="BH48" s="786">
        <f t="shared" si="7"/>
        <v>0</v>
      </c>
    </row>
    <row r="49" spans="1:60" s="207" customFormat="1" ht="15" customHeight="1">
      <c r="A49" s="285">
        <v>40</v>
      </c>
      <c r="B49" s="282" t="s">
        <v>314</v>
      </c>
      <c r="C49" s="282" t="s">
        <v>51</v>
      </c>
      <c r="D49" s="1182">
        <v>50</v>
      </c>
      <c r="E49" s="314">
        <v>0</v>
      </c>
      <c r="F49" s="100">
        <f>SUMIF(pro!$A:$A,INTGRATE!$Y:$Y,pro!$N:$N)</f>
        <v>0</v>
      </c>
      <c r="G49" s="314"/>
      <c r="H49" s="314">
        <f>SUMIF(CBIN!$A:$A,INTGRATE!$Y:$Y,CBIN!$G:$G)</f>
        <v>0</v>
      </c>
      <c r="I49" s="314">
        <f>SUMIF(data!$D:$D,INTGRATE!$B49&amp;INTGRATE!$D49,data!$J:$J)</f>
        <v>0</v>
      </c>
      <c r="J49" s="314"/>
      <c r="K49" s="314"/>
      <c r="L49" s="314">
        <f>SUMIF(data!$D:$D,INTGRATE!$B49&amp;INTGRATE!$D49,data!$K:$K)</f>
        <v>0</v>
      </c>
      <c r="M49" s="314">
        <f>SUMIF(AJOUT!$A:$A,INTGRATE!$Y:$Y,AJOUT!$L:$L)</f>
        <v>0</v>
      </c>
      <c r="N49" s="100">
        <f>SUMIF(CBOUT!$A:$A,INTGRATE!$Y:$Y,CBOUT!$G:$G)</f>
        <v>0</v>
      </c>
      <c r="O49" s="482">
        <f t="shared" si="17"/>
        <v>0</v>
      </c>
      <c r="P49" s="314">
        <f t="shared" si="22"/>
        <v>0</v>
      </c>
      <c r="Q49" s="314">
        <f t="shared" si="23"/>
        <v>0</v>
      </c>
      <c r="R49" s="314"/>
      <c r="S49" s="314"/>
      <c r="T49" s="1181">
        <f t="shared" si="21"/>
        <v>0</v>
      </c>
      <c r="U49" s="875">
        <f t="shared" si="19"/>
        <v>0</v>
      </c>
      <c r="V49" s="876"/>
      <c r="W49" s="345"/>
      <c r="X49" s="206"/>
      <c r="Y49" s="856" t="str">
        <f t="shared" si="20"/>
        <v>521NFP4450</v>
      </c>
      <c r="Z49" s="818">
        <v>12202840</v>
      </c>
      <c r="AA49" s="380"/>
      <c r="AB49" s="380">
        <v>0</v>
      </c>
      <c r="AC49" s="314">
        <v>0</v>
      </c>
      <c r="AD49" s="314">
        <v>0</v>
      </c>
      <c r="AE49" s="314">
        <v>0</v>
      </c>
      <c r="AF49" s="314">
        <v>0</v>
      </c>
      <c r="AG49" s="314">
        <v>0</v>
      </c>
      <c r="AH49" s="314">
        <v>0</v>
      </c>
      <c r="AI49" s="314">
        <v>0</v>
      </c>
      <c r="AJ49" s="314"/>
      <c r="AK49" s="314"/>
      <c r="AL49" s="314"/>
      <c r="AM49" s="314"/>
      <c r="AN49" s="314"/>
      <c r="AO49" s="314"/>
      <c r="AP49" s="314"/>
      <c r="AQ49" s="314"/>
      <c r="AR49" s="314"/>
      <c r="AS49" s="314"/>
      <c r="AT49" s="314"/>
      <c r="AU49" s="314"/>
      <c r="AV49" s="314"/>
      <c r="AW49" s="314"/>
      <c r="AX49" s="314"/>
      <c r="AY49" s="314"/>
      <c r="AZ49" s="314"/>
      <c r="BA49" s="314"/>
      <c r="BB49" s="314"/>
      <c r="BC49" s="314"/>
      <c r="BD49" s="314"/>
      <c r="BE49" s="314"/>
      <c r="BF49" s="205">
        <f t="shared" si="5"/>
        <v>0</v>
      </c>
      <c r="BG49" s="786">
        <f t="shared" si="6"/>
        <v>0</v>
      </c>
      <c r="BH49" s="786">
        <f t="shared" si="7"/>
        <v>0</v>
      </c>
    </row>
    <row r="50" spans="1:60" s="207" customFormat="1" ht="15" customHeight="1">
      <c r="A50" s="285">
        <v>41</v>
      </c>
      <c r="B50" s="282" t="s">
        <v>315</v>
      </c>
      <c r="C50" s="282" t="s">
        <v>51</v>
      </c>
      <c r="D50" s="1182">
        <v>50</v>
      </c>
      <c r="E50" s="314">
        <v>0</v>
      </c>
      <c r="F50" s="100">
        <v>0</v>
      </c>
      <c r="G50" s="314"/>
      <c r="H50" s="314">
        <f>SUMIF(CBIN!$A:$A,INTGRATE!$Y:$Y,CBIN!$G:$G)</f>
        <v>0</v>
      </c>
      <c r="I50" s="314">
        <f>SUMIF(data!$D:$D,INTGRATE!$B50&amp;INTGRATE!$D50,data!$J:$J)</f>
        <v>0</v>
      </c>
      <c r="J50" s="314"/>
      <c r="K50" s="314"/>
      <c r="L50" s="314">
        <f>SUMIF(data!$D:$D,INTGRATE!$B50&amp;INTGRATE!$D50,data!$K:$K)</f>
        <v>0</v>
      </c>
      <c r="M50" s="314">
        <f>SUMIF(AJOUT!$A:$A,INTGRATE!$Y:$Y,AJOUT!$L:$L)</f>
        <v>0</v>
      </c>
      <c r="N50" s="100">
        <f>SUMIF(CBOUT!$A:$A,INTGRATE!$Y:$Y,CBOUT!$G:$G)</f>
        <v>0</v>
      </c>
      <c r="O50" s="482">
        <f t="shared" si="17"/>
        <v>0</v>
      </c>
      <c r="P50" s="314">
        <f t="shared" si="22"/>
        <v>0</v>
      </c>
      <c r="Q50" s="314">
        <f t="shared" si="23"/>
        <v>0</v>
      </c>
      <c r="R50" s="314"/>
      <c r="S50" s="314"/>
      <c r="T50" s="322">
        <f t="shared" si="21"/>
        <v>0</v>
      </c>
      <c r="U50" s="875">
        <f t="shared" si="19"/>
        <v>0</v>
      </c>
      <c r="V50" s="876"/>
      <c r="W50" s="345"/>
      <c r="X50" s="206"/>
      <c r="Y50" s="856" t="str">
        <f t="shared" si="20"/>
        <v>522F50</v>
      </c>
      <c r="Z50" s="818" t="s">
        <v>316</v>
      </c>
      <c r="AA50" s="380"/>
      <c r="AB50" s="380">
        <v>0</v>
      </c>
      <c r="AC50" s="314">
        <v>0</v>
      </c>
      <c r="AD50" s="314">
        <v>0</v>
      </c>
      <c r="AE50" s="314">
        <v>0</v>
      </c>
      <c r="AF50" s="314">
        <v>0</v>
      </c>
      <c r="AG50" s="314">
        <v>0</v>
      </c>
      <c r="AH50" s="314">
        <v>0</v>
      </c>
      <c r="AI50" s="314">
        <v>0</v>
      </c>
      <c r="AJ50" s="314"/>
      <c r="AK50" s="314"/>
      <c r="AL50" s="314"/>
      <c r="AM50" s="314"/>
      <c r="AN50" s="314"/>
      <c r="AO50" s="314"/>
      <c r="AP50" s="314"/>
      <c r="AQ50" s="314"/>
      <c r="AR50" s="314"/>
      <c r="AS50" s="314"/>
      <c r="AT50" s="314"/>
      <c r="AU50" s="314"/>
      <c r="AV50" s="314"/>
      <c r="AW50" s="314"/>
      <c r="AX50" s="314"/>
      <c r="AY50" s="314"/>
      <c r="AZ50" s="314"/>
      <c r="BA50" s="314"/>
      <c r="BB50" s="314"/>
      <c r="BC50" s="314"/>
      <c r="BD50" s="314"/>
      <c r="BE50" s="314"/>
      <c r="BF50" s="205">
        <f t="shared" si="5"/>
        <v>0</v>
      </c>
      <c r="BG50" s="786">
        <f t="shared" si="6"/>
        <v>0</v>
      </c>
      <c r="BH50" s="786">
        <f t="shared" si="7"/>
        <v>0</v>
      </c>
    </row>
    <row r="51" spans="1:60" s="207" customFormat="1" ht="15" customHeight="1">
      <c r="A51" s="285">
        <v>42</v>
      </c>
      <c r="B51" s="282" t="s">
        <v>317</v>
      </c>
      <c r="C51" s="282" t="s">
        <v>51</v>
      </c>
      <c r="D51" s="1182">
        <v>50</v>
      </c>
      <c r="E51" s="314">
        <v>0</v>
      </c>
      <c r="F51" s="100">
        <f>SUMIF(pro!$A:$A,INTGRATE!$Y:$Y,pro!$N:$N)</f>
        <v>0</v>
      </c>
      <c r="G51" s="314"/>
      <c r="H51" s="314">
        <f>SUMIF(CBIN!$A:$A,INTGRATE!$Y:$Y,CBIN!$G:$G)</f>
        <v>0</v>
      </c>
      <c r="I51" s="314">
        <f>SUMIF(data!$D:$D,INTGRATE!$B51&amp;INTGRATE!$D51,data!$J:$J)</f>
        <v>0</v>
      </c>
      <c r="J51" s="314"/>
      <c r="K51" s="314"/>
      <c r="L51" s="314">
        <f>SUMIF(data!$D:$D,INTGRATE!$B51&amp;INTGRATE!$D51,data!$K:$K)</f>
        <v>0</v>
      </c>
      <c r="M51" s="314">
        <f>SUMIF(AJOUT!$A:$A,INTGRATE!$Y:$Y,AJOUT!$L:$L)</f>
        <v>0</v>
      </c>
      <c r="N51" s="100">
        <f>SUMIF(CBOUT!$A:$A,INTGRATE!$Y:$Y,CBOUT!$G:$G)</f>
        <v>0</v>
      </c>
      <c r="O51" s="482">
        <f t="shared" si="17"/>
        <v>0</v>
      </c>
      <c r="P51" s="314">
        <f t="shared" si="22"/>
        <v>0</v>
      </c>
      <c r="Q51" s="314">
        <f t="shared" si="23"/>
        <v>0</v>
      </c>
      <c r="R51" s="314"/>
      <c r="S51" s="314"/>
      <c r="T51" s="322">
        <f t="shared" si="21"/>
        <v>0</v>
      </c>
      <c r="U51" s="875">
        <f t="shared" si="19"/>
        <v>0</v>
      </c>
      <c r="V51" s="876"/>
      <c r="W51" s="345"/>
      <c r="X51" s="206"/>
      <c r="Y51" s="856" t="str">
        <f t="shared" si="20"/>
        <v>522NF50</v>
      </c>
      <c r="Z51" s="818">
        <v>123021</v>
      </c>
      <c r="AA51" s="380"/>
      <c r="AB51" s="380">
        <v>0</v>
      </c>
      <c r="AC51" s="314">
        <v>0</v>
      </c>
      <c r="AD51" s="314">
        <v>0</v>
      </c>
      <c r="AE51" s="314">
        <v>0</v>
      </c>
      <c r="AF51" s="314">
        <v>0</v>
      </c>
      <c r="AG51" s="314">
        <v>0</v>
      </c>
      <c r="AH51" s="314">
        <v>0</v>
      </c>
      <c r="AI51" s="314">
        <v>0</v>
      </c>
      <c r="AJ51" s="314"/>
      <c r="AK51" s="314"/>
      <c r="AL51" s="314"/>
      <c r="AM51" s="314"/>
      <c r="AN51" s="314"/>
      <c r="AO51" s="314"/>
      <c r="AP51" s="314"/>
      <c r="AQ51" s="314"/>
      <c r="AR51" s="314"/>
      <c r="AS51" s="314"/>
      <c r="AT51" s="314"/>
      <c r="AU51" s="314"/>
      <c r="AV51" s="314"/>
      <c r="AW51" s="314"/>
      <c r="AX51" s="314"/>
      <c r="AY51" s="314"/>
      <c r="AZ51" s="314"/>
      <c r="BA51" s="314"/>
      <c r="BB51" s="314"/>
      <c r="BC51" s="314"/>
      <c r="BD51" s="314"/>
      <c r="BE51" s="314"/>
      <c r="BF51" s="205">
        <f t="shared" si="5"/>
        <v>0</v>
      </c>
      <c r="BG51" s="786">
        <f t="shared" si="6"/>
        <v>0</v>
      </c>
      <c r="BH51" s="786">
        <f t="shared" si="7"/>
        <v>0</v>
      </c>
    </row>
    <row r="52" spans="1:60" s="207" customFormat="1" ht="15" customHeight="1">
      <c r="A52" s="285">
        <v>43</v>
      </c>
      <c r="B52" s="282" t="s">
        <v>318</v>
      </c>
      <c r="C52" s="282" t="s">
        <v>51</v>
      </c>
      <c r="D52" s="1182">
        <v>25</v>
      </c>
      <c r="E52" s="314">
        <v>0</v>
      </c>
      <c r="F52" s="100">
        <f>SUMIF(pro!$A:$A,INTGRATE!$Y:$Y,pro!$N:$N)</f>
        <v>0</v>
      </c>
      <c r="G52" s="314"/>
      <c r="H52" s="314">
        <f>SUMIF(CBIN!$A:$A,INTGRATE!$Y:$Y,CBIN!$G:$G)</f>
        <v>0</v>
      </c>
      <c r="I52" s="314">
        <f>SUMIF(data!$D:$D,INTGRATE!$B52&amp;INTGRATE!$D52,data!$J:$J)</f>
        <v>0</v>
      </c>
      <c r="J52" s="314"/>
      <c r="K52" s="314"/>
      <c r="L52" s="314">
        <f>SUMIF(data!$D:$D,INTGRATE!$B52&amp;INTGRATE!$D52,data!$K:$K)</f>
        <v>0</v>
      </c>
      <c r="M52" s="314">
        <f>SUMIF(AJOUT!$A:$A,INTGRATE!$Y:$Y,AJOUT!$L:$L)</f>
        <v>0</v>
      </c>
      <c r="N52" s="100">
        <f>SUMIF(CBOUT!$A:$A,INTGRATE!$Y:$Y,CBOUT!$G:$G)</f>
        <v>0</v>
      </c>
      <c r="O52" s="482">
        <f t="shared" si="17"/>
        <v>0</v>
      </c>
      <c r="P52" s="314">
        <f>O52*D52</f>
        <v>0</v>
      </c>
      <c r="Q52" s="314">
        <f>SUM(AA52:BE52)</f>
        <v>0</v>
      </c>
      <c r="R52" s="314"/>
      <c r="S52" s="314"/>
      <c r="T52" s="322">
        <f t="shared" si="21"/>
        <v>0</v>
      </c>
      <c r="U52" s="875">
        <f>IF(T52=0,0,P52/T52)</f>
        <v>0</v>
      </c>
      <c r="V52" s="876"/>
      <c r="W52" s="345"/>
      <c r="X52" s="206"/>
      <c r="Y52" s="856" t="str">
        <f t="shared" si="20"/>
        <v>524F25</v>
      </c>
      <c r="Z52" s="818">
        <v>127001</v>
      </c>
      <c r="AA52" s="380"/>
      <c r="AB52" s="380">
        <v>0</v>
      </c>
      <c r="AC52" s="314">
        <v>0</v>
      </c>
      <c r="AD52" s="314">
        <v>0</v>
      </c>
      <c r="AE52" s="314">
        <v>0</v>
      </c>
      <c r="AF52" s="314">
        <v>0</v>
      </c>
      <c r="AG52" s="314">
        <v>0</v>
      </c>
      <c r="AH52" s="314">
        <v>0</v>
      </c>
      <c r="AI52" s="314">
        <v>0</v>
      </c>
      <c r="AJ52" s="314"/>
      <c r="AK52" s="314"/>
      <c r="AL52" s="314"/>
      <c r="AM52" s="314"/>
      <c r="AN52" s="314"/>
      <c r="AO52" s="314"/>
      <c r="AP52" s="314"/>
      <c r="AQ52" s="314"/>
      <c r="AR52" s="314"/>
      <c r="AS52" s="314"/>
      <c r="AT52" s="314"/>
      <c r="AU52" s="314"/>
      <c r="AV52" s="314"/>
      <c r="AW52" s="314"/>
      <c r="AX52" s="314"/>
      <c r="AY52" s="314"/>
      <c r="AZ52" s="314"/>
      <c r="BA52" s="314"/>
      <c r="BB52" s="314"/>
      <c r="BC52" s="314"/>
      <c r="BD52" s="314"/>
      <c r="BE52" s="314"/>
      <c r="BF52" s="205">
        <f t="shared" si="5"/>
        <v>0</v>
      </c>
      <c r="BG52" s="786">
        <f t="shared" si="6"/>
        <v>0</v>
      </c>
      <c r="BH52" s="786">
        <f t="shared" si="7"/>
        <v>0</v>
      </c>
    </row>
    <row r="53" spans="1:60" s="207" customFormat="1" ht="15" customHeight="1">
      <c r="A53" s="285">
        <v>44</v>
      </c>
      <c r="B53" s="282" t="s">
        <v>319</v>
      </c>
      <c r="C53" s="282" t="s">
        <v>51</v>
      </c>
      <c r="D53" s="1182">
        <v>25</v>
      </c>
      <c r="E53" s="314">
        <v>0</v>
      </c>
      <c r="F53" s="100">
        <f>SUMIF(pro!$A:$A,INTGRATE!$Y:$Y,pro!$N:$N)</f>
        <v>0</v>
      </c>
      <c r="G53" s="314"/>
      <c r="H53" s="314">
        <f>SUMIF(CBIN!$A:$A,INTGRATE!$Y:$Y,CBIN!$G:$G)</f>
        <v>0</v>
      </c>
      <c r="I53" s="314">
        <f>SUMIF(data!$D:$D,INTGRATE!$B53&amp;INTGRATE!$D53,data!$J:$J)</f>
        <v>0</v>
      </c>
      <c r="J53" s="314"/>
      <c r="K53" s="314"/>
      <c r="L53" s="314">
        <f>SUMIF(data!$D:$D,INTGRATE!$B53&amp;INTGRATE!$D53,data!$K:$K)</f>
        <v>0</v>
      </c>
      <c r="M53" s="314">
        <f>SUMIF(AJOUT!$A:$A,INTGRATE!$Y:$Y,AJOUT!$L:$L)</f>
        <v>0</v>
      </c>
      <c r="N53" s="100">
        <f>SUMIF(CBOUT!$A:$A,INTGRATE!$Y:$Y,CBOUT!$G:$G)</f>
        <v>0</v>
      </c>
      <c r="O53" s="482">
        <f t="shared" si="17"/>
        <v>0</v>
      </c>
      <c r="P53" s="314">
        <f t="shared" si="22"/>
        <v>0</v>
      </c>
      <c r="Q53" s="314">
        <f t="shared" si="23"/>
        <v>0</v>
      </c>
      <c r="R53" s="314"/>
      <c r="S53" s="314"/>
      <c r="T53" s="322">
        <f t="shared" si="21"/>
        <v>0</v>
      </c>
      <c r="U53" s="875">
        <f t="shared" si="19"/>
        <v>0</v>
      </c>
      <c r="V53" s="876"/>
      <c r="W53" s="345"/>
      <c r="X53" s="206"/>
      <c r="Y53" s="856" t="str">
        <f t="shared" si="20"/>
        <v>531NF25</v>
      </c>
      <c r="Z53" s="818">
        <v>132011</v>
      </c>
      <c r="AA53" s="380"/>
      <c r="AB53" s="380">
        <v>0</v>
      </c>
      <c r="AC53" s="314">
        <v>0</v>
      </c>
      <c r="AD53" s="314">
        <v>0</v>
      </c>
      <c r="AE53" s="314">
        <v>0</v>
      </c>
      <c r="AF53" s="314">
        <v>0</v>
      </c>
      <c r="AG53" s="314">
        <v>0</v>
      </c>
      <c r="AH53" s="314">
        <v>0</v>
      </c>
      <c r="AI53" s="314">
        <v>0</v>
      </c>
      <c r="AJ53" s="314"/>
      <c r="AK53" s="314"/>
      <c r="AL53" s="314"/>
      <c r="AM53" s="314"/>
      <c r="AN53" s="314"/>
      <c r="AO53" s="314"/>
      <c r="AP53" s="314"/>
      <c r="AQ53" s="314"/>
      <c r="AR53" s="314"/>
      <c r="AS53" s="314"/>
      <c r="AT53" s="314"/>
      <c r="AU53" s="314"/>
      <c r="AV53" s="314"/>
      <c r="AW53" s="314"/>
      <c r="AX53" s="314"/>
      <c r="AY53" s="314"/>
      <c r="AZ53" s="314"/>
      <c r="BA53" s="314"/>
      <c r="BB53" s="314"/>
      <c r="BC53" s="314"/>
      <c r="BD53" s="314"/>
      <c r="BE53" s="314"/>
      <c r="BF53" s="205">
        <f t="shared" si="5"/>
        <v>0</v>
      </c>
      <c r="BG53" s="786">
        <f t="shared" si="6"/>
        <v>0</v>
      </c>
      <c r="BH53" s="786">
        <f t="shared" si="7"/>
        <v>0</v>
      </c>
    </row>
    <row r="54" spans="1:60" s="207" customFormat="1" ht="15" customHeight="1">
      <c r="A54" s="285">
        <v>45</v>
      </c>
      <c r="B54" s="282" t="s">
        <v>319</v>
      </c>
      <c r="C54" s="282" t="s">
        <v>51</v>
      </c>
      <c r="D54" s="1182">
        <v>50</v>
      </c>
      <c r="E54" s="314">
        <v>0</v>
      </c>
      <c r="F54" s="100">
        <f>SUMIF(pro!$A:$A,INTGRATE!$Y:$Y,pro!$N:$N)</f>
        <v>0</v>
      </c>
      <c r="G54" s="314"/>
      <c r="H54" s="314">
        <f>SUMIF(CBIN!$A:$A,INTGRATE!$Y:$Y,CBIN!$G:$G)</f>
        <v>0</v>
      </c>
      <c r="I54" s="314">
        <f>SUMIF(data!$D:$D,INTGRATE!$B54&amp;INTGRATE!$D54,data!$J:$J)</f>
        <v>0</v>
      </c>
      <c r="J54" s="314"/>
      <c r="K54" s="314"/>
      <c r="L54" s="314">
        <f>SUMIF(data!$D:$D,INTGRATE!$B54&amp;INTGRATE!$D54,data!$K:$K)</f>
        <v>0</v>
      </c>
      <c r="M54" s="314">
        <f>SUMIF(AJOUT!$A:$A,INTGRATE!$Y:$Y,AJOUT!$L:$L)</f>
        <v>0</v>
      </c>
      <c r="N54" s="100">
        <f>SUMIF(CBOUT!$A:$A,INTGRATE!$Y:$Y,CBOUT!$G:$G)</f>
        <v>0</v>
      </c>
      <c r="O54" s="482">
        <f t="shared" si="17"/>
        <v>0</v>
      </c>
      <c r="P54" s="314">
        <f t="shared" si="22"/>
        <v>0</v>
      </c>
      <c r="Q54" s="314">
        <f t="shared" si="23"/>
        <v>0</v>
      </c>
      <c r="R54" s="314"/>
      <c r="S54" s="314"/>
      <c r="T54" s="322">
        <f t="shared" si="21"/>
        <v>0</v>
      </c>
      <c r="U54" s="875">
        <f t="shared" si="19"/>
        <v>0</v>
      </c>
      <c r="V54" s="876"/>
      <c r="W54" s="345"/>
      <c r="X54" s="206"/>
      <c r="Y54" s="856" t="str">
        <f t="shared" si="20"/>
        <v>531NF50</v>
      </c>
      <c r="Z54" s="818">
        <v>132011</v>
      </c>
      <c r="AA54" s="380"/>
      <c r="AB54" s="380">
        <v>0</v>
      </c>
      <c r="AC54" s="314">
        <v>0</v>
      </c>
      <c r="AD54" s="314">
        <v>0</v>
      </c>
      <c r="AE54" s="314">
        <v>0</v>
      </c>
      <c r="AF54" s="314">
        <v>0</v>
      </c>
      <c r="AG54" s="314">
        <v>0</v>
      </c>
      <c r="AH54" s="314">
        <v>0</v>
      </c>
      <c r="AI54" s="314">
        <v>0</v>
      </c>
      <c r="AJ54" s="314"/>
      <c r="AK54" s="314"/>
      <c r="AL54" s="314"/>
      <c r="AM54" s="314"/>
      <c r="AN54" s="314"/>
      <c r="AO54" s="314"/>
      <c r="AP54" s="314"/>
      <c r="AQ54" s="314"/>
      <c r="AR54" s="314"/>
      <c r="AS54" s="314"/>
      <c r="AT54" s="314"/>
      <c r="AU54" s="314"/>
      <c r="AV54" s="314"/>
      <c r="AW54" s="314"/>
      <c r="AX54" s="314"/>
      <c r="AY54" s="314"/>
      <c r="AZ54" s="314"/>
      <c r="BA54" s="314"/>
      <c r="BB54" s="314"/>
      <c r="BC54" s="314"/>
      <c r="BD54" s="314"/>
      <c r="BE54" s="314"/>
      <c r="BF54" s="205">
        <f t="shared" si="5"/>
        <v>0</v>
      </c>
      <c r="BG54" s="786">
        <f t="shared" si="6"/>
        <v>0</v>
      </c>
      <c r="BH54" s="786">
        <f t="shared" si="7"/>
        <v>0</v>
      </c>
    </row>
    <row r="55" spans="1:60" s="207" customFormat="1" ht="15" customHeight="1">
      <c r="A55" s="285">
        <v>46</v>
      </c>
      <c r="B55" s="282" t="s">
        <v>320</v>
      </c>
      <c r="C55" s="282" t="s">
        <v>51</v>
      </c>
      <c r="D55" s="1182">
        <v>50</v>
      </c>
      <c r="E55" s="314">
        <v>0</v>
      </c>
      <c r="F55" s="100">
        <f>SUMIF(pro!$A:$A,INTGRATE!$Y:$Y,pro!$N:$N)</f>
        <v>0</v>
      </c>
      <c r="G55" s="314"/>
      <c r="H55" s="314">
        <f>SUMIF(CBIN!$A:$A,INTGRATE!$Y:$Y,CBIN!$G:$G)</f>
        <v>0</v>
      </c>
      <c r="I55" s="314">
        <f>SUMIF(data!$D:$D,INTGRATE!$B55&amp;INTGRATE!$D55,data!$J:$J)</f>
        <v>0</v>
      </c>
      <c r="J55" s="314"/>
      <c r="K55" s="314"/>
      <c r="L55" s="314">
        <f>SUMIF(data!$D:$D,INTGRATE!$B55&amp;INTGRATE!$D55,data!$K:$K)</f>
        <v>0</v>
      </c>
      <c r="M55" s="314">
        <f>SUMIF(AJOUT!$A:$A,INTGRATE!$Y:$Y,AJOUT!$L:$L)</f>
        <v>0</v>
      </c>
      <c r="N55" s="100">
        <f>SUMIF(CBOUT!$A:$A,INTGRATE!$Y:$Y,CBOUT!$G:$G)</f>
        <v>0</v>
      </c>
      <c r="O55" s="482">
        <f t="shared" si="17"/>
        <v>0</v>
      </c>
      <c r="P55" s="314">
        <f t="shared" si="22"/>
        <v>0</v>
      </c>
      <c r="Q55" s="314">
        <f t="shared" si="23"/>
        <v>0</v>
      </c>
      <c r="R55" s="314"/>
      <c r="S55" s="314"/>
      <c r="T55" s="322">
        <f t="shared" si="21"/>
        <v>0</v>
      </c>
      <c r="U55" s="875">
        <f t="shared" si="19"/>
        <v>0</v>
      </c>
      <c r="V55" s="876"/>
      <c r="W55" s="345"/>
      <c r="X55" s="206"/>
      <c r="Y55" s="856" t="str">
        <f t="shared" si="20"/>
        <v>532NF50</v>
      </c>
      <c r="Z55" s="818" t="s">
        <v>321</v>
      </c>
      <c r="AA55" s="380"/>
      <c r="AB55" s="380">
        <v>0</v>
      </c>
      <c r="AC55" s="314">
        <v>0</v>
      </c>
      <c r="AD55" s="314">
        <v>0</v>
      </c>
      <c r="AE55" s="314">
        <v>0</v>
      </c>
      <c r="AF55" s="314">
        <v>0</v>
      </c>
      <c r="AG55" s="314">
        <v>0</v>
      </c>
      <c r="AH55" s="314">
        <v>0</v>
      </c>
      <c r="AI55" s="314">
        <v>0</v>
      </c>
      <c r="AJ55" s="314"/>
      <c r="AK55" s="314"/>
      <c r="AL55" s="314"/>
      <c r="AM55" s="314"/>
      <c r="AN55" s="314"/>
      <c r="AO55" s="314"/>
      <c r="AP55" s="314"/>
      <c r="AQ55" s="314"/>
      <c r="AR55" s="314"/>
      <c r="AS55" s="314"/>
      <c r="AT55" s="314"/>
      <c r="AU55" s="314"/>
      <c r="AV55" s="314"/>
      <c r="AW55" s="314"/>
      <c r="AX55" s="314"/>
      <c r="AY55" s="314"/>
      <c r="AZ55" s="314"/>
      <c r="BA55" s="314"/>
      <c r="BB55" s="314"/>
      <c r="BC55" s="314"/>
      <c r="BD55" s="314"/>
      <c r="BE55" s="314"/>
      <c r="BF55" s="205">
        <f t="shared" si="5"/>
        <v>0</v>
      </c>
      <c r="BG55" s="786">
        <f t="shared" si="6"/>
        <v>0</v>
      </c>
      <c r="BH55" s="786">
        <f t="shared" si="7"/>
        <v>0</v>
      </c>
    </row>
    <row r="56" spans="1:60" s="207" customFormat="1" ht="15" customHeight="1">
      <c r="A56" s="285">
        <v>47</v>
      </c>
      <c r="B56" s="209" t="s">
        <v>322</v>
      </c>
      <c r="C56" s="209" t="s">
        <v>64</v>
      </c>
      <c r="D56" s="333">
        <v>50</v>
      </c>
      <c r="E56" s="314">
        <v>1504</v>
      </c>
      <c r="F56" s="100">
        <f>SUMIF(pro!$A:$A,INTGRATE!$Y:$Y,pro!$N:$N)</f>
        <v>0</v>
      </c>
      <c r="G56" s="314"/>
      <c r="H56" s="314">
        <f>SUMIF(CBIN!$A:$A,INTGRATE!$Y:$Y,CBIN!$G:$G)</f>
        <v>0</v>
      </c>
      <c r="I56" s="314">
        <f>SUMIF(data!$D:$D,INTGRATE!$B56&amp;INTGRATE!$D56,data!$J:$J)</f>
        <v>0</v>
      </c>
      <c r="J56" s="314"/>
      <c r="K56" s="314"/>
      <c r="L56" s="314">
        <f>SUMIF(data!$D:$D,INTGRATE!$B56&amp;INTGRATE!$D56,data!$K:$K)</f>
        <v>0</v>
      </c>
      <c r="M56" s="314">
        <f>SUMIF(AJOUT!$A:$A,INTGRATE!$Y:$Y,AJOUT!$L:$L)</f>
        <v>0</v>
      </c>
      <c r="N56" s="100">
        <f>SUMIF(CBOUT!$A:$A,INTGRATE!$Y:$Y,CBOUT!$G:$G)</f>
        <v>0</v>
      </c>
      <c r="O56" s="482">
        <f t="shared" si="17"/>
        <v>1504</v>
      </c>
      <c r="P56" s="314">
        <f t="shared" ref="P56:P67" si="24">O56*D56</f>
        <v>75200</v>
      </c>
      <c r="Q56" s="314">
        <f t="shared" ref="Q56:Q79" si="25">SUM(AA56:BE56)</f>
        <v>200350</v>
      </c>
      <c r="R56" s="314"/>
      <c r="S56" s="314"/>
      <c r="T56" s="1181">
        <f t="shared" si="21"/>
        <v>22261.111111111109</v>
      </c>
      <c r="U56" s="875">
        <f t="shared" si="19"/>
        <v>3.3780883453955579</v>
      </c>
      <c r="V56" s="876"/>
      <c r="W56" s="345"/>
      <c r="X56" s="206"/>
      <c r="Y56" s="856" t="str">
        <f t="shared" si="20"/>
        <v>540F50</v>
      </c>
      <c r="Z56" s="818" t="s">
        <v>323</v>
      </c>
      <c r="AA56" s="380"/>
      <c r="AB56" s="380">
        <v>29000</v>
      </c>
      <c r="AC56" s="314">
        <v>0</v>
      </c>
      <c r="AD56" s="314">
        <v>66600</v>
      </c>
      <c r="AE56" s="314">
        <v>0</v>
      </c>
      <c r="AF56" s="314">
        <v>24800</v>
      </c>
      <c r="AG56" s="314">
        <v>0</v>
      </c>
      <c r="AH56" s="314">
        <v>52950</v>
      </c>
      <c r="AI56" s="314">
        <v>27000</v>
      </c>
      <c r="AJ56" s="314"/>
      <c r="AK56" s="314"/>
      <c r="AL56" s="314"/>
      <c r="AM56" s="314"/>
      <c r="AN56" s="314"/>
      <c r="AO56" s="314"/>
      <c r="AP56" s="314"/>
      <c r="AQ56" s="314"/>
      <c r="AR56" s="314"/>
      <c r="AS56" s="314"/>
      <c r="AT56" s="314"/>
      <c r="AU56" s="314"/>
      <c r="AV56" s="314"/>
      <c r="AW56" s="314"/>
      <c r="AX56" s="314"/>
      <c r="AY56" s="314"/>
      <c r="AZ56" s="314"/>
      <c r="BA56" s="314"/>
      <c r="BB56" s="314"/>
      <c r="BC56" s="314"/>
      <c r="BD56" s="314"/>
      <c r="BE56" s="314"/>
      <c r="BF56" s="205">
        <f t="shared" si="5"/>
        <v>200350</v>
      </c>
      <c r="BG56" s="786">
        <f t="shared" si="6"/>
        <v>5</v>
      </c>
      <c r="BH56" s="786">
        <f t="shared" si="7"/>
        <v>40070</v>
      </c>
    </row>
    <row r="57" spans="1:60" s="207" customFormat="1" ht="15" customHeight="1">
      <c r="A57" s="285">
        <v>48</v>
      </c>
      <c r="B57" s="209" t="s">
        <v>324</v>
      </c>
      <c r="C57" s="209" t="s">
        <v>55</v>
      </c>
      <c r="D57" s="333">
        <v>50</v>
      </c>
      <c r="E57" s="314">
        <v>158</v>
      </c>
      <c r="F57" s="100">
        <f>SUMIF(pro!$A:$A,INTGRATE!$Y:$Y,pro!$N:$N)</f>
        <v>463</v>
      </c>
      <c r="G57" s="314"/>
      <c r="H57" s="314">
        <f>SUMIF(CBIN!$A:$A,INTGRATE!$Y:$Y,CBIN!$G:$G)</f>
        <v>0</v>
      </c>
      <c r="I57" s="314">
        <f>SUMIF(data!$D:$D,INTGRATE!$B57&amp;INTGRATE!$D57,data!$J:$J)</f>
        <v>0</v>
      </c>
      <c r="J57" s="314"/>
      <c r="K57" s="314"/>
      <c r="L57" s="314">
        <f>SUMIF(data!$D:$D,INTGRATE!$B57&amp;INTGRATE!$D57,data!$K:$K)</f>
        <v>0</v>
      </c>
      <c r="M57" s="314">
        <f>SUMIF(AJOUT!$A:$A,INTGRATE!$Y:$Y,AJOUT!$L:$L)</f>
        <v>0</v>
      </c>
      <c r="N57" s="100">
        <f>SUMIF(CBOUT!$A:$A,INTGRATE!$Y:$Y,CBOUT!$G:$G)</f>
        <v>0</v>
      </c>
      <c r="O57" s="482">
        <f t="shared" si="17"/>
        <v>621</v>
      </c>
      <c r="P57" s="314">
        <f t="shared" si="24"/>
        <v>31050</v>
      </c>
      <c r="Q57" s="314">
        <f t="shared" si="25"/>
        <v>30900</v>
      </c>
      <c r="R57" s="314"/>
      <c r="S57" s="314"/>
      <c r="T57" s="1181">
        <f t="shared" si="21"/>
        <v>3433.3333333333335</v>
      </c>
      <c r="U57" s="875">
        <f t="shared" si="19"/>
        <v>9.0436893203883493</v>
      </c>
      <c r="V57" s="876"/>
      <c r="W57" s="345"/>
      <c r="X57" s="206"/>
      <c r="Y57" s="856" t="str">
        <f t="shared" si="20"/>
        <v>548F50</v>
      </c>
      <c r="Z57" s="818">
        <v>201501</v>
      </c>
      <c r="AA57" s="380"/>
      <c r="AB57" s="380">
        <v>8200</v>
      </c>
      <c r="AC57" s="314">
        <v>1200</v>
      </c>
      <c r="AD57" s="314">
        <v>0</v>
      </c>
      <c r="AE57" s="314">
        <v>8000</v>
      </c>
      <c r="AF57" s="314">
        <v>7500</v>
      </c>
      <c r="AG57" s="314">
        <v>0</v>
      </c>
      <c r="AH57" s="314">
        <v>2000</v>
      </c>
      <c r="AI57" s="314">
        <v>4000</v>
      </c>
      <c r="AJ57" s="314"/>
      <c r="AK57" s="314"/>
      <c r="AL57" s="314"/>
      <c r="AM57" s="314"/>
      <c r="AN57" s="314"/>
      <c r="AO57" s="314"/>
      <c r="AP57" s="314"/>
      <c r="AQ57" s="314"/>
      <c r="AR57" s="314"/>
      <c r="AS57" s="314"/>
      <c r="AT57" s="314"/>
      <c r="AU57" s="314"/>
      <c r="AV57" s="314"/>
      <c r="AW57" s="314"/>
      <c r="AX57" s="314"/>
      <c r="AY57" s="314"/>
      <c r="AZ57" s="314"/>
      <c r="BA57" s="314"/>
      <c r="BB57" s="314"/>
      <c r="BC57" s="314"/>
      <c r="BD57" s="314"/>
      <c r="BE57" s="314"/>
      <c r="BF57" s="205">
        <f t="shared" si="5"/>
        <v>30900</v>
      </c>
      <c r="BG57" s="786">
        <f t="shared" si="6"/>
        <v>6</v>
      </c>
      <c r="BH57" s="786">
        <f t="shared" si="7"/>
        <v>5150</v>
      </c>
    </row>
    <row r="58" spans="1:60" s="207" customFormat="1" ht="15" customHeight="1">
      <c r="A58" s="285">
        <v>49</v>
      </c>
      <c r="B58" s="209" t="s">
        <v>325</v>
      </c>
      <c r="C58" s="209" t="s">
        <v>55</v>
      </c>
      <c r="D58" s="333">
        <v>50</v>
      </c>
      <c r="E58" s="314">
        <v>0</v>
      </c>
      <c r="F58" s="100">
        <f>SUMIF(pro!$A:$A,INTGRATE!$Y:$Y,pro!$N:$N)</f>
        <v>0</v>
      </c>
      <c r="G58" s="314"/>
      <c r="H58" s="314">
        <f>SUMIF(CBIN!$A:$A,INTGRATE!$Y:$Y,CBIN!$G:$G)</f>
        <v>0</v>
      </c>
      <c r="I58" s="314">
        <f>SUMIF(data!$D:$D,INTGRATE!$B58&amp;INTGRATE!$D58,data!$J:$J)</f>
        <v>0</v>
      </c>
      <c r="J58" s="314"/>
      <c r="K58" s="314"/>
      <c r="L58" s="314">
        <f>SUMIF(data!$D:$D,INTGRATE!$B58&amp;INTGRATE!$D58,data!$K:$K)</f>
        <v>0</v>
      </c>
      <c r="M58" s="314">
        <f>SUMIF(AJOUT!$A:$A,INTGRATE!$Y:$Y,AJOUT!$L:$L)</f>
        <v>0</v>
      </c>
      <c r="N58" s="100">
        <f>SUMIF(CBOUT!$A:$A,INTGRATE!$Y:$Y,CBOUT!$G:$G)</f>
        <v>0</v>
      </c>
      <c r="O58" s="482">
        <f t="shared" si="17"/>
        <v>0</v>
      </c>
      <c r="P58" s="314">
        <f>O58*D58</f>
        <v>0</v>
      </c>
      <c r="Q58" s="314">
        <f t="shared" si="25"/>
        <v>0</v>
      </c>
      <c r="R58" s="314"/>
      <c r="S58" s="314"/>
      <c r="T58" s="1181">
        <f t="shared" si="21"/>
        <v>0</v>
      </c>
      <c r="U58" s="875">
        <f t="shared" si="19"/>
        <v>0</v>
      </c>
      <c r="V58" s="876"/>
      <c r="W58" s="345"/>
      <c r="X58" s="206"/>
      <c r="Y58" s="856" t="str">
        <f t="shared" si="20"/>
        <v>548FP3150</v>
      </c>
      <c r="Z58" s="818">
        <v>20150831</v>
      </c>
      <c r="AA58" s="380"/>
      <c r="AB58" s="380">
        <v>0</v>
      </c>
      <c r="AC58" s="314">
        <v>0</v>
      </c>
      <c r="AD58" s="314">
        <v>0</v>
      </c>
      <c r="AE58" s="314">
        <v>0</v>
      </c>
      <c r="AF58" s="314">
        <v>0</v>
      </c>
      <c r="AG58" s="314">
        <v>0</v>
      </c>
      <c r="AH58" s="314">
        <v>0</v>
      </c>
      <c r="AI58" s="314">
        <v>0</v>
      </c>
      <c r="AJ58" s="314"/>
      <c r="AK58" s="314"/>
      <c r="AL58" s="314"/>
      <c r="AM58" s="314"/>
      <c r="AN58" s="314"/>
      <c r="AO58" s="314"/>
      <c r="AP58" s="314"/>
      <c r="AQ58" s="314"/>
      <c r="AR58" s="314"/>
      <c r="AS58" s="314"/>
      <c r="AT58" s="314"/>
      <c r="AU58" s="314"/>
      <c r="AV58" s="314"/>
      <c r="AW58" s="314"/>
      <c r="AX58" s="314"/>
      <c r="AY58" s="314"/>
      <c r="AZ58" s="314"/>
      <c r="BA58" s="314"/>
      <c r="BB58" s="314"/>
      <c r="BC58" s="314"/>
      <c r="BD58" s="314"/>
      <c r="BE58" s="314"/>
      <c r="BF58" s="205">
        <f t="shared" si="5"/>
        <v>0</v>
      </c>
      <c r="BG58" s="786">
        <f t="shared" si="6"/>
        <v>0</v>
      </c>
      <c r="BH58" s="786">
        <f t="shared" si="7"/>
        <v>0</v>
      </c>
    </row>
    <row r="59" spans="1:60" s="207" customFormat="1" ht="15" customHeight="1">
      <c r="A59" s="285">
        <v>50</v>
      </c>
      <c r="B59" s="209" t="s">
        <v>326</v>
      </c>
      <c r="C59" s="209" t="s">
        <v>55</v>
      </c>
      <c r="D59" s="333">
        <v>50</v>
      </c>
      <c r="E59" s="314">
        <v>0</v>
      </c>
      <c r="F59" s="100">
        <f>SUMIF(pro!$A:$A,INTGRATE!$Y:$Y,pro!$N:$N)</f>
        <v>0</v>
      </c>
      <c r="G59" s="314"/>
      <c r="H59" s="314">
        <f>SUMIF(CBIN!$A:$A,INTGRATE!$Y:$Y,CBIN!$G:$G)</f>
        <v>0</v>
      </c>
      <c r="I59" s="314">
        <f>SUMIF(data!$D:$D,INTGRATE!$B59&amp;INTGRATE!$D59,data!$J:$J)</f>
        <v>0</v>
      </c>
      <c r="J59" s="314"/>
      <c r="K59" s="314"/>
      <c r="L59" s="314">
        <f>SUMIF(data!$D:$D,INTGRATE!$B59&amp;INTGRATE!$D59,data!$K:$K)</f>
        <v>0</v>
      </c>
      <c r="M59" s="314">
        <f>SUMIF(AJOUT!$A:$A,INTGRATE!$Y:$Y,AJOUT!$L:$L)</f>
        <v>0</v>
      </c>
      <c r="N59" s="100">
        <f>SUMIF(CBOUT!$A:$A,INTGRATE!$Y:$Y,CBOUT!$G:$G)</f>
        <v>0</v>
      </c>
      <c r="O59" s="482">
        <f t="shared" si="17"/>
        <v>0</v>
      </c>
      <c r="P59" s="314">
        <f>O59*D59</f>
        <v>0</v>
      </c>
      <c r="Q59" s="314">
        <f t="shared" si="25"/>
        <v>0</v>
      </c>
      <c r="R59" s="314"/>
      <c r="S59" s="314"/>
      <c r="T59" s="1181">
        <f t="shared" si="21"/>
        <v>0</v>
      </c>
      <c r="U59" s="875">
        <f t="shared" si="19"/>
        <v>0</v>
      </c>
      <c r="V59" s="876"/>
      <c r="W59" s="345"/>
      <c r="X59" s="206"/>
      <c r="Y59" s="856" t="str">
        <f t="shared" si="20"/>
        <v>548FP3350</v>
      </c>
      <c r="Z59" s="818" t="s">
        <v>327</v>
      </c>
      <c r="AA59" s="380"/>
      <c r="AB59" s="380">
        <v>0</v>
      </c>
      <c r="AC59" s="314">
        <v>0</v>
      </c>
      <c r="AD59" s="314">
        <v>0</v>
      </c>
      <c r="AE59" s="314">
        <v>0</v>
      </c>
      <c r="AF59" s="314">
        <v>0</v>
      </c>
      <c r="AG59" s="314">
        <v>0</v>
      </c>
      <c r="AH59" s="314">
        <v>0</v>
      </c>
      <c r="AI59" s="314">
        <v>0</v>
      </c>
      <c r="AJ59" s="314"/>
      <c r="AK59" s="314"/>
      <c r="AL59" s="314"/>
      <c r="AM59" s="314"/>
      <c r="AN59" s="314"/>
      <c r="AO59" s="314"/>
      <c r="AP59" s="314"/>
      <c r="AQ59" s="314"/>
      <c r="AR59" s="314"/>
      <c r="AS59" s="314"/>
      <c r="AT59" s="314"/>
      <c r="AU59" s="314"/>
      <c r="AV59" s="314"/>
      <c r="AW59" s="314"/>
      <c r="AX59" s="314"/>
      <c r="AY59" s="314"/>
      <c r="AZ59" s="314"/>
      <c r="BA59" s="314"/>
      <c r="BB59" s="314"/>
      <c r="BC59" s="314"/>
      <c r="BD59" s="314"/>
      <c r="BE59" s="314"/>
      <c r="BF59" s="205">
        <f t="shared" si="5"/>
        <v>0</v>
      </c>
      <c r="BG59" s="786">
        <f t="shared" si="6"/>
        <v>0</v>
      </c>
      <c r="BH59" s="786">
        <f t="shared" si="7"/>
        <v>0</v>
      </c>
    </row>
    <row r="60" spans="1:60" s="207" customFormat="1" ht="15" customHeight="1">
      <c r="A60" s="285">
        <v>51</v>
      </c>
      <c r="B60" s="209" t="s">
        <v>328</v>
      </c>
      <c r="C60" s="209" t="s">
        <v>55</v>
      </c>
      <c r="D60" s="333">
        <v>50</v>
      </c>
      <c r="E60" s="314">
        <v>0</v>
      </c>
      <c r="F60" s="100">
        <f>SUMIF(pro!$A:$A,INTGRATE!$Y:$Y,pro!$N:$N)</f>
        <v>0</v>
      </c>
      <c r="G60" s="314"/>
      <c r="H60" s="314">
        <f>SUMIF(CBIN!$A:$A,INTGRATE!$Y:$Y,CBIN!$G:$G)</f>
        <v>0</v>
      </c>
      <c r="I60" s="314">
        <f>SUMIF(data!$D:$D,INTGRATE!$B60&amp;INTGRATE!$D60,data!$J:$J)</f>
        <v>0</v>
      </c>
      <c r="J60" s="314"/>
      <c r="K60" s="314"/>
      <c r="L60" s="314">
        <f>SUMIF(data!$D:$D,INTGRATE!$B60&amp;INTGRATE!$D60,data!$K:$K)</f>
        <v>0</v>
      </c>
      <c r="M60" s="314">
        <f>SUMIF(AJOUT!$A:$A,INTGRATE!$Y:$Y,AJOUT!$L:$L)</f>
        <v>0</v>
      </c>
      <c r="N60" s="100">
        <f>SUMIF(CBOUT!$A:$A,INTGRATE!$Y:$Y,CBOUT!$G:$G)</f>
        <v>0</v>
      </c>
      <c r="O60" s="482">
        <f t="shared" si="17"/>
        <v>0</v>
      </c>
      <c r="P60" s="314">
        <f>O60*D60</f>
        <v>0</v>
      </c>
      <c r="Q60" s="314">
        <f>SUM(AA60:BE60)</f>
        <v>0</v>
      </c>
      <c r="R60" s="314"/>
      <c r="S60" s="314"/>
      <c r="T60" s="1181">
        <f t="shared" si="21"/>
        <v>0</v>
      </c>
      <c r="U60" s="603"/>
      <c r="V60" s="604"/>
      <c r="W60" s="345"/>
      <c r="X60" s="206"/>
      <c r="Y60" s="856" t="str">
        <f t="shared" si="20"/>
        <v>548FP3550</v>
      </c>
      <c r="Z60" s="818">
        <v>20150835</v>
      </c>
      <c r="AA60" s="380"/>
      <c r="AB60" s="380">
        <v>0</v>
      </c>
      <c r="AC60" s="314">
        <v>0</v>
      </c>
      <c r="AD60" s="314">
        <v>0</v>
      </c>
      <c r="AE60" s="314">
        <v>0</v>
      </c>
      <c r="AF60" s="314">
        <v>0</v>
      </c>
      <c r="AG60" s="314">
        <v>0</v>
      </c>
      <c r="AH60" s="314">
        <v>0</v>
      </c>
      <c r="AI60" s="314">
        <v>0</v>
      </c>
      <c r="AJ60" s="314"/>
      <c r="AK60" s="314"/>
      <c r="AL60" s="314"/>
      <c r="AM60" s="314"/>
      <c r="AN60" s="314"/>
      <c r="AO60" s="314"/>
      <c r="AP60" s="314"/>
      <c r="AQ60" s="314"/>
      <c r="AR60" s="314"/>
      <c r="AS60" s="314"/>
      <c r="AT60" s="314"/>
      <c r="AU60" s="314"/>
      <c r="AV60" s="314"/>
      <c r="AW60" s="314"/>
      <c r="AX60" s="314"/>
      <c r="AY60" s="314"/>
      <c r="AZ60" s="314"/>
      <c r="BA60" s="314"/>
      <c r="BB60" s="314"/>
      <c r="BC60" s="314"/>
      <c r="BD60" s="314"/>
      <c r="BE60" s="314"/>
      <c r="BF60" s="205">
        <f t="shared" si="5"/>
        <v>0</v>
      </c>
      <c r="BG60" s="786">
        <f t="shared" si="6"/>
        <v>0</v>
      </c>
      <c r="BH60" s="786">
        <f t="shared" si="7"/>
        <v>0</v>
      </c>
    </row>
    <row r="61" spans="1:60" s="207" customFormat="1" ht="15" customHeight="1">
      <c r="A61" s="285">
        <v>52</v>
      </c>
      <c r="B61" s="209" t="s">
        <v>329</v>
      </c>
      <c r="C61" s="209" t="s">
        <v>64</v>
      </c>
      <c r="D61" s="333">
        <v>50</v>
      </c>
      <c r="E61" s="314">
        <v>0</v>
      </c>
      <c r="F61" s="100">
        <f>SUMIF(pro!$A:$A,INTGRATE!$Y:$Y,pro!$N:$N)</f>
        <v>1343</v>
      </c>
      <c r="G61" s="314"/>
      <c r="H61" s="314">
        <f>SUMIF(CBIN!$A:$A,INTGRATE!$Y:$Y,CBIN!$G:$G)</f>
        <v>0</v>
      </c>
      <c r="I61" s="314">
        <f>SUMIF(data!$D:$D,INTGRATE!$B61&amp;INTGRATE!$D61,data!$J:$J)</f>
        <v>0</v>
      </c>
      <c r="J61" s="314"/>
      <c r="K61" s="314"/>
      <c r="L61" s="314">
        <f>SUMIF(data!$D:$D,INTGRATE!$B61&amp;INTGRATE!$D61,data!$K:$K)</f>
        <v>0</v>
      </c>
      <c r="M61" s="314">
        <f>SUMIF(AJOUT!$A:$A,INTGRATE!$Y:$Y,AJOUT!$L:$L)</f>
        <v>0</v>
      </c>
      <c r="N61" s="100">
        <f>SUMIF(CBOUT!$A:$A,INTGRATE!$Y:$Y,CBOUT!$G:$G)</f>
        <v>0</v>
      </c>
      <c r="O61" s="482">
        <f t="shared" si="17"/>
        <v>1343</v>
      </c>
      <c r="P61" s="314">
        <f t="shared" si="24"/>
        <v>67150</v>
      </c>
      <c r="Q61" s="314">
        <f t="shared" si="25"/>
        <v>84600</v>
      </c>
      <c r="R61" s="314"/>
      <c r="S61" s="314"/>
      <c r="T61" s="1181">
        <f t="shared" si="21"/>
        <v>9400</v>
      </c>
      <c r="U61" s="875">
        <f t="shared" si="19"/>
        <v>7.1436170212765955</v>
      </c>
      <c r="V61" s="876"/>
      <c r="W61" s="345"/>
      <c r="X61" s="206"/>
      <c r="Y61" s="856" t="str">
        <f t="shared" si="20"/>
        <v>549F50</v>
      </c>
      <c r="Z61" s="818">
        <v>203501</v>
      </c>
      <c r="AA61" s="380"/>
      <c r="AB61" s="380">
        <v>9800</v>
      </c>
      <c r="AC61" s="314">
        <v>8000</v>
      </c>
      <c r="AD61" s="314">
        <v>20750</v>
      </c>
      <c r="AE61" s="314">
        <v>12000</v>
      </c>
      <c r="AF61" s="314">
        <v>22200</v>
      </c>
      <c r="AG61" s="314">
        <v>0</v>
      </c>
      <c r="AH61" s="314">
        <v>6000</v>
      </c>
      <c r="AI61" s="314">
        <v>5850</v>
      </c>
      <c r="AJ61" s="314"/>
      <c r="AK61" s="314"/>
      <c r="AL61" s="314"/>
      <c r="AM61" s="314"/>
      <c r="AN61" s="314"/>
      <c r="AO61" s="314"/>
      <c r="AP61" s="314"/>
      <c r="AQ61" s="314"/>
      <c r="AR61" s="314"/>
      <c r="AS61" s="314"/>
      <c r="AT61" s="314"/>
      <c r="AU61" s="314"/>
      <c r="AV61" s="314"/>
      <c r="AW61" s="314"/>
      <c r="AX61" s="314"/>
      <c r="AY61" s="314"/>
      <c r="AZ61" s="314"/>
      <c r="BA61" s="314"/>
      <c r="BB61" s="314"/>
      <c r="BC61" s="314"/>
      <c r="BD61" s="314"/>
      <c r="BE61" s="314"/>
      <c r="BF61" s="205">
        <f t="shared" si="5"/>
        <v>84600</v>
      </c>
      <c r="BG61" s="786">
        <f t="shared" si="6"/>
        <v>7</v>
      </c>
      <c r="BH61" s="786">
        <f t="shared" si="7"/>
        <v>12085.714285714286</v>
      </c>
    </row>
    <row r="62" spans="1:60" s="207" customFormat="1" ht="15" customHeight="1">
      <c r="A62" s="285">
        <v>53</v>
      </c>
      <c r="B62" s="208" t="s">
        <v>309</v>
      </c>
      <c r="C62" s="208" t="s">
        <v>64</v>
      </c>
      <c r="D62" s="332">
        <v>25</v>
      </c>
      <c r="E62" s="314">
        <v>0</v>
      </c>
      <c r="F62" s="100">
        <f>SUMIF(pro!$A:$A,INTGRATE!$Y:$Y,pro!$N:$N)</f>
        <v>0</v>
      </c>
      <c r="G62" s="314"/>
      <c r="H62" s="314">
        <f>SUMIF(CBIN!$A:$A,INTGRATE!$Y:$Y,CBIN!$G:$G)</f>
        <v>0</v>
      </c>
      <c r="I62" s="314">
        <f>SUMIF(data!$D:$D,INTGRATE!$B62&amp;INTGRATE!$D62,data!$J:$J)</f>
        <v>0</v>
      </c>
      <c r="J62" s="314"/>
      <c r="K62" s="314"/>
      <c r="L62" s="314">
        <f>SUMIF(data!$D:$D,INTGRATE!$B62&amp;INTGRATE!$D62,data!$K:$K)</f>
        <v>0</v>
      </c>
      <c r="M62" s="314">
        <f>SUMIF(AJOUT!$A:$A,INTGRATE!$Y:$Y,AJOUT!$L:$L)</f>
        <v>0</v>
      </c>
      <c r="N62" s="100">
        <f>SUMIF(CBOUT!$A:$A,INTGRATE!$Y:$Y,CBOUT!$G:$G)</f>
        <v>0</v>
      </c>
      <c r="O62" s="482">
        <f t="shared" si="17"/>
        <v>0</v>
      </c>
      <c r="P62" s="314">
        <f t="shared" si="24"/>
        <v>0</v>
      </c>
      <c r="Q62" s="314">
        <f t="shared" si="25"/>
        <v>64400</v>
      </c>
      <c r="R62" s="314"/>
      <c r="S62" s="314"/>
      <c r="T62" s="322">
        <f t="shared" si="21"/>
        <v>7155.5555555555557</v>
      </c>
      <c r="U62" s="875">
        <f t="shared" ref="U62:U80" si="26">IF(T62=0,0,P62/T62)</f>
        <v>0</v>
      </c>
      <c r="V62" s="876"/>
      <c r="W62" s="345"/>
      <c r="X62" s="206"/>
      <c r="Y62" s="856" t="str">
        <f t="shared" si="20"/>
        <v>513F25</v>
      </c>
      <c r="Z62" s="818" t="s">
        <v>310</v>
      </c>
      <c r="AA62" s="380"/>
      <c r="AB62" s="380">
        <v>36450</v>
      </c>
      <c r="AC62" s="314">
        <v>25650</v>
      </c>
      <c r="AD62" s="314">
        <v>0</v>
      </c>
      <c r="AE62" s="314">
        <v>2300</v>
      </c>
      <c r="AF62" s="314">
        <v>0</v>
      </c>
      <c r="AG62" s="314">
        <v>0</v>
      </c>
      <c r="AH62" s="314">
        <v>0</v>
      </c>
      <c r="AI62" s="314">
        <v>0</v>
      </c>
      <c r="AJ62" s="314"/>
      <c r="AK62" s="314"/>
      <c r="AL62" s="314"/>
      <c r="AM62" s="314"/>
      <c r="AN62" s="314"/>
      <c r="AO62" s="314"/>
      <c r="AP62" s="314"/>
      <c r="AQ62" s="314"/>
      <c r="AR62" s="314"/>
      <c r="AS62" s="314"/>
      <c r="AT62" s="314"/>
      <c r="AU62" s="314"/>
      <c r="AV62" s="314"/>
      <c r="AW62" s="314"/>
      <c r="AX62" s="314"/>
      <c r="AY62" s="314"/>
      <c r="AZ62" s="314"/>
      <c r="BA62" s="314"/>
      <c r="BB62" s="314"/>
      <c r="BC62" s="314"/>
      <c r="BD62" s="314"/>
      <c r="BE62" s="314"/>
      <c r="BF62" s="205">
        <f t="shared" si="5"/>
        <v>64400</v>
      </c>
      <c r="BG62" s="786">
        <f t="shared" si="6"/>
        <v>3</v>
      </c>
      <c r="BH62" s="786">
        <f t="shared" si="7"/>
        <v>21466.666666666668</v>
      </c>
    </row>
    <row r="63" spans="1:60" s="207" customFormat="1" ht="15" customHeight="1">
      <c r="A63" s="285">
        <v>54</v>
      </c>
      <c r="B63" s="208" t="s">
        <v>258</v>
      </c>
      <c r="C63" s="208" t="s">
        <v>64</v>
      </c>
      <c r="D63" s="332">
        <v>25</v>
      </c>
      <c r="E63" s="314">
        <v>0</v>
      </c>
      <c r="F63" s="100">
        <f>SUMIF(pro!$A:$A,INTGRATE!$Y:$Y,pro!$N:$N)</f>
        <v>0</v>
      </c>
      <c r="G63" s="314"/>
      <c r="H63" s="314">
        <f>SUMIF(CBIN!$A:$A,INTGRATE!$Y:$Y,CBIN!$G:$G)</f>
        <v>0</v>
      </c>
      <c r="I63" s="314">
        <f>SUMIF(data!$D:$D,INTGRATE!$B63&amp;INTGRATE!$D63,data!$J:$J)</f>
        <v>0</v>
      </c>
      <c r="J63" s="314"/>
      <c r="K63" s="314"/>
      <c r="L63" s="314">
        <f>SUMIF(data!$D:$D,INTGRATE!$B63&amp;INTGRATE!$D63,data!$K:$K)</f>
        <v>0</v>
      </c>
      <c r="M63" s="314">
        <f>SUMIF(AJOUT!$A:$A,INTGRATE!$Y:$Y,AJOUT!$L:$L)</f>
        <v>0</v>
      </c>
      <c r="N63" s="100">
        <f>SUMIF(CBOUT!$A:$A,INTGRATE!$Y:$Y,CBOUT!$G:$G)</f>
        <v>0</v>
      </c>
      <c r="O63" s="482">
        <f t="shared" si="17"/>
        <v>0</v>
      </c>
      <c r="P63" s="314">
        <f>O63*D63</f>
        <v>0</v>
      </c>
      <c r="Q63" s="314">
        <f t="shared" si="25"/>
        <v>0</v>
      </c>
      <c r="R63" s="314"/>
      <c r="S63" s="314"/>
      <c r="T63" s="322">
        <f t="shared" si="21"/>
        <v>0</v>
      </c>
      <c r="U63" s="875">
        <f t="shared" si="26"/>
        <v>0</v>
      </c>
      <c r="V63" s="876"/>
      <c r="W63" s="345"/>
      <c r="X63" s="206"/>
      <c r="Y63" s="856" t="str">
        <f t="shared" si="20"/>
        <v>510F25</v>
      </c>
      <c r="Z63" s="818" t="s">
        <v>259</v>
      </c>
      <c r="AA63" s="380"/>
      <c r="AB63" s="380">
        <v>0</v>
      </c>
      <c r="AC63" s="314">
        <v>0</v>
      </c>
      <c r="AD63" s="314">
        <v>0</v>
      </c>
      <c r="AE63" s="314">
        <v>0</v>
      </c>
      <c r="AF63" s="314">
        <v>0</v>
      </c>
      <c r="AG63" s="314">
        <v>0</v>
      </c>
      <c r="AH63" s="314">
        <v>0</v>
      </c>
      <c r="AI63" s="314">
        <v>0</v>
      </c>
      <c r="AJ63" s="314"/>
      <c r="AK63" s="314"/>
      <c r="AL63" s="314"/>
      <c r="AM63" s="314"/>
      <c r="AN63" s="314"/>
      <c r="AO63" s="314"/>
      <c r="AP63" s="314"/>
      <c r="AQ63" s="314"/>
      <c r="AR63" s="314"/>
      <c r="AS63" s="314"/>
      <c r="AT63" s="314"/>
      <c r="AU63" s="314"/>
      <c r="AV63" s="314"/>
      <c r="AW63" s="314"/>
      <c r="AX63" s="314"/>
      <c r="AY63" s="314"/>
      <c r="AZ63" s="314"/>
      <c r="BA63" s="314"/>
      <c r="BB63" s="314"/>
      <c r="BC63" s="314"/>
      <c r="BD63" s="314"/>
      <c r="BE63" s="314"/>
      <c r="BF63" s="205">
        <f t="shared" si="5"/>
        <v>0</v>
      </c>
      <c r="BG63" s="786">
        <f t="shared" si="6"/>
        <v>0</v>
      </c>
      <c r="BH63" s="786">
        <f t="shared" si="7"/>
        <v>0</v>
      </c>
    </row>
    <row r="64" spans="1:60" s="207" customFormat="1" ht="15" customHeight="1">
      <c r="A64" s="285">
        <v>55</v>
      </c>
      <c r="B64" s="208" t="s">
        <v>299</v>
      </c>
      <c r="C64" s="208" t="s">
        <v>51</v>
      </c>
      <c r="D64" s="332">
        <v>25</v>
      </c>
      <c r="E64" s="314">
        <v>0</v>
      </c>
      <c r="F64" s="100">
        <f>SUMIF(pro!$A:$A,INTGRATE!$Y:$Y,pro!$N:$N)</f>
        <v>0</v>
      </c>
      <c r="G64" s="314"/>
      <c r="H64" s="314">
        <f>SUMIF(CBIN!$A:$A,INTGRATE!$Y:$Y,CBIN!$G:$G)</f>
        <v>0</v>
      </c>
      <c r="I64" s="314">
        <f>SUMIF(data!$D:$D,INTGRATE!$B64&amp;INTGRATE!$D64,data!$J:$J)</f>
        <v>0</v>
      </c>
      <c r="J64" s="314"/>
      <c r="K64" s="314"/>
      <c r="L64" s="314">
        <f>SUMIF(data!$D:$D,INTGRATE!$B64&amp;INTGRATE!$D64,data!$K:$K)</f>
        <v>0</v>
      </c>
      <c r="M64" s="314">
        <f>SUMIF(AJOUT!$A:$A,INTGRATE!$Y:$Y,AJOUT!$L:$L)</f>
        <v>0</v>
      </c>
      <c r="N64" s="100">
        <f>SUMIF(CBOUT!$A:$A,INTGRATE!$Y:$Y,CBOUT!$G:$G)</f>
        <v>0</v>
      </c>
      <c r="O64" s="482">
        <f t="shared" ref="O64:O71" si="27">E64+F64+H64-I64-N64+G64-M64</f>
        <v>0</v>
      </c>
      <c r="P64" s="314">
        <f t="shared" si="24"/>
        <v>0</v>
      </c>
      <c r="Q64" s="314">
        <f t="shared" si="25"/>
        <v>0</v>
      </c>
      <c r="R64" s="314"/>
      <c r="S64" s="314"/>
      <c r="T64" s="322">
        <f t="shared" si="21"/>
        <v>0</v>
      </c>
      <c r="U64" s="875">
        <f t="shared" si="26"/>
        <v>0</v>
      </c>
      <c r="V64" s="876"/>
      <c r="W64" s="345"/>
      <c r="X64" s="206"/>
      <c r="Y64" s="856" t="str">
        <f t="shared" si="20"/>
        <v>511NF25</v>
      </c>
      <c r="Z64" s="818" t="s">
        <v>300</v>
      </c>
      <c r="AA64" s="380"/>
      <c r="AB64" s="380">
        <v>0</v>
      </c>
      <c r="AC64" s="314">
        <v>0</v>
      </c>
      <c r="AD64" s="314">
        <v>0</v>
      </c>
      <c r="AE64" s="314">
        <v>0</v>
      </c>
      <c r="AF64" s="314">
        <v>0</v>
      </c>
      <c r="AG64" s="314">
        <v>0</v>
      </c>
      <c r="AH64" s="314">
        <v>0</v>
      </c>
      <c r="AI64" s="314">
        <v>0</v>
      </c>
      <c r="AJ64" s="314"/>
      <c r="AK64" s="314"/>
      <c r="AL64" s="314"/>
      <c r="AM64" s="314"/>
      <c r="AN64" s="314"/>
      <c r="AO64" s="314"/>
      <c r="AP64" s="314"/>
      <c r="AQ64" s="314"/>
      <c r="AR64" s="314"/>
      <c r="AS64" s="314"/>
      <c r="AT64" s="314"/>
      <c r="AU64" s="314"/>
      <c r="AV64" s="314"/>
      <c r="AW64" s="314"/>
      <c r="AX64" s="314"/>
      <c r="AY64" s="314"/>
      <c r="AZ64" s="314"/>
      <c r="BA64" s="314"/>
      <c r="BB64" s="314"/>
      <c r="BC64" s="314"/>
      <c r="BD64" s="314"/>
      <c r="BE64" s="314"/>
      <c r="BF64" s="205">
        <f t="shared" si="5"/>
        <v>0</v>
      </c>
      <c r="BG64" s="786">
        <f t="shared" si="6"/>
        <v>0</v>
      </c>
      <c r="BH64" s="786">
        <f t="shared" si="7"/>
        <v>0</v>
      </c>
    </row>
    <row r="65" spans="1:60" s="207" customFormat="1" ht="15" customHeight="1">
      <c r="A65" s="285">
        <v>56</v>
      </c>
      <c r="B65" s="208" t="s">
        <v>282</v>
      </c>
      <c r="C65" s="208" t="s">
        <v>64</v>
      </c>
      <c r="D65" s="332">
        <v>25</v>
      </c>
      <c r="E65" s="314">
        <v>0</v>
      </c>
      <c r="F65" s="100">
        <f>SUMIF(pro!$A:$A,INTGRATE!$Y:$Y,pro!$N:$N)</f>
        <v>0</v>
      </c>
      <c r="G65" s="314"/>
      <c r="H65" s="314">
        <f>SUMIF(CBIN!$A:$A,INTGRATE!$Y:$Y,CBIN!$G:$G)</f>
        <v>0</v>
      </c>
      <c r="I65" s="314">
        <f>SUMIF(data!$D:$D,INTGRATE!$B65&amp;INTGRATE!$D65,data!$J:$J)</f>
        <v>0</v>
      </c>
      <c r="J65" s="314"/>
      <c r="K65" s="314"/>
      <c r="L65" s="314">
        <f>SUMIF(data!$D:$D,INTGRATE!$B65&amp;INTGRATE!$D65,data!$K:$K)</f>
        <v>0</v>
      </c>
      <c r="M65" s="314">
        <f>SUMIF(AJOUT!$A:$A,INTGRATE!$Y:$Y,AJOUT!$L:$L)</f>
        <v>0</v>
      </c>
      <c r="N65" s="100">
        <f>SUMIF(CBOUT!$A:$A,INTGRATE!$Y:$Y,CBOUT!$G:$G)</f>
        <v>0</v>
      </c>
      <c r="O65" s="482">
        <f>E65+F65+H65-I65-N65+G65-M65</f>
        <v>0</v>
      </c>
      <c r="P65" s="314">
        <f>O65*D65</f>
        <v>0</v>
      </c>
      <c r="Q65" s="314">
        <f>SUM(AA65:BE65)</f>
        <v>0</v>
      </c>
      <c r="R65" s="314"/>
      <c r="S65" s="314"/>
      <c r="T65" s="322">
        <f t="shared" si="21"/>
        <v>0</v>
      </c>
      <c r="U65" s="875">
        <f t="shared" si="26"/>
        <v>0</v>
      </c>
      <c r="V65" s="876"/>
      <c r="W65" s="345"/>
      <c r="X65" s="206"/>
      <c r="Y65" s="856" t="str">
        <f>B65&amp;D65</f>
        <v>511ANF25</v>
      </c>
      <c r="Z65" s="818" t="s">
        <v>283</v>
      </c>
      <c r="AA65" s="380"/>
      <c r="AB65" s="380">
        <v>0</v>
      </c>
      <c r="AC65" s="314">
        <v>0</v>
      </c>
      <c r="AD65" s="314">
        <v>0</v>
      </c>
      <c r="AE65" s="314">
        <v>0</v>
      </c>
      <c r="AF65" s="314">
        <v>0</v>
      </c>
      <c r="AG65" s="314">
        <v>0</v>
      </c>
      <c r="AH65" s="314">
        <v>0</v>
      </c>
      <c r="AI65" s="314">
        <v>0</v>
      </c>
      <c r="AJ65" s="314"/>
      <c r="AK65" s="314"/>
      <c r="AL65" s="314"/>
      <c r="AM65" s="314"/>
      <c r="AN65" s="314"/>
      <c r="AO65" s="314"/>
      <c r="AP65" s="314"/>
      <c r="AQ65" s="314"/>
      <c r="AR65" s="314"/>
      <c r="AS65" s="314"/>
      <c r="AT65" s="314"/>
      <c r="AU65" s="314"/>
      <c r="AV65" s="314"/>
      <c r="AW65" s="314"/>
      <c r="AX65" s="314"/>
      <c r="AY65" s="314"/>
      <c r="AZ65" s="314"/>
      <c r="BA65" s="314"/>
      <c r="BB65" s="314"/>
      <c r="BC65" s="314"/>
      <c r="BD65" s="314"/>
      <c r="BE65" s="314"/>
      <c r="BF65" s="205">
        <f t="shared" si="5"/>
        <v>0</v>
      </c>
      <c r="BG65" s="786">
        <f t="shared" si="6"/>
        <v>0</v>
      </c>
      <c r="BH65" s="786">
        <f t="shared" si="7"/>
        <v>0</v>
      </c>
    </row>
    <row r="66" spans="1:60" s="207" customFormat="1" ht="15" customHeight="1">
      <c r="A66" s="285">
        <v>57</v>
      </c>
      <c r="B66" s="208" t="s">
        <v>294</v>
      </c>
      <c r="C66" s="208" t="s">
        <v>64</v>
      </c>
      <c r="D66" s="332">
        <v>25</v>
      </c>
      <c r="E66" s="314">
        <v>0</v>
      </c>
      <c r="F66" s="100">
        <f>SUMIF(pro!$A:$A,INTGRATE!$Y:$Y,pro!$N:$N)</f>
        <v>0</v>
      </c>
      <c r="G66" s="314"/>
      <c r="H66" s="314">
        <f>SUMIF(CBIN!$A:$A,INTGRATE!$Y:$Y,CBIN!$G:$G)</f>
        <v>0</v>
      </c>
      <c r="I66" s="314">
        <f>SUMIF(data!$D:$D,INTGRATE!$B66&amp;INTGRATE!$D66,data!$J:$J)</f>
        <v>0</v>
      </c>
      <c r="J66" s="314"/>
      <c r="K66" s="314"/>
      <c r="L66" s="314">
        <f>SUMIF(data!$D:$D,INTGRATE!$B66&amp;INTGRATE!$D66,data!$K:$K)</f>
        <v>0</v>
      </c>
      <c r="M66" s="314">
        <f>SUMIF(AJOUT!$A:$A,INTGRATE!$Y:$Y,AJOUT!$L:$L)</f>
        <v>0</v>
      </c>
      <c r="N66" s="100">
        <f>SUMIF(CBOUT!$A:$A,INTGRATE!$Y:$Y,CBOUT!$G:$G)</f>
        <v>0</v>
      </c>
      <c r="O66" s="482">
        <f>E66+F66+H66-I66-N66+G66-M66</f>
        <v>0</v>
      </c>
      <c r="P66" s="314">
        <f>O66*D66</f>
        <v>0</v>
      </c>
      <c r="Q66" s="314">
        <f>SUM(AA66:BE66)</f>
        <v>0</v>
      </c>
      <c r="R66" s="314"/>
      <c r="S66" s="314"/>
      <c r="T66" s="322">
        <f t="shared" si="21"/>
        <v>0</v>
      </c>
      <c r="U66" s="875">
        <f>IF(T66=0,0,P66/T66)</f>
        <v>0</v>
      </c>
      <c r="V66" s="876"/>
      <c r="W66" s="345"/>
      <c r="X66" s="206"/>
      <c r="Y66" s="856" t="str">
        <f>B66&amp;D66</f>
        <v>511ANFP9125</v>
      </c>
      <c r="Z66" s="818" t="s">
        <v>330</v>
      </c>
      <c r="AA66" s="380"/>
      <c r="AB66" s="380">
        <v>0</v>
      </c>
      <c r="AC66" s="314">
        <v>0</v>
      </c>
      <c r="AD66" s="314">
        <v>0</v>
      </c>
      <c r="AE66" s="314">
        <v>0</v>
      </c>
      <c r="AF66" s="314">
        <v>0</v>
      </c>
      <c r="AG66" s="314">
        <v>0</v>
      </c>
      <c r="AH66" s="314">
        <v>0</v>
      </c>
      <c r="AI66" s="314">
        <v>0</v>
      </c>
      <c r="AJ66" s="314"/>
      <c r="AK66" s="314"/>
      <c r="AL66" s="314"/>
      <c r="AM66" s="314"/>
      <c r="AN66" s="314"/>
      <c r="AO66" s="314"/>
      <c r="AP66" s="314"/>
      <c r="AQ66" s="314"/>
      <c r="AR66" s="314"/>
      <c r="AS66" s="314"/>
      <c r="AT66" s="314"/>
      <c r="AU66" s="314"/>
      <c r="AV66" s="314"/>
      <c r="AW66" s="314"/>
      <c r="AX66" s="314"/>
      <c r="AY66" s="314"/>
      <c r="AZ66" s="314"/>
      <c r="BA66" s="314"/>
      <c r="BB66" s="314"/>
      <c r="BC66" s="314"/>
      <c r="BD66" s="314"/>
      <c r="BE66" s="314"/>
      <c r="BF66" s="205">
        <f t="shared" si="5"/>
        <v>0</v>
      </c>
      <c r="BG66" s="786">
        <f t="shared" si="6"/>
        <v>0</v>
      </c>
      <c r="BH66" s="786">
        <f t="shared" si="7"/>
        <v>0</v>
      </c>
    </row>
    <row r="67" spans="1:60" s="207" customFormat="1" ht="15" customHeight="1">
      <c r="A67" s="285">
        <v>58</v>
      </c>
      <c r="B67" s="208" t="s">
        <v>297</v>
      </c>
      <c r="C67" s="208" t="s">
        <v>51</v>
      </c>
      <c r="D67" s="332">
        <v>25</v>
      </c>
      <c r="E67" s="314">
        <v>0</v>
      </c>
      <c r="F67" s="100">
        <f>SUMIF(pro!$A:$A,INTGRATE!$Y:$Y,pro!$N:$N)</f>
        <v>0</v>
      </c>
      <c r="G67" s="314"/>
      <c r="H67" s="314">
        <f>SUMIF(CBIN!$A:$A,INTGRATE!$Y:$Y,CBIN!$G:$G)</f>
        <v>0</v>
      </c>
      <c r="I67" s="314">
        <f>SUMIF(data!$D:$D,INTGRATE!$B67&amp;INTGRATE!$D67,data!$J:$J)</f>
        <v>0</v>
      </c>
      <c r="J67" s="314"/>
      <c r="K67" s="314"/>
      <c r="L67" s="314">
        <f>SUMIF(data!$D:$D,INTGRATE!$B67&amp;INTGRATE!$D67,data!$K:$K)</f>
        <v>0</v>
      </c>
      <c r="M67" s="314">
        <f>SUMIF(AJOUT!$A:$A,INTGRATE!$Y:$Y,AJOUT!$L:$L)</f>
        <v>0</v>
      </c>
      <c r="N67" s="100">
        <f>SUMIF(CBOUT!$A:$A,INTGRATE!$Y:$Y,CBOUT!$G:$G)</f>
        <v>0</v>
      </c>
      <c r="O67" s="1183">
        <f t="shared" si="27"/>
        <v>0</v>
      </c>
      <c r="P67" s="314">
        <f t="shared" si="24"/>
        <v>0</v>
      </c>
      <c r="Q67" s="314">
        <f t="shared" si="25"/>
        <v>0</v>
      </c>
      <c r="R67" s="314"/>
      <c r="S67" s="314"/>
      <c r="T67" s="322">
        <f t="shared" si="21"/>
        <v>0</v>
      </c>
      <c r="U67" s="875">
        <f t="shared" si="26"/>
        <v>0</v>
      </c>
      <c r="V67" s="876"/>
      <c r="W67" s="345"/>
      <c r="X67" s="206"/>
      <c r="Y67" s="856" t="str">
        <f t="shared" si="20"/>
        <v>511F25</v>
      </c>
      <c r="Z67" s="818" t="s">
        <v>298</v>
      </c>
      <c r="AA67" s="380"/>
      <c r="AB67" s="380">
        <v>0</v>
      </c>
      <c r="AC67" s="314">
        <v>0</v>
      </c>
      <c r="AD67" s="314">
        <v>0</v>
      </c>
      <c r="AE67" s="314">
        <v>0</v>
      </c>
      <c r="AF67" s="314">
        <v>0</v>
      </c>
      <c r="AG67" s="314">
        <v>0</v>
      </c>
      <c r="AH67" s="314">
        <v>0</v>
      </c>
      <c r="AI67" s="314">
        <v>0</v>
      </c>
      <c r="AJ67" s="314"/>
      <c r="AK67" s="314"/>
      <c r="AL67" s="314"/>
      <c r="AM67" s="314"/>
      <c r="AN67" s="314"/>
      <c r="AO67" s="314"/>
      <c r="AP67" s="314"/>
      <c r="AQ67" s="314"/>
      <c r="AR67" s="314"/>
      <c r="AS67" s="314"/>
      <c r="AT67" s="314"/>
      <c r="AU67" s="314"/>
      <c r="AV67" s="314"/>
      <c r="AW67" s="314"/>
      <c r="AX67" s="314"/>
      <c r="AY67" s="314"/>
      <c r="AZ67" s="314"/>
      <c r="BA67" s="314"/>
      <c r="BB67" s="314"/>
      <c r="BC67" s="314"/>
      <c r="BD67" s="314"/>
      <c r="BE67" s="314"/>
      <c r="BF67" s="205">
        <f t="shared" si="5"/>
        <v>0</v>
      </c>
      <c r="BG67" s="786">
        <f t="shared" si="6"/>
        <v>0</v>
      </c>
      <c r="BH67" s="786">
        <f t="shared" si="7"/>
        <v>0</v>
      </c>
    </row>
    <row r="68" spans="1:60" s="207" customFormat="1" ht="15" customHeight="1">
      <c r="A68" s="285">
        <v>59</v>
      </c>
      <c r="B68" s="208" t="s">
        <v>280</v>
      </c>
      <c r="C68" s="208" t="s">
        <v>64</v>
      </c>
      <c r="D68" s="332">
        <v>25</v>
      </c>
      <c r="E68" s="314">
        <v>0</v>
      </c>
      <c r="F68" s="100">
        <f>SUMIF(pro!$A:$A,INTGRATE!$Y:$Y,pro!$N:$N)</f>
        <v>0</v>
      </c>
      <c r="G68" s="314"/>
      <c r="H68" s="314">
        <f>SUMIF(CBIN!$A:$A,INTGRATE!$Y:$Y,CBIN!$G:$G)</f>
        <v>0</v>
      </c>
      <c r="I68" s="314">
        <f>SUMIF(data!$D:$D,INTGRATE!$B68&amp;INTGRATE!$D68,data!$J:$J)</f>
        <v>0</v>
      </c>
      <c r="J68" s="314"/>
      <c r="K68" s="314"/>
      <c r="L68" s="314">
        <f>SUMIF(data!$D:$D,INTGRATE!$B68&amp;INTGRATE!$D68,data!$K:$K)</f>
        <v>0</v>
      </c>
      <c r="M68" s="314">
        <f>SUMIF(AJOUT!$A:$A,INTGRATE!$Y:$Y,AJOUT!$L:$L)</f>
        <v>0</v>
      </c>
      <c r="N68" s="100">
        <f>SUMIF(CBOUT!$A:$A,INTGRATE!$Y:$Y,CBOUT!$G:$G)</f>
        <v>0</v>
      </c>
      <c r="O68" s="1183">
        <f t="shared" si="27"/>
        <v>0</v>
      </c>
      <c r="P68" s="314">
        <f t="shared" ref="P68:P73" si="28">O68*D68</f>
        <v>0</v>
      </c>
      <c r="Q68" s="314">
        <f t="shared" si="25"/>
        <v>0</v>
      </c>
      <c r="R68" s="314"/>
      <c r="S68" s="314"/>
      <c r="T68" s="322">
        <f t="shared" si="21"/>
        <v>0</v>
      </c>
      <c r="U68" s="875">
        <f t="shared" si="26"/>
        <v>0</v>
      </c>
      <c r="V68" s="876"/>
      <c r="W68" s="345"/>
      <c r="X68" s="206"/>
      <c r="Y68" s="856" t="str">
        <f t="shared" si="20"/>
        <v>511AF25</v>
      </c>
      <c r="Z68" s="818" t="s">
        <v>281</v>
      </c>
      <c r="AA68" s="380"/>
      <c r="AB68" s="380">
        <v>0</v>
      </c>
      <c r="AC68" s="314">
        <v>0</v>
      </c>
      <c r="AD68" s="314">
        <v>0</v>
      </c>
      <c r="AE68" s="314">
        <v>0</v>
      </c>
      <c r="AF68" s="314">
        <v>0</v>
      </c>
      <c r="AG68" s="314">
        <v>0</v>
      </c>
      <c r="AH68" s="314">
        <v>0</v>
      </c>
      <c r="AI68" s="314">
        <v>0</v>
      </c>
      <c r="AJ68" s="314"/>
      <c r="AK68" s="314"/>
      <c r="AL68" s="314"/>
      <c r="AM68" s="314"/>
      <c r="AN68" s="314"/>
      <c r="AO68" s="314"/>
      <c r="AP68" s="314"/>
      <c r="AQ68" s="314"/>
      <c r="AR68" s="314"/>
      <c r="AS68" s="314"/>
      <c r="AT68" s="314"/>
      <c r="AU68" s="314"/>
      <c r="AV68" s="314"/>
      <c r="AW68" s="314"/>
      <c r="AX68" s="314"/>
      <c r="AY68" s="314"/>
      <c r="AZ68" s="314"/>
      <c r="BA68" s="314"/>
      <c r="BB68" s="314"/>
      <c r="BC68" s="314"/>
      <c r="BD68" s="314"/>
      <c r="BE68" s="314"/>
      <c r="BF68" s="205">
        <f t="shared" si="5"/>
        <v>0</v>
      </c>
      <c r="BG68" s="786">
        <f t="shared" si="6"/>
        <v>0</v>
      </c>
      <c r="BH68" s="786">
        <f t="shared" si="7"/>
        <v>0</v>
      </c>
    </row>
    <row r="69" spans="1:60" s="207" customFormat="1" ht="15" customHeight="1">
      <c r="A69" s="285">
        <v>60</v>
      </c>
      <c r="B69" s="508" t="s">
        <v>322</v>
      </c>
      <c r="C69" s="508" t="s">
        <v>64</v>
      </c>
      <c r="D69" s="509">
        <v>25</v>
      </c>
      <c r="E69" s="314">
        <v>0</v>
      </c>
      <c r="F69" s="100">
        <f>SUMIF(pro!$A:$A,INTGRATE!$Y:$Y,pro!$N:$N)</f>
        <v>0</v>
      </c>
      <c r="G69" s="314"/>
      <c r="H69" s="314">
        <f>SUMIF(CBIN!$A:$A,INTGRATE!$Y:$Y,CBIN!$G:$G)</f>
        <v>0</v>
      </c>
      <c r="I69" s="314">
        <f>SUMIF(data!$D:$D,INTGRATE!$B69&amp;INTGRATE!$D69,data!$J:$J)</f>
        <v>0</v>
      </c>
      <c r="J69" s="314"/>
      <c r="K69" s="314"/>
      <c r="L69" s="314">
        <f>SUMIF(data!$D:$D,INTGRATE!$B69&amp;INTGRATE!$D69,data!$K:$K)</f>
        <v>0</v>
      </c>
      <c r="M69" s="314">
        <f>SUMIF(AJOUT!$A:$A,INTGRATE!$Y:$Y,AJOUT!$L:$L)</f>
        <v>0</v>
      </c>
      <c r="N69" s="100">
        <f>SUMIF(CBOUT!$A:$A,INTGRATE!$Y:$Y,CBOUT!$G:$G)</f>
        <v>0</v>
      </c>
      <c r="O69" s="1183">
        <f t="shared" si="27"/>
        <v>0</v>
      </c>
      <c r="P69" s="314">
        <f t="shared" si="28"/>
        <v>0</v>
      </c>
      <c r="Q69" s="314">
        <f t="shared" si="25"/>
        <v>0</v>
      </c>
      <c r="R69" s="314"/>
      <c r="S69" s="314"/>
      <c r="T69" s="322">
        <f t="shared" si="21"/>
        <v>0</v>
      </c>
      <c r="U69" s="875">
        <f t="shared" si="26"/>
        <v>0</v>
      </c>
      <c r="V69" s="876"/>
      <c r="W69" s="345"/>
      <c r="X69" s="206"/>
      <c r="Y69" s="856" t="str">
        <f t="shared" si="20"/>
        <v>540F25</v>
      </c>
      <c r="Z69" s="818" t="s">
        <v>323</v>
      </c>
      <c r="AA69" s="380"/>
      <c r="AB69" s="380">
        <v>0</v>
      </c>
      <c r="AC69" s="314">
        <v>0</v>
      </c>
      <c r="AD69" s="314">
        <v>0</v>
      </c>
      <c r="AE69" s="314">
        <v>0</v>
      </c>
      <c r="AF69" s="314">
        <v>0</v>
      </c>
      <c r="AG69" s="314">
        <v>0</v>
      </c>
      <c r="AH69" s="314">
        <v>0</v>
      </c>
      <c r="AI69" s="314">
        <v>0</v>
      </c>
      <c r="AJ69" s="314"/>
      <c r="AK69" s="314"/>
      <c r="AL69" s="314"/>
      <c r="AM69" s="314"/>
      <c r="AN69" s="314"/>
      <c r="AO69" s="314"/>
      <c r="AP69" s="314"/>
      <c r="AQ69" s="314"/>
      <c r="AR69" s="314"/>
      <c r="AS69" s="314"/>
      <c r="AT69" s="314"/>
      <c r="AU69" s="314"/>
      <c r="AV69" s="314"/>
      <c r="AW69" s="314"/>
      <c r="AX69" s="314"/>
      <c r="AY69" s="314"/>
      <c r="AZ69" s="314"/>
      <c r="BA69" s="314"/>
      <c r="BB69" s="314"/>
      <c r="BC69" s="314"/>
      <c r="BD69" s="314"/>
      <c r="BE69" s="314"/>
      <c r="BF69" s="205">
        <f t="shared" si="5"/>
        <v>0</v>
      </c>
      <c r="BG69" s="786">
        <f t="shared" si="6"/>
        <v>0</v>
      </c>
      <c r="BH69" s="786">
        <f t="shared" si="7"/>
        <v>0</v>
      </c>
    </row>
    <row r="70" spans="1:60" s="207" customFormat="1" ht="15" customHeight="1">
      <c r="A70" s="285">
        <v>61</v>
      </c>
      <c r="B70" s="508" t="s">
        <v>324</v>
      </c>
      <c r="C70" s="508" t="s">
        <v>55</v>
      </c>
      <c r="D70" s="509">
        <v>25</v>
      </c>
      <c r="E70" s="314">
        <v>0</v>
      </c>
      <c r="F70" s="100">
        <f>SUMIF(pro!$A:$A,INTGRATE!$Y:$Y,pro!$N:$N)</f>
        <v>0</v>
      </c>
      <c r="G70" s="314"/>
      <c r="H70" s="314">
        <f>SUMIF(CBIN!$A:$A,INTGRATE!$Y:$Y,CBIN!$G:$G)</f>
        <v>0</v>
      </c>
      <c r="I70" s="314">
        <f>SUMIF(data!$D:$D,INTGRATE!$B70&amp;INTGRATE!$D70,data!$J:$J)</f>
        <v>0</v>
      </c>
      <c r="J70" s="314"/>
      <c r="K70" s="314"/>
      <c r="L70" s="314">
        <f>SUMIF(data!$D:$D,INTGRATE!$B70&amp;INTGRATE!$D70,data!$K:$K)</f>
        <v>0</v>
      </c>
      <c r="M70" s="314">
        <f>SUMIF(AJOUT!$A:$A,INTGRATE!$Y:$Y,AJOUT!$L:$L)</f>
        <v>0</v>
      </c>
      <c r="N70" s="100">
        <f>SUMIF(CBOUT!$A:$A,INTGRATE!$Y:$Y,CBOUT!$G:$G)</f>
        <v>0</v>
      </c>
      <c r="O70" s="1183">
        <f t="shared" si="27"/>
        <v>0</v>
      </c>
      <c r="P70" s="314">
        <f t="shared" si="28"/>
        <v>0</v>
      </c>
      <c r="Q70" s="314">
        <f t="shared" si="25"/>
        <v>0</v>
      </c>
      <c r="R70" s="314"/>
      <c r="S70" s="314"/>
      <c r="T70" s="322">
        <f t="shared" si="21"/>
        <v>0</v>
      </c>
      <c r="U70" s="875">
        <f t="shared" si="26"/>
        <v>0</v>
      </c>
      <c r="V70" s="876"/>
      <c r="W70" s="345"/>
      <c r="X70" s="206"/>
      <c r="Y70" s="856" t="str">
        <f>B70&amp;D70</f>
        <v>548F25</v>
      </c>
      <c r="Z70" s="818" t="s">
        <v>331</v>
      </c>
      <c r="AA70" s="380"/>
      <c r="AB70" s="380">
        <v>0</v>
      </c>
      <c r="AC70" s="314">
        <v>0</v>
      </c>
      <c r="AD70" s="314">
        <v>0</v>
      </c>
      <c r="AE70" s="314">
        <v>0</v>
      </c>
      <c r="AF70" s="314">
        <v>0</v>
      </c>
      <c r="AG70" s="314">
        <v>0</v>
      </c>
      <c r="AH70" s="314">
        <v>0</v>
      </c>
      <c r="AI70" s="314">
        <v>0</v>
      </c>
      <c r="AJ70" s="314"/>
      <c r="AK70" s="314"/>
      <c r="AL70" s="314"/>
      <c r="AM70" s="314"/>
      <c r="AN70" s="314"/>
      <c r="AO70" s="314"/>
      <c r="AP70" s="314"/>
      <c r="AQ70" s="314"/>
      <c r="AR70" s="314"/>
      <c r="AS70" s="314"/>
      <c r="AT70" s="314"/>
      <c r="AU70" s="314"/>
      <c r="AV70" s="314"/>
      <c r="AW70" s="314"/>
      <c r="AX70" s="314"/>
      <c r="AY70" s="314"/>
      <c r="AZ70" s="314"/>
      <c r="BA70" s="314"/>
      <c r="BB70" s="314"/>
      <c r="BC70" s="314"/>
      <c r="BD70" s="314"/>
      <c r="BE70" s="314"/>
      <c r="BF70" s="205">
        <f t="shared" si="5"/>
        <v>0</v>
      </c>
      <c r="BG70" s="786">
        <f t="shared" si="6"/>
        <v>0</v>
      </c>
      <c r="BH70" s="786">
        <f t="shared" si="7"/>
        <v>0</v>
      </c>
    </row>
    <row r="71" spans="1:60" s="207" customFormat="1" ht="15" customHeight="1">
      <c r="A71" s="285">
        <v>62</v>
      </c>
      <c r="B71" s="508" t="s">
        <v>329</v>
      </c>
      <c r="C71" s="508" t="s">
        <v>64</v>
      </c>
      <c r="D71" s="509">
        <v>25</v>
      </c>
      <c r="E71" s="314">
        <v>0</v>
      </c>
      <c r="F71" s="100">
        <f>SUMIF(pro!$A:$A,INTGRATE!$Y:$Y,pro!$N:$N)</f>
        <v>0</v>
      </c>
      <c r="G71" s="314"/>
      <c r="H71" s="314">
        <f>SUMIF(CBIN!$A:$A,INTGRATE!$Y:$Y,CBIN!$G:$G)</f>
        <v>0</v>
      </c>
      <c r="I71" s="314">
        <f>SUMIF(data!$D:$D,INTGRATE!$B71&amp;INTGRATE!$D71,data!$J:$J)</f>
        <v>0</v>
      </c>
      <c r="J71" s="314"/>
      <c r="K71" s="314"/>
      <c r="L71" s="314">
        <f>SUMIF(data!$D:$D,INTGRATE!$B71&amp;INTGRATE!$D71,data!$K:$K)</f>
        <v>0</v>
      </c>
      <c r="M71" s="314">
        <f>SUMIF(AJOUT!$A:$A,INTGRATE!$Y:$Y,AJOUT!$L:$L)</f>
        <v>0</v>
      </c>
      <c r="N71" s="100">
        <f>SUMIF(CBOUT!$A:$A,INTGRATE!$Y:$Y,CBOUT!$G:$G)</f>
        <v>0</v>
      </c>
      <c r="O71" s="1183">
        <f t="shared" si="27"/>
        <v>0</v>
      </c>
      <c r="P71" s="314">
        <f t="shared" si="28"/>
        <v>0</v>
      </c>
      <c r="Q71" s="314">
        <f t="shared" si="25"/>
        <v>0</v>
      </c>
      <c r="R71" s="314"/>
      <c r="S71" s="314"/>
      <c r="T71" s="322">
        <f t="shared" si="21"/>
        <v>0</v>
      </c>
      <c r="U71" s="875">
        <f t="shared" si="26"/>
        <v>0</v>
      </c>
      <c r="V71" s="876"/>
      <c r="W71" s="345"/>
      <c r="X71" s="206"/>
      <c r="Y71" s="856" t="str">
        <f>B71&amp;D71</f>
        <v>549F25</v>
      </c>
      <c r="Z71" s="818">
        <v>203501</v>
      </c>
      <c r="AA71" s="380"/>
      <c r="AB71" s="380">
        <v>0</v>
      </c>
      <c r="AC71" s="314">
        <v>0</v>
      </c>
      <c r="AD71" s="314">
        <v>0</v>
      </c>
      <c r="AE71" s="314">
        <v>0</v>
      </c>
      <c r="AF71" s="314">
        <v>0</v>
      </c>
      <c r="AG71" s="314">
        <v>0</v>
      </c>
      <c r="AH71" s="314">
        <v>0</v>
      </c>
      <c r="AI71" s="314">
        <v>0</v>
      </c>
      <c r="AJ71" s="314"/>
      <c r="AK71" s="314"/>
      <c r="AL71" s="314"/>
      <c r="AM71" s="314"/>
      <c r="AN71" s="314"/>
      <c r="AO71" s="314"/>
      <c r="AP71" s="314"/>
      <c r="AQ71" s="314"/>
      <c r="AR71" s="314"/>
      <c r="AS71" s="314"/>
      <c r="AT71" s="314"/>
      <c r="AU71" s="314"/>
      <c r="AV71" s="314"/>
      <c r="AW71" s="314"/>
      <c r="AX71" s="314"/>
      <c r="AY71" s="314"/>
      <c r="AZ71" s="314"/>
      <c r="BA71" s="314"/>
      <c r="BB71" s="314"/>
      <c r="BC71" s="314"/>
      <c r="BD71" s="314"/>
      <c r="BE71" s="314"/>
      <c r="BF71" s="205">
        <f t="shared" si="5"/>
        <v>0</v>
      </c>
      <c r="BG71" s="786">
        <f t="shared" si="6"/>
        <v>0</v>
      </c>
      <c r="BH71" s="786">
        <f t="shared" si="7"/>
        <v>0</v>
      </c>
    </row>
    <row r="72" spans="1:60" s="207" customFormat="1" ht="15" customHeight="1">
      <c r="A72" s="285">
        <v>63</v>
      </c>
      <c r="B72" s="508" t="s">
        <v>329</v>
      </c>
      <c r="C72" s="508" t="s">
        <v>64</v>
      </c>
      <c r="D72" s="509">
        <v>40</v>
      </c>
      <c r="E72" s="314">
        <v>0</v>
      </c>
      <c r="F72" s="100">
        <f>SUMIF(pro!$A:$A,INTGRATE!$Y:$Y,pro!$N:$N)</f>
        <v>0</v>
      </c>
      <c r="G72" s="314"/>
      <c r="H72" s="314">
        <f>SUMIF(CBIN!$A:$A,INTGRATE!$Y:$Y,CBIN!$G:$G)</f>
        <v>0</v>
      </c>
      <c r="I72" s="314">
        <f>SUMIF(data!$D:$D,INTGRATE!$B72&amp;INTGRATE!$D72,data!$J:$J)</f>
        <v>0</v>
      </c>
      <c r="J72" s="314"/>
      <c r="K72" s="314"/>
      <c r="L72" s="314">
        <f>SUMIF(data!$D:$D,INTGRATE!$B72&amp;INTGRATE!$D72,data!$K:$K)</f>
        <v>0</v>
      </c>
      <c r="M72" s="314">
        <f>SUMIF(AJOUT!$A:$A,INTGRATE!$Y:$Y,AJOUT!$L:$L)</f>
        <v>0</v>
      </c>
      <c r="N72" s="100">
        <f>SUMIF(CBOUT!$A:$A,INTGRATE!$Y:$Y,CBOUT!$G:$G)</f>
        <v>0</v>
      </c>
      <c r="O72" s="1183">
        <f>E72+F72+H72-I72-N72+G72-M72</f>
        <v>0</v>
      </c>
      <c r="P72" s="314">
        <f t="shared" si="28"/>
        <v>0</v>
      </c>
      <c r="Q72" s="314">
        <f>SUM(AA72:BE72)</f>
        <v>0</v>
      </c>
      <c r="R72" s="314"/>
      <c r="S72" s="314"/>
      <c r="T72" s="322">
        <f t="shared" si="21"/>
        <v>0</v>
      </c>
      <c r="U72" s="875">
        <f>IF(T72=0,0,P72/T72)</f>
        <v>0</v>
      </c>
      <c r="V72" s="876"/>
      <c r="W72" s="345"/>
      <c r="X72" s="206"/>
      <c r="Y72" s="856" t="str">
        <f>B72&amp;D72</f>
        <v>549F40</v>
      </c>
      <c r="Z72" s="818">
        <v>203501</v>
      </c>
      <c r="AA72" s="380"/>
      <c r="AB72" s="380">
        <v>0</v>
      </c>
      <c r="AC72" s="314">
        <v>0</v>
      </c>
      <c r="AD72" s="314">
        <v>0</v>
      </c>
      <c r="AE72" s="314">
        <v>0</v>
      </c>
      <c r="AF72" s="314">
        <v>0</v>
      </c>
      <c r="AG72" s="314">
        <v>0</v>
      </c>
      <c r="AH72" s="314">
        <v>0</v>
      </c>
      <c r="AI72" s="314">
        <v>0</v>
      </c>
      <c r="AJ72" s="314"/>
      <c r="AK72" s="314"/>
      <c r="AL72" s="314"/>
      <c r="AM72" s="314"/>
      <c r="AN72" s="314"/>
      <c r="AO72" s="314"/>
      <c r="AP72" s="314"/>
      <c r="AQ72" s="314"/>
      <c r="AR72" s="314"/>
      <c r="AS72" s="314"/>
      <c r="AT72" s="314"/>
      <c r="AU72" s="314"/>
      <c r="AV72" s="314"/>
      <c r="AW72" s="314"/>
      <c r="AX72" s="314"/>
      <c r="AY72" s="314"/>
      <c r="AZ72" s="314"/>
      <c r="BA72" s="314"/>
      <c r="BB72" s="314"/>
      <c r="BC72" s="314"/>
      <c r="BD72" s="314"/>
      <c r="BE72" s="314"/>
      <c r="BF72" s="205">
        <f t="shared" si="5"/>
        <v>0</v>
      </c>
      <c r="BG72" s="786">
        <f t="shared" si="6"/>
        <v>0</v>
      </c>
      <c r="BH72" s="786">
        <f t="shared" si="7"/>
        <v>0</v>
      </c>
    </row>
    <row r="73" spans="1:60" s="207" customFormat="1" ht="15" customHeight="1">
      <c r="A73" s="285">
        <v>64</v>
      </c>
      <c r="B73" s="508" t="s">
        <v>322</v>
      </c>
      <c r="C73" s="508" t="s">
        <v>68</v>
      </c>
      <c r="D73" s="509">
        <v>40</v>
      </c>
      <c r="E73" s="314">
        <v>0</v>
      </c>
      <c r="F73" s="100">
        <f>SUMIF(pro!$A:$A,INTGRATE!$Y:$Y,pro!$N:$N)</f>
        <v>0</v>
      </c>
      <c r="G73" s="314"/>
      <c r="H73" s="314">
        <f>SUMIF(CBIN!$A:$A,INTGRATE!$Y:$Y,CBIN!$G:$G)</f>
        <v>0</v>
      </c>
      <c r="I73" s="314">
        <f>SUMIF(data!$D:$D,INTGRATE!$B73&amp;INTGRATE!$D73,data!$J:$J)</f>
        <v>0</v>
      </c>
      <c r="J73" s="314"/>
      <c r="K73" s="314"/>
      <c r="L73" s="314">
        <f>SUMIF(data!$D:$D,INTGRATE!$B73&amp;INTGRATE!$D73,data!$K:$K)</f>
        <v>0</v>
      </c>
      <c r="M73" s="314">
        <f>SUMIF(AJOUT!$A:$A,INTGRATE!$Y:$Y,AJOUT!$L:$L)</f>
        <v>0</v>
      </c>
      <c r="N73" s="100">
        <f>SUMIF(CBOUT!$A:$A,INTGRATE!$Y:$Y,CBOUT!$G:$G)</f>
        <v>0</v>
      </c>
      <c r="O73" s="1183">
        <f>E73+F73+H73-I73-N73+G73-M73</f>
        <v>0</v>
      </c>
      <c r="P73" s="314">
        <f t="shared" si="28"/>
        <v>0</v>
      </c>
      <c r="Q73" s="314">
        <f>SUM(AA73:BE73)</f>
        <v>0</v>
      </c>
      <c r="R73" s="314"/>
      <c r="S73" s="314"/>
      <c r="T73" s="322"/>
      <c r="U73" s="875">
        <f>IF(T73=0,0,P73/T73)</f>
        <v>0</v>
      </c>
      <c r="V73" s="876"/>
      <c r="W73" s="345"/>
      <c r="X73" s="206"/>
      <c r="Y73" s="856" t="str">
        <f>B73&amp;D73</f>
        <v>540F40</v>
      </c>
      <c r="Z73" s="818" t="s">
        <v>323</v>
      </c>
      <c r="AA73" s="380"/>
      <c r="AB73" s="380">
        <v>0</v>
      </c>
      <c r="AC73" s="314">
        <v>0</v>
      </c>
      <c r="AD73" s="314">
        <v>0</v>
      </c>
      <c r="AE73" s="314">
        <v>0</v>
      </c>
      <c r="AF73" s="314">
        <v>0</v>
      </c>
      <c r="AG73" s="314">
        <v>0</v>
      </c>
      <c r="AH73" s="314">
        <v>0</v>
      </c>
      <c r="AI73" s="314">
        <v>0</v>
      </c>
      <c r="AJ73" s="314"/>
      <c r="AK73" s="314"/>
      <c r="AL73" s="314"/>
      <c r="AM73" s="314"/>
      <c r="AN73" s="314"/>
      <c r="AO73" s="314"/>
      <c r="AP73" s="314"/>
      <c r="AQ73" s="314"/>
      <c r="AR73" s="314"/>
      <c r="AS73" s="314"/>
      <c r="AT73" s="314"/>
      <c r="AU73" s="314"/>
      <c r="AV73" s="314"/>
      <c r="AW73" s="314"/>
      <c r="AX73" s="314"/>
      <c r="AY73" s="314"/>
      <c r="AZ73" s="314"/>
      <c r="BA73" s="314"/>
      <c r="BB73" s="314"/>
      <c r="BC73" s="314"/>
      <c r="BD73" s="314"/>
      <c r="BE73" s="314"/>
      <c r="BF73" s="205">
        <f t="shared" si="5"/>
        <v>0</v>
      </c>
      <c r="BG73" s="786">
        <f t="shared" si="6"/>
        <v>0</v>
      </c>
      <c r="BH73" s="786">
        <f t="shared" si="7"/>
        <v>0</v>
      </c>
    </row>
    <row r="74" spans="1:60" s="207" customFormat="1" ht="15" customHeight="1">
      <c r="A74" s="285">
        <v>65</v>
      </c>
      <c r="B74" s="209" t="s">
        <v>322</v>
      </c>
      <c r="C74" s="209" t="s">
        <v>64</v>
      </c>
      <c r="D74" s="209" t="s">
        <v>66</v>
      </c>
      <c r="E74" s="314">
        <v>0</v>
      </c>
      <c r="F74" s="100">
        <f>+L74</f>
        <v>0</v>
      </c>
      <c r="G74" s="350"/>
      <c r="H74" s="314">
        <f>SUMIF(CBIN!$A:$A,INTGRATE!$Y:$Y,CBIN!$G:$G)</f>
        <v>0</v>
      </c>
      <c r="I74" s="314">
        <f>SUMIF(data!$D:$D,INTGRATE!$B74&amp;INTGRATE!$D74,data!$J:$J)</f>
        <v>0</v>
      </c>
      <c r="J74" s="314"/>
      <c r="K74" s="314"/>
      <c r="L74" s="314">
        <f>SUMIF(data!$D:$D,INTGRATE!$B74&amp;INTGRATE!$D74,data!$K:$K)</f>
        <v>0</v>
      </c>
      <c r="M74" s="314">
        <f>SUMIF(AJOUT!$A:$A,INTGRATE!$Y:$Y,AJOUT!$L:$L)</f>
        <v>0</v>
      </c>
      <c r="N74" s="100">
        <f>SUMIF(CBOUT!$A:$A,INTGRATE!$Y:$Y,CBOUT!$G:$G)</f>
        <v>0</v>
      </c>
      <c r="O74" s="483">
        <v>0</v>
      </c>
      <c r="P74" s="345">
        <f>+F74-L74</f>
        <v>0</v>
      </c>
      <c r="Q74" s="350">
        <f t="shared" si="25"/>
        <v>103760</v>
      </c>
      <c r="R74" s="314"/>
      <c r="S74" s="314"/>
      <c r="T74" s="1184">
        <f t="shared" ref="T74:T102" si="29">Q74/$N$293</f>
        <v>11528.888888888889</v>
      </c>
      <c r="U74" s="875">
        <f t="shared" si="26"/>
        <v>0</v>
      </c>
      <c r="V74" s="876"/>
      <c r="W74" s="345"/>
      <c r="X74" s="206"/>
      <c r="Y74" s="856" t="str">
        <f t="shared" si="20"/>
        <v>540FSILO</v>
      </c>
      <c r="Z74" s="818" t="s">
        <v>323</v>
      </c>
      <c r="AA74" s="380"/>
      <c r="AB74" s="380">
        <v>0</v>
      </c>
      <c r="AC74" s="314">
        <v>14990</v>
      </c>
      <c r="AD74" s="314">
        <v>14730</v>
      </c>
      <c r="AE74" s="314">
        <v>14990</v>
      </c>
      <c r="AF74" s="314">
        <v>0</v>
      </c>
      <c r="AG74" s="314">
        <v>0</v>
      </c>
      <c r="AH74" s="314">
        <v>44080</v>
      </c>
      <c r="AI74" s="314">
        <v>14970</v>
      </c>
      <c r="AJ74" s="314"/>
      <c r="AK74" s="314"/>
      <c r="AL74" s="314"/>
      <c r="AM74" s="314"/>
      <c r="AN74" s="314"/>
      <c r="AO74" s="314"/>
      <c r="AP74" s="314"/>
      <c r="AQ74" s="314"/>
      <c r="AR74" s="314"/>
      <c r="AS74" s="314"/>
      <c r="AT74" s="314"/>
      <c r="AU74" s="314"/>
      <c r="AV74" s="314"/>
      <c r="AW74" s="314"/>
      <c r="AX74" s="314"/>
      <c r="AY74" s="314"/>
      <c r="AZ74" s="314"/>
      <c r="BA74" s="314"/>
      <c r="BB74" s="314"/>
      <c r="BC74" s="314"/>
      <c r="BD74" s="314"/>
      <c r="BE74" s="314"/>
      <c r="BF74" s="205">
        <f t="shared" si="5"/>
        <v>103760</v>
      </c>
      <c r="BG74" s="786">
        <f t="shared" si="6"/>
        <v>5</v>
      </c>
      <c r="BH74" s="786">
        <f t="shared" si="7"/>
        <v>20752</v>
      </c>
    </row>
    <row r="75" spans="1:60" s="207" customFormat="1" ht="15" customHeight="1">
      <c r="A75" s="285">
        <v>66</v>
      </c>
      <c r="B75" s="209" t="s">
        <v>324</v>
      </c>
      <c r="C75" s="508" t="s">
        <v>55</v>
      </c>
      <c r="D75" s="209" t="s">
        <v>66</v>
      </c>
      <c r="E75" s="314">
        <v>0</v>
      </c>
      <c r="F75" s="100">
        <f t="shared" ref="F75:F99" si="30">+L75</f>
        <v>0</v>
      </c>
      <c r="G75" s="350"/>
      <c r="H75" s="314">
        <f>SUMIF(CBIN!$A:$A,INTGRATE!$Y:$Y,CBIN!$G:$G)</f>
        <v>0</v>
      </c>
      <c r="I75" s="314">
        <f>SUMIF(data!$D:$D,INTGRATE!$B75&amp;INTGRATE!$D75,data!$J:$J)</f>
        <v>0</v>
      </c>
      <c r="J75" s="314"/>
      <c r="K75" s="314"/>
      <c r="L75" s="314">
        <f>SUMIF(data!$D:$D,INTGRATE!$B75&amp;INTGRATE!$D75,data!$K:$K)</f>
        <v>0</v>
      </c>
      <c r="M75" s="314">
        <f>SUMIF(AJOUT!$A:$A,INTGRATE!$Y:$Y,AJOUT!$L:$L)</f>
        <v>0</v>
      </c>
      <c r="N75" s="100">
        <f>SUMIF(CBOUT!$A:$A,INTGRATE!$Y:$Y,CBOUT!$G:$G)</f>
        <v>0</v>
      </c>
      <c r="O75" s="483">
        <v>0</v>
      </c>
      <c r="P75" s="345">
        <f t="shared" ref="P75:P99" si="31">+F75-L75</f>
        <v>0</v>
      </c>
      <c r="Q75" s="350">
        <f t="shared" si="25"/>
        <v>0</v>
      </c>
      <c r="R75" s="314"/>
      <c r="S75" s="314"/>
      <c r="T75" s="1184">
        <f t="shared" si="29"/>
        <v>0</v>
      </c>
      <c r="U75" s="875">
        <f t="shared" si="26"/>
        <v>0</v>
      </c>
      <c r="V75" s="876"/>
      <c r="W75" s="345"/>
      <c r="X75" s="206"/>
      <c r="Y75" s="856" t="str">
        <f t="shared" si="20"/>
        <v>548FSILO</v>
      </c>
      <c r="Z75" s="818">
        <v>201501</v>
      </c>
      <c r="AA75" s="380"/>
      <c r="AB75" s="380">
        <v>0</v>
      </c>
      <c r="AC75" s="314">
        <v>0</v>
      </c>
      <c r="AD75" s="314">
        <v>0</v>
      </c>
      <c r="AE75" s="314">
        <v>0</v>
      </c>
      <c r="AF75" s="314">
        <v>0</v>
      </c>
      <c r="AG75" s="314">
        <v>0</v>
      </c>
      <c r="AH75" s="314">
        <v>0</v>
      </c>
      <c r="AI75" s="314">
        <v>0</v>
      </c>
      <c r="AJ75" s="314"/>
      <c r="AK75" s="314"/>
      <c r="AL75" s="314"/>
      <c r="AM75" s="314"/>
      <c r="AN75" s="314"/>
      <c r="AO75" s="314"/>
      <c r="AP75" s="314"/>
      <c r="AQ75" s="314"/>
      <c r="AR75" s="314"/>
      <c r="AS75" s="314"/>
      <c r="AT75" s="314"/>
      <c r="AU75" s="314"/>
      <c r="AV75" s="314"/>
      <c r="AW75" s="314"/>
      <c r="AX75" s="314"/>
      <c r="AY75" s="314"/>
      <c r="AZ75" s="314"/>
      <c r="BA75" s="314"/>
      <c r="BB75" s="314"/>
      <c r="BC75" s="314"/>
      <c r="BD75" s="314"/>
      <c r="BE75" s="314"/>
      <c r="BF75" s="205">
        <f t="shared" si="5"/>
        <v>0</v>
      </c>
      <c r="BG75" s="786">
        <f t="shared" si="6"/>
        <v>0</v>
      </c>
      <c r="BH75" s="786">
        <f t="shared" si="7"/>
        <v>0</v>
      </c>
    </row>
    <row r="76" spans="1:60" s="207" customFormat="1" ht="15" customHeight="1">
      <c r="A76" s="285">
        <v>67</v>
      </c>
      <c r="B76" s="209" t="s">
        <v>325</v>
      </c>
      <c r="C76" s="508" t="s">
        <v>55</v>
      </c>
      <c r="D76" s="209" t="s">
        <v>66</v>
      </c>
      <c r="E76" s="314">
        <v>0</v>
      </c>
      <c r="F76" s="100">
        <f>+L76</f>
        <v>0</v>
      </c>
      <c r="G76" s="350"/>
      <c r="H76" s="314">
        <f>SUMIF(CBIN!$A:$A,INTGRATE!$Y:$Y,CBIN!$G:$G)</f>
        <v>0</v>
      </c>
      <c r="I76" s="314">
        <f>SUMIF(data!$D:$D,INTGRATE!$B76&amp;INTGRATE!$D76,data!$J:$J)</f>
        <v>0</v>
      </c>
      <c r="J76" s="314"/>
      <c r="K76" s="314"/>
      <c r="L76" s="314">
        <f>SUMIF(data!$D:$D,INTGRATE!$B76&amp;INTGRATE!$D76,data!$K:$K)</f>
        <v>0</v>
      </c>
      <c r="M76" s="314">
        <f>SUMIF(AJOUT!$A:$A,INTGRATE!$Y:$Y,AJOUT!$L:$L)</f>
        <v>0</v>
      </c>
      <c r="N76" s="100">
        <f>SUMIF(CBOUT!$A:$A,INTGRATE!$Y:$Y,CBOUT!$G:$G)</f>
        <v>0</v>
      </c>
      <c r="O76" s="483">
        <v>0</v>
      </c>
      <c r="P76" s="345">
        <f>+F76-L76</f>
        <v>0</v>
      </c>
      <c r="Q76" s="350">
        <f t="shared" si="25"/>
        <v>0</v>
      </c>
      <c r="R76" s="314"/>
      <c r="S76" s="314"/>
      <c r="T76" s="1184">
        <f t="shared" si="29"/>
        <v>0</v>
      </c>
      <c r="U76" s="875">
        <f>IF(T76=0,0,P76/T76)</f>
        <v>0</v>
      </c>
      <c r="V76" s="876"/>
      <c r="W76" s="345"/>
      <c r="X76" s="206"/>
      <c r="Y76" s="856" t="str">
        <f>B76&amp;D76</f>
        <v>548FP31SILO</v>
      </c>
      <c r="Z76" s="818">
        <v>20150831</v>
      </c>
      <c r="AA76" s="380"/>
      <c r="AB76" s="380">
        <v>0</v>
      </c>
      <c r="AC76" s="314"/>
      <c r="AD76" s="314">
        <v>0</v>
      </c>
      <c r="AE76" s="314">
        <v>0</v>
      </c>
      <c r="AF76" s="314">
        <v>0</v>
      </c>
      <c r="AG76" s="314">
        <v>0</v>
      </c>
      <c r="AH76" s="314">
        <v>0</v>
      </c>
      <c r="AI76" s="314">
        <v>0</v>
      </c>
      <c r="AJ76" s="314"/>
      <c r="AK76" s="314"/>
      <c r="AL76" s="314"/>
      <c r="AM76" s="314"/>
      <c r="AN76" s="314"/>
      <c r="AO76" s="314"/>
      <c r="AP76" s="314"/>
      <c r="AQ76" s="314"/>
      <c r="AR76" s="314"/>
      <c r="AS76" s="314"/>
      <c r="AT76" s="314"/>
      <c r="AU76" s="314"/>
      <c r="AV76" s="314"/>
      <c r="AW76" s="314"/>
      <c r="AX76" s="314"/>
      <c r="AY76" s="314"/>
      <c r="AZ76" s="314"/>
      <c r="BA76" s="314"/>
      <c r="BB76" s="314"/>
      <c r="BC76" s="314"/>
      <c r="BD76" s="314"/>
      <c r="BE76" s="314"/>
      <c r="BF76" s="205">
        <f t="shared" si="5"/>
        <v>0</v>
      </c>
      <c r="BG76" s="786">
        <f t="shared" ref="BG76:BG102" si="32">COUNTIF(AA76:BE76,"&gt;0")</f>
        <v>0</v>
      </c>
      <c r="BH76" s="786">
        <f t="shared" ref="BH76:BH101" si="33">IFERROR(BF76/BG76,0)</f>
        <v>0</v>
      </c>
    </row>
    <row r="77" spans="1:60" s="207" customFormat="1" ht="15" customHeight="1">
      <c r="A77" s="285">
        <v>68</v>
      </c>
      <c r="B77" s="209" t="s">
        <v>326</v>
      </c>
      <c r="C77" s="508" t="s">
        <v>55</v>
      </c>
      <c r="D77" s="209" t="s">
        <v>66</v>
      </c>
      <c r="E77" s="314">
        <v>0</v>
      </c>
      <c r="F77" s="100">
        <f t="shared" si="30"/>
        <v>0</v>
      </c>
      <c r="G77" s="350"/>
      <c r="H77" s="314">
        <f>SUMIF(CBIN!$A:$A,INTGRATE!$Y:$Y,CBIN!$G:$G)</f>
        <v>0</v>
      </c>
      <c r="I77" s="314">
        <f>SUMIF(data!$D:$D,INTGRATE!$B77&amp;INTGRATE!$D77,data!$J:$J)</f>
        <v>0</v>
      </c>
      <c r="J77" s="314"/>
      <c r="K77" s="314"/>
      <c r="L77" s="314">
        <f>SUMIF(data!$D:$D,INTGRATE!$B77&amp;INTGRATE!$D77,data!$K:$K)</f>
        <v>0</v>
      </c>
      <c r="M77" s="314">
        <f>SUMIF(AJOUT!$A:$A,INTGRATE!$Y:$Y,AJOUT!$L:$L)</f>
        <v>0</v>
      </c>
      <c r="N77" s="100">
        <f>SUMIF(CBOUT!$A:$A,INTGRATE!$Y:$Y,CBOUT!$G:$G)</f>
        <v>0</v>
      </c>
      <c r="O77" s="483">
        <v>0</v>
      </c>
      <c r="P77" s="345">
        <f t="shared" si="31"/>
        <v>0</v>
      </c>
      <c r="Q77" s="350">
        <f>SUM(AA77:BE77)</f>
        <v>0</v>
      </c>
      <c r="R77" s="314"/>
      <c r="S77" s="314"/>
      <c r="T77" s="1184">
        <f t="shared" si="29"/>
        <v>0</v>
      </c>
      <c r="U77" s="875">
        <f t="shared" si="26"/>
        <v>0</v>
      </c>
      <c r="V77" s="876"/>
      <c r="W77" s="345"/>
      <c r="X77" s="206"/>
      <c r="Y77" s="856" t="str">
        <f>B77&amp;D77</f>
        <v>548FP33SILO</v>
      </c>
      <c r="Z77" s="818">
        <v>20150833</v>
      </c>
      <c r="AA77" s="380"/>
      <c r="AB77" s="380">
        <v>0</v>
      </c>
      <c r="AC77" s="314"/>
      <c r="AD77" s="314">
        <v>0</v>
      </c>
      <c r="AE77" s="314">
        <v>0</v>
      </c>
      <c r="AF77" s="314">
        <v>0</v>
      </c>
      <c r="AG77" s="314">
        <v>0</v>
      </c>
      <c r="AH77" s="314">
        <v>0</v>
      </c>
      <c r="AI77" s="314">
        <v>0</v>
      </c>
      <c r="AJ77" s="314"/>
      <c r="AK77" s="314"/>
      <c r="AL77" s="314"/>
      <c r="AM77" s="314"/>
      <c r="AN77" s="314"/>
      <c r="AO77" s="314"/>
      <c r="AP77" s="314"/>
      <c r="AQ77" s="314"/>
      <c r="AR77" s="314"/>
      <c r="AS77" s="314"/>
      <c r="AT77" s="314"/>
      <c r="AU77" s="314"/>
      <c r="AV77" s="314"/>
      <c r="AW77" s="314"/>
      <c r="AX77" s="314"/>
      <c r="AY77" s="314"/>
      <c r="AZ77" s="314"/>
      <c r="BA77" s="314"/>
      <c r="BB77" s="314"/>
      <c r="BC77" s="314"/>
      <c r="BD77" s="314"/>
      <c r="BE77" s="314"/>
      <c r="BF77" s="205">
        <f t="shared" si="5"/>
        <v>0</v>
      </c>
      <c r="BG77" s="786">
        <f t="shared" si="32"/>
        <v>0</v>
      </c>
      <c r="BH77" s="786">
        <f t="shared" si="33"/>
        <v>0</v>
      </c>
    </row>
    <row r="78" spans="1:60" s="207" customFormat="1" ht="15" customHeight="1">
      <c r="A78" s="285">
        <v>69</v>
      </c>
      <c r="B78" s="209" t="s">
        <v>328</v>
      </c>
      <c r="C78" s="508" t="s">
        <v>55</v>
      </c>
      <c r="D78" s="209" t="s">
        <v>66</v>
      </c>
      <c r="E78" s="314">
        <v>0</v>
      </c>
      <c r="F78" s="100">
        <f>+L78</f>
        <v>0</v>
      </c>
      <c r="G78" s="350"/>
      <c r="H78" s="314">
        <f>SUMIF(CBIN!$A:$A,INTGRATE!$Y:$Y,CBIN!$G:$G)</f>
        <v>0</v>
      </c>
      <c r="I78" s="314">
        <f>SUMIF(data!$D:$D,INTGRATE!$B78&amp;INTGRATE!$D78,data!$J:$J)</f>
        <v>0</v>
      </c>
      <c r="J78" s="314"/>
      <c r="K78" s="314"/>
      <c r="L78" s="314">
        <f>SUMIF(data!$D:$D,INTGRATE!$B78&amp;INTGRATE!$D78,data!$K:$K)</f>
        <v>0</v>
      </c>
      <c r="M78" s="314">
        <f>SUMIF(AJOUT!$A:$A,INTGRATE!$Y:$Y,AJOUT!$L:$L)</f>
        <v>0</v>
      </c>
      <c r="N78" s="100">
        <f>SUMIF(CBOUT!$A:$A,INTGRATE!$Y:$Y,CBOUT!$G:$G)</f>
        <v>0</v>
      </c>
      <c r="O78" s="483">
        <v>0</v>
      </c>
      <c r="P78" s="345">
        <f>+F78-L78</f>
        <v>0</v>
      </c>
      <c r="Q78" s="350">
        <f>SUM(AA78:BE78)</f>
        <v>0</v>
      </c>
      <c r="R78" s="314"/>
      <c r="S78" s="314"/>
      <c r="T78" s="1184">
        <f t="shared" si="29"/>
        <v>0</v>
      </c>
      <c r="U78" s="875">
        <f t="shared" si="26"/>
        <v>0</v>
      </c>
      <c r="V78" s="876"/>
      <c r="W78" s="345"/>
      <c r="X78" s="206"/>
      <c r="Y78" s="856" t="str">
        <f>B78&amp;D78</f>
        <v>548FP35SILO</v>
      </c>
      <c r="Z78" s="818">
        <v>20150835</v>
      </c>
      <c r="AA78" s="380"/>
      <c r="AB78" s="380">
        <v>0</v>
      </c>
      <c r="AC78" s="314"/>
      <c r="AD78" s="314">
        <v>0</v>
      </c>
      <c r="AE78" s="314">
        <v>0</v>
      </c>
      <c r="AF78" s="314">
        <v>0</v>
      </c>
      <c r="AG78" s="314">
        <v>0</v>
      </c>
      <c r="AH78" s="314">
        <v>0</v>
      </c>
      <c r="AI78" s="314">
        <v>0</v>
      </c>
      <c r="AJ78" s="314"/>
      <c r="AK78" s="314"/>
      <c r="AL78" s="314"/>
      <c r="AM78" s="314"/>
      <c r="AN78" s="314"/>
      <c r="AO78" s="314"/>
      <c r="AP78" s="314"/>
      <c r="AQ78" s="314"/>
      <c r="AR78" s="314"/>
      <c r="AS78" s="314"/>
      <c r="AT78" s="314"/>
      <c r="AU78" s="314"/>
      <c r="AV78" s="314"/>
      <c r="AW78" s="314"/>
      <c r="AX78" s="314"/>
      <c r="AY78" s="314"/>
      <c r="AZ78" s="314"/>
      <c r="BA78" s="314"/>
      <c r="BB78" s="314"/>
      <c r="BC78" s="314"/>
      <c r="BD78" s="314"/>
      <c r="BE78" s="314"/>
      <c r="BF78" s="205">
        <f t="shared" si="5"/>
        <v>0</v>
      </c>
      <c r="BG78" s="786">
        <f t="shared" si="32"/>
        <v>0</v>
      </c>
      <c r="BH78" s="786">
        <f t="shared" si="33"/>
        <v>0</v>
      </c>
    </row>
    <row r="79" spans="1:60" s="207" customFormat="1" ht="15" customHeight="1">
      <c r="A79" s="285">
        <v>70</v>
      </c>
      <c r="B79" s="209" t="s">
        <v>329</v>
      </c>
      <c r="C79" s="209" t="s">
        <v>64</v>
      </c>
      <c r="D79" s="209" t="s">
        <v>66</v>
      </c>
      <c r="E79" s="314">
        <v>0</v>
      </c>
      <c r="F79" s="100">
        <f t="shared" si="30"/>
        <v>0</v>
      </c>
      <c r="G79" s="350"/>
      <c r="H79" s="314">
        <f>SUMIF(CBIN!$A:$A,INTGRATE!$Y:$Y,CBIN!$G:$G)</f>
        <v>0</v>
      </c>
      <c r="I79" s="314">
        <f>SUMIF(data!$D:$D,INTGRATE!$B79&amp;INTGRATE!$D79,data!$J:$J)</f>
        <v>0</v>
      </c>
      <c r="J79" s="314"/>
      <c r="K79" s="314"/>
      <c r="L79" s="314">
        <f>SUMIF(data!$D:$D,INTGRATE!$B79&amp;INTGRATE!$D79,data!$K:$K)</f>
        <v>0</v>
      </c>
      <c r="M79" s="314">
        <f>SUMIF(AJOUT!$A:$A,INTGRATE!$Y:$Y,AJOUT!$L:$L)</f>
        <v>0</v>
      </c>
      <c r="N79" s="100">
        <f>SUMIF(CBOUT!$A:$A,INTGRATE!$Y:$Y,CBOUT!$G:$G)</f>
        <v>0</v>
      </c>
      <c r="O79" s="483">
        <v>0</v>
      </c>
      <c r="P79" s="345">
        <f t="shared" si="31"/>
        <v>0</v>
      </c>
      <c r="Q79" s="350">
        <f t="shared" si="25"/>
        <v>29840</v>
      </c>
      <c r="R79" s="314"/>
      <c r="S79" s="314"/>
      <c r="T79" s="1184">
        <f t="shared" si="29"/>
        <v>3315.5555555555557</v>
      </c>
      <c r="U79" s="875">
        <f t="shared" si="26"/>
        <v>0</v>
      </c>
      <c r="V79" s="876"/>
      <c r="W79" s="345"/>
      <c r="X79" s="206"/>
      <c r="Y79" s="856" t="str">
        <f t="shared" si="20"/>
        <v>549FSILO</v>
      </c>
      <c r="Z79" s="818">
        <v>203501</v>
      </c>
      <c r="AA79" s="380"/>
      <c r="AB79" s="380">
        <v>14840</v>
      </c>
      <c r="AC79" s="314"/>
      <c r="AD79" s="314">
        <v>0</v>
      </c>
      <c r="AE79" s="314">
        <v>15000</v>
      </c>
      <c r="AF79" s="314">
        <v>0</v>
      </c>
      <c r="AG79" s="314">
        <v>0</v>
      </c>
      <c r="AH79" s="314">
        <v>0</v>
      </c>
      <c r="AI79" s="314">
        <v>0</v>
      </c>
      <c r="AJ79" s="314"/>
      <c r="AK79" s="314"/>
      <c r="AL79" s="314"/>
      <c r="AM79" s="314"/>
      <c r="AN79" s="314"/>
      <c r="AO79" s="314"/>
      <c r="AP79" s="314"/>
      <c r="AQ79" s="314"/>
      <c r="AR79" s="314"/>
      <c r="AS79" s="314"/>
      <c r="AT79" s="314"/>
      <c r="AU79" s="314"/>
      <c r="AV79" s="314"/>
      <c r="AW79" s="314"/>
      <c r="AX79" s="314"/>
      <c r="AY79" s="314"/>
      <c r="AZ79" s="314"/>
      <c r="BA79" s="314"/>
      <c r="BB79" s="314"/>
      <c r="BC79" s="314"/>
      <c r="BD79" s="314"/>
      <c r="BE79" s="314"/>
      <c r="BF79" s="205">
        <f t="shared" si="5"/>
        <v>29840</v>
      </c>
      <c r="BG79" s="786">
        <f t="shared" si="32"/>
        <v>2</v>
      </c>
      <c r="BH79" s="786">
        <f t="shared" si="33"/>
        <v>14920</v>
      </c>
    </row>
    <row r="80" spans="1:60" s="207" customFormat="1" ht="15" customHeight="1">
      <c r="A80" s="285">
        <v>71</v>
      </c>
      <c r="B80" s="211" t="s">
        <v>332</v>
      </c>
      <c r="C80" s="211" t="s">
        <v>51</v>
      </c>
      <c r="D80" s="334" t="s">
        <v>66</v>
      </c>
      <c r="E80" s="314">
        <v>0</v>
      </c>
      <c r="F80" s="100">
        <f t="shared" si="30"/>
        <v>0</v>
      </c>
      <c r="G80" s="350"/>
      <c r="H80" s="314">
        <f>SUMIF(CBIN!$A:$A,INTGRATE!$Y:$Y,CBIN!$G:$G)</f>
        <v>0</v>
      </c>
      <c r="I80" s="314">
        <f>SUMIF(data!$D:$D,INTGRATE!$B80&amp;INTGRATE!$D80,data!$J:$J)</f>
        <v>0</v>
      </c>
      <c r="J80" s="314"/>
      <c r="K80" s="314"/>
      <c r="L80" s="314">
        <f>SUMIF(data!$D:$D,INTGRATE!$B80&amp;INTGRATE!$D80,data!$K:$K)</f>
        <v>0</v>
      </c>
      <c r="M80" s="314">
        <f>SUMIF(AJOUT!$A:$A,INTGRATE!$Y:$Y,AJOUT!$L:$L)</f>
        <v>0</v>
      </c>
      <c r="N80" s="100">
        <f>SUMIF(CBOUT!$A:$A,INTGRATE!$Y:$Y,CBOUT!$G:$G)</f>
        <v>0</v>
      </c>
      <c r="O80" s="483">
        <v>0</v>
      </c>
      <c r="P80" s="345">
        <f t="shared" si="31"/>
        <v>0</v>
      </c>
      <c r="Q80" s="350">
        <f t="shared" ref="Q80:Q99" si="34">SUM(AA80:BE80)</f>
        <v>0</v>
      </c>
      <c r="R80" s="314"/>
      <c r="S80" s="314"/>
      <c r="T80" s="1184">
        <f t="shared" si="29"/>
        <v>0</v>
      </c>
      <c r="U80" s="875">
        <f t="shared" si="26"/>
        <v>0</v>
      </c>
      <c r="V80" s="876"/>
      <c r="W80" s="345"/>
      <c r="X80" s="206"/>
      <c r="Y80" s="856" t="str">
        <f t="shared" si="20"/>
        <v>510(S)SILO</v>
      </c>
      <c r="Z80" s="818" t="s">
        <v>333</v>
      </c>
      <c r="AA80" s="381"/>
      <c r="AB80" s="381">
        <v>0</v>
      </c>
      <c r="AC80" s="314"/>
      <c r="AD80" s="314">
        <v>0</v>
      </c>
      <c r="AE80" s="314">
        <v>0</v>
      </c>
      <c r="AF80" s="314">
        <v>0</v>
      </c>
      <c r="AG80" s="314">
        <v>0</v>
      </c>
      <c r="AH80" s="314">
        <v>0</v>
      </c>
      <c r="AI80" s="314">
        <v>0</v>
      </c>
      <c r="AJ80" s="314"/>
      <c r="AK80" s="314"/>
      <c r="AL80" s="314"/>
      <c r="AM80" s="314"/>
      <c r="AN80" s="314"/>
      <c r="AO80" s="314"/>
      <c r="AP80" s="314"/>
      <c r="AQ80" s="314"/>
      <c r="AR80" s="314"/>
      <c r="AS80" s="314"/>
      <c r="AT80" s="314"/>
      <c r="AU80" s="314"/>
      <c r="AV80" s="314"/>
      <c r="AW80" s="314"/>
      <c r="AX80" s="314"/>
      <c r="AY80" s="314"/>
      <c r="AZ80" s="314"/>
      <c r="BA80" s="314"/>
      <c r="BB80" s="314"/>
      <c r="BC80" s="314"/>
      <c r="BD80" s="314"/>
      <c r="BE80" s="314"/>
      <c r="BF80" s="205">
        <f t="shared" si="5"/>
        <v>0</v>
      </c>
      <c r="BG80" s="786">
        <f t="shared" si="32"/>
        <v>0</v>
      </c>
      <c r="BH80" s="786">
        <f t="shared" si="33"/>
        <v>0</v>
      </c>
    </row>
    <row r="81" spans="1:60" s="207" customFormat="1" ht="15" customHeight="1">
      <c r="A81" s="285">
        <v>72</v>
      </c>
      <c r="B81" s="211" t="s">
        <v>334</v>
      </c>
      <c r="C81" s="211" t="s">
        <v>51</v>
      </c>
      <c r="D81" s="334" t="s">
        <v>66</v>
      </c>
      <c r="E81" s="314">
        <v>0</v>
      </c>
      <c r="F81" s="100">
        <f t="shared" si="30"/>
        <v>0</v>
      </c>
      <c r="G81" s="350"/>
      <c r="H81" s="314">
        <f>SUMIF(CBIN!$A:$A,INTGRATE!$Y:$Y,CBIN!$G:$G)</f>
        <v>0</v>
      </c>
      <c r="I81" s="314">
        <f>SUMIF(data!$D:$D,INTGRATE!$B81&amp;INTGRATE!$D81,data!$J:$J)</f>
        <v>0</v>
      </c>
      <c r="J81" s="314"/>
      <c r="K81" s="314"/>
      <c r="L81" s="314">
        <f>SUMIF(data!$D:$D,INTGRATE!$B81&amp;INTGRATE!$D81,data!$K:$K)</f>
        <v>0</v>
      </c>
      <c r="M81" s="314">
        <f>SUMIF(AJOUT!$A:$A,INTGRATE!$Y:$Y,AJOUT!$L:$L)</f>
        <v>0</v>
      </c>
      <c r="N81" s="100">
        <f>SUMIF(CBOUT!$A:$A,INTGRATE!$Y:$Y,CBOUT!$G:$G)</f>
        <v>0</v>
      </c>
      <c r="O81" s="483">
        <v>0</v>
      </c>
      <c r="P81" s="345">
        <f t="shared" si="31"/>
        <v>0</v>
      </c>
      <c r="Q81" s="350">
        <f t="shared" si="34"/>
        <v>0</v>
      </c>
      <c r="R81" s="314"/>
      <c r="S81" s="314"/>
      <c r="T81" s="1184">
        <f t="shared" si="29"/>
        <v>0</v>
      </c>
      <c r="U81" s="875">
        <f t="shared" ref="U81:U86" si="35">IF(T81=0,0,P81/T81)</f>
        <v>0</v>
      </c>
      <c r="V81" s="876"/>
      <c r="W81" s="345"/>
      <c r="X81" s="206"/>
      <c r="Y81" s="856" t="str">
        <f t="shared" si="20"/>
        <v>510F(S)SILO</v>
      </c>
      <c r="Z81" s="818" t="s">
        <v>259</v>
      </c>
      <c r="AA81" s="381"/>
      <c r="AB81" s="381">
        <v>0</v>
      </c>
      <c r="AC81" s="314"/>
      <c r="AD81" s="314">
        <v>0</v>
      </c>
      <c r="AE81" s="314">
        <v>0</v>
      </c>
      <c r="AF81" s="314">
        <v>0</v>
      </c>
      <c r="AG81" s="314">
        <v>0</v>
      </c>
      <c r="AH81" s="314">
        <v>0</v>
      </c>
      <c r="AI81" s="314">
        <v>0</v>
      </c>
      <c r="AJ81" s="314"/>
      <c r="AK81" s="314"/>
      <c r="AL81" s="314"/>
      <c r="AM81" s="314"/>
      <c r="AN81" s="314"/>
      <c r="AO81" s="314"/>
      <c r="AP81" s="314"/>
      <c r="AQ81" s="314"/>
      <c r="AR81" s="314"/>
      <c r="AS81" s="314"/>
      <c r="AT81" s="314"/>
      <c r="AU81" s="314"/>
      <c r="AV81" s="314"/>
      <c r="AW81" s="314"/>
      <c r="AX81" s="314"/>
      <c r="AY81" s="314"/>
      <c r="AZ81" s="314"/>
      <c r="BA81" s="314"/>
      <c r="BB81" s="314"/>
      <c r="BC81" s="314"/>
      <c r="BD81" s="314"/>
      <c r="BE81" s="314"/>
      <c r="BF81" s="205">
        <f t="shared" si="5"/>
        <v>0</v>
      </c>
      <c r="BG81" s="786">
        <f t="shared" si="32"/>
        <v>0</v>
      </c>
      <c r="BH81" s="786">
        <f t="shared" si="33"/>
        <v>0</v>
      </c>
    </row>
    <row r="82" spans="1:60" s="207" customFormat="1" ht="15" customHeight="1">
      <c r="A82" s="285">
        <v>73</v>
      </c>
      <c r="B82" s="211" t="s">
        <v>269</v>
      </c>
      <c r="C82" s="211" t="s">
        <v>64</v>
      </c>
      <c r="D82" s="334" t="s">
        <v>66</v>
      </c>
      <c r="E82" s="314">
        <v>0</v>
      </c>
      <c r="F82" s="100">
        <f t="shared" si="30"/>
        <v>0</v>
      </c>
      <c r="G82" s="350"/>
      <c r="H82" s="314">
        <f>SUMIF(CBIN!$A:$A,INTGRATE!$Y:$Y,CBIN!$G:$G)</f>
        <v>0</v>
      </c>
      <c r="I82" s="314">
        <f>SUMIF(data!$D:$D,INTGRATE!$B82&amp;INTGRATE!$D82,data!$J:$J)</f>
        <v>0</v>
      </c>
      <c r="J82" s="314"/>
      <c r="K82" s="314"/>
      <c r="L82" s="314">
        <f>SUMIF(data!$D:$D,INTGRATE!$B82&amp;INTGRATE!$D82,data!$K:$K)</f>
        <v>0</v>
      </c>
      <c r="M82" s="314">
        <f>SUMIF(AJOUT!$A:$A,INTGRATE!$Y:$Y,AJOUT!$L:$L)</f>
        <v>0</v>
      </c>
      <c r="N82" s="100">
        <f>SUMIF(CBOUT!$A:$A,INTGRATE!$Y:$Y,CBOUT!$G:$G)</f>
        <v>0</v>
      </c>
      <c r="O82" s="483">
        <v>0</v>
      </c>
      <c r="P82" s="345">
        <f t="shared" si="31"/>
        <v>0</v>
      </c>
      <c r="Q82" s="350">
        <f t="shared" si="34"/>
        <v>0</v>
      </c>
      <c r="R82" s="314"/>
      <c r="S82" s="314"/>
      <c r="T82" s="1184">
        <f t="shared" si="29"/>
        <v>0</v>
      </c>
      <c r="U82" s="875">
        <f t="shared" si="35"/>
        <v>0</v>
      </c>
      <c r="V82" s="876"/>
      <c r="W82" s="345"/>
      <c r="X82" s="206"/>
      <c r="Y82" s="856" t="str">
        <f t="shared" si="20"/>
        <v>510NFP87SILO</v>
      </c>
      <c r="Z82" s="818">
        <v>11252887</v>
      </c>
      <c r="AA82" s="381"/>
      <c r="AB82" s="381">
        <v>0</v>
      </c>
      <c r="AC82" s="314"/>
      <c r="AD82" s="314">
        <v>0</v>
      </c>
      <c r="AE82" s="314">
        <v>0</v>
      </c>
      <c r="AF82" s="314">
        <v>0</v>
      </c>
      <c r="AG82" s="314">
        <v>0</v>
      </c>
      <c r="AH82" s="314">
        <v>0</v>
      </c>
      <c r="AI82" s="314">
        <v>0</v>
      </c>
      <c r="AJ82" s="314"/>
      <c r="AK82" s="314"/>
      <c r="AL82" s="314"/>
      <c r="AM82" s="314"/>
      <c r="AN82" s="314"/>
      <c r="AO82" s="314"/>
      <c r="AP82" s="314"/>
      <c r="AQ82" s="314"/>
      <c r="AR82" s="314"/>
      <c r="AS82" s="314"/>
      <c r="AT82" s="314"/>
      <c r="AU82" s="314"/>
      <c r="AV82" s="314"/>
      <c r="AW82" s="314"/>
      <c r="AX82" s="314"/>
      <c r="AY82" s="314"/>
      <c r="AZ82" s="314"/>
      <c r="BA82" s="314"/>
      <c r="BB82" s="314"/>
      <c r="BC82" s="314"/>
      <c r="BD82" s="314"/>
      <c r="BE82" s="314"/>
      <c r="BF82" s="205">
        <f t="shared" si="5"/>
        <v>0</v>
      </c>
      <c r="BG82" s="786">
        <f t="shared" si="32"/>
        <v>0</v>
      </c>
      <c r="BH82" s="786">
        <f t="shared" si="33"/>
        <v>0</v>
      </c>
    </row>
    <row r="83" spans="1:60" s="207" customFormat="1" ht="15" customHeight="1">
      <c r="A83" s="285">
        <v>74</v>
      </c>
      <c r="B83" s="211" t="s">
        <v>271</v>
      </c>
      <c r="C83" s="211" t="s">
        <v>64</v>
      </c>
      <c r="D83" s="334" t="s">
        <v>66</v>
      </c>
      <c r="E83" s="314">
        <v>0</v>
      </c>
      <c r="F83" s="100">
        <f t="shared" si="30"/>
        <v>0</v>
      </c>
      <c r="G83" s="350"/>
      <c r="H83" s="314">
        <f>SUMIF(CBIN!$A:$A,INTGRATE!$Y:$Y,CBIN!$G:$G)</f>
        <v>0</v>
      </c>
      <c r="I83" s="314">
        <f>SUMIF(data!$D:$D,INTGRATE!$B83&amp;INTGRATE!$D83,data!$J:$J)</f>
        <v>0</v>
      </c>
      <c r="J83" s="314"/>
      <c r="K83" s="314"/>
      <c r="L83" s="314">
        <f>SUMIF(data!$D:$D,INTGRATE!$B83&amp;INTGRATE!$D83,data!$K:$K)</f>
        <v>0</v>
      </c>
      <c r="M83" s="314">
        <f>SUMIF(AJOUT!$A:$A,INTGRATE!$Y:$Y,AJOUT!$L:$L)</f>
        <v>0</v>
      </c>
      <c r="N83" s="100">
        <f>SUMIF(CBOUT!$A:$A,INTGRATE!$Y:$Y,CBOUT!$G:$G)</f>
        <v>0</v>
      </c>
      <c r="O83" s="483">
        <v>0</v>
      </c>
      <c r="P83" s="345">
        <f t="shared" si="31"/>
        <v>0</v>
      </c>
      <c r="Q83" s="350">
        <f t="shared" si="34"/>
        <v>0</v>
      </c>
      <c r="R83" s="314"/>
      <c r="S83" s="314"/>
      <c r="T83" s="1184">
        <f t="shared" si="29"/>
        <v>0</v>
      </c>
      <c r="U83" s="875">
        <f t="shared" si="35"/>
        <v>0</v>
      </c>
      <c r="V83" s="876"/>
      <c r="W83" s="345"/>
      <c r="X83" s="206"/>
      <c r="Y83" s="856" t="str">
        <f>B83&amp;D83</f>
        <v>510NFP88SILO</v>
      </c>
      <c r="Z83" s="818">
        <v>11252888</v>
      </c>
      <c r="AA83" s="381"/>
      <c r="AB83" s="381">
        <v>0</v>
      </c>
      <c r="AC83" s="314"/>
      <c r="AD83" s="314">
        <v>0</v>
      </c>
      <c r="AE83" s="314">
        <v>0</v>
      </c>
      <c r="AF83" s="314">
        <v>0</v>
      </c>
      <c r="AG83" s="314">
        <v>0</v>
      </c>
      <c r="AH83" s="314">
        <v>0</v>
      </c>
      <c r="AI83" s="314">
        <v>0</v>
      </c>
      <c r="AJ83" s="314"/>
      <c r="AK83" s="314"/>
      <c r="AL83" s="314"/>
      <c r="AM83" s="314"/>
      <c r="AN83" s="314"/>
      <c r="AO83" s="314"/>
      <c r="AP83" s="314"/>
      <c r="AQ83" s="314"/>
      <c r="AR83" s="314"/>
      <c r="AS83" s="314"/>
      <c r="AT83" s="314"/>
      <c r="AU83" s="314"/>
      <c r="AV83" s="314"/>
      <c r="AW83" s="314"/>
      <c r="AX83" s="314"/>
      <c r="AY83" s="314"/>
      <c r="AZ83" s="314"/>
      <c r="BA83" s="314"/>
      <c r="BB83" s="314"/>
      <c r="BC83" s="314"/>
      <c r="BD83" s="314"/>
      <c r="BE83" s="314"/>
      <c r="BF83" s="205">
        <f t="shared" si="5"/>
        <v>0</v>
      </c>
      <c r="BG83" s="786">
        <f t="shared" si="32"/>
        <v>0</v>
      </c>
      <c r="BH83" s="786">
        <f t="shared" si="33"/>
        <v>0</v>
      </c>
    </row>
    <row r="84" spans="1:60" s="207" customFormat="1" ht="15" customHeight="1">
      <c r="A84" s="285">
        <v>75</v>
      </c>
      <c r="B84" s="211" t="s">
        <v>274</v>
      </c>
      <c r="C84" s="211" t="s">
        <v>64</v>
      </c>
      <c r="D84" s="334" t="s">
        <v>66</v>
      </c>
      <c r="E84" s="314">
        <v>0</v>
      </c>
      <c r="F84" s="100">
        <f t="shared" si="30"/>
        <v>0</v>
      </c>
      <c r="G84" s="350"/>
      <c r="H84" s="314">
        <f>SUMIF(CBIN!$A:$A,INTGRATE!$Y:$Y,CBIN!$G:$G)</f>
        <v>0</v>
      </c>
      <c r="I84" s="314">
        <f>SUMIF(data!$D:$D,INTGRATE!$B84&amp;INTGRATE!$D84,data!$J:$J)</f>
        <v>0</v>
      </c>
      <c r="J84" s="314"/>
      <c r="K84" s="314"/>
      <c r="L84" s="314">
        <f>SUMIF(data!$D:$D,INTGRATE!$B84&amp;INTGRATE!$D84,data!$K:$K)</f>
        <v>0</v>
      </c>
      <c r="M84" s="314">
        <f>SUMIF(AJOUT!$A:$A,INTGRATE!$Y:$Y,AJOUT!$L:$L)</f>
        <v>0</v>
      </c>
      <c r="N84" s="100">
        <f>SUMIF(CBOUT!$A:$A,INTGRATE!$Y:$Y,CBOUT!$G:$G)</f>
        <v>0</v>
      </c>
      <c r="O84" s="483">
        <v>0</v>
      </c>
      <c r="P84" s="345">
        <f t="shared" si="31"/>
        <v>0</v>
      </c>
      <c r="Q84" s="350">
        <f t="shared" si="34"/>
        <v>0</v>
      </c>
      <c r="R84" s="314"/>
      <c r="S84" s="314"/>
      <c r="T84" s="1184">
        <f t="shared" si="29"/>
        <v>0</v>
      </c>
      <c r="U84" s="875">
        <f t="shared" si="35"/>
        <v>0</v>
      </c>
      <c r="V84" s="876"/>
      <c r="W84" s="345"/>
      <c r="X84" s="206"/>
      <c r="Y84" s="856" t="str">
        <f>B84&amp;D84</f>
        <v>510NFP89SILO</v>
      </c>
      <c r="Z84" s="818">
        <v>11252888</v>
      </c>
      <c r="AA84" s="381"/>
      <c r="AB84" s="381">
        <v>0</v>
      </c>
      <c r="AC84" s="314"/>
      <c r="AD84" s="314">
        <v>0</v>
      </c>
      <c r="AE84" s="314">
        <v>0</v>
      </c>
      <c r="AF84" s="314">
        <v>0</v>
      </c>
      <c r="AG84" s="314">
        <v>0</v>
      </c>
      <c r="AH84" s="314">
        <v>0</v>
      </c>
      <c r="AI84" s="314">
        <v>0</v>
      </c>
      <c r="AJ84" s="314"/>
      <c r="AK84" s="314"/>
      <c r="AL84" s="314"/>
      <c r="AM84" s="314"/>
      <c r="AN84" s="314"/>
      <c r="AO84" s="314"/>
      <c r="AP84" s="314"/>
      <c r="AQ84" s="314"/>
      <c r="AR84" s="314"/>
      <c r="AS84" s="314"/>
      <c r="AT84" s="314"/>
      <c r="AU84" s="314"/>
      <c r="AV84" s="314"/>
      <c r="AW84" s="314"/>
      <c r="AX84" s="314"/>
      <c r="AY84" s="314"/>
      <c r="AZ84" s="314"/>
      <c r="BA84" s="314"/>
      <c r="BB84" s="314"/>
      <c r="BC84" s="314"/>
      <c r="BD84" s="314"/>
      <c r="BE84" s="314"/>
      <c r="BF84" s="205">
        <f t="shared" si="5"/>
        <v>0</v>
      </c>
      <c r="BG84" s="786">
        <f t="shared" si="32"/>
        <v>0</v>
      </c>
      <c r="BH84" s="786">
        <f t="shared" si="33"/>
        <v>0</v>
      </c>
    </row>
    <row r="85" spans="1:60" s="207" customFormat="1" ht="15" customHeight="1">
      <c r="A85" s="285">
        <v>76</v>
      </c>
      <c r="B85" s="211" t="s">
        <v>277</v>
      </c>
      <c r="C85" s="211" t="s">
        <v>64</v>
      </c>
      <c r="D85" s="334" t="s">
        <v>66</v>
      </c>
      <c r="E85" s="314">
        <v>0</v>
      </c>
      <c r="F85" s="100">
        <f t="shared" si="30"/>
        <v>0</v>
      </c>
      <c r="G85" s="350"/>
      <c r="H85" s="314">
        <f>SUMIF(CBIN!$A:$A,INTGRATE!$Y:$Y,CBIN!$G:$G)</f>
        <v>0</v>
      </c>
      <c r="I85" s="314">
        <f>SUMIF(data!$D:$D,INTGRATE!$B85&amp;INTGRATE!$D85,data!$J:$J)</f>
        <v>0</v>
      </c>
      <c r="J85" s="314"/>
      <c r="K85" s="314"/>
      <c r="L85" s="314">
        <f>SUMIF(data!$D:$D,INTGRATE!$B85&amp;INTGRATE!$D85,data!$K:$K)</f>
        <v>0</v>
      </c>
      <c r="M85" s="314">
        <f>SUMIF(AJOUT!$A:$A,INTGRATE!$Y:$Y,AJOUT!$L:$L)</f>
        <v>0</v>
      </c>
      <c r="N85" s="100">
        <f>SUMIF(CBOUT!$A:$A,INTGRATE!$Y:$Y,CBOUT!$G:$G)</f>
        <v>0</v>
      </c>
      <c r="O85" s="483">
        <v>0</v>
      </c>
      <c r="P85" s="345">
        <f t="shared" si="31"/>
        <v>0</v>
      </c>
      <c r="Q85" s="350">
        <f t="shared" si="34"/>
        <v>0</v>
      </c>
      <c r="R85" s="314"/>
      <c r="S85" s="314"/>
      <c r="T85" s="1184">
        <f t="shared" si="29"/>
        <v>0</v>
      </c>
      <c r="U85" s="875">
        <f t="shared" si="35"/>
        <v>0</v>
      </c>
      <c r="V85" s="876"/>
      <c r="W85" s="345"/>
      <c r="X85" s="206"/>
      <c r="Y85" s="856" t="str">
        <f>B85&amp;D85</f>
        <v>510NFP85SILO</v>
      </c>
      <c r="Z85" s="818">
        <v>11252885</v>
      </c>
      <c r="AA85" s="381"/>
      <c r="AB85" s="381">
        <v>0</v>
      </c>
      <c r="AC85" s="314"/>
      <c r="AD85" s="314">
        <v>0</v>
      </c>
      <c r="AE85" s="314">
        <v>0</v>
      </c>
      <c r="AF85" s="314">
        <v>0</v>
      </c>
      <c r="AG85" s="314">
        <v>0</v>
      </c>
      <c r="AH85" s="314">
        <v>0</v>
      </c>
      <c r="AI85" s="314">
        <v>0</v>
      </c>
      <c r="AJ85" s="314"/>
      <c r="AK85" s="314"/>
      <c r="AL85" s="314"/>
      <c r="AM85" s="314"/>
      <c r="AN85" s="314"/>
      <c r="AO85" s="314"/>
      <c r="AP85" s="314"/>
      <c r="AQ85" s="314"/>
      <c r="AR85" s="314"/>
      <c r="AS85" s="314"/>
      <c r="AT85" s="314"/>
      <c r="AU85" s="314"/>
      <c r="AV85" s="314"/>
      <c r="AW85" s="314"/>
      <c r="AX85" s="314"/>
      <c r="AY85" s="314"/>
      <c r="AZ85" s="314"/>
      <c r="BA85" s="314"/>
      <c r="BB85" s="314"/>
      <c r="BC85" s="314"/>
      <c r="BD85" s="314"/>
      <c r="BE85" s="314"/>
      <c r="BF85" s="205">
        <f t="shared" si="5"/>
        <v>0</v>
      </c>
      <c r="BG85" s="786">
        <f t="shared" si="32"/>
        <v>0</v>
      </c>
      <c r="BH85" s="786">
        <f t="shared" si="33"/>
        <v>0</v>
      </c>
    </row>
    <row r="86" spans="1:60" s="207" customFormat="1">
      <c r="A86" s="285">
        <v>77</v>
      </c>
      <c r="B86" s="211" t="s">
        <v>263</v>
      </c>
      <c r="C86" s="211" t="s">
        <v>64</v>
      </c>
      <c r="D86" s="334" t="s">
        <v>66</v>
      </c>
      <c r="E86" s="314">
        <v>0</v>
      </c>
      <c r="F86" s="100">
        <f t="shared" si="30"/>
        <v>0</v>
      </c>
      <c r="G86" s="350"/>
      <c r="H86" s="314">
        <f>SUMIF(CBIN!$A:$A,INTGRATE!$Y:$Y,CBIN!$G:$G)</f>
        <v>0</v>
      </c>
      <c r="I86" s="314">
        <f>SUMIF(data!$D:$D,INTGRATE!$B86&amp;INTGRATE!$D86,data!$J:$J)</f>
        <v>0</v>
      </c>
      <c r="J86" s="314"/>
      <c r="K86" s="314"/>
      <c r="L86" s="314">
        <f>SUMIF(data!$D:$D,INTGRATE!$B86&amp;INTGRATE!$D86,data!$K:$K)</f>
        <v>0</v>
      </c>
      <c r="M86" s="314">
        <f>SUMIF(AJOUT!$A:$A,INTGRATE!$Y:$Y,AJOUT!$L:$L)</f>
        <v>0</v>
      </c>
      <c r="N86" s="100">
        <f>SUMIF(CBOUT!$A:$A,INTGRATE!$Y:$Y,CBOUT!$G:$G)</f>
        <v>0</v>
      </c>
      <c r="O86" s="483">
        <v>0</v>
      </c>
      <c r="P86" s="345">
        <f t="shared" si="31"/>
        <v>0</v>
      </c>
      <c r="Q86" s="350">
        <f t="shared" si="34"/>
        <v>0</v>
      </c>
      <c r="R86" s="314"/>
      <c r="S86" s="314"/>
      <c r="T86" s="1184">
        <f t="shared" si="29"/>
        <v>0</v>
      </c>
      <c r="U86" s="875">
        <f t="shared" si="35"/>
        <v>0</v>
      </c>
      <c r="V86" s="876"/>
      <c r="W86" s="206"/>
      <c r="X86" s="206"/>
      <c r="Y86" s="856" t="str">
        <f t="shared" si="20"/>
        <v>510NFSILO</v>
      </c>
      <c r="Z86" s="818" t="s">
        <v>264</v>
      </c>
      <c r="AA86" s="381"/>
      <c r="AB86" s="381">
        <v>0</v>
      </c>
      <c r="AC86" s="314"/>
      <c r="AD86" s="314">
        <v>0</v>
      </c>
      <c r="AE86" s="314">
        <v>0</v>
      </c>
      <c r="AF86" s="314">
        <v>0</v>
      </c>
      <c r="AG86" s="314">
        <v>0</v>
      </c>
      <c r="AH86" s="314">
        <v>0</v>
      </c>
      <c r="AI86" s="314">
        <v>0</v>
      </c>
      <c r="AJ86" s="314"/>
      <c r="AK86" s="314"/>
      <c r="AL86" s="314"/>
      <c r="AM86" s="314"/>
      <c r="AN86" s="314"/>
      <c r="AO86" s="314"/>
      <c r="AP86" s="314"/>
      <c r="AQ86" s="314"/>
      <c r="AR86" s="314"/>
      <c r="AS86" s="314"/>
      <c r="AT86" s="314"/>
      <c r="AU86" s="314"/>
      <c r="AV86" s="314"/>
      <c r="AW86" s="314"/>
      <c r="AX86" s="314"/>
      <c r="AY86" s="314"/>
      <c r="AZ86" s="314"/>
      <c r="BA86" s="314"/>
      <c r="BB86" s="314"/>
      <c r="BC86" s="314"/>
      <c r="BD86" s="314"/>
      <c r="BE86" s="314"/>
      <c r="BF86" s="205">
        <f t="shared" si="5"/>
        <v>0</v>
      </c>
      <c r="BG86" s="786">
        <f t="shared" si="32"/>
        <v>0</v>
      </c>
      <c r="BH86" s="786">
        <f t="shared" si="33"/>
        <v>0</v>
      </c>
    </row>
    <row r="87" spans="1:60" s="207" customFormat="1" ht="15" customHeight="1">
      <c r="A87" s="285">
        <v>78</v>
      </c>
      <c r="B87" s="211" t="s">
        <v>279</v>
      </c>
      <c r="C87" s="211" t="s">
        <v>64</v>
      </c>
      <c r="D87" s="334" t="s">
        <v>66</v>
      </c>
      <c r="E87" s="314">
        <v>0</v>
      </c>
      <c r="F87" s="100">
        <f t="shared" si="30"/>
        <v>0</v>
      </c>
      <c r="G87" s="350"/>
      <c r="H87" s="314">
        <f>SUMIF(CBIN!$A:$A,INTGRATE!$Y:$Y,CBIN!$G:$G)</f>
        <v>0</v>
      </c>
      <c r="I87" s="314">
        <f>SUMIF(data!$D:$D,INTGRATE!$B87&amp;INTGRATE!$D87,data!$J:$J)</f>
        <v>0</v>
      </c>
      <c r="J87" s="314"/>
      <c r="K87" s="314"/>
      <c r="L87" s="314">
        <f>SUMIF(data!$D:$D,INTGRATE!$B87&amp;INTGRATE!$D87,data!$K:$K)</f>
        <v>0</v>
      </c>
      <c r="M87" s="314">
        <f>SUMIF(AJOUT!$A:$A,INTGRATE!$Y:$Y,AJOUT!$L:$L)</f>
        <v>0</v>
      </c>
      <c r="N87" s="100">
        <f>SUMIF(CBOUT!$A:$A,INTGRATE!$Y:$Y,CBOUT!$G:$G)</f>
        <v>0</v>
      </c>
      <c r="O87" s="483">
        <v>0</v>
      </c>
      <c r="P87" s="345">
        <f t="shared" si="31"/>
        <v>0</v>
      </c>
      <c r="Q87" s="350">
        <f t="shared" si="34"/>
        <v>0</v>
      </c>
      <c r="R87" s="314"/>
      <c r="S87" s="314"/>
      <c r="T87" s="1184">
        <f t="shared" si="29"/>
        <v>0</v>
      </c>
      <c r="U87" s="875">
        <f>IF(T87=0,0,P87/T87)</f>
        <v>0</v>
      </c>
      <c r="V87" s="876"/>
      <c r="W87" s="206"/>
      <c r="X87" s="206"/>
      <c r="Y87" s="856" t="str">
        <f>B87&amp;D87</f>
        <v>510NFP92SILO</v>
      </c>
      <c r="Z87" s="818">
        <v>11252892</v>
      </c>
      <c r="AA87" s="381"/>
      <c r="AB87" s="381">
        <v>0</v>
      </c>
      <c r="AC87" s="314"/>
      <c r="AD87" s="314">
        <v>0</v>
      </c>
      <c r="AE87" s="314">
        <v>0</v>
      </c>
      <c r="AF87" s="314">
        <v>0</v>
      </c>
      <c r="AG87" s="314">
        <v>0</v>
      </c>
      <c r="AH87" s="314">
        <v>0</v>
      </c>
      <c r="AI87" s="314">
        <v>0</v>
      </c>
      <c r="AJ87" s="314"/>
      <c r="AK87" s="314"/>
      <c r="AL87" s="314"/>
      <c r="AM87" s="314"/>
      <c r="AN87" s="314"/>
      <c r="AO87" s="314"/>
      <c r="AP87" s="314"/>
      <c r="AQ87" s="314"/>
      <c r="AR87" s="314"/>
      <c r="AS87" s="314"/>
      <c r="AT87" s="314"/>
      <c r="AU87" s="314"/>
      <c r="AV87" s="314"/>
      <c r="AW87" s="314"/>
      <c r="AX87" s="314"/>
      <c r="AY87" s="314"/>
      <c r="AZ87" s="314"/>
      <c r="BA87" s="314"/>
      <c r="BB87" s="314"/>
      <c r="BC87" s="314"/>
      <c r="BD87" s="314"/>
      <c r="BE87" s="314"/>
      <c r="BF87" s="205">
        <f t="shared" si="5"/>
        <v>0</v>
      </c>
      <c r="BG87" s="786">
        <f t="shared" si="32"/>
        <v>0</v>
      </c>
      <c r="BH87" s="786">
        <f t="shared" si="33"/>
        <v>0</v>
      </c>
    </row>
    <row r="88" spans="1:60" s="207" customFormat="1" ht="15" customHeight="1">
      <c r="A88" s="285">
        <v>79</v>
      </c>
      <c r="B88" s="211" t="s">
        <v>280</v>
      </c>
      <c r="C88" s="211" t="s">
        <v>64</v>
      </c>
      <c r="D88" s="334" t="s">
        <v>66</v>
      </c>
      <c r="E88" s="314">
        <v>0</v>
      </c>
      <c r="F88" s="100">
        <f t="shared" si="30"/>
        <v>0</v>
      </c>
      <c r="G88" s="350"/>
      <c r="H88" s="314">
        <f>SUMIF(CBIN!$A:$A,INTGRATE!$Y:$Y,CBIN!$G:$G)</f>
        <v>0</v>
      </c>
      <c r="I88" s="314">
        <f>SUMIF(data!$D:$D,INTGRATE!$B88&amp;INTGRATE!$D88,data!$J:$J)</f>
        <v>0</v>
      </c>
      <c r="J88" s="314"/>
      <c r="K88" s="314"/>
      <c r="L88" s="314">
        <f>SUMIF(data!$D:$D,INTGRATE!$B88&amp;INTGRATE!$D88,data!$K:$K)</f>
        <v>0</v>
      </c>
      <c r="M88" s="314">
        <f>SUMIF(AJOUT!$A:$A,INTGRATE!$Y:$Y,AJOUT!$L:$L)</f>
        <v>0</v>
      </c>
      <c r="N88" s="100">
        <f>SUMIF(CBOUT!$A:$A,INTGRATE!$Y:$Y,CBOUT!$G:$G)</f>
        <v>0</v>
      </c>
      <c r="O88" s="483">
        <v>0</v>
      </c>
      <c r="P88" s="345">
        <f t="shared" si="31"/>
        <v>0</v>
      </c>
      <c r="Q88" s="350">
        <f t="shared" si="34"/>
        <v>0</v>
      </c>
      <c r="R88" s="314"/>
      <c r="S88" s="314"/>
      <c r="T88" s="1184">
        <f t="shared" si="29"/>
        <v>0</v>
      </c>
      <c r="U88" s="875">
        <f t="shared" ref="U88:U102" si="36">IF(T88=0,0,P88/T88)</f>
        <v>0</v>
      </c>
      <c r="V88" s="876"/>
      <c r="W88" s="206"/>
      <c r="X88" s="206"/>
      <c r="Y88" s="856" t="str">
        <f t="shared" si="20"/>
        <v>511AFSILO</v>
      </c>
      <c r="Z88" s="818" t="s">
        <v>281</v>
      </c>
      <c r="AA88" s="381"/>
      <c r="AB88" s="381">
        <v>0</v>
      </c>
      <c r="AC88" s="314"/>
      <c r="AD88" s="314">
        <v>0</v>
      </c>
      <c r="AE88" s="314">
        <v>0</v>
      </c>
      <c r="AF88" s="314">
        <v>0</v>
      </c>
      <c r="AG88" s="314">
        <v>0</v>
      </c>
      <c r="AH88" s="314">
        <v>0</v>
      </c>
      <c r="AI88" s="314">
        <v>0</v>
      </c>
      <c r="AJ88" s="314"/>
      <c r="AK88" s="314"/>
      <c r="AL88" s="314"/>
      <c r="AM88" s="314"/>
      <c r="AN88" s="314"/>
      <c r="AO88" s="314"/>
      <c r="AP88" s="314"/>
      <c r="AQ88" s="314"/>
      <c r="AR88" s="314"/>
      <c r="AS88" s="314"/>
      <c r="AT88" s="314"/>
      <c r="AU88" s="314"/>
      <c r="AV88" s="314"/>
      <c r="AW88" s="314"/>
      <c r="AX88" s="314"/>
      <c r="AY88" s="314"/>
      <c r="AZ88" s="314"/>
      <c r="BA88" s="314"/>
      <c r="BB88" s="314"/>
      <c r="BC88" s="314"/>
      <c r="BD88" s="314"/>
      <c r="BE88" s="314"/>
      <c r="BF88" s="205">
        <f t="shared" si="5"/>
        <v>0</v>
      </c>
      <c r="BG88" s="786">
        <f t="shared" si="32"/>
        <v>0</v>
      </c>
      <c r="BH88" s="786">
        <f t="shared" si="33"/>
        <v>0</v>
      </c>
    </row>
    <row r="89" spans="1:60" s="207" customFormat="1" ht="15" customHeight="1">
      <c r="A89" s="285">
        <v>80</v>
      </c>
      <c r="B89" s="211" t="s">
        <v>282</v>
      </c>
      <c r="C89" s="211" t="s">
        <v>64</v>
      </c>
      <c r="D89" s="334" t="s">
        <v>66</v>
      </c>
      <c r="E89" s="314">
        <v>0</v>
      </c>
      <c r="F89" s="100">
        <f t="shared" si="30"/>
        <v>0</v>
      </c>
      <c r="G89" s="350"/>
      <c r="H89" s="314">
        <f>SUMIF(CBIN!$A:$A,INTGRATE!$Y:$Y,CBIN!$G:$G)</f>
        <v>0</v>
      </c>
      <c r="I89" s="314">
        <f>SUMIF(data!$D:$D,INTGRATE!$B89&amp;INTGRATE!$D89,data!$J:$J)</f>
        <v>0</v>
      </c>
      <c r="J89" s="314"/>
      <c r="K89" s="314"/>
      <c r="L89" s="314">
        <f>SUMIF(data!$D:$D,INTGRATE!$B89&amp;INTGRATE!$D89,data!$K:$K)</f>
        <v>0</v>
      </c>
      <c r="M89" s="314">
        <f>SUMIF(AJOUT!$A:$A,INTGRATE!$Y:$Y,AJOUT!$L:$L)</f>
        <v>0</v>
      </c>
      <c r="N89" s="100">
        <f>SUMIF(CBOUT!$A:$A,INTGRATE!$Y:$Y,CBOUT!$G:$G)</f>
        <v>0</v>
      </c>
      <c r="O89" s="483">
        <v>0</v>
      </c>
      <c r="P89" s="345">
        <f t="shared" si="31"/>
        <v>0</v>
      </c>
      <c r="Q89" s="350">
        <f t="shared" si="34"/>
        <v>0</v>
      </c>
      <c r="R89" s="314"/>
      <c r="S89" s="314"/>
      <c r="T89" s="1184">
        <f t="shared" si="29"/>
        <v>0</v>
      </c>
      <c r="U89" s="875">
        <f t="shared" si="36"/>
        <v>0</v>
      </c>
      <c r="V89" s="876"/>
      <c r="W89" s="206"/>
      <c r="X89" s="206"/>
      <c r="Y89" s="856" t="str">
        <f t="shared" si="20"/>
        <v>511ANFSILO</v>
      </c>
      <c r="Z89" s="818" t="s">
        <v>283</v>
      </c>
      <c r="AA89" s="381"/>
      <c r="AB89" s="381">
        <v>0</v>
      </c>
      <c r="AC89" s="314"/>
      <c r="AD89" s="314">
        <v>0</v>
      </c>
      <c r="AE89" s="314">
        <v>0</v>
      </c>
      <c r="AF89" s="314">
        <v>0</v>
      </c>
      <c r="AG89" s="314">
        <v>0</v>
      </c>
      <c r="AH89" s="314">
        <v>0</v>
      </c>
      <c r="AI89" s="314">
        <v>0</v>
      </c>
      <c r="AJ89" s="314"/>
      <c r="AK89" s="314"/>
      <c r="AL89" s="314"/>
      <c r="AM89" s="314"/>
      <c r="AN89" s="314"/>
      <c r="AO89" s="314"/>
      <c r="AP89" s="314"/>
      <c r="AQ89" s="314"/>
      <c r="AR89" s="314"/>
      <c r="AS89" s="314"/>
      <c r="AT89" s="314"/>
      <c r="AU89" s="314"/>
      <c r="AV89" s="314"/>
      <c r="AW89" s="314"/>
      <c r="AX89" s="314"/>
      <c r="AY89" s="314"/>
      <c r="AZ89" s="314"/>
      <c r="BA89" s="314"/>
      <c r="BB89" s="314"/>
      <c r="BC89" s="314"/>
      <c r="BD89" s="314"/>
      <c r="BE89" s="314"/>
      <c r="BF89" s="205">
        <f t="shared" si="5"/>
        <v>0</v>
      </c>
      <c r="BG89" s="786">
        <f t="shared" si="32"/>
        <v>0</v>
      </c>
      <c r="BH89" s="786">
        <f t="shared" si="33"/>
        <v>0</v>
      </c>
    </row>
    <row r="90" spans="1:60" s="207" customFormat="1" ht="14.25" customHeight="1">
      <c r="A90" s="285">
        <v>81</v>
      </c>
      <c r="B90" s="211" t="s">
        <v>335</v>
      </c>
      <c r="C90" s="211" t="s">
        <v>64</v>
      </c>
      <c r="D90" s="334" t="s">
        <v>66</v>
      </c>
      <c r="E90" s="314">
        <v>0</v>
      </c>
      <c r="F90" s="100">
        <f t="shared" si="30"/>
        <v>0</v>
      </c>
      <c r="G90" s="350"/>
      <c r="H90" s="314">
        <f>SUMIF(CBIN!$A:$A,INTGRATE!$Y:$Y,CBIN!$G:$G)</f>
        <v>0</v>
      </c>
      <c r="I90" s="314">
        <f>SUMIF(data!$D:$D,INTGRATE!$B90&amp;INTGRATE!$D90,data!$J:$J)</f>
        <v>0</v>
      </c>
      <c r="J90" s="314"/>
      <c r="K90" s="314"/>
      <c r="L90" s="314">
        <f>SUMIF(data!$D:$D,INTGRATE!$B90&amp;INTGRATE!$D90,data!$K:$K)</f>
        <v>0</v>
      </c>
      <c r="M90" s="314">
        <f>SUMIF(AJOUT!$A:$A,INTGRATE!$Y:$Y,AJOUT!$L:$L)</f>
        <v>0</v>
      </c>
      <c r="N90" s="100">
        <f>SUMIF(CBOUT!$A:$A,INTGRATE!$Y:$Y,CBOUT!$G:$G)</f>
        <v>0</v>
      </c>
      <c r="O90" s="483">
        <v>0</v>
      </c>
      <c r="P90" s="345">
        <f t="shared" si="31"/>
        <v>0</v>
      </c>
      <c r="Q90" s="350">
        <f t="shared" si="34"/>
        <v>0</v>
      </c>
      <c r="R90" s="314"/>
      <c r="S90" s="314"/>
      <c r="T90" s="1184">
        <f t="shared" si="29"/>
        <v>0</v>
      </c>
      <c r="U90" s="875">
        <f>IF(T90=0,0,P90/T90)</f>
        <v>0</v>
      </c>
      <c r="V90" s="876"/>
      <c r="W90" s="206"/>
      <c r="X90" s="206"/>
      <c r="Y90" s="856" t="str">
        <f t="shared" ref="Y90:Y95" si="37">B90&amp;D90</f>
        <v>511ANFP33SILO</v>
      </c>
      <c r="Z90" s="818">
        <v>11352833</v>
      </c>
      <c r="AA90" s="381"/>
      <c r="AB90" s="381">
        <v>0</v>
      </c>
      <c r="AC90" s="314"/>
      <c r="AD90" s="314">
        <v>0</v>
      </c>
      <c r="AE90" s="314">
        <v>0</v>
      </c>
      <c r="AF90" s="314">
        <v>0</v>
      </c>
      <c r="AG90" s="314">
        <v>0</v>
      </c>
      <c r="AH90" s="314">
        <v>0</v>
      </c>
      <c r="AI90" s="314">
        <v>0</v>
      </c>
      <c r="AJ90" s="314"/>
      <c r="AK90" s="314"/>
      <c r="AL90" s="314"/>
      <c r="AM90" s="314"/>
      <c r="AN90" s="314"/>
      <c r="AO90" s="314"/>
      <c r="AP90" s="314"/>
      <c r="AQ90" s="314"/>
      <c r="AR90" s="314"/>
      <c r="AS90" s="314"/>
      <c r="AT90" s="314"/>
      <c r="AU90" s="314"/>
      <c r="AV90" s="314"/>
      <c r="AW90" s="314"/>
      <c r="AX90" s="314"/>
      <c r="AY90" s="314"/>
      <c r="AZ90" s="314"/>
      <c r="BA90" s="314"/>
      <c r="BB90" s="314"/>
      <c r="BC90" s="314"/>
      <c r="BD90" s="314"/>
      <c r="BE90" s="314"/>
      <c r="BF90" s="205">
        <f t="shared" si="5"/>
        <v>0</v>
      </c>
      <c r="BG90" s="786">
        <f t="shared" si="32"/>
        <v>0</v>
      </c>
      <c r="BH90" s="786">
        <f t="shared" si="33"/>
        <v>0</v>
      </c>
    </row>
    <row r="91" spans="1:60" s="207" customFormat="1" ht="14.25" customHeight="1">
      <c r="A91" s="285">
        <v>82</v>
      </c>
      <c r="B91" s="211" t="s">
        <v>289</v>
      </c>
      <c r="C91" s="211" t="s">
        <v>64</v>
      </c>
      <c r="D91" s="334" t="s">
        <v>66</v>
      </c>
      <c r="E91" s="314">
        <v>0</v>
      </c>
      <c r="F91" s="100">
        <f>+L91</f>
        <v>0</v>
      </c>
      <c r="G91" s="350"/>
      <c r="H91" s="314">
        <f>SUMIF(CBIN!$A:$A,INTGRATE!$Y:$Y,CBIN!$G:$G)</f>
        <v>0</v>
      </c>
      <c r="I91" s="314">
        <f>SUMIF(data!$D:$D,INTGRATE!$B91&amp;INTGRATE!$D91,data!$J:$J)</f>
        <v>0</v>
      </c>
      <c r="J91" s="314"/>
      <c r="K91" s="314"/>
      <c r="L91" s="314">
        <f>SUMIF(data!$D:$D,INTGRATE!$B91&amp;INTGRATE!$D91,data!$K:$K)</f>
        <v>0</v>
      </c>
      <c r="M91" s="314">
        <f>SUMIF(AJOUT!$A:$A,INTGRATE!$Y:$Y,AJOUT!$L:$L)</f>
        <v>0</v>
      </c>
      <c r="N91" s="100">
        <f>SUMIF(CBOUT!$A:$A,INTGRATE!$Y:$Y,CBOUT!$G:$G)</f>
        <v>0</v>
      </c>
      <c r="O91" s="483">
        <v>0</v>
      </c>
      <c r="P91" s="345">
        <f>+F91-L91</f>
        <v>0</v>
      </c>
      <c r="Q91" s="350">
        <f t="shared" si="34"/>
        <v>0</v>
      </c>
      <c r="R91" s="314"/>
      <c r="S91" s="314"/>
      <c r="T91" s="1184">
        <f t="shared" si="29"/>
        <v>0</v>
      </c>
      <c r="U91" s="875">
        <f>IF(T91=0,0,P91/T91)</f>
        <v>0</v>
      </c>
      <c r="V91" s="876"/>
      <c r="W91" s="206"/>
      <c r="X91" s="206"/>
      <c r="Y91" s="856" t="str">
        <f t="shared" si="37"/>
        <v>511ANFP35SILO</v>
      </c>
      <c r="Z91" s="818">
        <v>11352835</v>
      </c>
      <c r="AA91" s="381"/>
      <c r="AB91" s="381">
        <v>0</v>
      </c>
      <c r="AC91" s="314"/>
      <c r="AD91" s="314">
        <v>0</v>
      </c>
      <c r="AE91" s="314">
        <v>0</v>
      </c>
      <c r="AF91" s="314">
        <v>0</v>
      </c>
      <c r="AG91" s="314">
        <v>0</v>
      </c>
      <c r="AH91" s="314">
        <v>0</v>
      </c>
      <c r="AI91" s="314">
        <v>0</v>
      </c>
      <c r="AJ91" s="314"/>
      <c r="AK91" s="314"/>
      <c r="AL91" s="314"/>
      <c r="AM91" s="314"/>
      <c r="AN91" s="314"/>
      <c r="AO91" s="314"/>
      <c r="AP91" s="314"/>
      <c r="AQ91" s="314"/>
      <c r="AR91" s="314"/>
      <c r="AS91" s="314"/>
      <c r="AT91" s="314"/>
      <c r="AU91" s="314"/>
      <c r="AV91" s="314"/>
      <c r="AW91" s="314"/>
      <c r="AX91" s="314"/>
      <c r="AY91" s="314"/>
      <c r="AZ91" s="314"/>
      <c r="BA91" s="314"/>
      <c r="BB91" s="314"/>
      <c r="BC91" s="314"/>
      <c r="BD91" s="314"/>
      <c r="BE91" s="314"/>
      <c r="BF91" s="205">
        <f t="shared" ref="BF91:BF101" si="38">SUM(AA91:BE91)</f>
        <v>0</v>
      </c>
      <c r="BG91" s="786">
        <f t="shared" si="32"/>
        <v>0</v>
      </c>
      <c r="BH91" s="786">
        <f t="shared" si="33"/>
        <v>0</v>
      </c>
    </row>
    <row r="92" spans="1:60" s="207" customFormat="1" ht="15" customHeight="1">
      <c r="A92" s="285">
        <v>83</v>
      </c>
      <c r="B92" s="211" t="s">
        <v>296</v>
      </c>
      <c r="C92" s="211" t="s">
        <v>64</v>
      </c>
      <c r="D92" s="334" t="s">
        <v>66</v>
      </c>
      <c r="E92" s="314">
        <v>0</v>
      </c>
      <c r="F92" s="100">
        <f t="shared" si="30"/>
        <v>0</v>
      </c>
      <c r="G92" s="350"/>
      <c r="H92" s="314">
        <f>SUMIF(CBIN!$A:$A,INTGRATE!$Y:$Y,CBIN!$G:$G)</f>
        <v>0</v>
      </c>
      <c r="I92" s="314">
        <f>SUMIF(data!$D:$D,INTGRATE!$B92&amp;INTGRATE!$D92,data!$J:$J)</f>
        <v>0</v>
      </c>
      <c r="J92" s="314"/>
      <c r="K92" s="314"/>
      <c r="L92" s="314">
        <f>SUMIF(data!$D:$D,INTGRATE!$B92&amp;INTGRATE!$D92,data!$K:$K)</f>
        <v>0</v>
      </c>
      <c r="M92" s="314">
        <f>SUMIF(AJOUT!$A:$A,INTGRATE!$Y:$Y,AJOUT!$L:$L)</f>
        <v>0</v>
      </c>
      <c r="N92" s="100">
        <f>SUMIF(CBOUT!$A:$A,INTGRATE!$Y:$Y,CBOUT!$G:$G)</f>
        <v>0</v>
      </c>
      <c r="O92" s="483">
        <v>0</v>
      </c>
      <c r="P92" s="345">
        <f t="shared" si="31"/>
        <v>0</v>
      </c>
      <c r="Q92" s="350">
        <f t="shared" si="34"/>
        <v>0</v>
      </c>
      <c r="R92" s="314"/>
      <c r="S92" s="314"/>
      <c r="T92" s="1184">
        <f t="shared" si="29"/>
        <v>0</v>
      </c>
      <c r="U92" s="875">
        <f t="shared" si="36"/>
        <v>0</v>
      </c>
      <c r="V92" s="876"/>
      <c r="W92" s="206"/>
      <c r="X92" s="206"/>
      <c r="Y92" s="856" t="str">
        <f t="shared" si="37"/>
        <v>511ANFP85SILO</v>
      </c>
      <c r="Z92" s="818">
        <v>11352885</v>
      </c>
      <c r="AA92" s="381"/>
      <c r="AB92" s="381">
        <v>0</v>
      </c>
      <c r="AC92" s="314"/>
      <c r="AD92" s="314">
        <v>0</v>
      </c>
      <c r="AE92" s="314">
        <v>0</v>
      </c>
      <c r="AF92" s="314">
        <v>0</v>
      </c>
      <c r="AG92" s="314">
        <v>0</v>
      </c>
      <c r="AH92" s="314">
        <v>0</v>
      </c>
      <c r="AI92" s="314">
        <v>0</v>
      </c>
      <c r="AJ92" s="314"/>
      <c r="AK92" s="314"/>
      <c r="AL92" s="314"/>
      <c r="AM92" s="314"/>
      <c r="AN92" s="314"/>
      <c r="AO92" s="314"/>
      <c r="AP92" s="314"/>
      <c r="AQ92" s="314"/>
      <c r="AR92" s="314"/>
      <c r="AS92" s="314"/>
      <c r="AT92" s="314"/>
      <c r="AU92" s="314"/>
      <c r="AV92" s="314"/>
      <c r="AW92" s="314"/>
      <c r="AX92" s="314"/>
      <c r="AY92" s="314"/>
      <c r="AZ92" s="314"/>
      <c r="BA92" s="314"/>
      <c r="BB92" s="314"/>
      <c r="BC92" s="314"/>
      <c r="BD92" s="314"/>
      <c r="BE92" s="314"/>
      <c r="BF92" s="205">
        <f t="shared" si="38"/>
        <v>0</v>
      </c>
      <c r="BG92" s="786">
        <f t="shared" si="32"/>
        <v>0</v>
      </c>
      <c r="BH92" s="786">
        <f t="shared" si="33"/>
        <v>0</v>
      </c>
    </row>
    <row r="93" spans="1:60" s="207" customFormat="1" ht="15" customHeight="1">
      <c r="A93" s="285">
        <v>84</v>
      </c>
      <c r="B93" s="211" t="s">
        <v>292</v>
      </c>
      <c r="C93" s="211" t="s">
        <v>64</v>
      </c>
      <c r="D93" s="334" t="s">
        <v>66</v>
      </c>
      <c r="E93" s="314">
        <v>0</v>
      </c>
      <c r="F93" s="100">
        <f>+L93</f>
        <v>0</v>
      </c>
      <c r="G93" s="350"/>
      <c r="H93" s="314">
        <f>SUMIF(CBIN!$A:$A,INTGRATE!$Y:$Y,CBIN!$G:$G)</f>
        <v>0</v>
      </c>
      <c r="I93" s="314">
        <f>SUMIF(data!$D:$D,INTGRATE!$B93&amp;INTGRATE!$D93,data!$J:$J)</f>
        <v>0</v>
      </c>
      <c r="J93" s="314"/>
      <c r="K93" s="314"/>
      <c r="L93" s="314">
        <f>SUMIF(data!$D:$D,INTGRATE!$B93&amp;INTGRATE!$D93,data!$K:$K)</f>
        <v>0</v>
      </c>
      <c r="M93" s="314">
        <f>SUMIF(AJOUT!$A:$A,INTGRATE!$Y:$Y,AJOUT!$L:$L)</f>
        <v>0</v>
      </c>
      <c r="N93" s="100">
        <f>SUMIF(CBOUT!$A:$A,INTGRATE!$Y:$Y,CBOUT!$G:$G)</f>
        <v>0</v>
      </c>
      <c r="O93" s="483">
        <v>0</v>
      </c>
      <c r="P93" s="345">
        <f>+F93-L93</f>
        <v>0</v>
      </c>
      <c r="Q93" s="350">
        <f>SUM(AA93:BE93)</f>
        <v>0</v>
      </c>
      <c r="R93" s="314"/>
      <c r="S93" s="314"/>
      <c r="T93" s="1184">
        <f t="shared" si="29"/>
        <v>0</v>
      </c>
      <c r="U93" s="875">
        <f>IF(T93=0,0,P93/T93)</f>
        <v>0</v>
      </c>
      <c r="V93" s="876"/>
      <c r="W93" s="206"/>
      <c r="X93" s="206"/>
      <c r="Y93" s="856" t="str">
        <f t="shared" si="37"/>
        <v>511ANFP88SILO</v>
      </c>
      <c r="Z93" s="818">
        <v>11352888</v>
      </c>
      <c r="AA93" s="381"/>
      <c r="AB93" s="381">
        <v>0</v>
      </c>
      <c r="AC93" s="314"/>
      <c r="AD93" s="314">
        <v>0</v>
      </c>
      <c r="AE93" s="314">
        <v>0</v>
      </c>
      <c r="AF93" s="314">
        <v>0</v>
      </c>
      <c r="AG93" s="314">
        <v>0</v>
      </c>
      <c r="AH93" s="314">
        <v>0</v>
      </c>
      <c r="AI93" s="314">
        <v>0</v>
      </c>
      <c r="AJ93" s="314"/>
      <c r="AK93" s="314"/>
      <c r="AL93" s="314"/>
      <c r="AM93" s="314"/>
      <c r="AN93" s="314"/>
      <c r="AO93" s="314"/>
      <c r="AP93" s="314"/>
      <c r="AQ93" s="314"/>
      <c r="AR93" s="314"/>
      <c r="AS93" s="314"/>
      <c r="AT93" s="314"/>
      <c r="AU93" s="314"/>
      <c r="AV93" s="314"/>
      <c r="AW93" s="314"/>
      <c r="AX93" s="314"/>
      <c r="AY93" s="314"/>
      <c r="AZ93" s="314"/>
      <c r="BA93" s="314"/>
      <c r="BB93" s="314"/>
      <c r="BC93" s="314"/>
      <c r="BD93" s="314"/>
      <c r="BE93" s="314"/>
      <c r="BF93" s="205">
        <f t="shared" si="38"/>
        <v>0</v>
      </c>
      <c r="BG93" s="786">
        <f t="shared" si="32"/>
        <v>0</v>
      </c>
      <c r="BH93" s="786">
        <f t="shared" si="33"/>
        <v>0</v>
      </c>
    </row>
    <row r="94" spans="1:60" s="207" customFormat="1" ht="15" customHeight="1">
      <c r="A94" s="285">
        <v>85</v>
      </c>
      <c r="B94" s="211" t="s">
        <v>293</v>
      </c>
      <c r="C94" s="211" t="s">
        <v>64</v>
      </c>
      <c r="D94" s="334" t="s">
        <v>66</v>
      </c>
      <c r="E94" s="314">
        <v>0</v>
      </c>
      <c r="F94" s="100">
        <f>+L94</f>
        <v>0</v>
      </c>
      <c r="G94" s="350"/>
      <c r="H94" s="314">
        <f>SUMIF(CBIN!$A:$A,INTGRATE!$Y:$Y,CBIN!$G:$G)</f>
        <v>0</v>
      </c>
      <c r="I94" s="314">
        <f>SUMIF(data!$D:$D,INTGRATE!$B94&amp;INTGRATE!$D94,data!$J:$J)</f>
        <v>0</v>
      </c>
      <c r="J94" s="314"/>
      <c r="K94" s="314"/>
      <c r="L94" s="314">
        <f>SUMIF(data!$D:$D,INTGRATE!$B94&amp;INTGRATE!$D94,data!$K:$K)</f>
        <v>0</v>
      </c>
      <c r="M94" s="314">
        <f>SUMIF(AJOUT!$A:$A,INTGRATE!$Y:$Y,AJOUT!$L:$L)</f>
        <v>0</v>
      </c>
      <c r="N94" s="100">
        <f>SUMIF(CBOUT!$A:$A,INTGRATE!$Y:$Y,CBOUT!$G:$G)</f>
        <v>0</v>
      </c>
      <c r="O94" s="483">
        <v>0</v>
      </c>
      <c r="P94" s="345">
        <f>+F94-L94</f>
        <v>0</v>
      </c>
      <c r="Q94" s="350">
        <f t="shared" si="34"/>
        <v>0</v>
      </c>
      <c r="R94" s="314"/>
      <c r="S94" s="314"/>
      <c r="T94" s="1184">
        <f t="shared" si="29"/>
        <v>0</v>
      </c>
      <c r="U94" s="875">
        <f>IF(T94=0,0,P94/T94)</f>
        <v>0</v>
      </c>
      <c r="V94" s="876"/>
      <c r="W94" s="206"/>
      <c r="X94" s="206"/>
      <c r="Y94" s="856" t="str">
        <f t="shared" si="37"/>
        <v>511ANFP89SILO</v>
      </c>
      <c r="Z94" s="818">
        <v>11352889</v>
      </c>
      <c r="AA94" s="381"/>
      <c r="AB94" s="381">
        <v>0</v>
      </c>
      <c r="AC94" s="314"/>
      <c r="AD94" s="314">
        <v>0</v>
      </c>
      <c r="AE94" s="314">
        <v>0</v>
      </c>
      <c r="AF94" s="314">
        <v>0</v>
      </c>
      <c r="AG94" s="314">
        <v>0</v>
      </c>
      <c r="AH94" s="314">
        <v>0</v>
      </c>
      <c r="AI94" s="314">
        <v>0</v>
      </c>
      <c r="AJ94" s="314"/>
      <c r="AK94" s="314"/>
      <c r="AL94" s="314"/>
      <c r="AM94" s="314"/>
      <c r="AN94" s="314"/>
      <c r="AO94" s="314"/>
      <c r="AP94" s="314"/>
      <c r="AQ94" s="314"/>
      <c r="AR94" s="314"/>
      <c r="AS94" s="314"/>
      <c r="AT94" s="314"/>
      <c r="AU94" s="314"/>
      <c r="AV94" s="314"/>
      <c r="AW94" s="314"/>
      <c r="AX94" s="314"/>
      <c r="AY94" s="314"/>
      <c r="AZ94" s="314"/>
      <c r="BA94" s="314"/>
      <c r="BB94" s="314"/>
      <c r="BC94" s="314"/>
      <c r="BD94" s="314"/>
      <c r="BE94" s="314"/>
      <c r="BF94" s="205">
        <f t="shared" si="38"/>
        <v>0</v>
      </c>
      <c r="BG94" s="786">
        <f t="shared" si="32"/>
        <v>0</v>
      </c>
      <c r="BH94" s="786">
        <f t="shared" si="33"/>
        <v>0</v>
      </c>
    </row>
    <row r="95" spans="1:60" s="207" customFormat="1" ht="15" customHeight="1">
      <c r="A95" s="285">
        <v>86</v>
      </c>
      <c r="B95" s="211" t="s">
        <v>295</v>
      </c>
      <c r="C95" s="211" t="s">
        <v>64</v>
      </c>
      <c r="D95" s="334" t="s">
        <v>66</v>
      </c>
      <c r="E95" s="314">
        <v>0</v>
      </c>
      <c r="F95" s="100">
        <f>+L95</f>
        <v>0</v>
      </c>
      <c r="G95" s="350"/>
      <c r="H95" s="314">
        <f>SUMIF(CBIN!$A:$A,INTGRATE!$Y:$Y,CBIN!$G:$G)</f>
        <v>0</v>
      </c>
      <c r="I95" s="314">
        <f>SUMIF(data!$D:$D,INTGRATE!$B95&amp;INTGRATE!$D95,data!$J:$J)</f>
        <v>0</v>
      </c>
      <c r="J95" s="314"/>
      <c r="K95" s="314"/>
      <c r="L95" s="314">
        <f>SUMIF(data!$D:$D,INTGRATE!$B95&amp;INTGRATE!$D95,data!$K:$K)</f>
        <v>0</v>
      </c>
      <c r="M95" s="314">
        <f>SUMIF(AJOUT!$A:$A,INTGRATE!$Y:$Y,AJOUT!$L:$L)</f>
        <v>0</v>
      </c>
      <c r="N95" s="100">
        <f>SUMIF(CBOUT!$A:$A,INTGRATE!$Y:$Y,CBOUT!$G:$G)</f>
        <v>0</v>
      </c>
      <c r="O95" s="483">
        <v>0</v>
      </c>
      <c r="P95" s="345">
        <f>+F95-L95</f>
        <v>0</v>
      </c>
      <c r="Q95" s="350">
        <f t="shared" si="34"/>
        <v>0</v>
      </c>
      <c r="R95" s="314"/>
      <c r="S95" s="314"/>
      <c r="T95" s="1184">
        <f t="shared" si="29"/>
        <v>0</v>
      </c>
      <c r="U95" s="875">
        <f>IF(T95=0,0,P95/T95)</f>
        <v>0</v>
      </c>
      <c r="V95" s="876"/>
      <c r="W95" s="206"/>
      <c r="X95" s="206"/>
      <c r="Y95" s="856" t="str">
        <f t="shared" si="37"/>
        <v>511ANFP92SILO</v>
      </c>
      <c r="Z95" s="818">
        <v>11352892</v>
      </c>
      <c r="AA95" s="381"/>
      <c r="AB95" s="381">
        <v>0</v>
      </c>
      <c r="AC95" s="314"/>
      <c r="AD95" s="314">
        <v>0</v>
      </c>
      <c r="AE95" s="314">
        <v>0</v>
      </c>
      <c r="AF95" s="314">
        <v>0</v>
      </c>
      <c r="AG95" s="314">
        <v>0</v>
      </c>
      <c r="AH95" s="314">
        <v>0</v>
      </c>
      <c r="AI95" s="314">
        <v>0</v>
      </c>
      <c r="AJ95" s="314"/>
      <c r="AK95" s="314"/>
      <c r="AL95" s="314"/>
      <c r="AM95" s="314"/>
      <c r="AN95" s="314"/>
      <c r="AO95" s="314"/>
      <c r="AP95" s="314"/>
      <c r="AQ95" s="314"/>
      <c r="AR95" s="314"/>
      <c r="AS95" s="314"/>
      <c r="AT95" s="314"/>
      <c r="AU95" s="314"/>
      <c r="AV95" s="314"/>
      <c r="AW95" s="314"/>
      <c r="AX95" s="314"/>
      <c r="AY95" s="314"/>
      <c r="AZ95" s="314"/>
      <c r="BA95" s="314"/>
      <c r="BB95" s="314"/>
      <c r="BC95" s="314"/>
      <c r="BD95" s="314"/>
      <c r="BE95" s="314"/>
      <c r="BF95" s="205">
        <f t="shared" si="38"/>
        <v>0</v>
      </c>
      <c r="BG95" s="786">
        <f t="shared" si="32"/>
        <v>0</v>
      </c>
      <c r="BH95" s="786">
        <f t="shared" si="33"/>
        <v>0</v>
      </c>
    </row>
    <row r="96" spans="1:60" s="207" customFormat="1" ht="15" customHeight="1">
      <c r="A96" s="285">
        <v>87</v>
      </c>
      <c r="B96" s="211" t="s">
        <v>297</v>
      </c>
      <c r="C96" s="211" t="s">
        <v>51</v>
      </c>
      <c r="D96" s="334" t="s">
        <v>66</v>
      </c>
      <c r="E96" s="314">
        <v>0</v>
      </c>
      <c r="F96" s="100">
        <f t="shared" si="30"/>
        <v>0</v>
      </c>
      <c r="G96" s="350"/>
      <c r="H96" s="314">
        <f>SUMIF(CBIN!$A:$A,INTGRATE!$Y:$Y,CBIN!$G:$G)</f>
        <v>0</v>
      </c>
      <c r="I96" s="314">
        <f>SUMIF(data!$D:$D,INTGRATE!$B96&amp;INTGRATE!$D96,data!$J:$J)</f>
        <v>0</v>
      </c>
      <c r="J96" s="314"/>
      <c r="K96" s="314"/>
      <c r="L96" s="314">
        <f>SUMIF(data!$D:$D,INTGRATE!$B96&amp;INTGRATE!$D96,data!$K:$K)</f>
        <v>0</v>
      </c>
      <c r="M96" s="314">
        <f>SUMIF(AJOUT!$A:$A,INTGRATE!$Y:$Y,AJOUT!$L:$L)</f>
        <v>0</v>
      </c>
      <c r="N96" s="100">
        <f>SUMIF(CBOUT!$A:$A,INTGRATE!$Y:$Y,CBOUT!$G:$G)</f>
        <v>0</v>
      </c>
      <c r="O96" s="483">
        <v>0</v>
      </c>
      <c r="P96" s="345">
        <f t="shared" si="31"/>
        <v>0</v>
      </c>
      <c r="Q96" s="350">
        <f t="shared" si="34"/>
        <v>0</v>
      </c>
      <c r="R96" s="314"/>
      <c r="S96" s="314"/>
      <c r="T96" s="1184">
        <f t="shared" si="29"/>
        <v>0</v>
      </c>
      <c r="U96" s="875">
        <f t="shared" si="36"/>
        <v>0</v>
      </c>
      <c r="V96" s="876"/>
      <c r="W96" s="206"/>
      <c r="X96" s="206"/>
      <c r="Y96" s="856" t="str">
        <f t="shared" si="20"/>
        <v>511FSILO</v>
      </c>
      <c r="Z96" s="818" t="s">
        <v>298</v>
      </c>
      <c r="AA96" s="380"/>
      <c r="AB96" s="380">
        <v>0</v>
      </c>
      <c r="AC96" s="314"/>
      <c r="AD96" s="314">
        <v>0</v>
      </c>
      <c r="AE96" s="314">
        <v>0</v>
      </c>
      <c r="AF96" s="314">
        <v>0</v>
      </c>
      <c r="AG96" s="314">
        <v>0</v>
      </c>
      <c r="AH96" s="314">
        <v>0</v>
      </c>
      <c r="AI96" s="314">
        <v>0</v>
      </c>
      <c r="AJ96" s="314"/>
      <c r="AK96" s="314"/>
      <c r="AL96" s="314"/>
      <c r="AM96" s="314"/>
      <c r="AN96" s="314"/>
      <c r="AO96" s="314"/>
      <c r="AP96" s="314"/>
      <c r="AQ96" s="314"/>
      <c r="AR96" s="314"/>
      <c r="AS96" s="314"/>
      <c r="AT96" s="314"/>
      <c r="AU96" s="314"/>
      <c r="AV96" s="314"/>
      <c r="AW96" s="314"/>
      <c r="AX96" s="314"/>
      <c r="AY96" s="314"/>
      <c r="AZ96" s="314"/>
      <c r="BA96" s="314"/>
      <c r="BB96" s="314"/>
      <c r="BC96" s="314"/>
      <c r="BD96" s="314"/>
      <c r="BE96" s="314"/>
      <c r="BF96" s="205">
        <f t="shared" si="38"/>
        <v>0</v>
      </c>
      <c r="BG96" s="786">
        <f t="shared" si="32"/>
        <v>0</v>
      </c>
      <c r="BH96" s="786">
        <f t="shared" si="33"/>
        <v>0</v>
      </c>
    </row>
    <row r="97" spans="1:62" s="207" customFormat="1" ht="15" customHeight="1">
      <c r="A97" s="285">
        <v>88</v>
      </c>
      <c r="B97" s="211" t="s">
        <v>299</v>
      </c>
      <c r="C97" s="211" t="s">
        <v>51</v>
      </c>
      <c r="D97" s="334" t="s">
        <v>66</v>
      </c>
      <c r="E97" s="314">
        <v>0</v>
      </c>
      <c r="F97" s="100">
        <f t="shared" si="30"/>
        <v>0</v>
      </c>
      <c r="G97" s="350"/>
      <c r="H97" s="314">
        <f>SUMIF(CBIN!$A:$A,INTGRATE!$Y:$Y,CBIN!$G:$G)</f>
        <v>0</v>
      </c>
      <c r="I97" s="314">
        <f>SUMIF(data!$D:$D,INTGRATE!$B97&amp;INTGRATE!$D97,data!$J:$J)</f>
        <v>0</v>
      </c>
      <c r="J97" s="314"/>
      <c r="K97" s="314"/>
      <c r="L97" s="314">
        <f>SUMIF(data!$D:$D,INTGRATE!$B97&amp;INTGRATE!$D97,data!$K:$K)</f>
        <v>0</v>
      </c>
      <c r="M97" s="314">
        <f>SUMIF(AJOUT!$A:$A,INTGRATE!$Y:$Y,AJOUT!$L:$L)</f>
        <v>0</v>
      </c>
      <c r="N97" s="100">
        <f>SUMIF(CBOUT!$A:$A,INTGRATE!$Y:$Y,CBOUT!$G:$G)</f>
        <v>0</v>
      </c>
      <c r="O97" s="483">
        <v>0</v>
      </c>
      <c r="P97" s="345">
        <f t="shared" si="31"/>
        <v>0</v>
      </c>
      <c r="Q97" s="350">
        <f t="shared" si="34"/>
        <v>0</v>
      </c>
      <c r="R97" s="314"/>
      <c r="S97" s="314"/>
      <c r="T97" s="1184">
        <f t="shared" si="29"/>
        <v>0</v>
      </c>
      <c r="U97" s="875">
        <f t="shared" si="36"/>
        <v>0</v>
      </c>
      <c r="V97" s="876"/>
      <c r="W97" s="206"/>
      <c r="X97" s="206"/>
      <c r="Y97" s="856" t="str">
        <f t="shared" si="20"/>
        <v>511NFSILO</v>
      </c>
      <c r="Z97" s="818" t="s">
        <v>300</v>
      </c>
      <c r="AA97" s="381"/>
      <c r="AB97" s="381">
        <v>0</v>
      </c>
      <c r="AC97" s="314"/>
      <c r="AD97" s="314">
        <v>0</v>
      </c>
      <c r="AE97" s="314">
        <v>0</v>
      </c>
      <c r="AF97" s="314">
        <v>0</v>
      </c>
      <c r="AG97" s="314">
        <v>0</v>
      </c>
      <c r="AH97" s="314">
        <v>0</v>
      </c>
      <c r="AI97" s="314">
        <v>0</v>
      </c>
      <c r="AJ97" s="314"/>
      <c r="AK97" s="314"/>
      <c r="AL97" s="314"/>
      <c r="AM97" s="314"/>
      <c r="AN97" s="314"/>
      <c r="AO97" s="314"/>
      <c r="AP97" s="314"/>
      <c r="AQ97" s="314"/>
      <c r="AR97" s="314"/>
      <c r="AS97" s="314"/>
      <c r="AT97" s="314"/>
      <c r="AU97" s="314"/>
      <c r="AV97" s="314"/>
      <c r="AW97" s="314"/>
      <c r="AX97" s="314"/>
      <c r="AY97" s="314"/>
      <c r="AZ97" s="314"/>
      <c r="BA97" s="314"/>
      <c r="BB97" s="314"/>
      <c r="BC97" s="314"/>
      <c r="BD97" s="314"/>
      <c r="BE97" s="314"/>
      <c r="BF97" s="205">
        <f t="shared" si="38"/>
        <v>0</v>
      </c>
      <c r="BG97" s="786">
        <f t="shared" si="32"/>
        <v>0</v>
      </c>
      <c r="BH97" s="786">
        <f t="shared" si="33"/>
        <v>0</v>
      </c>
    </row>
    <row r="98" spans="1:62" s="207" customFormat="1" ht="15" customHeight="1">
      <c r="A98" s="285">
        <v>89</v>
      </c>
      <c r="B98" s="211" t="s">
        <v>304</v>
      </c>
      <c r="C98" s="211" t="s">
        <v>51</v>
      </c>
      <c r="D98" s="334" t="s">
        <v>66</v>
      </c>
      <c r="E98" s="314">
        <v>0</v>
      </c>
      <c r="F98" s="100">
        <f>+L98</f>
        <v>0</v>
      </c>
      <c r="G98" s="350"/>
      <c r="H98" s="314">
        <f>SUMIF(CBIN!$A:$A,INTGRATE!$Y:$Y,CBIN!$G:$G)</f>
        <v>0</v>
      </c>
      <c r="I98" s="314">
        <f>SUMIF(data!$D:$D,INTGRATE!$B98&amp;INTGRATE!$D98,data!$J:$J)</f>
        <v>0</v>
      </c>
      <c r="J98" s="314"/>
      <c r="K98" s="314"/>
      <c r="L98" s="314">
        <f>SUMIF(data!$D:$D,INTGRATE!$B98&amp;INTGRATE!$D98,data!$K:$K)</f>
        <v>0</v>
      </c>
      <c r="M98" s="314">
        <f>SUMIF(AJOUT!$A:$A,INTGRATE!$Y:$Y,AJOUT!$L:$L)</f>
        <v>0</v>
      </c>
      <c r="N98" s="100">
        <f>SUMIF(CBOUT!$A:$A,INTGRATE!$Y:$Y,CBOUT!$G:$G)</f>
        <v>0</v>
      </c>
      <c r="O98" s="483">
        <v>0</v>
      </c>
      <c r="P98" s="345">
        <f>+F98-L98</f>
        <v>0</v>
      </c>
      <c r="Q98" s="350">
        <f t="shared" si="34"/>
        <v>0</v>
      </c>
      <c r="R98" s="314"/>
      <c r="S98" s="314"/>
      <c r="T98" s="1184">
        <f t="shared" si="29"/>
        <v>0</v>
      </c>
      <c r="U98" s="875">
        <f>IF(T98=0,0,P98/T98)</f>
        <v>0</v>
      </c>
      <c r="V98" s="876"/>
      <c r="W98" s="206"/>
      <c r="X98" s="206"/>
      <c r="Y98" s="856" t="str">
        <f>B98&amp;D98</f>
        <v>511NFP33SILO</v>
      </c>
      <c r="Z98" s="818">
        <v>11452833</v>
      </c>
      <c r="AA98" s="381"/>
      <c r="AB98" s="381">
        <v>0</v>
      </c>
      <c r="AC98" s="314"/>
      <c r="AD98" s="314">
        <v>0</v>
      </c>
      <c r="AE98" s="314">
        <v>0</v>
      </c>
      <c r="AF98" s="314">
        <v>0</v>
      </c>
      <c r="AG98" s="314">
        <v>0</v>
      </c>
      <c r="AH98" s="314">
        <v>0</v>
      </c>
      <c r="AI98" s="314">
        <v>0</v>
      </c>
      <c r="AJ98" s="314"/>
      <c r="AK98" s="314"/>
      <c r="AL98" s="314"/>
      <c r="AM98" s="314"/>
      <c r="AN98" s="314"/>
      <c r="AO98" s="314"/>
      <c r="AP98" s="314"/>
      <c r="AQ98" s="314"/>
      <c r="AR98" s="314"/>
      <c r="AS98" s="314"/>
      <c r="AT98" s="314"/>
      <c r="AU98" s="314"/>
      <c r="AV98" s="314"/>
      <c r="AW98" s="314"/>
      <c r="AX98" s="314"/>
      <c r="AY98" s="314"/>
      <c r="AZ98" s="314"/>
      <c r="BA98" s="314"/>
      <c r="BB98" s="314"/>
      <c r="BC98" s="314"/>
      <c r="BD98" s="314"/>
      <c r="BE98" s="314"/>
      <c r="BF98" s="205">
        <f t="shared" si="38"/>
        <v>0</v>
      </c>
      <c r="BG98" s="786">
        <f t="shared" si="32"/>
        <v>0</v>
      </c>
      <c r="BH98" s="786">
        <f t="shared" si="33"/>
        <v>0</v>
      </c>
    </row>
    <row r="99" spans="1:62" s="207" customFormat="1" ht="15" customHeight="1">
      <c r="A99" s="285">
        <v>90</v>
      </c>
      <c r="B99" s="211" t="s">
        <v>305</v>
      </c>
      <c r="C99" s="211" t="s">
        <v>51</v>
      </c>
      <c r="D99" s="334" t="s">
        <v>66</v>
      </c>
      <c r="E99" s="314">
        <v>0</v>
      </c>
      <c r="F99" s="100">
        <f t="shared" si="30"/>
        <v>0</v>
      </c>
      <c r="G99" s="350"/>
      <c r="H99" s="314">
        <f>SUMIF(CBIN!$A:$A,INTGRATE!$Y:$Y,CBIN!$G:$G)</f>
        <v>0</v>
      </c>
      <c r="I99" s="314">
        <f>SUMIF(data!$D:$D,INTGRATE!$B99&amp;INTGRATE!$D99,data!$J:$J)</f>
        <v>0</v>
      </c>
      <c r="J99" s="314"/>
      <c r="K99" s="314"/>
      <c r="L99" s="314">
        <f>SUMIF(data!$D:$D,INTGRATE!$B99&amp;INTGRATE!$D99,data!$K:$K)</f>
        <v>0</v>
      </c>
      <c r="M99" s="314">
        <f>SUMIF(AJOUT!$A:$A,INTGRATE!$Y:$Y,AJOUT!$L:$L)</f>
        <v>0</v>
      </c>
      <c r="N99" s="100">
        <f>SUMIF(CBOUT!$A:$A,INTGRATE!$Y:$Y,CBOUT!$G:$G)</f>
        <v>0</v>
      </c>
      <c r="O99" s="483">
        <v>0</v>
      </c>
      <c r="P99" s="345">
        <f t="shared" si="31"/>
        <v>0</v>
      </c>
      <c r="Q99" s="350">
        <f t="shared" si="34"/>
        <v>0</v>
      </c>
      <c r="R99" s="314"/>
      <c r="S99" s="314"/>
      <c r="T99" s="1184">
        <f t="shared" si="29"/>
        <v>0</v>
      </c>
      <c r="U99" s="875">
        <f t="shared" si="36"/>
        <v>0</v>
      </c>
      <c r="V99" s="876"/>
      <c r="W99" s="206"/>
      <c r="X99" s="206"/>
      <c r="Y99" s="856" t="str">
        <f>B99&amp;D99</f>
        <v>511NFP35SILO</v>
      </c>
      <c r="Z99" s="818">
        <v>11452835</v>
      </c>
      <c r="AA99" s="381"/>
      <c r="AB99" s="381">
        <v>0</v>
      </c>
      <c r="AC99" s="314"/>
      <c r="AD99" s="314">
        <v>0</v>
      </c>
      <c r="AE99" s="314">
        <v>0</v>
      </c>
      <c r="AF99" s="314">
        <v>0</v>
      </c>
      <c r="AG99" s="314">
        <v>0</v>
      </c>
      <c r="AH99" s="314">
        <v>0</v>
      </c>
      <c r="AI99" s="314">
        <v>0</v>
      </c>
      <c r="AJ99" s="314"/>
      <c r="AK99" s="314"/>
      <c r="AL99" s="314"/>
      <c r="AM99" s="314"/>
      <c r="AN99" s="314"/>
      <c r="AO99" s="314"/>
      <c r="AP99" s="314"/>
      <c r="AQ99" s="314"/>
      <c r="AR99" s="314"/>
      <c r="AS99" s="314"/>
      <c r="AT99" s="314"/>
      <c r="AU99" s="314"/>
      <c r="AV99" s="314"/>
      <c r="AW99" s="314"/>
      <c r="AX99" s="314"/>
      <c r="AY99" s="314"/>
      <c r="AZ99" s="314"/>
      <c r="BA99" s="314"/>
      <c r="BB99" s="314"/>
      <c r="BC99" s="314"/>
      <c r="BD99" s="314"/>
      <c r="BE99" s="314"/>
      <c r="BF99" s="205">
        <f t="shared" si="38"/>
        <v>0</v>
      </c>
      <c r="BG99" s="786">
        <f t="shared" si="32"/>
        <v>0</v>
      </c>
      <c r="BH99" s="786">
        <f t="shared" si="33"/>
        <v>0</v>
      </c>
    </row>
    <row r="100" spans="1:62" s="207" customFormat="1" ht="15" customHeight="1">
      <c r="A100" s="285">
        <v>91</v>
      </c>
      <c r="B100" s="211" t="s">
        <v>306</v>
      </c>
      <c r="C100" s="211" t="s">
        <v>51</v>
      </c>
      <c r="D100" s="334" t="s">
        <v>66</v>
      </c>
      <c r="E100" s="314">
        <v>0</v>
      </c>
      <c r="F100" s="100">
        <f>+L100</f>
        <v>0</v>
      </c>
      <c r="G100" s="350"/>
      <c r="H100" s="314">
        <f>SUMIF(CBIN!$A:$A,INTGRATE!$Y:$Y,CBIN!$G:$G)</f>
        <v>0</v>
      </c>
      <c r="I100" s="314">
        <f>SUMIF(data!$D:$D,INTGRATE!$B100&amp;INTGRATE!$D100,data!$J:$J)</f>
        <v>0</v>
      </c>
      <c r="J100" s="314"/>
      <c r="K100" s="314"/>
      <c r="L100" s="314">
        <f>SUMIF(data!$D:$D,INTGRATE!$B100&amp;INTGRATE!$D100,data!$K:$K)</f>
        <v>0</v>
      </c>
      <c r="M100" s="314">
        <f>SUMIF(AJOUT!$A:$A,INTGRATE!$Y:$Y,AJOUT!$L:$L)</f>
        <v>0</v>
      </c>
      <c r="N100" s="100">
        <f>SUMIF(CBOUT!$A:$A,INTGRATE!$Y:$Y,CBOUT!$G:$G)</f>
        <v>0</v>
      </c>
      <c r="O100" s="483">
        <v>0</v>
      </c>
      <c r="P100" s="345">
        <f>+F100-L100</f>
        <v>0</v>
      </c>
      <c r="Q100" s="350">
        <f>SUM(AA100:BE100)</f>
        <v>0</v>
      </c>
      <c r="R100" s="314"/>
      <c r="S100" s="314"/>
      <c r="T100" s="1184">
        <f t="shared" si="29"/>
        <v>0</v>
      </c>
      <c r="U100" s="875">
        <f>IF(T100=0,0,P100/T100)</f>
        <v>0</v>
      </c>
      <c r="V100" s="876"/>
      <c r="W100" s="206"/>
      <c r="X100" s="206"/>
      <c r="Y100" s="856" t="str">
        <f>B100&amp;D100</f>
        <v>511NFP85SILO</v>
      </c>
      <c r="Z100" s="818">
        <v>11452885</v>
      </c>
      <c r="AA100" s="381"/>
      <c r="AB100" s="381">
        <v>0</v>
      </c>
      <c r="AC100" s="314"/>
      <c r="AD100" s="314">
        <v>0</v>
      </c>
      <c r="AE100" s="314">
        <v>0</v>
      </c>
      <c r="AF100" s="314">
        <v>0</v>
      </c>
      <c r="AG100" s="314">
        <v>0</v>
      </c>
      <c r="AH100" s="314">
        <v>0</v>
      </c>
      <c r="AI100" s="314">
        <v>0</v>
      </c>
      <c r="AJ100" s="314"/>
      <c r="AK100" s="314"/>
      <c r="AL100" s="314"/>
      <c r="AM100" s="314"/>
      <c r="AN100" s="314"/>
      <c r="AO100" s="314"/>
      <c r="AP100" s="314"/>
      <c r="AQ100" s="314"/>
      <c r="AR100" s="314"/>
      <c r="AS100" s="314"/>
      <c r="AT100" s="314"/>
      <c r="AU100" s="314"/>
      <c r="AV100" s="314"/>
      <c r="AW100" s="314"/>
      <c r="AX100" s="314"/>
      <c r="AY100" s="314"/>
      <c r="AZ100" s="314"/>
      <c r="BA100" s="314"/>
      <c r="BB100" s="314"/>
      <c r="BC100" s="314"/>
      <c r="BD100" s="314"/>
      <c r="BE100" s="314"/>
      <c r="BF100" s="205">
        <f t="shared" si="38"/>
        <v>0</v>
      </c>
      <c r="BG100" s="786">
        <f t="shared" si="32"/>
        <v>0</v>
      </c>
      <c r="BH100" s="786">
        <f t="shared" si="33"/>
        <v>0</v>
      </c>
    </row>
    <row r="101" spans="1:62" s="207" customFormat="1" ht="15" customHeight="1">
      <c r="A101" s="285">
        <v>92</v>
      </c>
      <c r="B101" s="212" t="s">
        <v>307</v>
      </c>
      <c r="C101" s="211" t="s">
        <v>51</v>
      </c>
      <c r="D101" s="334" t="s">
        <v>66</v>
      </c>
      <c r="E101" s="314"/>
      <c r="F101" s="100">
        <f>+L101</f>
        <v>0</v>
      </c>
      <c r="G101" s="350"/>
      <c r="H101" s="314"/>
      <c r="I101" s="314">
        <f>SUMIF(data!$D:$D,INTGRATE!$B101&amp;INTGRATE!$D101,data!$J:$J)</f>
        <v>0</v>
      </c>
      <c r="J101" s="314"/>
      <c r="K101" s="314"/>
      <c r="L101" s="314">
        <f>SUMIF(data!$D:$D,INTGRATE!$B101&amp;INTGRATE!$D101,data!$K:$K)</f>
        <v>0</v>
      </c>
      <c r="M101" s="314">
        <f>SUMIF(AJOUT!$A:$A,INTGRATE!$Y:$Y,AJOUT!$L:$L)</f>
        <v>0</v>
      </c>
      <c r="N101" s="100">
        <f>SUMIF(CBOUT!$A:$A,INTGRATE!$Y:$Y,CBOUT!$G:$G)</f>
        <v>0</v>
      </c>
      <c r="O101" s="483"/>
      <c r="P101" s="345">
        <f>+F101-L101</f>
        <v>0</v>
      </c>
      <c r="Q101" s="350">
        <f>SUM(AA101:BE101)</f>
        <v>0</v>
      </c>
      <c r="R101" s="314"/>
      <c r="S101" s="314"/>
      <c r="T101" s="1184">
        <f t="shared" si="29"/>
        <v>0</v>
      </c>
      <c r="U101" s="875">
        <f>IF(T101=0,0,P101/T101)</f>
        <v>0</v>
      </c>
      <c r="V101" s="876"/>
      <c r="W101" s="321"/>
      <c r="X101" s="321"/>
      <c r="Y101" s="856" t="str">
        <f>B101&amp;D101</f>
        <v>511NFP87SILO</v>
      </c>
      <c r="Z101" s="818">
        <v>11452887</v>
      </c>
      <c r="AA101" s="381"/>
      <c r="AB101" s="381">
        <v>0</v>
      </c>
      <c r="AC101" s="314"/>
      <c r="AD101" s="314">
        <v>0</v>
      </c>
      <c r="AE101" s="314">
        <v>0</v>
      </c>
      <c r="AF101" s="314">
        <v>0</v>
      </c>
      <c r="AG101" s="314">
        <v>0</v>
      </c>
      <c r="AH101" s="314">
        <v>0</v>
      </c>
      <c r="AI101" s="314">
        <v>0</v>
      </c>
      <c r="AJ101" s="314"/>
      <c r="AK101" s="314"/>
      <c r="AL101" s="314"/>
      <c r="AM101" s="314"/>
      <c r="AN101" s="314"/>
      <c r="AO101" s="314"/>
      <c r="AP101" s="314"/>
      <c r="AQ101" s="314"/>
      <c r="AR101" s="314"/>
      <c r="AS101" s="314"/>
      <c r="AT101" s="314"/>
      <c r="AU101" s="314"/>
      <c r="AV101" s="314"/>
      <c r="AW101" s="314"/>
      <c r="AX101" s="314"/>
      <c r="AY101" s="314"/>
      <c r="AZ101" s="314"/>
      <c r="BA101" s="314"/>
      <c r="BB101" s="314"/>
      <c r="BC101" s="314"/>
      <c r="BD101" s="314"/>
      <c r="BE101" s="314"/>
      <c r="BF101" s="205">
        <f t="shared" si="38"/>
        <v>0</v>
      </c>
      <c r="BG101" s="786">
        <f t="shared" si="32"/>
        <v>0</v>
      </c>
      <c r="BH101" s="786">
        <f t="shared" si="33"/>
        <v>0</v>
      </c>
    </row>
    <row r="102" spans="1:62" s="207" customFormat="1" ht="15" customHeight="1">
      <c r="A102" s="285">
        <v>93</v>
      </c>
      <c r="B102" s="212" t="s">
        <v>336</v>
      </c>
      <c r="C102" s="211" t="s">
        <v>64</v>
      </c>
      <c r="D102" s="335" t="s">
        <v>66</v>
      </c>
      <c r="E102" s="314">
        <v>0</v>
      </c>
      <c r="F102" s="100">
        <f>+L102</f>
        <v>0</v>
      </c>
      <c r="G102" s="350"/>
      <c r="H102" s="314">
        <f>SUMIF(CBIN!$A:$A,INTGRATE!$Y:$Y,CBIN!$G:$G)</f>
        <v>0</v>
      </c>
      <c r="I102" s="314">
        <f>SUMIF(data!$D:$D,INTGRATE!$B102&amp;INTGRATE!$D102,data!$J:$J)</f>
        <v>0</v>
      </c>
      <c r="J102" s="314"/>
      <c r="K102" s="314"/>
      <c r="L102" s="314">
        <f>SUMIF(data!$D:$D,INTGRATE!$B102&amp;INTGRATE!$D102,data!$K:$K)</f>
        <v>0</v>
      </c>
      <c r="M102" s="314">
        <f>SUMIF(AJOUT!$A:$A,INTGRATE!$Y:$Y,AJOUT!$L:$L)</f>
        <v>0</v>
      </c>
      <c r="N102" s="100">
        <f>SUMIF(CBOUT!$A:$A,INTGRATE!$Y:$Y,CBOUT!$G:$G)</f>
        <v>0</v>
      </c>
      <c r="O102" s="483">
        <v>0</v>
      </c>
      <c r="P102" s="345">
        <f>+F102-L102</f>
        <v>0</v>
      </c>
      <c r="Q102" s="350">
        <f>SUM(AA102:BE102)</f>
        <v>0</v>
      </c>
      <c r="R102" s="314"/>
      <c r="S102" s="314"/>
      <c r="T102" s="1184">
        <f t="shared" si="29"/>
        <v>0</v>
      </c>
      <c r="U102" s="875">
        <f t="shared" si="36"/>
        <v>0</v>
      </c>
      <c r="V102" s="876"/>
      <c r="W102" s="321"/>
      <c r="X102" s="321"/>
      <c r="Y102" s="856" t="str">
        <f>B102&amp;D102</f>
        <v>513F(S)SILO</v>
      </c>
      <c r="Z102" s="818" t="s">
        <v>310</v>
      </c>
      <c r="AA102" s="381"/>
      <c r="AB102" s="381"/>
      <c r="AC102" s="314"/>
      <c r="AD102" s="314">
        <v>0</v>
      </c>
      <c r="AE102" s="314">
        <v>0</v>
      </c>
      <c r="AF102" s="314">
        <v>0</v>
      </c>
      <c r="AG102" s="314">
        <v>0</v>
      </c>
      <c r="AH102" s="314">
        <v>0</v>
      </c>
      <c r="AI102" s="314">
        <v>0</v>
      </c>
      <c r="AJ102" s="314"/>
      <c r="AK102" s="314"/>
      <c r="AL102" s="314"/>
      <c r="AM102" s="314"/>
      <c r="AN102" s="314"/>
      <c r="AO102" s="314"/>
      <c r="AP102" s="314"/>
      <c r="AQ102" s="314"/>
      <c r="AR102" s="314"/>
      <c r="AS102" s="314"/>
      <c r="AT102" s="314"/>
      <c r="AU102" s="314"/>
      <c r="AV102" s="314"/>
      <c r="AW102" s="314"/>
      <c r="AX102" s="314"/>
      <c r="AY102" s="314"/>
      <c r="AZ102" s="314"/>
      <c r="BA102" s="314"/>
      <c r="BB102" s="314"/>
      <c r="BC102" s="314"/>
      <c r="BD102" s="314"/>
      <c r="BE102" s="314"/>
      <c r="BF102" s="676"/>
      <c r="BG102" s="786">
        <f t="shared" si="32"/>
        <v>0</v>
      </c>
      <c r="BH102" s="787"/>
    </row>
    <row r="103" spans="1:62" s="217" customFormat="1" ht="15" customHeight="1">
      <c r="A103" s="872" t="s">
        <v>72</v>
      </c>
      <c r="B103" s="873"/>
      <c r="C103" s="873"/>
      <c r="D103" s="874"/>
      <c r="E103" s="429">
        <f>SUM(E62:E71,E53,E52)</f>
        <v>0</v>
      </c>
      <c r="F103" s="429">
        <f>SUM(F62:F71,F53,F52)</f>
        <v>0</v>
      </c>
      <c r="G103" s="429">
        <f t="shared" ref="G103:Q103" si="39">SUM(G62:G71,G53,G52)</f>
        <v>0</v>
      </c>
      <c r="H103" s="429">
        <f t="shared" si="39"/>
        <v>0</v>
      </c>
      <c r="I103" s="429">
        <f t="shared" si="39"/>
        <v>0</v>
      </c>
      <c r="J103" s="429">
        <f t="shared" si="39"/>
        <v>0</v>
      </c>
      <c r="K103" s="429">
        <f t="shared" si="39"/>
        <v>0</v>
      </c>
      <c r="L103" s="429">
        <f t="shared" si="39"/>
        <v>0</v>
      </c>
      <c r="M103" s="429">
        <f t="shared" si="39"/>
        <v>0</v>
      </c>
      <c r="N103" s="429">
        <f t="shared" si="39"/>
        <v>0</v>
      </c>
      <c r="O103" s="429">
        <f>SUM(O62:O71,O53,O52)</f>
        <v>0</v>
      </c>
      <c r="P103" s="429">
        <f>SUM(P62:P71,P53,P52)</f>
        <v>0</v>
      </c>
      <c r="Q103" s="429">
        <f t="shared" si="39"/>
        <v>64400</v>
      </c>
      <c r="R103" s="220">
        <f>SUM(R13,R16,R19)</f>
        <v>483550</v>
      </c>
      <c r="S103" s="220">
        <f>SUM(S13,S16,S19)</f>
        <v>940800</v>
      </c>
      <c r="T103" s="220">
        <f>SUM(T53,T62:T69,T48)</f>
        <v>7155.5555555555557</v>
      </c>
      <c r="U103" s="1052">
        <f>IF(T103=0,0,P103/T103)</f>
        <v>0</v>
      </c>
      <c r="V103" s="1053"/>
      <c r="W103" s="1071">
        <f>P108/T107</f>
        <v>4.6257971938775508</v>
      </c>
      <c r="X103" s="214">
        <f>(SUM(X62:X67)+X51+X53+X48)*25</f>
        <v>0</v>
      </c>
      <c r="Y103" s="857" t="str">
        <f t="shared" ref="Y103:Y117" si="40">B103&amp;D103</f>
        <v/>
      </c>
      <c r="Z103" s="819"/>
      <c r="AA103" s="216">
        <f t="shared" ref="AA103:BE103" si="41">SUM(AA10:AA102)</f>
        <v>0</v>
      </c>
      <c r="AB103" s="216">
        <f t="shared" si="41"/>
        <v>161740</v>
      </c>
      <c r="AC103" s="216">
        <f t="shared" si="41"/>
        <v>97990</v>
      </c>
      <c r="AD103" s="216">
        <f t="shared" si="41"/>
        <v>151130</v>
      </c>
      <c r="AE103" s="216">
        <f t="shared" si="41"/>
        <v>113940</v>
      </c>
      <c r="AF103" s="216">
        <f t="shared" si="41"/>
        <v>106750</v>
      </c>
      <c r="AG103" s="216">
        <f t="shared" si="41"/>
        <v>49350</v>
      </c>
      <c r="AH103" s="216">
        <f t="shared" si="41"/>
        <v>178630</v>
      </c>
      <c r="AI103" s="216">
        <f t="shared" si="41"/>
        <v>81270</v>
      </c>
      <c r="AJ103" s="216">
        <f t="shared" si="41"/>
        <v>0</v>
      </c>
      <c r="AK103" s="216">
        <f t="shared" si="41"/>
        <v>0</v>
      </c>
      <c r="AL103" s="216">
        <f t="shared" si="41"/>
        <v>0</v>
      </c>
      <c r="AM103" s="216">
        <f t="shared" si="41"/>
        <v>0</v>
      </c>
      <c r="AN103" s="216">
        <f t="shared" si="41"/>
        <v>0</v>
      </c>
      <c r="AO103" s="216">
        <f t="shared" si="41"/>
        <v>0</v>
      </c>
      <c r="AP103" s="216">
        <f t="shared" si="41"/>
        <v>0</v>
      </c>
      <c r="AQ103" s="216">
        <f t="shared" si="41"/>
        <v>0</v>
      </c>
      <c r="AR103" s="216">
        <f t="shared" si="41"/>
        <v>0</v>
      </c>
      <c r="AS103" s="216">
        <f t="shared" si="41"/>
        <v>0</v>
      </c>
      <c r="AT103" s="216">
        <f t="shared" si="41"/>
        <v>0</v>
      </c>
      <c r="AU103" s="216">
        <f t="shared" si="41"/>
        <v>0</v>
      </c>
      <c r="AV103" s="216">
        <f t="shared" si="41"/>
        <v>0</v>
      </c>
      <c r="AW103" s="216">
        <f t="shared" si="41"/>
        <v>0</v>
      </c>
      <c r="AX103" s="216">
        <f t="shared" si="41"/>
        <v>0</v>
      </c>
      <c r="AY103" s="216">
        <f t="shared" si="41"/>
        <v>0</v>
      </c>
      <c r="AZ103" s="216">
        <f t="shared" si="41"/>
        <v>0</v>
      </c>
      <c r="BA103" s="216">
        <f t="shared" si="41"/>
        <v>0</v>
      </c>
      <c r="BB103" s="216">
        <f t="shared" si="41"/>
        <v>0</v>
      </c>
      <c r="BC103" s="216">
        <f t="shared" si="41"/>
        <v>0</v>
      </c>
      <c r="BD103" s="216">
        <f t="shared" si="41"/>
        <v>0</v>
      </c>
      <c r="BE103" s="216">
        <f t="shared" si="41"/>
        <v>0</v>
      </c>
      <c r="BF103" s="202">
        <f>SUM(AA103:BE103)</f>
        <v>940800</v>
      </c>
      <c r="BG103" s="202"/>
      <c r="BH103" s="202"/>
      <c r="BJ103" s="192"/>
    </row>
    <row r="104" spans="1:62" s="217" customFormat="1" ht="15" customHeight="1">
      <c r="A104" s="872" t="s">
        <v>73</v>
      </c>
      <c r="B104" s="873"/>
      <c r="C104" s="873"/>
      <c r="D104" s="874"/>
      <c r="E104" s="429">
        <f t="shared" ref="E104:S104" si="42">+E73+E72</f>
        <v>0</v>
      </c>
      <c r="F104" s="429">
        <f t="shared" si="42"/>
        <v>0</v>
      </c>
      <c r="G104" s="429">
        <f t="shared" si="42"/>
        <v>0</v>
      </c>
      <c r="H104" s="429">
        <f t="shared" si="42"/>
        <v>0</v>
      </c>
      <c r="I104" s="429">
        <f t="shared" si="42"/>
        <v>0</v>
      </c>
      <c r="J104" s="429">
        <f t="shared" si="42"/>
        <v>0</v>
      </c>
      <c r="K104" s="429">
        <f t="shared" si="42"/>
        <v>0</v>
      </c>
      <c r="L104" s="429">
        <f t="shared" si="42"/>
        <v>0</v>
      </c>
      <c r="M104" s="429">
        <f t="shared" si="42"/>
        <v>0</v>
      </c>
      <c r="N104" s="429">
        <f t="shared" si="42"/>
        <v>0</v>
      </c>
      <c r="O104" s="429">
        <f t="shared" si="42"/>
        <v>0</v>
      </c>
      <c r="P104" s="429">
        <f t="shared" si="42"/>
        <v>0</v>
      </c>
      <c r="Q104" s="429">
        <f t="shared" si="42"/>
        <v>0</v>
      </c>
      <c r="R104" s="429">
        <f t="shared" si="42"/>
        <v>0</v>
      </c>
      <c r="S104" s="429">
        <f t="shared" si="42"/>
        <v>0</v>
      </c>
      <c r="T104" s="220"/>
      <c r="U104" s="621"/>
      <c r="V104" s="622"/>
      <c r="W104" s="1072"/>
      <c r="X104" s="214"/>
      <c r="Y104" s="857"/>
      <c r="Z104" s="819"/>
      <c r="AA104" s="222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AQ104" s="222"/>
      <c r="AR104" s="222"/>
      <c r="AS104" s="222"/>
      <c r="AT104" s="222"/>
      <c r="AU104" s="222"/>
      <c r="AV104" s="222"/>
      <c r="AW104" s="222">
        <v>0</v>
      </c>
      <c r="AX104" s="222"/>
      <c r="AY104" s="222"/>
      <c r="AZ104" s="222"/>
      <c r="BA104" s="222"/>
      <c r="BB104" s="222"/>
      <c r="BC104" s="222"/>
      <c r="BD104" s="222"/>
      <c r="BE104" s="222"/>
      <c r="BF104" s="202"/>
      <c r="BG104" s="202"/>
      <c r="BH104" s="202"/>
      <c r="BJ104" s="192"/>
    </row>
    <row r="105" spans="1:62" s="217" customFormat="1" ht="15" customHeight="1">
      <c r="A105" s="872" t="s">
        <v>337</v>
      </c>
      <c r="B105" s="873"/>
      <c r="C105" s="873"/>
      <c r="D105" s="874"/>
      <c r="E105" s="429">
        <f t="shared" ref="E105:N105" si="43">SUM(E10:E47,E49:E51,E54:E61)</f>
        <v>2968</v>
      </c>
      <c r="F105" s="429">
        <f>SUM(F10:F47,F49:F51,F54:F61)</f>
        <v>6703</v>
      </c>
      <c r="G105" s="429">
        <f t="shared" si="43"/>
        <v>0</v>
      </c>
      <c r="H105" s="429">
        <f t="shared" si="43"/>
        <v>0</v>
      </c>
      <c r="I105" s="429">
        <f t="shared" si="43"/>
        <v>0</v>
      </c>
      <c r="J105" s="429">
        <f t="shared" si="43"/>
        <v>0</v>
      </c>
      <c r="K105" s="429">
        <f t="shared" si="43"/>
        <v>0</v>
      </c>
      <c r="L105" s="429">
        <f t="shared" si="43"/>
        <v>0</v>
      </c>
      <c r="M105" s="429">
        <f t="shared" si="43"/>
        <v>0</v>
      </c>
      <c r="N105" s="429">
        <f t="shared" si="43"/>
        <v>0</v>
      </c>
      <c r="O105" s="429">
        <f>SUM(O10:O47,O49:O51,O54:O61)</f>
        <v>9671</v>
      </c>
      <c r="P105" s="429">
        <f>SUM(P10:P47,P49:P51,P54:P61)</f>
        <v>483550</v>
      </c>
      <c r="Q105" s="429">
        <f>SUM(Q10:Q71)-Q103</f>
        <v>742800</v>
      </c>
      <c r="R105" s="429">
        <f>SUM(R11:R47,R49:R51,R54:R61)</f>
        <v>483550</v>
      </c>
      <c r="S105" s="429">
        <f>SUM(S11:S47,S49:S51,S54:S61)</f>
        <v>971700</v>
      </c>
      <c r="T105" s="429">
        <f>SUM(T10:T47,T49:T51,T54:T61)</f>
        <v>82533.333333333328</v>
      </c>
      <c r="U105" s="892">
        <f>IF(T105=0,0,P105/T105)</f>
        <v>5.8588449111470116</v>
      </c>
      <c r="V105" s="893"/>
      <c r="W105" s="1072"/>
      <c r="X105" s="214">
        <f>(SUM(X10:X47)+SUM(X49:X50)+SUM(X54:X61))*50</f>
        <v>0</v>
      </c>
      <c r="Y105" s="857" t="str">
        <f t="shared" si="40"/>
        <v/>
      </c>
      <c r="Z105" s="819"/>
      <c r="AA105" s="191"/>
      <c r="AB105" s="191"/>
      <c r="AC105" s="191"/>
      <c r="AD105" s="191"/>
      <c r="AE105" s="191"/>
      <c r="AF105" s="191"/>
      <c r="AG105" s="191"/>
      <c r="AH105" s="191"/>
      <c r="AI105" s="191"/>
      <c r="AJ105" s="191"/>
      <c r="AK105" s="191"/>
      <c r="AL105" s="191"/>
      <c r="AM105" s="191"/>
      <c r="AN105" s="191"/>
      <c r="AO105" s="191"/>
      <c r="AP105" s="191"/>
      <c r="AQ105" s="191"/>
      <c r="AR105" s="191"/>
      <c r="AS105" s="191"/>
      <c r="AT105" s="191"/>
      <c r="AU105" s="191"/>
      <c r="AV105" s="191"/>
      <c r="AW105" s="191"/>
      <c r="AX105" s="191"/>
      <c r="AY105" s="191"/>
      <c r="AZ105" s="191"/>
      <c r="BA105" s="191"/>
      <c r="BB105" s="191"/>
      <c r="BC105" s="191"/>
      <c r="BD105" s="191"/>
      <c r="BE105" s="191"/>
      <c r="BF105" s="367"/>
      <c r="BG105" s="367"/>
      <c r="BH105" s="367"/>
      <c r="BJ105" s="454"/>
    </row>
    <row r="106" spans="1:62" s="217" customFormat="1" ht="15" customHeight="1">
      <c r="A106" s="677" t="s">
        <v>74</v>
      </c>
      <c r="B106" s="678"/>
      <c r="C106" s="678"/>
      <c r="D106" s="679"/>
      <c r="E106" s="214">
        <f>SUM(H74:H102)</f>
        <v>0</v>
      </c>
      <c r="F106" s="214">
        <f>SUM(F74:F102)</f>
        <v>0</v>
      </c>
      <c r="G106" s="214">
        <f>SUM(G74:G102)</f>
        <v>0</v>
      </c>
      <c r="H106" s="214">
        <f>SUM(H74:H102)</f>
        <v>0</v>
      </c>
      <c r="I106" s="214">
        <f>SUM(L74:L102)</f>
        <v>0</v>
      </c>
      <c r="J106" s="214"/>
      <c r="K106" s="214"/>
      <c r="L106" s="214">
        <f t="shared" ref="L106:Q106" si="44">SUM(L74:L102)</f>
        <v>0</v>
      </c>
      <c r="M106" s="214">
        <f t="shared" si="44"/>
        <v>0</v>
      </c>
      <c r="N106" s="214">
        <f t="shared" si="44"/>
        <v>0</v>
      </c>
      <c r="O106" s="485">
        <f t="shared" si="44"/>
        <v>0</v>
      </c>
      <c r="P106" s="214">
        <f t="shared" si="44"/>
        <v>0</v>
      </c>
      <c r="Q106" s="214">
        <f t="shared" si="44"/>
        <v>133600</v>
      </c>
      <c r="R106" s="218"/>
      <c r="S106" s="218"/>
      <c r="T106" s="219">
        <f>Q106/$N$293</f>
        <v>14844.444444444445</v>
      </c>
      <c r="U106" s="892"/>
      <c r="V106" s="893"/>
      <c r="W106" s="1072"/>
      <c r="X106" s="213"/>
      <c r="Y106" s="857" t="str">
        <f t="shared" si="40"/>
        <v/>
      </c>
      <c r="Z106" s="819"/>
      <c r="AA106" s="191"/>
      <c r="AB106" s="191"/>
      <c r="AC106" s="191"/>
      <c r="AD106" s="191"/>
      <c r="AE106" s="191"/>
      <c r="AF106" s="191"/>
      <c r="AG106" s="191"/>
      <c r="AH106" s="191"/>
      <c r="AI106" s="191"/>
      <c r="AJ106" s="191"/>
      <c r="AK106" s="191"/>
      <c r="AL106" s="191"/>
      <c r="AM106" s="191"/>
      <c r="AN106" s="191"/>
      <c r="AO106" s="191"/>
      <c r="AP106" s="191"/>
      <c r="AQ106" s="191"/>
      <c r="AR106" s="191"/>
      <c r="AS106" s="191"/>
      <c r="AT106" s="191"/>
      <c r="AU106" s="191"/>
      <c r="AV106" s="191"/>
      <c r="AW106" s="191"/>
      <c r="AX106" s="191"/>
      <c r="AY106" s="191"/>
      <c r="AZ106" s="191"/>
      <c r="BA106" s="191"/>
      <c r="BB106" s="191"/>
      <c r="BC106" s="191"/>
      <c r="BD106" s="191"/>
      <c r="BE106" s="191"/>
      <c r="BF106" s="367"/>
      <c r="BG106" s="367"/>
      <c r="BH106" s="367"/>
    </row>
    <row r="107" spans="1:62" s="223" customFormat="1" ht="15" customHeight="1">
      <c r="A107" s="869" t="s">
        <v>75</v>
      </c>
      <c r="B107" s="870"/>
      <c r="C107" s="870"/>
      <c r="D107" s="871"/>
      <c r="E107" s="220">
        <f>SUM(E103:E105)</f>
        <v>2968</v>
      </c>
      <c r="F107" s="220">
        <f>SUM(F103:F105)</f>
        <v>6703</v>
      </c>
      <c r="G107" s="220">
        <f>SUM(G103:G105)</f>
        <v>0</v>
      </c>
      <c r="H107" s="220">
        <f>SUM(H103:H105)</f>
        <v>0</v>
      </c>
      <c r="I107" s="220">
        <f t="shared" ref="I107:P107" si="45">SUM(I103:I105)</f>
        <v>0</v>
      </c>
      <c r="J107" s="220"/>
      <c r="K107" s="220"/>
      <c r="L107" s="220"/>
      <c r="M107" s="220"/>
      <c r="N107" s="220">
        <f t="shared" si="45"/>
        <v>0</v>
      </c>
      <c r="O107" s="220">
        <f t="shared" si="45"/>
        <v>9671</v>
      </c>
      <c r="P107" s="220">
        <f t="shared" si="45"/>
        <v>483550</v>
      </c>
      <c r="Q107" s="784">
        <f>+Q108</f>
        <v>940800</v>
      </c>
      <c r="R107" s="218">
        <f>SUM(R11:R102)</f>
        <v>483550</v>
      </c>
      <c r="S107" s="218"/>
      <c r="T107" s="934">
        <f>Q107/$N$293</f>
        <v>104533.33333333333</v>
      </c>
      <c r="U107" s="890" t="s">
        <v>338</v>
      </c>
      <c r="V107" s="891"/>
      <c r="W107" s="1072"/>
      <c r="X107" s="221"/>
      <c r="Y107" s="857" t="str">
        <f t="shared" si="40"/>
        <v/>
      </c>
      <c r="Z107" s="819"/>
      <c r="AA107" s="222"/>
      <c r="AB107" s="222"/>
      <c r="AC107" s="222"/>
      <c r="AD107" s="222"/>
      <c r="AE107" s="222"/>
      <c r="AF107" s="222"/>
      <c r="AG107" s="222"/>
      <c r="AH107" s="222"/>
      <c r="AI107" s="222"/>
      <c r="AJ107" s="222"/>
      <c r="AK107" s="222"/>
      <c r="AL107" s="191"/>
      <c r="AM107" s="191"/>
      <c r="AN107" s="191"/>
      <c r="AO107" s="191"/>
      <c r="AP107" s="191"/>
      <c r="AQ107" s="191"/>
      <c r="AR107" s="191"/>
      <c r="AS107" s="191"/>
      <c r="AT107" s="191"/>
      <c r="AU107" s="191"/>
      <c r="AV107" s="191"/>
      <c r="AW107" s="191"/>
      <c r="AX107" s="191"/>
      <c r="AY107" s="191"/>
      <c r="AZ107" s="191"/>
      <c r="BA107" s="191"/>
      <c r="BB107" s="191"/>
      <c r="BC107" s="191"/>
      <c r="BD107" s="222"/>
      <c r="BE107" s="222"/>
      <c r="BF107" s="367"/>
      <c r="BG107" s="367"/>
      <c r="BH107" s="367"/>
      <c r="BI107" s="223" t="s">
        <v>339</v>
      </c>
    </row>
    <row r="108" spans="1:62" s="217" customFormat="1" ht="15" customHeight="1">
      <c r="A108" s="872" t="s">
        <v>77</v>
      </c>
      <c r="B108" s="873"/>
      <c r="C108" s="873"/>
      <c r="D108" s="874"/>
      <c r="E108" s="214">
        <f>E103*25+E105*50+E106+E104*40</f>
        <v>148400</v>
      </c>
      <c r="F108" s="214">
        <f>F103*25+F105*50+F106+F104*40</f>
        <v>335150</v>
      </c>
      <c r="G108" s="214">
        <f>G103*25+G105*50+G106</f>
        <v>0</v>
      </c>
      <c r="H108" s="214">
        <f>H103*25+H105*50+H106</f>
        <v>0</v>
      </c>
      <c r="I108" s="214">
        <f>I103*25+I105*50+I106</f>
        <v>0</v>
      </c>
      <c r="J108" s="214"/>
      <c r="K108" s="214"/>
      <c r="L108" s="214">
        <f>L103+L105+L106+L104</f>
        <v>0</v>
      </c>
      <c r="M108" s="214">
        <f>+M105*50+M103*25</f>
        <v>0</v>
      </c>
      <c r="N108" s="214">
        <f>+N103*25+N104*40+N105*50</f>
        <v>0</v>
      </c>
      <c r="O108" s="485">
        <f>O103*25+O105*50+O106</f>
        <v>483550</v>
      </c>
      <c r="P108" s="214">
        <f>P103+P105+P106</f>
        <v>483550</v>
      </c>
      <c r="Q108" s="359">
        <f>+SUM(Q10:Q102)</f>
        <v>940800</v>
      </c>
      <c r="R108" s="224"/>
      <c r="S108" s="224"/>
      <c r="T108" s="935"/>
      <c r="U108" s="890"/>
      <c r="V108" s="891"/>
      <c r="W108" s="1073"/>
      <c r="X108" s="214">
        <f>SUM(X103:X105)</f>
        <v>0</v>
      </c>
      <c r="Y108" s="857" t="str">
        <f t="shared" si="40"/>
        <v/>
      </c>
      <c r="Z108" s="819"/>
      <c r="AA108" s="223"/>
      <c r="AB108" s="223"/>
      <c r="AC108" s="225"/>
      <c r="AD108" s="225"/>
      <c r="AE108" s="225"/>
      <c r="AF108" s="225"/>
      <c r="AG108" s="225"/>
      <c r="AH108" s="191"/>
      <c r="AI108" s="191"/>
      <c r="AJ108" s="191"/>
      <c r="AK108" s="191"/>
      <c r="AL108" s="191"/>
      <c r="AM108" s="191"/>
      <c r="AN108" s="191"/>
      <c r="AO108" s="191"/>
      <c r="AP108" s="191"/>
      <c r="AQ108" s="191"/>
      <c r="AR108" s="191"/>
      <c r="AS108" s="191"/>
      <c r="AT108" s="191"/>
      <c r="AU108" s="191"/>
      <c r="AV108" s="191"/>
      <c r="AW108" s="191"/>
      <c r="AX108" s="191"/>
      <c r="AY108" s="191"/>
      <c r="AZ108" s="191"/>
      <c r="BA108" s="191"/>
      <c r="BB108" s="191"/>
      <c r="BC108" s="191"/>
      <c r="BD108" s="191"/>
      <c r="BE108" s="191"/>
      <c r="BF108" s="367"/>
      <c r="BG108" s="367"/>
      <c r="BH108" s="367"/>
    </row>
    <row r="109" spans="1:62" ht="14.25" customHeight="1">
      <c r="A109" s="286" t="s">
        <v>174</v>
      </c>
      <c r="B109" s="189"/>
      <c r="C109" s="189"/>
      <c r="D109" s="336"/>
      <c r="E109" s="227"/>
      <c r="F109" s="189"/>
      <c r="G109" s="189"/>
      <c r="H109" s="189"/>
      <c r="I109" s="227"/>
      <c r="J109" s="227"/>
      <c r="K109" s="227"/>
      <c r="L109" s="189"/>
      <c r="M109" s="189"/>
      <c r="N109" s="189"/>
      <c r="O109" s="486"/>
      <c r="P109" s="189"/>
      <c r="Q109" s="189"/>
      <c r="R109" s="228"/>
      <c r="S109" s="228"/>
      <c r="T109" s="189"/>
      <c r="U109" s="229"/>
      <c r="W109" s="197"/>
      <c r="X109" s="226"/>
      <c r="Y109" s="858" t="str">
        <f t="shared" si="40"/>
        <v/>
      </c>
      <c r="Z109" s="820"/>
      <c r="AA109" s="225"/>
      <c r="AB109" s="225"/>
      <c r="AC109" s="225">
        <v>0</v>
      </c>
      <c r="AD109" s="225"/>
      <c r="AE109" s="225"/>
      <c r="AF109" s="225"/>
      <c r="AG109" s="225"/>
      <c r="BF109" s="367"/>
      <c r="BG109" s="367"/>
      <c r="BH109" s="367"/>
    </row>
    <row r="110" spans="1:62" ht="14.25" customHeight="1">
      <c r="A110" s="286" t="s">
        <v>175</v>
      </c>
      <c r="E110" s="197"/>
      <c r="I110" s="197"/>
      <c r="J110" s="197"/>
      <c r="K110" s="197"/>
      <c r="W110" s="197"/>
      <c r="X110" s="226"/>
      <c r="Y110" s="858"/>
      <c r="Z110" s="820"/>
      <c r="AA110" s="225"/>
      <c r="AB110" s="225"/>
      <c r="AC110" s="225">
        <v>0</v>
      </c>
      <c r="AD110" s="225"/>
      <c r="AE110" s="225"/>
      <c r="AF110" s="225"/>
      <c r="AG110" s="225"/>
      <c r="BF110" s="367"/>
      <c r="BG110" s="367"/>
      <c r="BH110" s="367"/>
    </row>
    <row r="111" spans="1:62" ht="14.25" customHeight="1">
      <c r="A111" s="286" t="s">
        <v>176</v>
      </c>
      <c r="E111" s="197"/>
      <c r="I111" s="197"/>
      <c r="J111" s="197"/>
      <c r="K111" s="197"/>
      <c r="W111" s="197"/>
      <c r="X111" s="226"/>
      <c r="Y111" s="858"/>
      <c r="Z111" s="820"/>
      <c r="AA111" s="225"/>
      <c r="AB111" s="225"/>
      <c r="AC111" s="225">
        <v>46630</v>
      </c>
      <c r="AD111" s="225"/>
      <c r="AE111" s="225"/>
      <c r="AF111" s="225"/>
      <c r="AG111" s="225"/>
      <c r="BF111" s="367"/>
      <c r="BG111" s="367"/>
      <c r="BH111" s="367"/>
    </row>
    <row r="112" spans="1:62" ht="18" customHeight="1">
      <c r="A112" s="191"/>
      <c r="C112" s="933" t="s">
        <v>251</v>
      </c>
      <c r="D112" s="933"/>
      <c r="E112" s="933"/>
      <c r="F112" s="933"/>
      <c r="G112" s="933"/>
      <c r="H112" s="933"/>
      <c r="I112" s="933"/>
      <c r="J112" s="933"/>
      <c r="K112" s="933"/>
      <c r="L112" s="933"/>
      <c r="M112" s="933"/>
      <c r="N112" s="933"/>
      <c r="O112" s="933"/>
      <c r="P112" s="933"/>
      <c r="Q112" s="424"/>
      <c r="R112" s="424"/>
      <c r="S112" s="424"/>
      <c r="T112" s="424"/>
      <c r="U112" s="424"/>
      <c r="V112" s="424"/>
      <c r="W112" s="424"/>
      <c r="X112" s="226"/>
      <c r="Y112" s="858" t="str">
        <f t="shared" si="40"/>
        <v/>
      </c>
      <c r="Z112" s="820"/>
      <c r="AA112" s="225"/>
      <c r="AB112" s="225"/>
      <c r="AC112" s="225">
        <v>0</v>
      </c>
      <c r="AD112" s="225"/>
      <c r="AE112" s="225"/>
      <c r="AF112" s="225"/>
      <c r="AG112" s="225"/>
      <c r="BF112" s="367"/>
      <c r="BG112" s="367"/>
      <c r="BH112" s="367"/>
    </row>
    <row r="113" spans="1:61" ht="18" customHeight="1">
      <c r="A113" s="191"/>
      <c r="C113" s="1035" t="s">
        <v>340</v>
      </c>
      <c r="D113" s="1035"/>
      <c r="E113" s="1035"/>
      <c r="F113" s="1035"/>
      <c r="G113" s="1035"/>
      <c r="H113" s="1035"/>
      <c r="I113" s="1035"/>
      <c r="J113" s="1035"/>
      <c r="K113" s="1035"/>
      <c r="L113" s="1035"/>
      <c r="M113" s="1035"/>
      <c r="N113" s="1035"/>
      <c r="O113" s="1035"/>
      <c r="P113" s="1035"/>
      <c r="Q113" s="424"/>
      <c r="R113" s="424"/>
      <c r="S113" s="424"/>
      <c r="T113" s="424"/>
      <c r="U113" s="424"/>
      <c r="V113" s="424"/>
      <c r="W113" s="424"/>
      <c r="X113" s="226"/>
      <c r="Y113" s="858"/>
      <c r="Z113" s="820"/>
      <c r="AA113" s="225"/>
      <c r="AB113" s="225"/>
      <c r="AC113" s="225">
        <v>0</v>
      </c>
      <c r="AD113" s="225"/>
      <c r="AE113" s="225"/>
      <c r="AF113" s="225"/>
      <c r="AG113" s="225"/>
      <c r="BF113" s="367"/>
      <c r="BG113" s="367"/>
      <c r="BH113" s="367"/>
    </row>
    <row r="114" spans="1:61" ht="15" customHeight="1">
      <c r="C114" s="1036" t="s">
        <v>341</v>
      </c>
      <c r="D114" s="1036"/>
      <c r="E114" s="1036"/>
      <c r="F114" s="1036"/>
      <c r="G114" s="1036"/>
      <c r="H114" s="1036"/>
      <c r="I114" s="1036"/>
      <c r="J114" s="1036"/>
      <c r="K114" s="1036"/>
      <c r="L114" s="1036"/>
      <c r="M114" s="1036"/>
      <c r="N114" s="1036"/>
      <c r="O114" s="1036"/>
      <c r="P114" s="1036"/>
      <c r="Q114" s="445"/>
      <c r="R114" s="445"/>
      <c r="S114" s="445"/>
      <c r="T114" s="445"/>
      <c r="U114" s="445"/>
      <c r="V114" s="445"/>
      <c r="W114" s="445"/>
      <c r="X114" s="226"/>
      <c r="Y114" s="858" t="str">
        <f t="shared" si="40"/>
        <v/>
      </c>
      <c r="Z114" s="820"/>
      <c r="AA114" s="225"/>
      <c r="AB114" s="225"/>
      <c r="AC114" s="225">
        <v>0</v>
      </c>
      <c r="AD114" s="225"/>
      <c r="AE114" s="225"/>
      <c r="AF114" s="225"/>
      <c r="AG114" s="225"/>
      <c r="BF114" s="367"/>
      <c r="BG114" s="367"/>
      <c r="BH114" s="367"/>
    </row>
    <row r="115" spans="1:61" s="83" customFormat="1" ht="28.5" customHeight="1">
      <c r="A115" s="925" t="s">
        <v>342</v>
      </c>
      <c r="B115" s="916" t="s">
        <v>23</v>
      </c>
      <c r="C115" s="916" t="s">
        <v>24</v>
      </c>
      <c r="D115" s="928" t="s">
        <v>178</v>
      </c>
      <c r="E115" s="61" t="s">
        <v>26</v>
      </c>
      <c r="F115" s="931" t="s">
        <v>27</v>
      </c>
      <c r="G115" s="936"/>
      <c r="H115" s="932"/>
      <c r="I115" s="931" t="s">
        <v>28</v>
      </c>
      <c r="J115" s="936"/>
      <c r="K115" s="936"/>
      <c r="L115" s="936"/>
      <c r="M115" s="936"/>
      <c r="N115" s="932"/>
      <c r="O115" s="931" t="s">
        <v>29</v>
      </c>
      <c r="P115" s="932"/>
      <c r="Q115" s="183" t="s">
        <v>30</v>
      </c>
      <c r="R115" s="305"/>
      <c r="S115" s="305"/>
      <c r="T115" s="183" t="s">
        <v>31</v>
      </c>
      <c r="U115" s="919" t="s">
        <v>257</v>
      </c>
      <c r="V115" s="920"/>
      <c r="W115" s="1049" t="s">
        <v>33</v>
      </c>
      <c r="X115" s="881" t="s">
        <v>34</v>
      </c>
      <c r="Y115" s="859"/>
      <c r="Z115" s="817"/>
      <c r="AA115" s="306"/>
      <c r="AB115" s="306"/>
      <c r="AC115" s="306">
        <v>0</v>
      </c>
      <c r="AD115" s="306"/>
      <c r="AE115" s="306"/>
      <c r="AF115" s="306"/>
      <c r="AG115" s="306"/>
      <c r="BF115" s="367"/>
      <c r="BG115" s="367"/>
      <c r="BH115" s="367"/>
    </row>
    <row r="116" spans="1:61" s="83" customFormat="1" ht="48" customHeight="1">
      <c r="A116" s="926"/>
      <c r="B116" s="917"/>
      <c r="C116" s="917"/>
      <c r="D116" s="929" t="s">
        <v>35</v>
      </c>
      <c r="E116" s="64" t="s">
        <v>36</v>
      </c>
      <c r="F116" s="680" t="s">
        <v>37</v>
      </c>
      <c r="G116" s="512" t="s">
        <v>38</v>
      </c>
      <c r="H116" s="681" t="s">
        <v>39</v>
      </c>
      <c r="I116" s="931" t="s">
        <v>40</v>
      </c>
      <c r="J116" s="936"/>
      <c r="K116" s="936"/>
      <c r="L116" s="932"/>
      <c r="M116" s="512" t="s">
        <v>41</v>
      </c>
      <c r="N116" s="681" t="s">
        <v>42</v>
      </c>
      <c r="O116" s="931" t="s">
        <v>43</v>
      </c>
      <c r="P116" s="932"/>
      <c r="Q116" s="683" t="s">
        <v>44</v>
      </c>
      <c r="R116" s="682"/>
      <c r="S116" s="682"/>
      <c r="T116" s="683" t="s">
        <v>45</v>
      </c>
      <c r="U116" s="921"/>
      <c r="V116" s="922"/>
      <c r="W116" s="1050"/>
      <c r="X116" s="882"/>
      <c r="Y116" s="859"/>
      <c r="Z116" s="817"/>
      <c r="AA116" s="306"/>
      <c r="AB116" s="306"/>
      <c r="AC116" s="306">
        <v>0</v>
      </c>
      <c r="AD116" s="306"/>
      <c r="AE116" s="306"/>
      <c r="AF116" s="306"/>
      <c r="AG116" s="306"/>
    </row>
    <row r="117" spans="1:61" s="83" customFormat="1" ht="15" customHeight="1">
      <c r="A117" s="927"/>
      <c r="B117" s="918"/>
      <c r="C117" s="918"/>
      <c r="D117" s="930" t="s">
        <v>46</v>
      </c>
      <c r="E117" s="64" t="s">
        <v>47</v>
      </c>
      <c r="F117" s="64" t="s">
        <v>47</v>
      </c>
      <c r="G117" s="64" t="s">
        <v>47</v>
      </c>
      <c r="H117" s="64" t="s">
        <v>46</v>
      </c>
      <c r="I117" s="64" t="s">
        <v>47</v>
      </c>
      <c r="J117" s="64"/>
      <c r="K117" s="64"/>
      <c r="L117" s="64" t="s">
        <v>46</v>
      </c>
      <c r="M117" s="64" t="s">
        <v>47</v>
      </c>
      <c r="N117" s="64" t="s">
        <v>47</v>
      </c>
      <c r="O117" s="64" t="s">
        <v>47</v>
      </c>
      <c r="P117" s="64" t="s">
        <v>46</v>
      </c>
      <c r="Q117" s="65" t="s">
        <v>46</v>
      </c>
      <c r="R117" s="307"/>
      <c r="S117" s="307"/>
      <c r="T117" s="65" t="s">
        <v>48</v>
      </c>
      <c r="U117" s="923"/>
      <c r="V117" s="924"/>
      <c r="W117" s="1051"/>
      <c r="X117" s="684" t="s">
        <v>47</v>
      </c>
      <c r="Y117" s="860" t="str">
        <f t="shared" si="40"/>
        <v>(Kg)</v>
      </c>
      <c r="Z117" s="817"/>
      <c r="AA117" s="382">
        <v>1</v>
      </c>
      <c r="AB117" s="309">
        <v>2</v>
      </c>
      <c r="AC117" s="308">
        <v>3</v>
      </c>
      <c r="AD117" s="309">
        <v>4</v>
      </c>
      <c r="AE117" s="308">
        <v>5</v>
      </c>
      <c r="AF117" s="309">
        <v>6</v>
      </c>
      <c r="AG117" s="308">
        <v>7</v>
      </c>
      <c r="AH117" s="309">
        <v>8</v>
      </c>
      <c r="AI117" s="308">
        <v>9</v>
      </c>
      <c r="AJ117" s="310">
        <v>10</v>
      </c>
      <c r="AK117" s="308">
        <v>11</v>
      </c>
      <c r="AL117" s="310">
        <v>12</v>
      </c>
      <c r="AM117" s="308">
        <v>13</v>
      </c>
      <c r="AN117" s="310">
        <v>14</v>
      </c>
      <c r="AO117" s="310">
        <v>15</v>
      </c>
      <c r="AP117" s="310">
        <v>16</v>
      </c>
      <c r="AQ117" s="308">
        <v>17</v>
      </c>
      <c r="AR117" s="310">
        <v>18</v>
      </c>
      <c r="AS117" s="308">
        <v>19</v>
      </c>
      <c r="AT117" s="310">
        <v>20</v>
      </c>
      <c r="AU117" s="308">
        <v>21</v>
      </c>
      <c r="AV117" s="310">
        <v>22</v>
      </c>
      <c r="AW117" s="308">
        <v>23</v>
      </c>
      <c r="AX117" s="310">
        <v>24</v>
      </c>
      <c r="AY117" s="308">
        <v>25</v>
      </c>
      <c r="AZ117" s="310">
        <v>26</v>
      </c>
      <c r="BA117" s="308">
        <v>27</v>
      </c>
      <c r="BB117" s="310">
        <v>28</v>
      </c>
      <c r="BC117" s="308">
        <v>29</v>
      </c>
      <c r="BD117" s="310">
        <v>30</v>
      </c>
      <c r="BE117" s="513">
        <v>31</v>
      </c>
      <c r="BF117" s="66" t="s">
        <v>49</v>
      </c>
      <c r="BG117" s="785" t="s">
        <v>85</v>
      </c>
      <c r="BH117" s="785" t="s">
        <v>86</v>
      </c>
    </row>
    <row r="118" spans="1:61" s="193" customFormat="1">
      <c r="A118" s="287">
        <v>1</v>
      </c>
      <c r="B118" s="231" t="s">
        <v>343</v>
      </c>
      <c r="C118" s="344" t="s">
        <v>55</v>
      </c>
      <c r="D118" s="769">
        <v>10</v>
      </c>
      <c r="E118" s="281">
        <v>8849</v>
      </c>
      <c r="F118" s="717">
        <v>0</v>
      </c>
      <c r="G118" s="281"/>
      <c r="H118" s="314">
        <f>SUMIF(CBIN!$A:$A,INTGRATE!$Y:$Y,CBIN!$G:$G)</f>
        <v>0</v>
      </c>
      <c r="I118" s="281">
        <f>SUMIF(data!$D:$D,INTGRATE!$B118&amp;INTGRATE!$D118,data!$J:$J)</f>
        <v>0</v>
      </c>
      <c r="J118" s="281"/>
      <c r="K118" s="281"/>
      <c r="L118" s="230">
        <f>SUMIF(data!$D:$D,INTGRATE!$B118&amp;INTGRATE!$D118,data!$K:$K)</f>
        <v>0</v>
      </c>
      <c r="M118" s="314">
        <f>SUMIF(AJOUT!$A:$A,INTGRATE!$Y:$Y,AJOUT!$L:$L)</f>
        <v>0</v>
      </c>
      <c r="N118" s="717">
        <f>SUMIF(CBOUT!$A:$A,INTGRATE!$Y:$Y,CBOUT!$G:$G)</f>
        <v>0</v>
      </c>
      <c r="O118" s="482">
        <f>E118+F118+H118-I118-N118+G118-M118</f>
        <v>8849</v>
      </c>
      <c r="P118" s="281">
        <f t="shared" ref="P118:P161" si="46">O118*D118</f>
        <v>88490</v>
      </c>
      <c r="Q118" s="230">
        <f t="shared" ref="Q118:Q149" si="47">SUM(AA118:BE118)</f>
        <v>88900</v>
      </c>
      <c r="R118" s="205"/>
      <c r="S118" s="205"/>
      <c r="T118" s="230">
        <f t="shared" ref="T118:T149" si="48">Q118/$N$293</f>
        <v>9877.7777777777774</v>
      </c>
      <c r="U118" s="875">
        <f t="shared" ref="U118:U148" si="49">IF(T118=0,0,P118/T118)</f>
        <v>8.9584926884139477</v>
      </c>
      <c r="V118" s="876"/>
      <c r="W118" s="403"/>
      <c r="Y118" s="861" t="str">
        <f t="shared" ref="Y118:Y161" si="50">B118&amp;D118</f>
        <v>550PF10</v>
      </c>
      <c r="Z118" s="821">
        <v>0</v>
      </c>
      <c r="AA118" s="230"/>
      <c r="AB118" s="314">
        <v>13400</v>
      </c>
      <c r="AC118" s="314">
        <v>6000</v>
      </c>
      <c r="AD118" s="314">
        <v>17200</v>
      </c>
      <c r="AE118" s="314">
        <v>26500</v>
      </c>
      <c r="AF118" s="314">
        <v>7300</v>
      </c>
      <c r="AG118" s="314">
        <v>3500</v>
      </c>
      <c r="AH118" s="314">
        <v>4000</v>
      </c>
      <c r="AI118" s="314">
        <v>11000</v>
      </c>
      <c r="AJ118" s="314"/>
      <c r="AK118" s="314"/>
      <c r="AL118" s="314"/>
      <c r="AM118" s="314"/>
      <c r="AN118" s="281"/>
      <c r="AO118" s="314"/>
      <c r="AP118" s="314"/>
      <c r="AQ118" s="230"/>
      <c r="AR118" s="314"/>
      <c r="AS118" s="314"/>
      <c r="AT118" s="314"/>
      <c r="AU118" s="314"/>
      <c r="AV118" s="314"/>
      <c r="AW118" s="314"/>
      <c r="AX118" s="314"/>
      <c r="AY118" s="314"/>
      <c r="AZ118" s="314"/>
      <c r="BA118" s="314"/>
      <c r="BB118" s="314"/>
      <c r="BC118" s="314"/>
      <c r="BD118" s="314"/>
      <c r="BE118" s="314"/>
      <c r="BF118" s="205">
        <f t="shared" ref="BF118:BF211" si="51">SUM(AA118:BE118)</f>
        <v>88900</v>
      </c>
      <c r="BG118" s="786">
        <f>COUNTIF(AA118:BE118,"&gt;0")</f>
        <v>8</v>
      </c>
      <c r="BH118" s="786">
        <f>IFERROR(BF118/BG118,0)</f>
        <v>11112.5</v>
      </c>
    </row>
    <row r="119" spans="1:61" s="233" customFormat="1">
      <c r="A119" s="287">
        <v>2</v>
      </c>
      <c r="B119" s="231" t="s">
        <v>344</v>
      </c>
      <c r="C119" s="770" t="s">
        <v>61</v>
      </c>
      <c r="D119" s="768">
        <v>50</v>
      </c>
      <c r="E119" s="230">
        <v>2678</v>
      </c>
      <c r="F119" s="100">
        <f>SUMIF(pro!$A:$A,INTGRATE!$Y:$Y,pro!$N:$N)</f>
        <v>0</v>
      </c>
      <c r="G119" s="230"/>
      <c r="H119" s="314">
        <f>SUMIF(CBIN!$A:$A,INTGRATE!$Y:$Y,CBIN!$G:$G)</f>
        <v>0</v>
      </c>
      <c r="I119" s="230">
        <f>SUMIF(data!$D:$D,INTGRATE!$B119&amp;INTGRATE!$D119,data!$J:$J)</f>
        <v>0</v>
      </c>
      <c r="J119" s="230"/>
      <c r="K119" s="230"/>
      <c r="L119" s="230">
        <f>SUMIF(data!$D:$D,INTGRATE!$B119&amp;INTGRATE!$D119,data!$K:$K)</f>
        <v>0</v>
      </c>
      <c r="M119" s="314">
        <f>SUMIF(AJOUT!$A:$A,INTGRATE!$Y:$Y,AJOUT!$L:$L)</f>
        <v>0</v>
      </c>
      <c r="N119" s="100">
        <f>SUMIF(CBOUT!$A:$A,INTGRATE!$Y:$Y,CBOUT!$G:$G)</f>
        <v>0</v>
      </c>
      <c r="O119" s="482">
        <f t="shared" ref="O119:O161" si="52">E119+F119+H119-I119-N119+G119-M119</f>
        <v>2678</v>
      </c>
      <c r="P119" s="230">
        <f t="shared" si="46"/>
        <v>133900</v>
      </c>
      <c r="Q119" s="230">
        <f t="shared" si="47"/>
        <v>187100</v>
      </c>
      <c r="R119" s="314"/>
      <c r="S119" s="205"/>
      <c r="T119" s="230">
        <f t="shared" si="48"/>
        <v>20788.888888888891</v>
      </c>
      <c r="U119" s="875">
        <f t="shared" si="49"/>
        <v>6.4409406734366641</v>
      </c>
      <c r="V119" s="876"/>
      <c r="W119" s="345"/>
      <c r="X119" s="232"/>
      <c r="Y119" s="861" t="str">
        <f t="shared" si="50"/>
        <v>550SF50</v>
      </c>
      <c r="Z119" s="822" t="s">
        <v>345</v>
      </c>
      <c r="AA119" s="230"/>
      <c r="AB119" s="314">
        <v>15550</v>
      </c>
      <c r="AC119" s="314">
        <v>3000</v>
      </c>
      <c r="AD119" s="314">
        <v>51100</v>
      </c>
      <c r="AE119" s="314">
        <v>62450</v>
      </c>
      <c r="AF119" s="314">
        <v>14250</v>
      </c>
      <c r="AG119" s="314">
        <v>0</v>
      </c>
      <c r="AH119" s="314">
        <v>12250</v>
      </c>
      <c r="AI119" s="314">
        <v>28500</v>
      </c>
      <c r="AJ119" s="314"/>
      <c r="AK119" s="314"/>
      <c r="AL119" s="314"/>
      <c r="AM119" s="314"/>
      <c r="AN119" s="230"/>
      <c r="AO119" s="314"/>
      <c r="AP119" s="314"/>
      <c r="AQ119" s="230"/>
      <c r="AR119" s="314"/>
      <c r="AS119" s="314"/>
      <c r="AT119" s="314"/>
      <c r="AU119" s="314"/>
      <c r="AV119" s="314"/>
      <c r="AW119" s="314"/>
      <c r="AX119" s="314"/>
      <c r="AY119" s="314"/>
      <c r="AZ119" s="314"/>
      <c r="BA119" s="314"/>
      <c r="BB119" s="314"/>
      <c r="BC119" s="314"/>
      <c r="BD119" s="314"/>
      <c r="BE119" s="314"/>
      <c r="BF119" s="205">
        <f t="shared" si="51"/>
        <v>187100</v>
      </c>
      <c r="BG119" s="786">
        <f t="shared" ref="BG119:BG184" si="53">COUNTIF(AA119:BE119,"&gt;0")</f>
        <v>7</v>
      </c>
      <c r="BH119" s="786">
        <f t="shared" ref="BH119:BH184" si="54">IFERROR(BF119/BG119,0)</f>
        <v>26728.571428571428</v>
      </c>
    </row>
    <row r="120" spans="1:61" s="233" customFormat="1">
      <c r="A120" s="287">
        <v>3</v>
      </c>
      <c r="B120" s="231" t="s">
        <v>346</v>
      </c>
      <c r="C120" s="770" t="s">
        <v>61</v>
      </c>
      <c r="D120" s="548">
        <v>25</v>
      </c>
      <c r="E120" s="230">
        <v>0</v>
      </c>
      <c r="F120" s="100">
        <f>SUMIF(pro!$A:$A,INTGRATE!$Y:$Y,pro!$N:$N)</f>
        <v>0</v>
      </c>
      <c r="G120" s="230"/>
      <c r="H120" s="314">
        <f>SUMIF(CBIN!$A:$A,INTGRATE!$Y:$Y,CBIN!$G:$G)</f>
        <v>0</v>
      </c>
      <c r="I120" s="230">
        <f>SUMIF(data!$D:$D,INTGRATE!$B120&amp;INTGRATE!$D120,data!$J:$J)</f>
        <v>0</v>
      </c>
      <c r="J120" s="230"/>
      <c r="K120" s="230"/>
      <c r="L120" s="230">
        <f>SUMIF(data!$D:$D,INTGRATE!$B120&amp;INTGRATE!$D120,data!$K:$K)</f>
        <v>0</v>
      </c>
      <c r="M120" s="314">
        <f>SUMIF(AJOUT!$A:$A,INTGRATE!$Y:$Y,AJOUT!$L:$L)</f>
        <v>0</v>
      </c>
      <c r="N120" s="100">
        <f>SUMIF(CBOUT!$A:$A,INTGRATE!$Y:$Y,CBOUT!$G:$G)</f>
        <v>0</v>
      </c>
      <c r="O120" s="482">
        <f t="shared" si="52"/>
        <v>0</v>
      </c>
      <c r="P120" s="230">
        <f t="shared" si="46"/>
        <v>0</v>
      </c>
      <c r="Q120" s="230">
        <f t="shared" si="47"/>
        <v>0</v>
      </c>
      <c r="R120" s="314"/>
      <c r="S120" s="205"/>
      <c r="T120" s="230">
        <f t="shared" si="48"/>
        <v>0</v>
      </c>
      <c r="U120" s="875">
        <f t="shared" si="49"/>
        <v>0</v>
      </c>
      <c r="V120" s="876"/>
      <c r="W120" s="527"/>
      <c r="X120" s="232"/>
      <c r="Y120" s="861" t="str">
        <f t="shared" si="50"/>
        <v>550S FS2025</v>
      </c>
      <c r="Z120" s="822">
        <v>31210820</v>
      </c>
      <c r="AA120" s="230"/>
      <c r="AB120" s="314">
        <v>0</v>
      </c>
      <c r="AC120" s="314">
        <v>0</v>
      </c>
      <c r="AD120" s="314">
        <v>0</v>
      </c>
      <c r="AE120" s="314">
        <v>0</v>
      </c>
      <c r="AF120" s="314">
        <v>0</v>
      </c>
      <c r="AG120" s="314">
        <v>0</v>
      </c>
      <c r="AH120" s="314">
        <v>0</v>
      </c>
      <c r="AI120" s="314">
        <v>0</v>
      </c>
      <c r="AJ120" s="314"/>
      <c r="AK120" s="314"/>
      <c r="AL120" s="314"/>
      <c r="AM120" s="314"/>
      <c r="AN120" s="230"/>
      <c r="AO120" s="314"/>
      <c r="AP120" s="314"/>
      <c r="AQ120" s="230"/>
      <c r="AR120" s="314"/>
      <c r="AS120" s="314"/>
      <c r="AT120" s="314"/>
      <c r="AU120" s="314"/>
      <c r="AV120" s="314"/>
      <c r="AW120" s="314"/>
      <c r="AX120" s="314"/>
      <c r="AY120" s="314"/>
      <c r="AZ120" s="314"/>
      <c r="BA120" s="314"/>
      <c r="BB120" s="314"/>
      <c r="BC120" s="314"/>
      <c r="BD120" s="314"/>
      <c r="BE120" s="314"/>
      <c r="BF120" s="205">
        <f t="shared" si="51"/>
        <v>0</v>
      </c>
      <c r="BG120" s="786">
        <f t="shared" si="53"/>
        <v>0</v>
      </c>
      <c r="BH120" s="786">
        <f t="shared" si="54"/>
        <v>0</v>
      </c>
    </row>
    <row r="121" spans="1:61" s="233" customFormat="1">
      <c r="A121" s="287">
        <v>4</v>
      </c>
      <c r="B121" s="231" t="s">
        <v>347</v>
      </c>
      <c r="C121" s="770" t="s">
        <v>61</v>
      </c>
      <c r="D121" s="548">
        <v>50</v>
      </c>
      <c r="E121" s="230">
        <v>0</v>
      </c>
      <c r="F121" s="100">
        <f>SUMIF(pro!$A:$A,INTGRATE!$Y:$Y,pro!$N:$N)</f>
        <v>0</v>
      </c>
      <c r="G121" s="230"/>
      <c r="H121" s="314">
        <f>SUMIF(CBIN!$A:$A,INTGRATE!$Y:$Y,CBIN!$G:$G)</f>
        <v>0</v>
      </c>
      <c r="I121" s="230">
        <f>SUMIF(data!$D:$D,INTGRATE!$B121&amp;INTGRATE!$D121,data!$J:$J)</f>
        <v>0</v>
      </c>
      <c r="J121" s="230"/>
      <c r="K121" s="230"/>
      <c r="L121" s="230">
        <f>SUMIF(data!$D:$D,INTGRATE!$B121&amp;INTGRATE!$D121,data!$K:$K)</f>
        <v>0</v>
      </c>
      <c r="M121" s="314">
        <f>SUMIF(AJOUT!$A:$A,INTGRATE!$Y:$Y,AJOUT!$L:$L)</f>
        <v>0</v>
      </c>
      <c r="N121" s="100">
        <f>SUMIF(CBOUT!$A:$A,INTGRATE!$Y:$Y,CBOUT!$G:$G)</f>
        <v>0</v>
      </c>
      <c r="O121" s="482">
        <f t="shared" si="52"/>
        <v>0</v>
      </c>
      <c r="P121" s="230">
        <f t="shared" si="46"/>
        <v>0</v>
      </c>
      <c r="Q121" s="230">
        <f t="shared" si="47"/>
        <v>0</v>
      </c>
      <c r="R121" s="314"/>
      <c r="S121" s="205"/>
      <c r="T121" s="230">
        <f t="shared" si="48"/>
        <v>0</v>
      </c>
      <c r="U121" s="875">
        <f t="shared" si="49"/>
        <v>0</v>
      </c>
      <c r="V121" s="876"/>
      <c r="W121" s="527"/>
      <c r="X121" s="232"/>
      <c r="Y121" s="861" t="str">
        <f t="shared" si="50"/>
        <v>550SFS1350</v>
      </c>
      <c r="Z121" s="822">
        <v>31210813</v>
      </c>
      <c r="AA121" s="230"/>
      <c r="AB121" s="314">
        <v>0</v>
      </c>
      <c r="AC121" s="314">
        <v>0</v>
      </c>
      <c r="AD121" s="314">
        <v>0</v>
      </c>
      <c r="AE121" s="314">
        <v>0</v>
      </c>
      <c r="AF121" s="314">
        <v>0</v>
      </c>
      <c r="AG121" s="314">
        <v>0</v>
      </c>
      <c r="AH121" s="314">
        <v>0</v>
      </c>
      <c r="AI121" s="314">
        <v>0</v>
      </c>
      <c r="AJ121" s="314"/>
      <c r="AK121" s="314"/>
      <c r="AL121" s="314"/>
      <c r="AM121" s="314"/>
      <c r="AN121" s="230"/>
      <c r="AO121" s="314"/>
      <c r="AP121" s="314"/>
      <c r="AQ121" s="230"/>
      <c r="AR121" s="314"/>
      <c r="AS121" s="314"/>
      <c r="AT121" s="314"/>
      <c r="AU121" s="314"/>
      <c r="AV121" s="314"/>
      <c r="AW121" s="314"/>
      <c r="AX121" s="314"/>
      <c r="AY121" s="314"/>
      <c r="AZ121" s="314"/>
      <c r="BA121" s="314"/>
      <c r="BB121" s="314"/>
      <c r="BC121" s="314"/>
      <c r="BD121" s="314"/>
      <c r="BE121" s="314"/>
      <c r="BF121" s="205">
        <f t="shared" si="51"/>
        <v>0</v>
      </c>
      <c r="BG121" s="786">
        <f t="shared" si="53"/>
        <v>0</v>
      </c>
      <c r="BH121" s="786">
        <f t="shared" si="54"/>
        <v>0</v>
      </c>
    </row>
    <row r="122" spans="1:61" s="233" customFormat="1">
      <c r="A122" s="287">
        <v>5</v>
      </c>
      <c r="B122" s="791" t="s">
        <v>348</v>
      </c>
      <c r="C122" s="791" t="s">
        <v>61</v>
      </c>
      <c r="D122" s="364">
        <v>50</v>
      </c>
      <c r="E122" s="230">
        <v>1775</v>
      </c>
      <c r="F122" s="100">
        <f>SUMIF(pro!$A:$A,INTGRATE!$Y:$Y,pro!$N:$N)</f>
        <v>3357</v>
      </c>
      <c r="G122" s="230"/>
      <c r="H122" s="314">
        <f>SUMIF(CBIN!$A:$A,INTGRATE!$Y:$Y,CBIN!$G:$G)</f>
        <v>0</v>
      </c>
      <c r="I122" s="230">
        <f>SUMIF(data!$D:$D,INTGRATE!$B122&amp;INTGRATE!$D122,data!$J:$J)</f>
        <v>0</v>
      </c>
      <c r="J122" s="230"/>
      <c r="K122" s="230"/>
      <c r="L122" s="230">
        <f>SUMIF(data!$D:$D,INTGRATE!$B122&amp;INTGRATE!$D122,data!$K:$K)</f>
        <v>0</v>
      </c>
      <c r="M122" s="314">
        <f>SUMIF(AJOUT!$A:$A,INTGRATE!$Y:$Y,AJOUT!$L:$L)</f>
        <v>0</v>
      </c>
      <c r="N122" s="100">
        <f>SUMIF(CBOUT!$A:$A,INTGRATE!$Y:$Y,CBOUT!$G:$G)</f>
        <v>0</v>
      </c>
      <c r="O122" s="482">
        <f>E122+F122+H122-I122-N122+G122-M122</f>
        <v>5132</v>
      </c>
      <c r="P122" s="230">
        <f>O122*D122</f>
        <v>256600</v>
      </c>
      <c r="Q122" s="230">
        <f>SUM(AA122:BE122)</f>
        <v>652700</v>
      </c>
      <c r="R122" s="314"/>
      <c r="S122" s="205"/>
      <c r="T122" s="230">
        <f t="shared" si="48"/>
        <v>72522.222222222219</v>
      </c>
      <c r="U122" s="875">
        <f>IF(T122=0,0,P122/T122)</f>
        <v>3.5382258311628623</v>
      </c>
      <c r="V122" s="876"/>
      <c r="W122" s="527"/>
      <c r="X122" s="232"/>
      <c r="Y122" s="861" t="str">
        <f t="shared" si="50"/>
        <v>550SFS3150</v>
      </c>
      <c r="Z122" s="822">
        <v>31210831</v>
      </c>
      <c r="AA122" s="230"/>
      <c r="AB122" s="314">
        <v>128800</v>
      </c>
      <c r="AC122" s="314">
        <v>49100</v>
      </c>
      <c r="AD122" s="314">
        <v>85000</v>
      </c>
      <c r="AE122" s="314">
        <v>87900</v>
      </c>
      <c r="AF122" s="314">
        <v>85750</v>
      </c>
      <c r="AG122" s="314">
        <v>73050</v>
      </c>
      <c r="AH122" s="314">
        <v>49650</v>
      </c>
      <c r="AI122" s="314">
        <v>93450</v>
      </c>
      <c r="AJ122" s="314"/>
      <c r="AK122" s="314"/>
      <c r="AL122" s="314"/>
      <c r="AM122" s="314"/>
      <c r="AN122" s="230"/>
      <c r="AO122" s="314"/>
      <c r="AP122" s="314"/>
      <c r="AQ122" s="230"/>
      <c r="AR122" s="314"/>
      <c r="AS122" s="314"/>
      <c r="AT122" s="314"/>
      <c r="AU122" s="314"/>
      <c r="AV122" s="314"/>
      <c r="AW122" s="314"/>
      <c r="AX122" s="314"/>
      <c r="AY122" s="314"/>
      <c r="AZ122" s="314"/>
      <c r="BA122" s="314"/>
      <c r="BB122" s="314"/>
      <c r="BC122" s="314"/>
      <c r="BD122" s="314"/>
      <c r="BE122" s="314"/>
      <c r="BF122" s="205">
        <f t="shared" si="51"/>
        <v>652700</v>
      </c>
      <c r="BG122" s="786">
        <f t="shared" si="53"/>
        <v>8</v>
      </c>
      <c r="BH122" s="786">
        <f t="shared" si="54"/>
        <v>81587.5</v>
      </c>
    </row>
    <row r="123" spans="1:61" s="233" customFormat="1">
      <c r="A123" s="287">
        <v>6</v>
      </c>
      <c r="B123" s="231" t="s">
        <v>349</v>
      </c>
      <c r="C123" s="770" t="s">
        <v>61</v>
      </c>
      <c r="D123" s="364">
        <v>50</v>
      </c>
      <c r="E123" s="230">
        <v>1401</v>
      </c>
      <c r="F123" s="100">
        <f>SUMIF(pro!$A:$A,INTGRATE!$Y:$Y,pro!$N:$N)</f>
        <v>0</v>
      </c>
      <c r="G123" s="230"/>
      <c r="H123" s="314">
        <f>SUMIF(CBIN!$A:$A,INTGRATE!$Y:$Y,CBIN!$G:$G)</f>
        <v>0</v>
      </c>
      <c r="I123" s="230">
        <f>SUMIF(data!$D:$D,INTGRATE!$B123&amp;INTGRATE!$D123,data!$J:$J)</f>
        <v>0</v>
      </c>
      <c r="J123" s="230"/>
      <c r="K123" s="230"/>
      <c r="L123" s="230">
        <f>SUMIF(data!$D:$D,INTGRATE!$B123&amp;INTGRATE!$D123,data!$K:$K)</f>
        <v>0</v>
      </c>
      <c r="M123" s="314">
        <f>SUMIF(AJOUT!$A:$A,INTGRATE!$Y:$Y,AJOUT!$L:$L)</f>
        <v>0</v>
      </c>
      <c r="N123" s="100">
        <f>SUMIF(CBOUT!$A:$A,INTGRATE!$Y:$Y,CBOUT!$G:$G)</f>
        <v>0</v>
      </c>
      <c r="O123" s="482">
        <f>E123+F123+H123-I123-N123+G123-M123</f>
        <v>1401</v>
      </c>
      <c r="P123" s="230">
        <f>O123*D123</f>
        <v>70050</v>
      </c>
      <c r="Q123" s="230">
        <f>SUM(AA123:BE123)</f>
        <v>179700</v>
      </c>
      <c r="R123" s="314"/>
      <c r="S123" s="205"/>
      <c r="T123" s="230">
        <f t="shared" si="48"/>
        <v>19966.666666666668</v>
      </c>
      <c r="U123" s="875">
        <f>IF(T123=0,0,P123/T123)</f>
        <v>3.508347245409015</v>
      </c>
      <c r="V123" s="876"/>
      <c r="W123" s="527"/>
      <c r="X123" s="232"/>
      <c r="Y123" s="861" t="str">
        <f t="shared" si="50"/>
        <v>550SFS2550</v>
      </c>
      <c r="Z123" s="822">
        <v>31210825</v>
      </c>
      <c r="AA123" s="230"/>
      <c r="AB123" s="314">
        <v>0</v>
      </c>
      <c r="AC123" s="314">
        <v>42500</v>
      </c>
      <c r="AD123" s="314">
        <v>49150</v>
      </c>
      <c r="AE123" s="314">
        <v>35200</v>
      </c>
      <c r="AF123" s="314">
        <v>3500</v>
      </c>
      <c r="AG123" s="314">
        <v>22000</v>
      </c>
      <c r="AH123" s="314">
        <v>7850</v>
      </c>
      <c r="AI123" s="314">
        <v>19500</v>
      </c>
      <c r="AJ123" s="314"/>
      <c r="AK123" s="314"/>
      <c r="AL123" s="314"/>
      <c r="AM123" s="314"/>
      <c r="AN123" s="230"/>
      <c r="AO123" s="314"/>
      <c r="AP123" s="314"/>
      <c r="AQ123" s="230"/>
      <c r="AR123" s="314"/>
      <c r="AS123" s="314"/>
      <c r="AT123" s="314"/>
      <c r="AU123" s="314"/>
      <c r="AV123" s="314"/>
      <c r="AW123" s="314"/>
      <c r="AX123" s="314"/>
      <c r="AY123" s="314"/>
      <c r="AZ123" s="314"/>
      <c r="BA123" s="314"/>
      <c r="BB123" s="314"/>
      <c r="BC123" s="314"/>
      <c r="BD123" s="314"/>
      <c r="BE123" s="314"/>
      <c r="BF123" s="205">
        <f t="shared" si="51"/>
        <v>179700</v>
      </c>
      <c r="BG123" s="786">
        <f t="shared" si="53"/>
        <v>7</v>
      </c>
      <c r="BH123" s="786">
        <f t="shared" si="54"/>
        <v>25671.428571428572</v>
      </c>
    </row>
    <row r="124" spans="1:61" s="233" customFormat="1">
      <c r="A124" s="287">
        <v>7</v>
      </c>
      <c r="B124" s="231" t="s">
        <v>350</v>
      </c>
      <c r="C124" s="770" t="s">
        <v>61</v>
      </c>
      <c r="D124" s="548">
        <v>25</v>
      </c>
      <c r="E124" s="230">
        <v>0</v>
      </c>
      <c r="F124" s="100">
        <f>SUMIF(pro!$A:$A,INTGRATE!$Y:$Y,pro!$N:$N)</f>
        <v>0</v>
      </c>
      <c r="G124" s="230"/>
      <c r="H124" s="314">
        <f>SUMIF(CBIN!$A:$A,INTGRATE!$Y:$Y,CBIN!$G:$G)</f>
        <v>0</v>
      </c>
      <c r="I124" s="230">
        <f>SUMIF(data!$D:$D,INTGRATE!$B124&amp;INTGRATE!$D124,data!$J:$J)</f>
        <v>0</v>
      </c>
      <c r="J124" s="230"/>
      <c r="K124" s="230"/>
      <c r="L124" s="230">
        <f>SUMIF(data!$D:$D,INTGRATE!$B124&amp;INTGRATE!$D124,data!$K:$K)</f>
        <v>0</v>
      </c>
      <c r="M124" s="314">
        <f>SUMIF(AJOUT!$A:$A,INTGRATE!$Y:$Y,AJOUT!$L:$L)</f>
        <v>0</v>
      </c>
      <c r="N124" s="100">
        <f>SUMIF(CBOUT!$A:$A,INTGRATE!$Y:$Y,CBOUT!$G:$G)</f>
        <v>0</v>
      </c>
      <c r="O124" s="482">
        <f t="shared" si="52"/>
        <v>0</v>
      </c>
      <c r="P124" s="230">
        <f t="shared" si="46"/>
        <v>0</v>
      </c>
      <c r="Q124" s="230">
        <f t="shared" si="47"/>
        <v>0</v>
      </c>
      <c r="R124" s="314"/>
      <c r="S124" s="205"/>
      <c r="T124" s="230">
        <f t="shared" si="48"/>
        <v>0</v>
      </c>
      <c r="U124" s="875">
        <f t="shared" si="49"/>
        <v>0</v>
      </c>
      <c r="V124" s="876"/>
      <c r="W124" s="345"/>
      <c r="X124" s="232"/>
      <c r="Y124" s="861" t="str">
        <f t="shared" si="50"/>
        <v>550S FS8725</v>
      </c>
      <c r="Z124" s="822">
        <v>31210887</v>
      </c>
      <c r="AA124" s="230"/>
      <c r="AB124" s="314">
        <v>0</v>
      </c>
      <c r="AC124" s="314">
        <v>0</v>
      </c>
      <c r="AD124" s="314">
        <v>0</v>
      </c>
      <c r="AE124" s="314">
        <v>0</v>
      </c>
      <c r="AF124" s="314">
        <v>0</v>
      </c>
      <c r="AG124" s="314">
        <v>0</v>
      </c>
      <c r="AH124" s="314">
        <v>0</v>
      </c>
      <c r="AI124" s="314">
        <v>0</v>
      </c>
      <c r="AJ124" s="314"/>
      <c r="AK124" s="314"/>
      <c r="AL124" s="314"/>
      <c r="AM124" s="314"/>
      <c r="AN124" s="230"/>
      <c r="AO124" s="314"/>
      <c r="AP124" s="314"/>
      <c r="AQ124" s="230"/>
      <c r="AR124" s="314"/>
      <c r="AS124" s="314"/>
      <c r="AT124" s="314"/>
      <c r="AU124" s="314"/>
      <c r="AV124" s="314"/>
      <c r="AW124" s="314"/>
      <c r="AX124" s="314"/>
      <c r="AY124" s="314"/>
      <c r="AZ124" s="314"/>
      <c r="BA124" s="314"/>
      <c r="BB124" s="314"/>
      <c r="BC124" s="314"/>
      <c r="BD124" s="314"/>
      <c r="BE124" s="314"/>
      <c r="BF124" s="205">
        <f t="shared" si="51"/>
        <v>0</v>
      </c>
      <c r="BG124" s="786">
        <f t="shared" si="53"/>
        <v>0</v>
      </c>
      <c r="BH124" s="786">
        <f t="shared" si="54"/>
        <v>0</v>
      </c>
    </row>
    <row r="125" spans="1:61" s="233" customFormat="1" ht="14.25" customHeight="1">
      <c r="A125" s="287">
        <v>8</v>
      </c>
      <c r="B125" s="231" t="s">
        <v>351</v>
      </c>
      <c r="C125" s="344" t="s">
        <v>55</v>
      </c>
      <c r="D125" s="769">
        <v>10</v>
      </c>
      <c r="E125" s="230">
        <v>0</v>
      </c>
      <c r="F125" s="100">
        <f>SUMIF(pro!$A:$A,INTGRATE!$Y:$Y,pro!$N:$N)</f>
        <v>0</v>
      </c>
      <c r="G125" s="230"/>
      <c r="H125" s="314">
        <f>SUMIF(CBIN!$A:$A,INTGRATE!$Y:$Y,CBIN!$G:$G)</f>
        <v>0</v>
      </c>
      <c r="I125" s="230">
        <f>SUMIF(data!$D:$D,INTGRATE!$B125&amp;INTGRATE!$D125,data!$J:$J)</f>
        <v>0</v>
      </c>
      <c r="J125" s="230"/>
      <c r="K125" s="230"/>
      <c r="L125" s="230">
        <f>SUMIF(data!$D:$D,INTGRATE!$B125&amp;INTGRATE!$D125,data!$K:$K)</f>
        <v>0</v>
      </c>
      <c r="M125" s="314">
        <f>SUMIF(AJOUT!$A:$A,INTGRATE!$Y:$Y,AJOUT!$L:$L)</f>
        <v>0</v>
      </c>
      <c r="N125" s="100">
        <f>SUMIF(CBOUT!$A:$A,INTGRATE!$Y:$Y,CBOUT!$G:$G)</f>
        <v>0</v>
      </c>
      <c r="O125" s="482">
        <f t="shared" si="52"/>
        <v>0</v>
      </c>
      <c r="P125" s="230">
        <f t="shared" si="46"/>
        <v>0</v>
      </c>
      <c r="Q125" s="230">
        <f t="shared" si="47"/>
        <v>0</v>
      </c>
      <c r="R125" s="543"/>
      <c r="S125" s="543"/>
      <c r="T125" s="230">
        <f t="shared" si="48"/>
        <v>0</v>
      </c>
      <c r="U125" s="875">
        <f t="shared" si="49"/>
        <v>0</v>
      </c>
      <c r="V125" s="876"/>
      <c r="W125" s="345"/>
      <c r="X125" s="232"/>
      <c r="Y125" s="861" t="str">
        <f t="shared" si="50"/>
        <v>550PFS4610</v>
      </c>
      <c r="Z125" s="822">
        <v>0</v>
      </c>
      <c r="AA125" s="230"/>
      <c r="AB125" s="314">
        <v>0</v>
      </c>
      <c r="AC125" s="314">
        <v>0</v>
      </c>
      <c r="AD125" s="314">
        <v>0</v>
      </c>
      <c r="AE125" s="314">
        <v>0</v>
      </c>
      <c r="AF125" s="314">
        <v>0</v>
      </c>
      <c r="AG125" s="314">
        <v>0</v>
      </c>
      <c r="AH125" s="314">
        <v>0</v>
      </c>
      <c r="AI125" s="314">
        <v>0</v>
      </c>
      <c r="AJ125" s="314"/>
      <c r="AK125" s="314"/>
      <c r="AL125" s="314"/>
      <c r="AM125" s="314"/>
      <c r="AN125" s="230"/>
      <c r="AO125" s="314"/>
      <c r="AP125" s="314"/>
      <c r="AQ125" s="230"/>
      <c r="AR125" s="314"/>
      <c r="AS125" s="314"/>
      <c r="AT125" s="314"/>
      <c r="AU125" s="314"/>
      <c r="AV125" s="314"/>
      <c r="AW125" s="314"/>
      <c r="AX125" s="314"/>
      <c r="AY125" s="314"/>
      <c r="AZ125" s="314"/>
      <c r="BA125" s="314"/>
      <c r="BB125" s="314"/>
      <c r="BC125" s="314"/>
      <c r="BD125" s="314"/>
      <c r="BE125" s="314"/>
      <c r="BF125" s="205">
        <f t="shared" si="51"/>
        <v>0</v>
      </c>
      <c r="BG125" s="786">
        <f t="shared" si="53"/>
        <v>0</v>
      </c>
      <c r="BH125" s="786">
        <f t="shared" si="54"/>
        <v>0</v>
      </c>
      <c r="BI125" s="363"/>
    </row>
    <row r="126" spans="1:61" s="233" customFormat="1">
      <c r="A126" s="287">
        <v>9</v>
      </c>
      <c r="B126" s="231" t="s">
        <v>352</v>
      </c>
      <c r="C126" s="344" t="s">
        <v>55</v>
      </c>
      <c r="D126" s="769">
        <v>10</v>
      </c>
      <c r="E126" s="230">
        <v>0</v>
      </c>
      <c r="F126" s="100">
        <f>SUMIF(pro!$A:$A,INTGRATE!$Y:$Y,pro!$N:$N)</f>
        <v>0</v>
      </c>
      <c r="G126" s="230"/>
      <c r="H126" s="314">
        <f>SUMIF(CBIN!$A:$A,INTGRATE!$Y:$Y,CBIN!$G:$G)</f>
        <v>0</v>
      </c>
      <c r="I126" s="230">
        <f>SUMIF(data!$D:$D,INTGRATE!$B126&amp;INTGRATE!$D126,data!$J:$J)</f>
        <v>0</v>
      </c>
      <c r="J126" s="230"/>
      <c r="K126" s="230"/>
      <c r="L126" s="230">
        <f>SUMIF(data!$D:$D,INTGRATE!$B126&amp;INTGRATE!$D126,data!$K:$K)</f>
        <v>0</v>
      </c>
      <c r="M126" s="314">
        <f>SUMIF(AJOUT!$A:$A,INTGRATE!$Y:$Y,AJOUT!$L:$L)</f>
        <v>0</v>
      </c>
      <c r="N126" s="100">
        <f>SUMIF(CBOUT!$A:$A,INTGRATE!$Y:$Y,CBOUT!$G:$G)</f>
        <v>0</v>
      </c>
      <c r="O126" s="482">
        <f>E126+F126+H126-I126-N126+G126-M126</f>
        <v>0</v>
      </c>
      <c r="P126" s="230">
        <f>O126*D126</f>
        <v>0</v>
      </c>
      <c r="Q126" s="230">
        <f>SUM(AA126:BE126)</f>
        <v>0</v>
      </c>
      <c r="R126" s="543"/>
      <c r="S126" s="543"/>
      <c r="T126" s="230">
        <f t="shared" si="48"/>
        <v>0</v>
      </c>
      <c r="U126" s="875">
        <f>IF(T126=0,0,P126/T126)</f>
        <v>0</v>
      </c>
      <c r="V126" s="876"/>
      <c r="W126" s="345"/>
      <c r="X126" s="232"/>
      <c r="Y126" s="861" t="str">
        <f t="shared" si="50"/>
        <v>550PFS8810</v>
      </c>
      <c r="Z126" s="822"/>
      <c r="AA126" s="230"/>
      <c r="AB126" s="314">
        <v>0</v>
      </c>
      <c r="AC126" s="314">
        <v>0</v>
      </c>
      <c r="AD126" s="314">
        <v>0</v>
      </c>
      <c r="AE126" s="314">
        <v>0</v>
      </c>
      <c r="AF126" s="314">
        <v>0</v>
      </c>
      <c r="AG126" s="314">
        <v>0</v>
      </c>
      <c r="AH126" s="314">
        <v>0</v>
      </c>
      <c r="AI126" s="314">
        <v>0</v>
      </c>
      <c r="AJ126" s="314"/>
      <c r="AK126" s="314"/>
      <c r="AL126" s="314"/>
      <c r="AM126" s="314"/>
      <c r="AN126" s="230"/>
      <c r="AO126" s="314"/>
      <c r="AP126" s="314"/>
      <c r="AQ126" s="230"/>
      <c r="AR126" s="314"/>
      <c r="AS126" s="314"/>
      <c r="AT126" s="314"/>
      <c r="AU126" s="314"/>
      <c r="AV126" s="314"/>
      <c r="AW126" s="314"/>
      <c r="AX126" s="314"/>
      <c r="AY126" s="314"/>
      <c r="AZ126" s="314"/>
      <c r="BA126" s="314"/>
      <c r="BB126" s="314"/>
      <c r="BC126" s="314"/>
      <c r="BD126" s="314"/>
      <c r="BE126" s="314"/>
      <c r="BF126" s="205">
        <f t="shared" si="51"/>
        <v>0</v>
      </c>
      <c r="BG126" s="786">
        <f t="shared" si="53"/>
        <v>0</v>
      </c>
      <c r="BH126" s="786">
        <f t="shared" si="54"/>
        <v>0</v>
      </c>
      <c r="BI126" s="363"/>
    </row>
    <row r="127" spans="1:61" s="233" customFormat="1">
      <c r="A127" s="287">
        <v>10</v>
      </c>
      <c r="B127" s="231" t="s">
        <v>353</v>
      </c>
      <c r="C127" s="344" t="s">
        <v>55</v>
      </c>
      <c r="D127" s="769">
        <v>10</v>
      </c>
      <c r="E127" s="230">
        <v>0</v>
      </c>
      <c r="F127" s="100">
        <f>SUMIF(pro!$A:$A,INTGRATE!$Y:$Y,pro!$N:$N)</f>
        <v>0</v>
      </c>
      <c r="G127" s="230"/>
      <c r="H127" s="314">
        <f>SUMIF(CBIN!$A:$A,INTGRATE!$Y:$Y,CBIN!$G:$G)</f>
        <v>0</v>
      </c>
      <c r="I127" s="230">
        <f>SUMIF(data!$D:$D,INTGRATE!$B127&amp;INTGRATE!$D127,data!$J:$J)</f>
        <v>0</v>
      </c>
      <c r="J127" s="230"/>
      <c r="K127" s="230"/>
      <c r="L127" s="230">
        <f>SUMIF(data!$D:$D,INTGRATE!$B127&amp;INTGRATE!$D127,data!$K:$K)</f>
        <v>0</v>
      </c>
      <c r="M127" s="314">
        <f>SUMIF(AJOUT!$A:$A,INTGRATE!$Y:$Y,AJOUT!$L:$L)</f>
        <v>0</v>
      </c>
      <c r="N127" s="100">
        <f>SUMIF(CBOUT!$A:$A,INTGRATE!$Y:$Y,CBOUT!$G:$G)</f>
        <v>0</v>
      </c>
      <c r="O127" s="482">
        <f>E127+F127+H127-I127-N127+G127-M127</f>
        <v>0</v>
      </c>
      <c r="P127" s="230">
        <f>O127*D127</f>
        <v>0</v>
      </c>
      <c r="Q127" s="230">
        <f t="shared" si="47"/>
        <v>0</v>
      </c>
      <c r="R127" s="543" t="s">
        <v>354</v>
      </c>
      <c r="S127" s="543" t="s">
        <v>355</v>
      </c>
      <c r="T127" s="230">
        <f t="shared" si="48"/>
        <v>0</v>
      </c>
      <c r="U127" s="875">
        <f t="shared" si="49"/>
        <v>0</v>
      </c>
      <c r="V127" s="876"/>
      <c r="W127" s="345"/>
      <c r="X127" s="232"/>
      <c r="Y127" s="861" t="str">
        <f t="shared" si="50"/>
        <v>550PFS8710</v>
      </c>
      <c r="Z127" s="822"/>
      <c r="AA127" s="230"/>
      <c r="AB127" s="314">
        <v>0</v>
      </c>
      <c r="AC127" s="314">
        <v>0</v>
      </c>
      <c r="AD127" s="314">
        <v>0</v>
      </c>
      <c r="AE127" s="314">
        <v>0</v>
      </c>
      <c r="AF127" s="314">
        <v>0</v>
      </c>
      <c r="AG127" s="314">
        <v>0</v>
      </c>
      <c r="AH127" s="314">
        <v>0</v>
      </c>
      <c r="AI127" s="314">
        <v>0</v>
      </c>
      <c r="AJ127" s="314"/>
      <c r="AK127" s="314"/>
      <c r="AL127" s="314"/>
      <c r="AM127" s="314"/>
      <c r="AN127" s="230"/>
      <c r="AO127" s="314"/>
      <c r="AP127" s="314"/>
      <c r="AQ127" s="230"/>
      <c r="AR127" s="314"/>
      <c r="AS127" s="314"/>
      <c r="AT127" s="314"/>
      <c r="AU127" s="314"/>
      <c r="AV127" s="314"/>
      <c r="AW127" s="314"/>
      <c r="AX127" s="314"/>
      <c r="AY127" s="314"/>
      <c r="AZ127" s="314"/>
      <c r="BA127" s="314"/>
      <c r="BB127" s="314"/>
      <c r="BC127" s="314"/>
      <c r="BD127" s="314"/>
      <c r="BE127" s="314"/>
      <c r="BF127" s="205">
        <f t="shared" si="51"/>
        <v>0</v>
      </c>
      <c r="BG127" s="786">
        <f t="shared" si="53"/>
        <v>0</v>
      </c>
      <c r="BH127" s="786">
        <f t="shared" si="54"/>
        <v>0</v>
      </c>
      <c r="BI127" s="363"/>
    </row>
    <row r="128" spans="1:61">
      <c r="A128" s="287">
        <v>11</v>
      </c>
      <c r="B128" s="231" t="s">
        <v>356</v>
      </c>
      <c r="C128" s="770" t="s">
        <v>64</v>
      </c>
      <c r="D128" s="546">
        <v>50</v>
      </c>
      <c r="E128" s="230">
        <v>0</v>
      </c>
      <c r="F128" s="100">
        <f>SUMIF(pro!$A:$A,INTGRATE!$Y:$Y,pro!$N:$N)</f>
        <v>0</v>
      </c>
      <c r="G128" s="230"/>
      <c r="H128" s="314">
        <f>SUMIF(CBIN!$A:$A,INTGRATE!$Y:$Y,CBIN!$G:$G)</f>
        <v>0</v>
      </c>
      <c r="I128" s="230">
        <f>SUMIF(data!$D:$D,INTGRATE!$B128&amp;INTGRATE!$D128,data!$J:$J)</f>
        <v>0</v>
      </c>
      <c r="J128" s="230"/>
      <c r="K128" s="230"/>
      <c r="L128" s="230">
        <f>SUMIF(data!$D:$D,INTGRATE!$B128&amp;INTGRATE!$D128,data!$K:$K)</f>
        <v>0</v>
      </c>
      <c r="M128" s="314">
        <f>SUMIF(AJOUT!$A:$A,INTGRATE!$Y:$Y,AJOUT!$L:$L)</f>
        <v>0</v>
      </c>
      <c r="N128" s="100">
        <f>SUMIF(CBOUT!$A:$A,INTGRATE!$Y:$Y,CBOUT!$G:$G)</f>
        <v>0</v>
      </c>
      <c r="O128" s="482">
        <f t="shared" si="52"/>
        <v>0</v>
      </c>
      <c r="P128" s="230">
        <f t="shared" si="46"/>
        <v>0</v>
      </c>
      <c r="Q128" s="230">
        <f t="shared" si="47"/>
        <v>0</v>
      </c>
      <c r="R128" s="314">
        <f>SUM(P118,P125:P127)</f>
        <v>88490</v>
      </c>
      <c r="S128" s="314">
        <f>SUM(Q118,Q125:Q127)</f>
        <v>88900</v>
      </c>
      <c r="T128" s="230">
        <f t="shared" si="48"/>
        <v>0</v>
      </c>
      <c r="U128" s="875">
        <f t="shared" si="49"/>
        <v>0</v>
      </c>
      <c r="V128" s="876"/>
      <c r="W128" s="345"/>
      <c r="X128" s="232"/>
      <c r="Y128" s="862" t="str">
        <f t="shared" si="50"/>
        <v>551F50</v>
      </c>
      <c r="Z128" s="822" t="s">
        <v>357</v>
      </c>
      <c r="AA128" s="230"/>
      <c r="AB128" s="314">
        <v>0</v>
      </c>
      <c r="AC128" s="314">
        <v>0</v>
      </c>
      <c r="AD128" s="314">
        <v>0</v>
      </c>
      <c r="AE128" s="314">
        <v>0</v>
      </c>
      <c r="AF128" s="314">
        <v>0</v>
      </c>
      <c r="AG128" s="314">
        <v>0</v>
      </c>
      <c r="AH128" s="314">
        <v>0</v>
      </c>
      <c r="AI128" s="314">
        <v>0</v>
      </c>
      <c r="AJ128" s="314"/>
      <c r="AK128" s="314"/>
      <c r="AL128" s="314"/>
      <c r="AM128" s="314"/>
      <c r="AN128" s="230"/>
      <c r="AO128" s="314"/>
      <c r="AP128" s="314"/>
      <c r="AQ128" s="230"/>
      <c r="AR128" s="314"/>
      <c r="AS128" s="314"/>
      <c r="AT128" s="314"/>
      <c r="AU128" s="314"/>
      <c r="AV128" s="314"/>
      <c r="AW128" s="314"/>
      <c r="AX128" s="314"/>
      <c r="AY128" s="314"/>
      <c r="AZ128" s="314"/>
      <c r="BA128" s="314"/>
      <c r="BB128" s="314"/>
      <c r="BC128" s="314"/>
      <c r="BD128" s="314"/>
      <c r="BE128" s="314"/>
      <c r="BF128" s="205">
        <f t="shared" si="51"/>
        <v>0</v>
      </c>
      <c r="BG128" s="786">
        <f t="shared" si="53"/>
        <v>0</v>
      </c>
      <c r="BH128" s="786">
        <f t="shared" si="54"/>
        <v>0</v>
      </c>
      <c r="BI128" s="197"/>
    </row>
    <row r="129" spans="1:62">
      <c r="A129" s="287">
        <v>12</v>
      </c>
      <c r="B129" s="231" t="s">
        <v>358</v>
      </c>
      <c r="C129" s="770" t="s">
        <v>64</v>
      </c>
      <c r="D129" s="548">
        <v>50</v>
      </c>
      <c r="E129" s="230">
        <v>884</v>
      </c>
      <c r="F129" s="100">
        <f>SUMIF(pro!$A:$A,INTGRATE!$Y:$Y,pro!$N:$N)</f>
        <v>0</v>
      </c>
      <c r="G129" s="230"/>
      <c r="H129" s="314">
        <f>SUMIF(CBIN!$A:$A,INTGRATE!$Y:$Y,CBIN!$G:$G)</f>
        <v>0</v>
      </c>
      <c r="I129" s="230">
        <f>SUMIF(data!$D:$D,INTGRATE!$B129&amp;INTGRATE!$D129,data!$J:$J)</f>
        <v>0</v>
      </c>
      <c r="J129" s="230"/>
      <c r="K129" s="230"/>
      <c r="L129" s="230">
        <f>SUMIF(data!$D:$D,INTGRATE!$B129&amp;INTGRATE!$D129,data!$K:$K)</f>
        <v>0</v>
      </c>
      <c r="M129" s="314">
        <f>SUMIF(AJOUT!$A:$A,INTGRATE!$Y:$Y,AJOUT!$L:$L)</f>
        <v>0</v>
      </c>
      <c r="N129" s="100">
        <f>SUMIF(CBOUT!$A:$A,INTGRATE!$Y:$Y,CBOUT!$G:$G)</f>
        <v>0</v>
      </c>
      <c r="O129" s="482">
        <f t="shared" si="52"/>
        <v>884</v>
      </c>
      <c r="P129" s="230">
        <f t="shared" si="46"/>
        <v>44200</v>
      </c>
      <c r="Q129" s="230">
        <f t="shared" si="47"/>
        <v>157000</v>
      </c>
      <c r="R129" s="314"/>
      <c r="S129" s="314"/>
      <c r="T129" s="230">
        <f t="shared" si="48"/>
        <v>17444.444444444445</v>
      </c>
      <c r="U129" s="875">
        <f t="shared" si="49"/>
        <v>2.5337579617834396</v>
      </c>
      <c r="V129" s="876"/>
      <c r="W129" s="345"/>
      <c r="X129" s="232"/>
      <c r="Y129" s="862" t="str">
        <f t="shared" si="50"/>
        <v>551FS3150</v>
      </c>
      <c r="Z129" s="822">
        <v>31410831</v>
      </c>
      <c r="AA129" s="230"/>
      <c r="AB129" s="314">
        <v>38850</v>
      </c>
      <c r="AC129" s="314">
        <v>0</v>
      </c>
      <c r="AD129" s="314">
        <v>27000</v>
      </c>
      <c r="AE129" s="314">
        <v>24500</v>
      </c>
      <c r="AF129" s="314">
        <v>30400</v>
      </c>
      <c r="AG129" s="314">
        <v>0</v>
      </c>
      <c r="AH129" s="314">
        <v>19400</v>
      </c>
      <c r="AI129" s="314">
        <v>16850</v>
      </c>
      <c r="AJ129" s="314"/>
      <c r="AK129" s="314"/>
      <c r="AL129" s="314"/>
      <c r="AM129" s="314"/>
      <c r="AN129" s="230"/>
      <c r="AO129" s="314"/>
      <c r="AP129" s="314"/>
      <c r="AQ129" s="230"/>
      <c r="AR129" s="314"/>
      <c r="AS129" s="314"/>
      <c r="AT129" s="314"/>
      <c r="AU129" s="314"/>
      <c r="AV129" s="314"/>
      <c r="AW129" s="314"/>
      <c r="AX129" s="314"/>
      <c r="AY129" s="314"/>
      <c r="AZ129" s="314"/>
      <c r="BA129" s="314"/>
      <c r="BB129" s="314"/>
      <c r="BC129" s="314"/>
      <c r="BD129" s="314"/>
      <c r="BE129" s="314"/>
      <c r="BF129" s="205">
        <f t="shared" si="51"/>
        <v>157000</v>
      </c>
      <c r="BG129" s="786">
        <f t="shared" si="53"/>
        <v>6</v>
      </c>
      <c r="BH129" s="786">
        <f t="shared" si="54"/>
        <v>26166.666666666668</v>
      </c>
      <c r="BI129" s="197"/>
    </row>
    <row r="130" spans="1:62">
      <c r="A130" s="287">
        <v>13</v>
      </c>
      <c r="B130" s="231" t="s">
        <v>359</v>
      </c>
      <c r="C130" s="770" t="s">
        <v>64</v>
      </c>
      <c r="D130" s="546">
        <v>50</v>
      </c>
      <c r="E130" s="230">
        <v>0</v>
      </c>
      <c r="F130" s="100">
        <f>SUMIF(pro!$A:$A,INTGRATE!$Y:$Y,pro!$N:$N)</f>
        <v>0</v>
      </c>
      <c r="G130" s="230"/>
      <c r="H130" s="314">
        <f>SUMIF(CBIN!$A:$A,INTGRATE!$Y:$Y,CBIN!$G:$G)</f>
        <v>0</v>
      </c>
      <c r="I130" s="230">
        <f>SUMIF(data!$D:$D,INTGRATE!$B130&amp;INTGRATE!$D130,data!$J:$J)</f>
        <v>0</v>
      </c>
      <c r="J130" s="230"/>
      <c r="K130" s="230"/>
      <c r="L130" s="230">
        <f>SUMIF(data!$D:$D,INTGRATE!$B130&amp;INTGRATE!$D130,data!$K:$K)</f>
        <v>0</v>
      </c>
      <c r="M130" s="314">
        <f>SUMIF(AJOUT!$A:$A,INTGRATE!$Y:$Y,AJOUT!$L:$L)</f>
        <v>0</v>
      </c>
      <c r="N130" s="100">
        <f>SUMIF(CBOUT!$A:$A,INTGRATE!$Y:$Y,CBOUT!$G:$G)</f>
        <v>0</v>
      </c>
      <c r="O130" s="482">
        <f t="shared" si="52"/>
        <v>0</v>
      </c>
      <c r="P130" s="230">
        <f t="shared" si="46"/>
        <v>0</v>
      </c>
      <c r="Q130" s="230">
        <f t="shared" si="47"/>
        <v>32600</v>
      </c>
      <c r="R130" s="543" t="s">
        <v>360</v>
      </c>
      <c r="S130" s="543" t="s">
        <v>361</v>
      </c>
      <c r="T130" s="230">
        <f t="shared" si="48"/>
        <v>3622.2222222222222</v>
      </c>
      <c r="U130" s="875">
        <f t="shared" si="49"/>
        <v>0</v>
      </c>
      <c r="V130" s="876"/>
      <c r="W130" s="93"/>
      <c r="X130" s="232"/>
      <c r="Y130" s="862" t="str">
        <f t="shared" si="50"/>
        <v>551FS2550</v>
      </c>
      <c r="Z130" s="822">
        <v>31410825</v>
      </c>
      <c r="AA130" s="230"/>
      <c r="AB130" s="314">
        <v>0</v>
      </c>
      <c r="AC130" s="314">
        <v>5000</v>
      </c>
      <c r="AD130" s="314">
        <v>10000</v>
      </c>
      <c r="AE130" s="314">
        <v>0</v>
      </c>
      <c r="AF130" s="314">
        <v>2250</v>
      </c>
      <c r="AG130" s="314">
        <v>15350</v>
      </c>
      <c r="AH130" s="314">
        <v>0</v>
      </c>
      <c r="AI130" s="314">
        <v>0</v>
      </c>
      <c r="AJ130" s="314"/>
      <c r="AK130" s="314"/>
      <c r="AL130" s="314"/>
      <c r="AM130" s="314"/>
      <c r="AN130" s="230"/>
      <c r="AO130" s="314"/>
      <c r="AP130" s="314"/>
      <c r="AQ130" s="230"/>
      <c r="AR130" s="314"/>
      <c r="AS130" s="314"/>
      <c r="AT130" s="314"/>
      <c r="AU130" s="314"/>
      <c r="AV130" s="314"/>
      <c r="AW130" s="314"/>
      <c r="AX130" s="314"/>
      <c r="AY130" s="314"/>
      <c r="AZ130" s="314"/>
      <c r="BA130" s="314"/>
      <c r="BB130" s="314"/>
      <c r="BC130" s="314"/>
      <c r="BD130" s="314"/>
      <c r="BE130" s="314"/>
      <c r="BF130" s="205">
        <f t="shared" si="51"/>
        <v>32600</v>
      </c>
      <c r="BG130" s="786">
        <f t="shared" si="53"/>
        <v>4</v>
      </c>
      <c r="BH130" s="786">
        <f t="shared" si="54"/>
        <v>8150</v>
      </c>
      <c r="BI130" s="197"/>
    </row>
    <row r="131" spans="1:62">
      <c r="A131" s="287">
        <v>14</v>
      </c>
      <c r="B131" s="231" t="s">
        <v>362</v>
      </c>
      <c r="C131" s="770" t="s">
        <v>64</v>
      </c>
      <c r="D131" s="546">
        <v>50</v>
      </c>
      <c r="E131" s="230">
        <v>0</v>
      </c>
      <c r="F131" s="100">
        <f>SUMIF(pro!$A:$A,INTGRATE!$Y:$Y,pro!$N:$N)</f>
        <v>0</v>
      </c>
      <c r="G131" s="230"/>
      <c r="H131" s="314">
        <f>SUMIF(CBIN!$A:$A,INTGRATE!$Y:$Y,CBIN!$G:$G)</f>
        <v>0</v>
      </c>
      <c r="I131" s="230">
        <f>SUMIF(data!$D:$D,INTGRATE!$B131&amp;INTGRATE!$D131,data!$J:$J)</f>
        <v>0</v>
      </c>
      <c r="J131" s="230"/>
      <c r="K131" s="230"/>
      <c r="L131" s="230">
        <f>SUMIF(data!$D:$D,INTGRATE!$B131&amp;INTGRATE!$D131,data!$K:$K)</f>
        <v>0</v>
      </c>
      <c r="M131" s="314">
        <f>SUMIF(AJOUT!$A:$A,INTGRATE!$Y:$Y,AJOUT!$L:$L)</f>
        <v>0</v>
      </c>
      <c r="N131" s="100">
        <f>SUMIF(CBOUT!$A:$A,INTGRATE!$Y:$Y,CBOUT!$G:$G)</f>
        <v>0</v>
      </c>
      <c r="O131" s="482">
        <f t="shared" si="52"/>
        <v>0</v>
      </c>
      <c r="P131" s="230">
        <f t="shared" si="46"/>
        <v>0</v>
      </c>
      <c r="Q131" s="230">
        <f t="shared" si="47"/>
        <v>0</v>
      </c>
      <c r="R131" s="314">
        <f>SUM(P119:P124,P159,P196:P206)</f>
        <v>460550</v>
      </c>
      <c r="S131" s="314">
        <f>SUM(Q119:Q124,Q159,Q196:Q206)</f>
        <v>1055190</v>
      </c>
      <c r="T131" s="230">
        <f t="shared" si="48"/>
        <v>0</v>
      </c>
      <c r="U131" s="875">
        <f t="shared" si="49"/>
        <v>0</v>
      </c>
      <c r="V131" s="876"/>
      <c r="W131" s="93"/>
      <c r="X131" s="232"/>
      <c r="Y131" s="862" t="str">
        <f t="shared" si="50"/>
        <v>551FS4450</v>
      </c>
      <c r="Z131" s="822">
        <v>31410844</v>
      </c>
      <c r="AA131" s="230"/>
      <c r="AB131" s="314">
        <v>0</v>
      </c>
      <c r="AC131" s="314">
        <v>0</v>
      </c>
      <c r="AD131" s="314">
        <v>0</v>
      </c>
      <c r="AE131" s="314">
        <v>0</v>
      </c>
      <c r="AF131" s="314">
        <v>0</v>
      </c>
      <c r="AG131" s="314">
        <v>0</v>
      </c>
      <c r="AH131" s="314">
        <v>0</v>
      </c>
      <c r="AI131" s="314">
        <v>0</v>
      </c>
      <c r="AJ131" s="314"/>
      <c r="AK131" s="314"/>
      <c r="AL131" s="314"/>
      <c r="AM131" s="314"/>
      <c r="AN131" s="230"/>
      <c r="AO131" s="314"/>
      <c r="AP131" s="314"/>
      <c r="AQ131" s="230"/>
      <c r="AR131" s="314"/>
      <c r="AS131" s="314"/>
      <c r="AT131" s="314"/>
      <c r="AU131" s="314"/>
      <c r="AV131" s="314"/>
      <c r="AW131" s="314"/>
      <c r="AX131" s="314"/>
      <c r="AY131" s="314"/>
      <c r="AZ131" s="314"/>
      <c r="BA131" s="314"/>
      <c r="BB131" s="314"/>
      <c r="BC131" s="314"/>
      <c r="BD131" s="314"/>
      <c r="BE131" s="314"/>
      <c r="BF131" s="205">
        <f t="shared" si="51"/>
        <v>0</v>
      </c>
      <c r="BG131" s="786">
        <f t="shared" si="53"/>
        <v>0</v>
      </c>
      <c r="BH131" s="786">
        <f t="shared" si="54"/>
        <v>0</v>
      </c>
      <c r="BI131" s="197"/>
    </row>
    <row r="132" spans="1:62">
      <c r="A132" s="287">
        <v>15</v>
      </c>
      <c r="B132" s="231" t="s">
        <v>363</v>
      </c>
      <c r="C132" s="770" t="s">
        <v>64</v>
      </c>
      <c r="D132" s="546">
        <v>50</v>
      </c>
      <c r="E132" s="230">
        <v>0</v>
      </c>
      <c r="F132" s="100">
        <f>SUMIF(pro!$A:$A,INTGRATE!$Y:$Y,pro!$N:$N)</f>
        <v>0</v>
      </c>
      <c r="G132" s="230"/>
      <c r="H132" s="314">
        <f>SUMIF(CBIN!$A:$A,INTGRATE!$Y:$Y,CBIN!$G:$G)</f>
        <v>0</v>
      </c>
      <c r="I132" s="230">
        <f>SUMIF(data!$D:$D,INTGRATE!$B132&amp;INTGRATE!$D132,data!$J:$J)</f>
        <v>0</v>
      </c>
      <c r="J132" s="230"/>
      <c r="K132" s="230"/>
      <c r="L132" s="230">
        <f>SUMIF(data!$D:$D,INTGRATE!$B132&amp;INTGRATE!$D132,data!$K:$K)</f>
        <v>0</v>
      </c>
      <c r="M132" s="314">
        <f>SUMIF(AJOUT!$A:$A,INTGRATE!$Y:$Y,AJOUT!$L:$L)</f>
        <v>0</v>
      </c>
      <c r="N132" s="100">
        <f>SUMIF(CBOUT!$A:$A,INTGRATE!$Y:$Y,CBOUT!$G:$G)</f>
        <v>0</v>
      </c>
      <c r="O132" s="482">
        <f t="shared" si="52"/>
        <v>0</v>
      </c>
      <c r="P132" s="230">
        <f t="shared" si="46"/>
        <v>0</v>
      </c>
      <c r="Q132" s="230">
        <f t="shared" si="47"/>
        <v>0</v>
      </c>
      <c r="R132" s="314"/>
      <c r="S132" s="314"/>
      <c r="T132" s="230">
        <f t="shared" si="48"/>
        <v>0</v>
      </c>
      <c r="U132" s="875">
        <f t="shared" si="49"/>
        <v>0</v>
      </c>
      <c r="V132" s="876"/>
      <c r="W132" s="93"/>
      <c r="X132" s="232"/>
      <c r="Y132" s="862" t="str">
        <f t="shared" si="50"/>
        <v>551FS4750</v>
      </c>
      <c r="Z132" s="822">
        <v>31410847</v>
      </c>
      <c r="AA132" s="230"/>
      <c r="AB132" s="314">
        <v>0</v>
      </c>
      <c r="AC132" s="314">
        <v>0</v>
      </c>
      <c r="AD132" s="314">
        <v>0</v>
      </c>
      <c r="AE132" s="314">
        <v>0</v>
      </c>
      <c r="AF132" s="314">
        <v>0</v>
      </c>
      <c r="AG132" s="314">
        <v>0</v>
      </c>
      <c r="AH132" s="314">
        <v>0</v>
      </c>
      <c r="AI132" s="314">
        <v>0</v>
      </c>
      <c r="AJ132" s="314"/>
      <c r="AK132" s="314"/>
      <c r="AL132" s="314"/>
      <c r="AM132" s="314"/>
      <c r="AN132" s="230"/>
      <c r="AO132" s="314"/>
      <c r="AP132" s="314"/>
      <c r="AQ132" s="230"/>
      <c r="AR132" s="314"/>
      <c r="AS132" s="314"/>
      <c r="AT132" s="314"/>
      <c r="AU132" s="314"/>
      <c r="AV132" s="314"/>
      <c r="AW132" s="314"/>
      <c r="AX132" s="314"/>
      <c r="AY132" s="314"/>
      <c r="AZ132" s="314"/>
      <c r="BA132" s="314"/>
      <c r="BB132" s="314"/>
      <c r="BC132" s="314"/>
      <c r="BD132" s="314"/>
      <c r="BE132" s="314"/>
      <c r="BF132" s="205">
        <f t="shared" si="51"/>
        <v>0</v>
      </c>
      <c r="BG132" s="786">
        <f t="shared" si="53"/>
        <v>0</v>
      </c>
      <c r="BH132" s="786">
        <f t="shared" si="54"/>
        <v>0</v>
      </c>
      <c r="BI132" s="197"/>
    </row>
    <row r="133" spans="1:62">
      <c r="A133" s="287">
        <v>16</v>
      </c>
      <c r="B133" s="231" t="s">
        <v>364</v>
      </c>
      <c r="C133" s="770" t="s">
        <v>64</v>
      </c>
      <c r="D133" s="546">
        <v>50</v>
      </c>
      <c r="E133" s="230">
        <v>1072</v>
      </c>
      <c r="F133" s="100">
        <f>SUMIF(pro!$A:$A,INTGRATE!$Y:$Y,pro!$N:$N)</f>
        <v>434</v>
      </c>
      <c r="G133" s="230"/>
      <c r="H133" s="314">
        <f>SUMIF(CBIN!$A:$A,INTGRATE!$Y:$Y,CBIN!$G:$G)</f>
        <v>0</v>
      </c>
      <c r="I133" s="230">
        <f>SUMIF(data!$D:$D,INTGRATE!$B133&amp;INTGRATE!$D133,data!$J:$J)</f>
        <v>0</v>
      </c>
      <c r="J133" s="230"/>
      <c r="K133" s="230"/>
      <c r="L133" s="230">
        <f>SUMIF(data!$D:$D,INTGRATE!$B133&amp;INTGRATE!$D133,data!$K:$K)</f>
        <v>0</v>
      </c>
      <c r="M133" s="314">
        <f>SUMIF(AJOUT!$A:$A,INTGRATE!$Y:$Y,AJOUT!$L:$L)</f>
        <v>0</v>
      </c>
      <c r="N133" s="100">
        <f>SUMIF(CBOUT!$A:$A,INTGRATE!$Y:$Y,CBOUT!$G:$G)</f>
        <v>0</v>
      </c>
      <c r="O133" s="482">
        <f t="shared" si="52"/>
        <v>1506</v>
      </c>
      <c r="P133" s="230">
        <f t="shared" si="46"/>
        <v>75300</v>
      </c>
      <c r="Q133" s="230">
        <f t="shared" si="47"/>
        <v>406850</v>
      </c>
      <c r="R133" s="314"/>
      <c r="S133" s="314"/>
      <c r="T133" s="230">
        <f t="shared" si="48"/>
        <v>45205.555555555555</v>
      </c>
      <c r="U133" s="875">
        <f t="shared" si="49"/>
        <v>1.6657244684773258</v>
      </c>
      <c r="V133" s="876"/>
      <c r="W133" s="93"/>
      <c r="X133" s="232"/>
      <c r="Y133" s="862" t="str">
        <f t="shared" si="50"/>
        <v>551FS5450</v>
      </c>
      <c r="Z133" s="822">
        <v>31410854</v>
      </c>
      <c r="AA133" s="230"/>
      <c r="AB133" s="314">
        <v>37550</v>
      </c>
      <c r="AC133" s="314">
        <v>113650</v>
      </c>
      <c r="AD133" s="314">
        <v>57900</v>
      </c>
      <c r="AE133" s="314">
        <v>59000</v>
      </c>
      <c r="AF133" s="314">
        <v>29000</v>
      </c>
      <c r="AG133" s="314">
        <v>10000</v>
      </c>
      <c r="AH133" s="314">
        <v>21100</v>
      </c>
      <c r="AI133" s="314">
        <v>78650</v>
      </c>
      <c r="AJ133" s="314"/>
      <c r="AK133" s="314"/>
      <c r="AL133" s="314"/>
      <c r="AM133" s="314"/>
      <c r="AN133" s="230"/>
      <c r="AO133" s="314"/>
      <c r="AP133" s="314"/>
      <c r="AQ133" s="230"/>
      <c r="AR133" s="314"/>
      <c r="AS133" s="314"/>
      <c r="AT133" s="314"/>
      <c r="AU133" s="314"/>
      <c r="AV133" s="314"/>
      <c r="AW133" s="314"/>
      <c r="AX133" s="314"/>
      <c r="AY133" s="314"/>
      <c r="AZ133" s="314"/>
      <c r="BA133" s="314"/>
      <c r="BB133" s="314"/>
      <c r="BC133" s="314"/>
      <c r="BD133" s="314"/>
      <c r="BE133" s="314"/>
      <c r="BF133" s="205">
        <f t="shared" si="51"/>
        <v>406850</v>
      </c>
      <c r="BG133" s="786">
        <f t="shared" si="53"/>
        <v>8</v>
      </c>
      <c r="BH133" s="786">
        <f t="shared" si="54"/>
        <v>50856.25</v>
      </c>
      <c r="BI133" s="197"/>
    </row>
    <row r="134" spans="1:62">
      <c r="A134" s="287">
        <v>17</v>
      </c>
      <c r="B134" s="231" t="s">
        <v>365</v>
      </c>
      <c r="C134" s="770" t="s">
        <v>64</v>
      </c>
      <c r="D134" s="546">
        <v>50</v>
      </c>
      <c r="E134" s="230">
        <v>0</v>
      </c>
      <c r="F134" s="100">
        <f>SUMIF(pro!$A:$A,INTGRATE!$Y:$Y,pro!$N:$N)</f>
        <v>0</v>
      </c>
      <c r="G134" s="230"/>
      <c r="H134" s="314">
        <f>SUMIF(CBIN!$A:$A,INTGRATE!$Y:$Y,CBIN!$G:$G)</f>
        <v>0</v>
      </c>
      <c r="I134" s="230">
        <f>SUMIF(data!$D:$D,INTGRATE!$B134&amp;INTGRATE!$D134,data!$J:$J)</f>
        <v>0</v>
      </c>
      <c r="J134" s="230"/>
      <c r="K134" s="230"/>
      <c r="L134" s="230">
        <f>SUMIF(data!$D:$D,INTGRATE!$B134&amp;INTGRATE!$D134,data!$K:$K)</f>
        <v>0</v>
      </c>
      <c r="M134" s="314">
        <f>SUMIF(AJOUT!$A:$A,INTGRATE!$Y:$Y,AJOUT!$L:$L)</f>
        <v>0</v>
      </c>
      <c r="N134" s="100">
        <f>SUMIF(CBOUT!$A:$A,INTGRATE!$Y:$Y,CBOUT!$G:$G)</f>
        <v>0</v>
      </c>
      <c r="O134" s="482">
        <f>E134+F134+H134-I134-N134+G134-M134</f>
        <v>0</v>
      </c>
      <c r="P134" s="230">
        <f>O134*D134</f>
        <v>0</v>
      </c>
      <c r="Q134" s="230">
        <f t="shared" si="47"/>
        <v>0</v>
      </c>
      <c r="R134" s="314"/>
      <c r="S134" s="314"/>
      <c r="T134" s="230">
        <f t="shared" si="48"/>
        <v>0</v>
      </c>
      <c r="U134" s="875">
        <f t="shared" si="49"/>
        <v>0</v>
      </c>
      <c r="V134" s="876"/>
      <c r="W134" s="93"/>
      <c r="X134" s="232"/>
      <c r="Y134" s="862" t="str">
        <f>B134&amp;D134</f>
        <v>551FS5250</v>
      </c>
      <c r="Z134" s="822">
        <v>31410852</v>
      </c>
      <c r="AA134" s="230"/>
      <c r="AB134" s="314">
        <v>0</v>
      </c>
      <c r="AC134" s="314">
        <v>0</v>
      </c>
      <c r="AD134" s="314">
        <v>0</v>
      </c>
      <c r="AE134" s="314">
        <v>0</v>
      </c>
      <c r="AF134" s="314">
        <v>0</v>
      </c>
      <c r="AG134" s="314">
        <v>0</v>
      </c>
      <c r="AH134" s="314">
        <v>0</v>
      </c>
      <c r="AI134" s="314">
        <v>0</v>
      </c>
      <c r="AJ134" s="314"/>
      <c r="AK134" s="314"/>
      <c r="AL134" s="314"/>
      <c r="AM134" s="314"/>
      <c r="AN134" s="230"/>
      <c r="AO134" s="314"/>
      <c r="AP134" s="314"/>
      <c r="AQ134" s="230"/>
      <c r="AR134" s="314"/>
      <c r="AS134" s="314"/>
      <c r="AT134" s="314"/>
      <c r="AU134" s="314"/>
      <c r="AV134" s="314"/>
      <c r="AW134" s="314"/>
      <c r="AX134" s="314"/>
      <c r="AY134" s="314"/>
      <c r="AZ134" s="314"/>
      <c r="BA134" s="314"/>
      <c r="BB134" s="314"/>
      <c r="BC134" s="314"/>
      <c r="BD134" s="314"/>
      <c r="BE134" s="314"/>
      <c r="BF134" s="205">
        <f t="shared" si="51"/>
        <v>0</v>
      </c>
      <c r="BG134" s="786">
        <f t="shared" si="53"/>
        <v>0</v>
      </c>
      <c r="BH134" s="786">
        <f t="shared" si="54"/>
        <v>0</v>
      </c>
      <c r="BI134" s="197"/>
    </row>
    <row r="135" spans="1:62">
      <c r="A135" s="287">
        <v>18</v>
      </c>
      <c r="B135" s="231" t="s">
        <v>366</v>
      </c>
      <c r="C135" s="770" t="s">
        <v>64</v>
      </c>
      <c r="D135" s="547">
        <v>25</v>
      </c>
      <c r="E135" s="230">
        <v>0</v>
      </c>
      <c r="F135" s="100">
        <f>SUMIF(pro!$A:$A,INTGRATE!$Y:$Y,pro!$N:$N)</f>
        <v>0</v>
      </c>
      <c r="G135" s="230"/>
      <c r="H135" s="314">
        <f>SUMIF(CBIN!$A:$A,INTGRATE!$Y:$Y,CBIN!$G:$G)</f>
        <v>0</v>
      </c>
      <c r="I135" s="230">
        <f>SUMIF(data!$D:$D,INTGRATE!$B135&amp;INTGRATE!$D135,data!$J:$J)</f>
        <v>0</v>
      </c>
      <c r="J135" s="230"/>
      <c r="K135" s="230"/>
      <c r="L135" s="230">
        <f>SUMIF(data!$D:$D,INTGRATE!$B135&amp;INTGRATE!$D135,data!$K:$K)</f>
        <v>0</v>
      </c>
      <c r="M135" s="314">
        <f>SUMIF(AJOUT!$A:$A,INTGRATE!$Y:$Y,AJOUT!$L:$L)</f>
        <v>0</v>
      </c>
      <c r="N135" s="100">
        <f>SUMIF(CBOUT!$A:$A,INTGRATE!$Y:$Y,CBOUT!$G:$G)</f>
        <v>0</v>
      </c>
      <c r="O135" s="482">
        <f t="shared" si="52"/>
        <v>0</v>
      </c>
      <c r="P135" s="230">
        <f t="shared" si="46"/>
        <v>0</v>
      </c>
      <c r="Q135" s="230">
        <f t="shared" si="47"/>
        <v>0</v>
      </c>
      <c r="R135" s="314"/>
      <c r="S135" s="314"/>
      <c r="T135" s="230">
        <f t="shared" si="48"/>
        <v>0</v>
      </c>
      <c r="U135" s="875">
        <f t="shared" si="49"/>
        <v>0</v>
      </c>
      <c r="V135" s="876"/>
      <c r="W135" s="345"/>
      <c r="X135" s="232"/>
      <c r="Y135" s="863" t="str">
        <f t="shared" si="50"/>
        <v>551GP F25</v>
      </c>
      <c r="Z135" s="818" t="s">
        <v>367</v>
      </c>
      <c r="AA135" s="230"/>
      <c r="AB135" s="314">
        <v>0</v>
      </c>
      <c r="AC135" s="314">
        <v>0</v>
      </c>
      <c r="AD135" s="314">
        <v>0</v>
      </c>
      <c r="AE135" s="314">
        <v>0</v>
      </c>
      <c r="AF135" s="314">
        <v>0</v>
      </c>
      <c r="AG135" s="314">
        <v>0</v>
      </c>
      <c r="AH135" s="314">
        <v>0</v>
      </c>
      <c r="AI135" s="314">
        <v>0</v>
      </c>
      <c r="AJ135" s="314"/>
      <c r="AK135" s="314"/>
      <c r="AL135" s="314"/>
      <c r="AM135" s="314"/>
      <c r="AN135" s="230"/>
      <c r="AO135" s="314"/>
      <c r="AP135" s="314"/>
      <c r="AQ135" s="230"/>
      <c r="AR135" s="314"/>
      <c r="AS135" s="314"/>
      <c r="AT135" s="314"/>
      <c r="AU135" s="314"/>
      <c r="AV135" s="314"/>
      <c r="AW135" s="314"/>
      <c r="AX135" s="314"/>
      <c r="AY135" s="314"/>
      <c r="AZ135" s="314"/>
      <c r="BA135" s="314"/>
      <c r="BB135" s="314"/>
      <c r="BC135" s="314"/>
      <c r="BD135" s="314"/>
      <c r="BE135" s="314"/>
      <c r="BF135" s="205">
        <f t="shared" si="51"/>
        <v>0</v>
      </c>
      <c r="BG135" s="786">
        <f t="shared" si="53"/>
        <v>0</v>
      </c>
      <c r="BH135" s="786">
        <f t="shared" si="54"/>
        <v>0</v>
      </c>
      <c r="BI135" s="197">
        <f>+SUM(BF118:BF145)+SUM(BF196:BF216)</f>
        <v>2434070</v>
      </c>
      <c r="BJ135" s="191" t="s">
        <v>91</v>
      </c>
    </row>
    <row r="136" spans="1:62">
      <c r="A136" s="287">
        <v>19</v>
      </c>
      <c r="B136" s="231" t="s">
        <v>368</v>
      </c>
      <c r="C136" s="344" t="s">
        <v>64</v>
      </c>
      <c r="D136" s="546">
        <v>50</v>
      </c>
      <c r="E136" s="230">
        <v>0</v>
      </c>
      <c r="F136" s="100">
        <f>SUMIF(pro!$A:$A,INTGRATE!$Y:$Y,pro!$N:$N)</f>
        <v>0</v>
      </c>
      <c r="G136" s="230"/>
      <c r="H136" s="314">
        <f>SUMIF(CBIN!$A:$A,INTGRATE!$Y:$Y,CBIN!$G:$G)</f>
        <v>0</v>
      </c>
      <c r="I136" s="230">
        <f>SUMIF(data!$D:$D,INTGRATE!$B136&amp;INTGRATE!$D136,data!$J:$J)</f>
        <v>0</v>
      </c>
      <c r="J136" s="230"/>
      <c r="K136" s="230"/>
      <c r="L136" s="230">
        <f>SUMIF(data!$D:$D,INTGRATE!$B136&amp;INTGRATE!$D136,data!$K:$K)</f>
        <v>0</v>
      </c>
      <c r="M136" s="314">
        <f>SUMIF(AJOUT!$A:$A,INTGRATE!$Y:$Y,AJOUT!$L:$L)</f>
        <v>0</v>
      </c>
      <c r="N136" s="100">
        <f>SUMIF(CBOUT!$A:$A,INTGRATE!$Y:$Y,CBOUT!$G:$G)</f>
        <v>0</v>
      </c>
      <c r="O136" s="482">
        <f t="shared" si="52"/>
        <v>0</v>
      </c>
      <c r="P136" s="230">
        <f t="shared" si="46"/>
        <v>0</v>
      </c>
      <c r="Q136" s="230">
        <f t="shared" si="47"/>
        <v>0</v>
      </c>
      <c r="R136" s="543" t="s">
        <v>369</v>
      </c>
      <c r="S136" s="543" t="s">
        <v>370</v>
      </c>
      <c r="T136" s="230">
        <f t="shared" si="48"/>
        <v>0</v>
      </c>
      <c r="U136" s="875">
        <f t="shared" si="49"/>
        <v>0</v>
      </c>
      <c r="V136" s="876"/>
      <c r="W136" s="527"/>
      <c r="X136" s="232"/>
      <c r="Y136" s="863" t="str">
        <f t="shared" si="50"/>
        <v>551GPF50</v>
      </c>
      <c r="Z136" s="818" t="s">
        <v>367</v>
      </c>
      <c r="AA136" s="230"/>
      <c r="AB136" s="314">
        <v>0</v>
      </c>
      <c r="AC136" s="314">
        <v>0</v>
      </c>
      <c r="AD136" s="314">
        <v>0</v>
      </c>
      <c r="AE136" s="314">
        <v>0</v>
      </c>
      <c r="AF136" s="314">
        <v>0</v>
      </c>
      <c r="AG136" s="314">
        <v>0</v>
      </c>
      <c r="AH136" s="314">
        <v>0</v>
      </c>
      <c r="AI136" s="314">
        <v>0</v>
      </c>
      <c r="AJ136" s="314"/>
      <c r="AK136" s="314"/>
      <c r="AL136" s="314"/>
      <c r="AM136" s="314"/>
      <c r="AN136" s="230"/>
      <c r="AO136" s="314"/>
      <c r="AP136" s="314"/>
      <c r="AQ136" s="230"/>
      <c r="AR136" s="314"/>
      <c r="AS136" s="314"/>
      <c r="AT136" s="314"/>
      <c r="AU136" s="314"/>
      <c r="AV136" s="314"/>
      <c r="AW136" s="314"/>
      <c r="AX136" s="314"/>
      <c r="AY136" s="314"/>
      <c r="AZ136" s="314"/>
      <c r="BA136" s="314"/>
      <c r="BB136" s="314"/>
      <c r="BC136" s="314"/>
      <c r="BD136" s="314"/>
      <c r="BE136" s="314"/>
      <c r="BF136" s="205">
        <f t="shared" si="51"/>
        <v>0</v>
      </c>
      <c r="BG136" s="786">
        <f t="shared" si="53"/>
        <v>0</v>
      </c>
      <c r="BH136" s="786">
        <f t="shared" si="54"/>
        <v>0</v>
      </c>
      <c r="BI136" s="197">
        <f>+SUM(BF146:BF173)+SUM(BF217:BF240)</f>
        <v>9160120</v>
      </c>
      <c r="BJ136" s="191" t="s">
        <v>93</v>
      </c>
    </row>
    <row r="137" spans="1:62">
      <c r="A137" s="287">
        <v>20</v>
      </c>
      <c r="B137" s="231" t="s">
        <v>371</v>
      </c>
      <c r="C137" s="344" t="s">
        <v>64</v>
      </c>
      <c r="D137" s="546">
        <v>50</v>
      </c>
      <c r="E137" s="230">
        <v>0</v>
      </c>
      <c r="F137" s="100">
        <f>SUMIF(pro!$A:$A,INTGRATE!$Y:$Y,pro!$N:$N)</f>
        <v>0</v>
      </c>
      <c r="G137" s="314"/>
      <c r="H137" s="314">
        <f>SUMIF(CBIN!$A:$A,INTGRATE!$Y:$Y,CBIN!$G:$G)</f>
        <v>0</v>
      </c>
      <c r="I137" s="230">
        <f>SUMIF(data!$D:$D,INTGRATE!$B137&amp;INTGRATE!$D137,data!$J:$J)</f>
        <v>0</v>
      </c>
      <c r="J137" s="230"/>
      <c r="K137" s="230"/>
      <c r="L137" s="230">
        <f>SUMIF(data!$D:$D,INTGRATE!$B137&amp;INTGRATE!$D137,data!$K:$K)</f>
        <v>0</v>
      </c>
      <c r="M137" s="314">
        <f>SUMIF(AJOUT!$A:$A,INTGRATE!$Y:$Y,AJOUT!$L:$L)</f>
        <v>0</v>
      </c>
      <c r="N137" s="100">
        <f>SUMIF(CBOUT!$A:$A,INTGRATE!$Y:$Y,CBOUT!$G:$G)</f>
        <v>0</v>
      </c>
      <c r="O137" s="482">
        <f t="shared" si="52"/>
        <v>0</v>
      </c>
      <c r="P137" s="230">
        <f t="shared" si="46"/>
        <v>0</v>
      </c>
      <c r="Q137" s="230">
        <f t="shared" si="47"/>
        <v>0</v>
      </c>
      <c r="R137" s="314"/>
      <c r="S137" s="314"/>
      <c r="T137" s="230">
        <f t="shared" si="48"/>
        <v>0</v>
      </c>
      <c r="U137" s="875">
        <f t="shared" si="49"/>
        <v>0</v>
      </c>
      <c r="V137" s="876"/>
      <c r="W137" s="527"/>
      <c r="X137" s="232"/>
      <c r="Y137" s="863" t="str">
        <f t="shared" si="50"/>
        <v>551GPFS4450</v>
      </c>
      <c r="Z137" s="818">
        <v>31411844</v>
      </c>
      <c r="AA137" s="230"/>
      <c r="AB137" s="314">
        <v>0</v>
      </c>
      <c r="AC137" s="314">
        <v>0</v>
      </c>
      <c r="AD137" s="314">
        <v>0</v>
      </c>
      <c r="AE137" s="314">
        <v>0</v>
      </c>
      <c r="AF137" s="314">
        <v>0</v>
      </c>
      <c r="AG137" s="314">
        <v>0</v>
      </c>
      <c r="AH137" s="314">
        <v>0</v>
      </c>
      <c r="AI137" s="314">
        <v>0</v>
      </c>
      <c r="AJ137" s="314"/>
      <c r="AK137" s="314"/>
      <c r="AL137" s="314"/>
      <c r="AM137" s="314"/>
      <c r="AN137" s="230"/>
      <c r="AO137" s="314"/>
      <c r="AP137" s="314"/>
      <c r="AQ137" s="230"/>
      <c r="AR137" s="314"/>
      <c r="AS137" s="314"/>
      <c r="AT137" s="314"/>
      <c r="AU137" s="314"/>
      <c r="AV137" s="314"/>
      <c r="AW137" s="314"/>
      <c r="AX137" s="314"/>
      <c r="AY137" s="314"/>
      <c r="AZ137" s="314"/>
      <c r="BA137" s="314"/>
      <c r="BB137" s="314"/>
      <c r="BC137" s="314"/>
      <c r="BD137" s="314"/>
      <c r="BE137" s="314"/>
      <c r="BF137" s="205">
        <f t="shared" si="51"/>
        <v>0</v>
      </c>
      <c r="BG137" s="786">
        <f t="shared" si="53"/>
        <v>0</v>
      </c>
      <c r="BH137" s="786">
        <f t="shared" si="54"/>
        <v>0</v>
      </c>
      <c r="BI137" s="197"/>
    </row>
    <row r="138" spans="1:62">
      <c r="A138" s="287">
        <v>21</v>
      </c>
      <c r="B138" s="231" t="s">
        <v>372</v>
      </c>
      <c r="C138" s="344" t="s">
        <v>64</v>
      </c>
      <c r="D138" s="546">
        <v>50</v>
      </c>
      <c r="E138" s="230">
        <v>0</v>
      </c>
      <c r="F138" s="100">
        <f>SUMIF(pro!$A:$A,INTGRATE!$Y:$Y,pro!$N:$N)</f>
        <v>0</v>
      </c>
      <c r="G138" s="314"/>
      <c r="H138" s="314">
        <f>SUMIF(CBIN!$A:$A,INTGRATE!$Y:$Y,CBIN!$G:$G)</f>
        <v>0</v>
      </c>
      <c r="I138" s="230">
        <f>SUMIF(data!$D:$D,INTGRATE!$B138&amp;INTGRATE!$D138,data!$J:$J)</f>
        <v>0</v>
      </c>
      <c r="J138" s="230"/>
      <c r="K138" s="230"/>
      <c r="L138" s="230">
        <f>SUMIF(data!$D:$D,INTGRATE!$B138&amp;INTGRATE!$D138,data!$K:$K)</f>
        <v>0</v>
      </c>
      <c r="M138" s="314">
        <f>SUMIF(AJOUT!$A:$A,INTGRATE!$Y:$Y,AJOUT!$L:$L)</f>
        <v>0</v>
      </c>
      <c r="N138" s="100">
        <f>SUMIF(CBOUT!$A:$A,INTGRATE!$Y:$Y,CBOUT!$G:$G)</f>
        <v>0</v>
      </c>
      <c r="O138" s="482">
        <f t="shared" si="52"/>
        <v>0</v>
      </c>
      <c r="P138" s="230">
        <f t="shared" si="46"/>
        <v>0</v>
      </c>
      <c r="Q138" s="230">
        <f t="shared" si="47"/>
        <v>0</v>
      </c>
      <c r="R138" s="314"/>
      <c r="S138" s="314"/>
      <c r="T138" s="230">
        <f t="shared" si="48"/>
        <v>0</v>
      </c>
      <c r="U138" s="875">
        <f t="shared" si="49"/>
        <v>0</v>
      </c>
      <c r="V138" s="876"/>
      <c r="W138" s="527"/>
      <c r="X138" s="232"/>
      <c r="Y138" s="863" t="str">
        <f t="shared" si="50"/>
        <v>551GPFS4750</v>
      </c>
      <c r="Z138" s="818">
        <v>31411847</v>
      </c>
      <c r="AA138" s="230"/>
      <c r="AB138" s="314">
        <v>0</v>
      </c>
      <c r="AC138" s="314">
        <v>0</v>
      </c>
      <c r="AD138" s="314">
        <v>0</v>
      </c>
      <c r="AE138" s="314">
        <v>0</v>
      </c>
      <c r="AF138" s="314">
        <v>0</v>
      </c>
      <c r="AG138" s="314">
        <v>0</v>
      </c>
      <c r="AH138" s="314">
        <v>0</v>
      </c>
      <c r="AI138" s="314">
        <v>0</v>
      </c>
      <c r="AJ138" s="314"/>
      <c r="AK138" s="314"/>
      <c r="AL138" s="314"/>
      <c r="AM138" s="314"/>
      <c r="AN138" s="230"/>
      <c r="AO138" s="314"/>
      <c r="AP138" s="314"/>
      <c r="AQ138" s="230"/>
      <c r="AR138" s="314"/>
      <c r="AS138" s="314"/>
      <c r="AT138" s="314"/>
      <c r="AU138" s="314"/>
      <c r="AV138" s="314"/>
      <c r="AW138" s="314"/>
      <c r="AX138" s="314"/>
      <c r="AY138" s="314"/>
      <c r="AZ138" s="314"/>
      <c r="BA138" s="314"/>
      <c r="BB138" s="314"/>
      <c r="BC138" s="314"/>
      <c r="BD138" s="314"/>
      <c r="BE138" s="314"/>
      <c r="BF138" s="205">
        <f t="shared" si="51"/>
        <v>0</v>
      </c>
      <c r="BG138" s="786">
        <f t="shared" si="53"/>
        <v>0</v>
      </c>
      <c r="BH138" s="786">
        <f t="shared" si="54"/>
        <v>0</v>
      </c>
      <c r="BI138" s="197"/>
    </row>
    <row r="139" spans="1:62">
      <c r="A139" s="287">
        <v>22</v>
      </c>
      <c r="B139" s="231" t="s">
        <v>373</v>
      </c>
      <c r="C139" s="344" t="s">
        <v>64</v>
      </c>
      <c r="D139" s="546">
        <v>50</v>
      </c>
      <c r="E139" s="230">
        <v>0</v>
      </c>
      <c r="F139" s="100">
        <f>SUMIF(pro!$A:$A,INTGRATE!$Y:$Y,pro!$N:$N)</f>
        <v>0</v>
      </c>
      <c r="G139" s="314"/>
      <c r="H139" s="314">
        <f>SUMIF(CBIN!$A:$A,INTGRATE!$Y:$Y,CBIN!$G:$G)</f>
        <v>0</v>
      </c>
      <c r="I139" s="230">
        <f>SUMIF(data!$D:$D,INTGRATE!$B139&amp;INTGRATE!$D139,data!$J:$J)</f>
        <v>0</v>
      </c>
      <c r="J139" s="230"/>
      <c r="K139" s="230"/>
      <c r="L139" s="230">
        <f>SUMIF(data!$D:$D,INTGRATE!$B139&amp;INTGRATE!$D139,data!$K:$K)</f>
        <v>0</v>
      </c>
      <c r="M139" s="314">
        <f>SUMIF(AJOUT!$A:$A,INTGRATE!$Y:$Y,AJOUT!$L:$L)</f>
        <v>0</v>
      </c>
      <c r="N139" s="100">
        <f>SUMIF(CBOUT!$A:$A,INTGRATE!$Y:$Y,CBOUT!$G:$G)</f>
        <v>0</v>
      </c>
      <c r="O139" s="482">
        <f t="shared" si="52"/>
        <v>0</v>
      </c>
      <c r="P139" s="230">
        <f t="shared" si="46"/>
        <v>0</v>
      </c>
      <c r="Q139" s="230">
        <f t="shared" si="47"/>
        <v>0</v>
      </c>
      <c r="R139" s="314"/>
      <c r="S139" s="314"/>
      <c r="T139" s="230">
        <f t="shared" si="48"/>
        <v>0</v>
      </c>
      <c r="U139" s="875">
        <f t="shared" si="49"/>
        <v>0</v>
      </c>
      <c r="V139" s="876"/>
      <c r="W139" s="527"/>
      <c r="X139" s="232"/>
      <c r="Y139" s="863" t="str">
        <f t="shared" si="50"/>
        <v>551GPFS4850</v>
      </c>
      <c r="Z139" s="818">
        <v>31411848</v>
      </c>
      <c r="AA139" s="230"/>
      <c r="AB139" s="314">
        <v>0</v>
      </c>
      <c r="AC139" s="314">
        <v>0</v>
      </c>
      <c r="AD139" s="314">
        <v>0</v>
      </c>
      <c r="AE139" s="314">
        <v>0</v>
      </c>
      <c r="AF139" s="314">
        <v>0</v>
      </c>
      <c r="AG139" s="314">
        <v>0</v>
      </c>
      <c r="AH139" s="314">
        <v>0</v>
      </c>
      <c r="AI139" s="314">
        <v>0</v>
      </c>
      <c r="AJ139" s="314"/>
      <c r="AK139" s="314"/>
      <c r="AL139" s="314"/>
      <c r="AM139" s="314"/>
      <c r="AN139" s="230"/>
      <c r="AO139" s="314"/>
      <c r="AP139" s="314"/>
      <c r="AQ139" s="230"/>
      <c r="AR139" s="314"/>
      <c r="AS139" s="314"/>
      <c r="AT139" s="314"/>
      <c r="AU139" s="314"/>
      <c r="AV139" s="314"/>
      <c r="AW139" s="314"/>
      <c r="AX139" s="314"/>
      <c r="AY139" s="314"/>
      <c r="AZ139" s="314"/>
      <c r="BA139" s="314"/>
      <c r="BB139" s="314"/>
      <c r="BC139" s="314"/>
      <c r="BD139" s="314"/>
      <c r="BE139" s="314"/>
      <c r="BF139" s="205">
        <f t="shared" si="51"/>
        <v>0</v>
      </c>
      <c r="BG139" s="786">
        <f t="shared" si="53"/>
        <v>0</v>
      </c>
      <c r="BH139" s="786">
        <f t="shared" si="54"/>
        <v>0</v>
      </c>
      <c r="BI139" s="197"/>
    </row>
    <row r="140" spans="1:62" ht="14.25" customHeight="1">
      <c r="A140" s="287">
        <v>23</v>
      </c>
      <c r="B140" s="231" t="s">
        <v>374</v>
      </c>
      <c r="C140" s="344" t="s">
        <v>64</v>
      </c>
      <c r="D140" s="546">
        <v>50</v>
      </c>
      <c r="E140" s="230">
        <v>0</v>
      </c>
      <c r="F140" s="100">
        <f>SUMIF(pro!$A:$A,INTGRATE!$Y:$Y,pro!$N:$N)</f>
        <v>0</v>
      </c>
      <c r="G140" s="314"/>
      <c r="H140" s="314">
        <f>SUMIF(CBIN!$A:$A,INTGRATE!$Y:$Y,CBIN!$G:$G)</f>
        <v>0</v>
      </c>
      <c r="I140" s="230">
        <f>SUMIF(data!$D:$D,INTGRATE!$B140&amp;INTGRATE!$D140,data!$J:$J)</f>
        <v>0</v>
      </c>
      <c r="J140" s="230"/>
      <c r="K140" s="230"/>
      <c r="L140" s="230">
        <f>SUMIF(data!$D:$D,INTGRATE!$B140&amp;INTGRATE!$D140,data!$K:$K)</f>
        <v>0</v>
      </c>
      <c r="M140" s="314">
        <f>SUMIF(AJOUT!$A:$A,INTGRATE!$Y:$Y,AJOUT!$L:$L)</f>
        <v>0</v>
      </c>
      <c r="N140" s="100">
        <f>SUMIF(CBOUT!$A:$A,INTGRATE!$Y:$Y,CBOUT!$G:$G)</f>
        <v>0</v>
      </c>
      <c r="O140" s="482">
        <f>E140+F140+H140-I140-N140+G140-M140</f>
        <v>0</v>
      </c>
      <c r="P140" s="230">
        <f>O140*D140</f>
        <v>0</v>
      </c>
      <c r="Q140" s="230">
        <f t="shared" si="47"/>
        <v>0</v>
      </c>
      <c r="R140" s="314"/>
      <c r="S140" s="314"/>
      <c r="T140" s="230">
        <f t="shared" si="48"/>
        <v>0</v>
      </c>
      <c r="U140" s="875">
        <f t="shared" si="49"/>
        <v>0</v>
      </c>
      <c r="V140" s="876"/>
      <c r="W140" s="527"/>
      <c r="X140" s="232"/>
      <c r="Y140" s="863" t="str">
        <f t="shared" si="50"/>
        <v>551GPFS5250</v>
      </c>
      <c r="Z140" s="818">
        <v>31411852</v>
      </c>
      <c r="AA140" s="230"/>
      <c r="AB140" s="314">
        <v>0</v>
      </c>
      <c r="AC140" s="314">
        <v>0</v>
      </c>
      <c r="AD140" s="314">
        <v>0</v>
      </c>
      <c r="AE140" s="314">
        <v>0</v>
      </c>
      <c r="AF140" s="314">
        <v>0</v>
      </c>
      <c r="AG140" s="314">
        <v>0</v>
      </c>
      <c r="AH140" s="314">
        <v>0</v>
      </c>
      <c r="AI140" s="314">
        <v>0</v>
      </c>
      <c r="AJ140" s="314"/>
      <c r="AK140" s="314"/>
      <c r="AL140" s="314"/>
      <c r="AM140" s="314"/>
      <c r="AN140" s="230"/>
      <c r="AO140" s="314"/>
      <c r="AP140" s="314"/>
      <c r="AQ140" s="230"/>
      <c r="AR140" s="314"/>
      <c r="AS140" s="314"/>
      <c r="AT140" s="314"/>
      <c r="AU140" s="314"/>
      <c r="AV140" s="314"/>
      <c r="AW140" s="314"/>
      <c r="AX140" s="314"/>
      <c r="AY140" s="314"/>
      <c r="AZ140" s="314"/>
      <c r="BA140" s="314"/>
      <c r="BB140" s="314"/>
      <c r="BC140" s="314"/>
      <c r="BD140" s="314"/>
      <c r="BE140" s="314"/>
      <c r="BF140" s="205">
        <f t="shared" si="51"/>
        <v>0</v>
      </c>
      <c r="BG140" s="786">
        <f t="shared" si="53"/>
        <v>0</v>
      </c>
      <c r="BH140" s="786">
        <f t="shared" si="54"/>
        <v>0</v>
      </c>
      <c r="BI140" s="197"/>
    </row>
    <row r="141" spans="1:62">
      <c r="A141" s="287">
        <v>24</v>
      </c>
      <c r="B141" s="231" t="s">
        <v>375</v>
      </c>
      <c r="C141" s="344" t="s">
        <v>64</v>
      </c>
      <c r="D141" s="546">
        <v>50</v>
      </c>
      <c r="E141" s="230">
        <v>376</v>
      </c>
      <c r="F141" s="100">
        <f>SUMIF(pro!$A:$A,INTGRATE!$Y:$Y,pro!$N:$N)</f>
        <v>1134</v>
      </c>
      <c r="G141" s="314"/>
      <c r="H141" s="314">
        <f>SUMIF(CBIN!$A:$A,INTGRATE!$Y:$Y,CBIN!$G:$G)</f>
        <v>0</v>
      </c>
      <c r="I141" s="230">
        <f>SUMIF(data!$D:$D,INTGRATE!$B141&amp;INTGRATE!$D141,data!$J:$J)</f>
        <v>0</v>
      </c>
      <c r="J141" s="230"/>
      <c r="K141" s="230"/>
      <c r="L141" s="230">
        <f>SUMIF(data!$D:$D,INTGRATE!$B141&amp;INTGRATE!$D141,data!$K:$K)</f>
        <v>0</v>
      </c>
      <c r="M141" s="314">
        <f>SUMIF(AJOUT!$A:$A,INTGRATE!$Y:$Y,AJOUT!$L:$L)</f>
        <v>0</v>
      </c>
      <c r="N141" s="100">
        <f>SUMIF(CBOUT!$A:$A,INTGRATE!$Y:$Y,CBOUT!$G:$G)</f>
        <v>0</v>
      </c>
      <c r="O141" s="482">
        <f t="shared" si="52"/>
        <v>1510</v>
      </c>
      <c r="P141" s="230">
        <f t="shared" si="46"/>
        <v>75500</v>
      </c>
      <c r="Q141" s="230">
        <f t="shared" si="47"/>
        <v>147800</v>
      </c>
      <c r="R141" s="543"/>
      <c r="S141" s="543"/>
      <c r="T141" s="230">
        <f t="shared" si="48"/>
        <v>16422.222222222223</v>
      </c>
      <c r="U141" s="875">
        <f t="shared" si="49"/>
        <v>4.5974289580514212</v>
      </c>
      <c r="V141" s="876"/>
      <c r="W141" s="527"/>
      <c r="X141" s="232"/>
      <c r="Y141" s="863" t="str">
        <f t="shared" si="50"/>
        <v>551GPFS3150</v>
      </c>
      <c r="Z141" s="818">
        <v>31411831</v>
      </c>
      <c r="AA141" s="230"/>
      <c r="AB141" s="314">
        <v>29000</v>
      </c>
      <c r="AC141" s="314">
        <v>31850</v>
      </c>
      <c r="AD141" s="314">
        <v>0</v>
      </c>
      <c r="AE141" s="314">
        <v>5000</v>
      </c>
      <c r="AF141" s="314">
        <v>25150</v>
      </c>
      <c r="AG141" s="314">
        <v>20300</v>
      </c>
      <c r="AH141" s="314">
        <v>16000</v>
      </c>
      <c r="AI141" s="314">
        <v>20500</v>
      </c>
      <c r="AJ141" s="314"/>
      <c r="AK141" s="314"/>
      <c r="AL141" s="314"/>
      <c r="AM141" s="314"/>
      <c r="AN141" s="230"/>
      <c r="AO141" s="314"/>
      <c r="AP141" s="314"/>
      <c r="AQ141" s="230"/>
      <c r="AR141" s="314"/>
      <c r="AS141" s="314"/>
      <c r="AT141" s="314"/>
      <c r="AU141" s="314"/>
      <c r="AV141" s="314"/>
      <c r="AW141" s="314"/>
      <c r="AX141" s="314"/>
      <c r="AY141" s="314"/>
      <c r="AZ141" s="314"/>
      <c r="BA141" s="314"/>
      <c r="BB141" s="314"/>
      <c r="BC141" s="314"/>
      <c r="BD141" s="314"/>
      <c r="BE141" s="314"/>
      <c r="BF141" s="205">
        <f t="shared" si="51"/>
        <v>147800</v>
      </c>
      <c r="BG141" s="786">
        <f t="shared" si="53"/>
        <v>7</v>
      </c>
      <c r="BH141" s="786">
        <f t="shared" si="54"/>
        <v>21114.285714285714</v>
      </c>
      <c r="BI141" s="197"/>
    </row>
    <row r="142" spans="1:62">
      <c r="A142" s="287">
        <v>25</v>
      </c>
      <c r="B142" s="231" t="s">
        <v>376</v>
      </c>
      <c r="C142" s="344" t="s">
        <v>64</v>
      </c>
      <c r="D142" s="546">
        <v>50</v>
      </c>
      <c r="E142" s="230">
        <v>0</v>
      </c>
      <c r="F142" s="100">
        <f>SUMIF(pro!$A:$A,INTGRATE!$Y:$Y,pro!$N:$N)</f>
        <v>0</v>
      </c>
      <c r="G142" s="314"/>
      <c r="H142" s="314">
        <f>SUMIF(CBIN!$A:$A,INTGRATE!$Y:$Y,CBIN!$G:$G)</f>
        <v>0</v>
      </c>
      <c r="I142" s="230">
        <f>SUMIF(data!$D:$D,INTGRATE!$B142&amp;INTGRATE!$D142,data!$J:$J)</f>
        <v>0</v>
      </c>
      <c r="J142" s="230"/>
      <c r="K142" s="230"/>
      <c r="L142" s="230">
        <f>SUMIF(data!$D:$D,INTGRATE!$B142&amp;INTGRATE!$D142,data!$K:$K)</f>
        <v>0</v>
      </c>
      <c r="M142" s="314">
        <f>SUMIF(AJOUT!$A:$A,INTGRATE!$Y:$Y,AJOUT!$L:$L)</f>
        <v>0</v>
      </c>
      <c r="N142" s="100">
        <f>SUMIF(CBOUT!$A:$A,INTGRATE!$Y:$Y,CBOUT!$G:$G)</f>
        <v>0</v>
      </c>
      <c r="O142" s="482">
        <f t="shared" si="52"/>
        <v>0</v>
      </c>
      <c r="P142" s="230">
        <f t="shared" si="46"/>
        <v>0</v>
      </c>
      <c r="Q142" s="230">
        <f t="shared" si="47"/>
        <v>0</v>
      </c>
      <c r="R142" s="543"/>
      <c r="S142" s="543"/>
      <c r="T142" s="230">
        <f t="shared" si="48"/>
        <v>0</v>
      </c>
      <c r="U142" s="875">
        <f t="shared" si="49"/>
        <v>0</v>
      </c>
      <c r="V142" s="876"/>
      <c r="W142" s="527"/>
      <c r="X142" s="232"/>
      <c r="Y142" s="863" t="str">
        <f t="shared" si="50"/>
        <v>551GPFS1150</v>
      </c>
      <c r="Z142" s="818">
        <v>31411811</v>
      </c>
      <c r="AA142" s="230"/>
      <c r="AB142" s="314">
        <v>0</v>
      </c>
      <c r="AC142" s="314">
        <v>0</v>
      </c>
      <c r="AD142" s="314">
        <v>0</v>
      </c>
      <c r="AE142" s="314">
        <v>0</v>
      </c>
      <c r="AF142" s="314">
        <v>0</v>
      </c>
      <c r="AG142" s="314">
        <v>0</v>
      </c>
      <c r="AH142" s="314">
        <v>0</v>
      </c>
      <c r="AI142" s="314">
        <v>0</v>
      </c>
      <c r="AJ142" s="314"/>
      <c r="AK142" s="314"/>
      <c r="AL142" s="314"/>
      <c r="AM142" s="314"/>
      <c r="AN142" s="230"/>
      <c r="AO142" s="314"/>
      <c r="AP142" s="314"/>
      <c r="AQ142" s="230"/>
      <c r="AR142" s="314"/>
      <c r="AS142" s="314"/>
      <c r="AT142" s="314"/>
      <c r="AU142" s="314"/>
      <c r="AV142" s="314"/>
      <c r="AW142" s="314"/>
      <c r="AX142" s="314"/>
      <c r="AY142" s="314"/>
      <c r="AZ142" s="314"/>
      <c r="BA142" s="314"/>
      <c r="BB142" s="314"/>
      <c r="BC142" s="314"/>
      <c r="BD142" s="314"/>
      <c r="BE142" s="314"/>
      <c r="BF142" s="205">
        <f t="shared" si="51"/>
        <v>0</v>
      </c>
      <c r="BG142" s="786">
        <f t="shared" si="53"/>
        <v>0</v>
      </c>
      <c r="BH142" s="786">
        <f t="shared" si="54"/>
        <v>0</v>
      </c>
      <c r="BI142" s="197"/>
    </row>
    <row r="143" spans="1:62">
      <c r="A143" s="287">
        <v>26</v>
      </c>
      <c r="B143" s="231" t="s">
        <v>377</v>
      </c>
      <c r="C143" s="344" t="s">
        <v>64</v>
      </c>
      <c r="D143" s="546">
        <v>50</v>
      </c>
      <c r="E143" s="230">
        <v>31</v>
      </c>
      <c r="F143" s="100">
        <f>SUMIF(pro!$A:$A,INTGRATE!$Y:$Y,pro!$N:$N)</f>
        <v>0</v>
      </c>
      <c r="G143" s="314"/>
      <c r="H143" s="314">
        <f>SUMIF(CBIN!$A:$A,INTGRATE!$Y:$Y,CBIN!$G:$G)</f>
        <v>0</v>
      </c>
      <c r="I143" s="230">
        <f>SUMIF(data!$D:$D,INTGRATE!$B143&amp;INTGRATE!$D143,data!$J:$J)</f>
        <v>0</v>
      </c>
      <c r="J143" s="230"/>
      <c r="K143" s="230"/>
      <c r="L143" s="230">
        <f>SUMIF(data!$D:$D,INTGRATE!$B143&amp;INTGRATE!$D143,data!$K:$K)</f>
        <v>0</v>
      </c>
      <c r="M143" s="314">
        <f>SUMIF(AJOUT!$A:$A,INTGRATE!$Y:$Y,AJOUT!$L:$L)</f>
        <v>0</v>
      </c>
      <c r="N143" s="100">
        <f>SUMIF(CBOUT!$A:$A,INTGRATE!$Y:$Y,CBOUT!$G:$G)</f>
        <v>0</v>
      </c>
      <c r="O143" s="482">
        <f>E143+F143+H143-I143-N143+G143-M143</f>
        <v>31</v>
      </c>
      <c r="P143" s="230">
        <f>O143*D143</f>
        <v>1550</v>
      </c>
      <c r="Q143" s="230">
        <f>SUM(AA143:BE143)</f>
        <v>371950</v>
      </c>
      <c r="R143" s="543" t="s">
        <v>378</v>
      </c>
      <c r="S143" s="543" t="s">
        <v>379</v>
      </c>
      <c r="T143" s="230">
        <f t="shared" si="48"/>
        <v>41327.777777777781</v>
      </c>
      <c r="U143" s="875">
        <f>IF(T143=0,0,P143/T143)</f>
        <v>3.7505041000134423E-2</v>
      </c>
      <c r="V143" s="876"/>
      <c r="W143" s="527"/>
      <c r="X143" s="232"/>
      <c r="Y143" s="863" t="str">
        <f>B143&amp;D143</f>
        <v>551GPFS1350</v>
      </c>
      <c r="Z143" s="818">
        <v>31411813</v>
      </c>
      <c r="AA143" s="230"/>
      <c r="AB143" s="314">
        <v>103950</v>
      </c>
      <c r="AC143" s="314">
        <v>12250</v>
      </c>
      <c r="AD143" s="314">
        <v>2650</v>
      </c>
      <c r="AE143" s="314">
        <v>98650</v>
      </c>
      <c r="AF143" s="314">
        <v>14000</v>
      </c>
      <c r="AG143" s="314">
        <v>35650</v>
      </c>
      <c r="AH143" s="314">
        <v>64400</v>
      </c>
      <c r="AI143" s="314">
        <v>40400</v>
      </c>
      <c r="AJ143" s="314"/>
      <c r="AK143" s="314"/>
      <c r="AL143" s="314"/>
      <c r="AM143" s="314"/>
      <c r="AN143" s="230"/>
      <c r="AO143" s="314"/>
      <c r="AP143" s="314"/>
      <c r="AQ143" s="230"/>
      <c r="AR143" s="314"/>
      <c r="AS143" s="314"/>
      <c r="AT143" s="314"/>
      <c r="AU143" s="314"/>
      <c r="AV143" s="314"/>
      <c r="AW143" s="314"/>
      <c r="AX143" s="314"/>
      <c r="AY143" s="314"/>
      <c r="AZ143" s="314"/>
      <c r="BA143" s="314"/>
      <c r="BB143" s="314"/>
      <c r="BC143" s="314"/>
      <c r="BD143" s="314"/>
      <c r="BE143" s="314"/>
      <c r="BF143" s="205">
        <f t="shared" si="51"/>
        <v>371950</v>
      </c>
      <c r="BG143" s="786">
        <f t="shared" si="53"/>
        <v>8</v>
      </c>
      <c r="BH143" s="786">
        <f t="shared" si="54"/>
        <v>46493.75</v>
      </c>
      <c r="BI143" s="197"/>
    </row>
    <row r="144" spans="1:62">
      <c r="A144" s="287">
        <v>27</v>
      </c>
      <c r="B144" s="231" t="s">
        <v>380</v>
      </c>
      <c r="C144" s="344" t="s">
        <v>64</v>
      </c>
      <c r="D144" s="546">
        <v>50</v>
      </c>
      <c r="E144" s="230">
        <v>37</v>
      </c>
      <c r="F144" s="100">
        <f>SUMIF(pro!$A:$A,INTGRATE!$Y:$Y,pro!$N:$N)</f>
        <v>1627</v>
      </c>
      <c r="G144" s="314"/>
      <c r="H144" s="314">
        <f>SUMIF(CBIN!$A:$A,INTGRATE!$Y:$Y,CBIN!$G:$G)</f>
        <v>0</v>
      </c>
      <c r="I144" s="230">
        <f>SUMIF(data!$D:$D,INTGRATE!$B144&amp;INTGRATE!$D144,data!$J:$J)</f>
        <v>0</v>
      </c>
      <c r="J144" s="230"/>
      <c r="K144" s="230"/>
      <c r="L144" s="230">
        <f>SUMIF(data!$D:$D,INTGRATE!$B144&amp;INTGRATE!$D144,data!$K:$K)</f>
        <v>0</v>
      </c>
      <c r="M144" s="314">
        <f>SUMIF(AJOUT!$A:$A,INTGRATE!$Y:$Y,AJOUT!$L:$L)</f>
        <v>0</v>
      </c>
      <c r="N144" s="100">
        <f>SUMIF(CBOUT!$A:$A,INTGRATE!$Y:$Y,CBOUT!$G:$G)</f>
        <v>0</v>
      </c>
      <c r="O144" s="482">
        <f t="shared" si="52"/>
        <v>1664</v>
      </c>
      <c r="P144" s="230">
        <f t="shared" si="46"/>
        <v>83200</v>
      </c>
      <c r="Q144" s="230">
        <f t="shared" si="47"/>
        <v>68550</v>
      </c>
      <c r="R144" s="601">
        <f>SUM(P118:P260)-R137-R131-R128</f>
        <v>2172100</v>
      </c>
      <c r="S144" s="601">
        <f>SUM(Q118:Q260)-S137-S131-S128</f>
        <v>12027210</v>
      </c>
      <c r="T144" s="230">
        <f t="shared" si="48"/>
        <v>7616.666666666667</v>
      </c>
      <c r="U144" s="875">
        <f t="shared" si="49"/>
        <v>10.923413566739606</v>
      </c>
      <c r="V144" s="876"/>
      <c r="W144" s="527"/>
      <c r="X144" s="232"/>
      <c r="Y144" s="863" t="str">
        <f t="shared" si="50"/>
        <v>551GPFS5450</v>
      </c>
      <c r="Z144" s="818">
        <v>31411854</v>
      </c>
      <c r="AA144" s="230"/>
      <c r="AB144" s="314">
        <v>0</v>
      </c>
      <c r="AC144" s="314">
        <v>49250</v>
      </c>
      <c r="AD144" s="314">
        <v>2850</v>
      </c>
      <c r="AE144" s="314">
        <v>4450</v>
      </c>
      <c r="AF144" s="314">
        <v>0</v>
      </c>
      <c r="AG144" s="314">
        <v>0</v>
      </c>
      <c r="AH144" s="314">
        <v>12000</v>
      </c>
      <c r="AI144" s="314">
        <v>0</v>
      </c>
      <c r="AJ144" s="314"/>
      <c r="AK144" s="314"/>
      <c r="AL144" s="314"/>
      <c r="AM144" s="314"/>
      <c r="AN144" s="230"/>
      <c r="AO144" s="314"/>
      <c r="AP144" s="314"/>
      <c r="AQ144" s="230"/>
      <c r="AR144" s="314"/>
      <c r="AS144" s="314"/>
      <c r="AT144" s="314"/>
      <c r="AU144" s="314"/>
      <c r="AV144" s="314"/>
      <c r="AW144" s="314"/>
      <c r="AX144" s="314"/>
      <c r="AY144" s="314"/>
      <c r="AZ144" s="314"/>
      <c r="BA144" s="314"/>
      <c r="BB144" s="314"/>
      <c r="BC144" s="314"/>
      <c r="BD144" s="314"/>
      <c r="BE144" s="314"/>
      <c r="BF144" s="205">
        <f t="shared" si="51"/>
        <v>68550</v>
      </c>
      <c r="BG144" s="786">
        <f t="shared" si="53"/>
        <v>4</v>
      </c>
      <c r="BH144" s="786">
        <f t="shared" si="54"/>
        <v>17137.5</v>
      </c>
      <c r="BI144" s="197"/>
    </row>
    <row r="145" spans="1:62">
      <c r="A145" s="287">
        <v>28</v>
      </c>
      <c r="B145" s="231" t="s">
        <v>381</v>
      </c>
      <c r="C145" s="344" t="s">
        <v>64</v>
      </c>
      <c r="D145" s="546">
        <v>50</v>
      </c>
      <c r="E145" s="230">
        <v>0</v>
      </c>
      <c r="F145" s="100">
        <f>SUMIF(pro!$A:$A,INTGRATE!$Y:$Y,pro!$N:$N)</f>
        <v>0</v>
      </c>
      <c r="G145" s="314"/>
      <c r="H145" s="314">
        <f>SUMIF(CBIN!$A:$A,INTGRATE!$Y:$Y,CBIN!$G:$G)</f>
        <v>0</v>
      </c>
      <c r="I145" s="230">
        <f>SUMIF(data!$D:$D,INTGRATE!$B145&amp;INTGRATE!$D145,data!$J:$J)</f>
        <v>0</v>
      </c>
      <c r="J145" s="230"/>
      <c r="K145" s="230"/>
      <c r="L145" s="230">
        <f>SUMIF(data!$D:$D,INTGRATE!$B145&amp;INTGRATE!$D145,data!$K:$K)</f>
        <v>0</v>
      </c>
      <c r="M145" s="314">
        <f>SUMIF(AJOUT!$A:$A,INTGRATE!$Y:$Y,AJOUT!$L:$L)</f>
        <v>0</v>
      </c>
      <c r="N145" s="100">
        <f>SUMIF(CBOUT!$A:$A,INTGRATE!$Y:$Y,CBOUT!$G:$G)</f>
        <v>0</v>
      </c>
      <c r="O145" s="482">
        <f t="shared" si="52"/>
        <v>0</v>
      </c>
      <c r="P145" s="230">
        <f t="shared" si="46"/>
        <v>0</v>
      </c>
      <c r="Q145" s="230">
        <f t="shared" si="47"/>
        <v>21450</v>
      </c>
      <c r="R145" s="314"/>
      <c r="S145" s="205"/>
      <c r="T145" s="230">
        <f t="shared" si="48"/>
        <v>2383.3333333333335</v>
      </c>
      <c r="U145" s="875">
        <f t="shared" si="49"/>
        <v>0</v>
      </c>
      <c r="V145" s="876"/>
      <c r="W145" s="527"/>
      <c r="X145" s="232"/>
      <c r="Y145" s="863" t="str">
        <f t="shared" si="50"/>
        <v>551GPFS2550</v>
      </c>
      <c r="Z145" s="818">
        <v>31411825</v>
      </c>
      <c r="AA145" s="230"/>
      <c r="AB145" s="314">
        <v>10500</v>
      </c>
      <c r="AC145" s="314">
        <v>0</v>
      </c>
      <c r="AD145" s="314">
        <v>7500</v>
      </c>
      <c r="AE145" s="314">
        <v>0</v>
      </c>
      <c r="AF145" s="314">
        <v>3450</v>
      </c>
      <c r="AG145" s="314">
        <v>0</v>
      </c>
      <c r="AH145" s="314">
        <v>0</v>
      </c>
      <c r="AI145" s="314">
        <v>0</v>
      </c>
      <c r="AJ145" s="314"/>
      <c r="AK145" s="314"/>
      <c r="AL145" s="314"/>
      <c r="AM145" s="314"/>
      <c r="AN145" s="230"/>
      <c r="AO145" s="314"/>
      <c r="AP145" s="314"/>
      <c r="AQ145" s="230"/>
      <c r="AR145" s="314"/>
      <c r="AS145" s="314"/>
      <c r="AT145" s="314"/>
      <c r="AU145" s="314"/>
      <c r="AV145" s="314"/>
      <c r="AW145" s="314"/>
      <c r="AX145" s="314"/>
      <c r="AY145" s="314"/>
      <c r="AZ145" s="314"/>
      <c r="BA145" s="314"/>
      <c r="BB145" s="314"/>
      <c r="BC145" s="314"/>
      <c r="BD145" s="314"/>
      <c r="BE145" s="314"/>
      <c r="BF145" s="205">
        <f t="shared" si="51"/>
        <v>21450</v>
      </c>
      <c r="BG145" s="786">
        <f t="shared" si="53"/>
        <v>3</v>
      </c>
      <c r="BH145" s="786">
        <f t="shared" si="54"/>
        <v>7150</v>
      </c>
      <c r="BI145" s="197">
        <f>+SUM(BF174:BF195)+SUM(BF241:BF260)</f>
        <v>1577110</v>
      </c>
      <c r="BJ145" s="191" t="s">
        <v>95</v>
      </c>
    </row>
    <row r="146" spans="1:62">
      <c r="A146" s="287">
        <v>29</v>
      </c>
      <c r="B146" s="234" t="s">
        <v>382</v>
      </c>
      <c r="C146" s="234" t="s">
        <v>64</v>
      </c>
      <c r="D146" s="337">
        <v>50</v>
      </c>
      <c r="E146" s="230">
        <v>5883</v>
      </c>
      <c r="F146" s="100">
        <f>SUMIF(pro!$A:$A,INTGRATE!$Y:$Y,pro!$N:$N)</f>
        <v>488</v>
      </c>
      <c r="G146" s="314"/>
      <c r="H146" s="314">
        <f>SUMIF(CBIN!$A:$A,INTGRATE!$Y:$Y,CBIN!$G:$G)</f>
        <v>0</v>
      </c>
      <c r="I146" s="230">
        <f>SUMIF(data!$D:$D,INTGRATE!$B146&amp;INTGRATE!$D146,data!$J:$J)</f>
        <v>0</v>
      </c>
      <c r="J146" s="230"/>
      <c r="K146" s="230"/>
      <c r="L146" s="230">
        <f>SUMIF(data!$D:$D,INTGRATE!$B146&amp;INTGRATE!$D146,data!$K:$K)</f>
        <v>0</v>
      </c>
      <c r="M146" s="314">
        <f>SUMIF(AJOUT!$A:$A,INTGRATE!$Y:$Y,AJOUT!$L:$L)</f>
        <v>0</v>
      </c>
      <c r="N146" s="100">
        <f>SUMIF(CBOUT!$A:$A,INTGRATE!$Y:$Y,CBOUT!$G:$G)</f>
        <v>0</v>
      </c>
      <c r="O146" s="482">
        <f t="shared" si="52"/>
        <v>6371</v>
      </c>
      <c r="P146" s="230">
        <f t="shared" si="46"/>
        <v>318550</v>
      </c>
      <c r="Q146" s="230">
        <f t="shared" si="47"/>
        <v>2448800</v>
      </c>
      <c r="R146" s="543"/>
      <c r="S146" s="543"/>
      <c r="T146" s="230">
        <f t="shared" si="48"/>
        <v>272088.88888888888</v>
      </c>
      <c r="U146" s="875">
        <f t="shared" si="49"/>
        <v>1.1707571055210717</v>
      </c>
      <c r="V146" s="876"/>
      <c r="W146" s="403"/>
      <c r="X146" s="232"/>
      <c r="Y146" s="863" t="str">
        <f t="shared" si="50"/>
        <v>552F50</v>
      </c>
      <c r="Z146" s="818">
        <v>321101</v>
      </c>
      <c r="AA146" s="230"/>
      <c r="AB146" s="314">
        <v>65500</v>
      </c>
      <c r="AC146" s="314">
        <v>58900</v>
      </c>
      <c r="AD146" s="314">
        <v>144450</v>
      </c>
      <c r="AE146" s="314">
        <v>308000</v>
      </c>
      <c r="AF146" s="314">
        <v>667500</v>
      </c>
      <c r="AG146" s="314">
        <v>422800</v>
      </c>
      <c r="AH146" s="314">
        <v>371450</v>
      </c>
      <c r="AI146" s="314">
        <v>410200</v>
      </c>
      <c r="AJ146" s="314"/>
      <c r="AK146" s="314"/>
      <c r="AL146" s="314"/>
      <c r="AM146" s="314"/>
      <c r="AN146" s="230"/>
      <c r="AO146" s="314"/>
      <c r="AP146" s="314"/>
      <c r="AQ146" s="230"/>
      <c r="AR146" s="314"/>
      <c r="AS146" s="314"/>
      <c r="AT146" s="314"/>
      <c r="AU146" s="314"/>
      <c r="AV146" s="314"/>
      <c r="AW146" s="314"/>
      <c r="AX146" s="314"/>
      <c r="AY146" s="314"/>
      <c r="AZ146" s="314"/>
      <c r="BA146" s="314"/>
      <c r="BB146" s="314"/>
      <c r="BC146" s="314"/>
      <c r="BD146" s="314"/>
      <c r="BE146" s="314"/>
      <c r="BF146" s="205">
        <f t="shared" si="51"/>
        <v>2448800</v>
      </c>
      <c r="BG146" s="786">
        <f t="shared" si="53"/>
        <v>8</v>
      </c>
      <c r="BH146" s="786">
        <f t="shared" si="54"/>
        <v>306100</v>
      </c>
      <c r="BI146" s="197">
        <f>SUM(BF196:BF261)</f>
        <v>3671850</v>
      </c>
      <c r="BJ146" s="191" t="s">
        <v>121</v>
      </c>
    </row>
    <row r="147" spans="1:62">
      <c r="A147" s="287">
        <v>30</v>
      </c>
      <c r="B147" s="234" t="s">
        <v>382</v>
      </c>
      <c r="C147" s="234" t="s">
        <v>64</v>
      </c>
      <c r="D147" s="553">
        <v>25</v>
      </c>
      <c r="E147" s="230">
        <v>0</v>
      </c>
      <c r="F147" s="100">
        <f>SUMIF(pro!$A:$A,INTGRATE!$Y:$Y,pro!$N:$N)</f>
        <v>0</v>
      </c>
      <c r="G147" s="314"/>
      <c r="H147" s="314">
        <f>SUMIF(CBIN!$A:$A,INTGRATE!$Y:$Y,CBIN!$G:$G)</f>
        <v>0</v>
      </c>
      <c r="I147" s="230">
        <f>SUMIF(data!$D:$D,INTGRATE!$B147&amp;INTGRATE!$D147,data!$J:$J)</f>
        <v>0</v>
      </c>
      <c r="J147" s="230"/>
      <c r="K147" s="230"/>
      <c r="L147" s="230">
        <f>SUMIF(data!$D:$D,INTGRATE!$B147&amp;INTGRATE!$D147,data!$K:$K)</f>
        <v>0</v>
      </c>
      <c r="M147" s="314">
        <f>SUMIF(AJOUT!$A:$A,INTGRATE!$Y:$Y,AJOUT!$L:$L)</f>
        <v>0</v>
      </c>
      <c r="N147" s="100">
        <f>SUMIF(CBOUT!$A:$A,INTGRATE!$Y:$Y,CBOUT!$G:$G)</f>
        <v>0</v>
      </c>
      <c r="O147" s="482">
        <f t="shared" si="52"/>
        <v>0</v>
      </c>
      <c r="P147" s="230">
        <f t="shared" si="46"/>
        <v>0</v>
      </c>
      <c r="Q147" s="230">
        <f t="shared" si="47"/>
        <v>0</v>
      </c>
      <c r="R147" s="543"/>
      <c r="S147" s="543"/>
      <c r="T147" s="230">
        <f t="shared" si="48"/>
        <v>0</v>
      </c>
      <c r="U147" s="875">
        <f t="shared" si="49"/>
        <v>0</v>
      </c>
      <c r="V147" s="876"/>
      <c r="W147" s="403"/>
      <c r="X147" s="232"/>
      <c r="Y147" s="863" t="str">
        <f t="shared" si="50"/>
        <v>552F25</v>
      </c>
      <c r="Z147" s="818">
        <v>321101</v>
      </c>
      <c r="AA147" s="230"/>
      <c r="AB147" s="314">
        <v>0</v>
      </c>
      <c r="AC147" s="314">
        <v>0</v>
      </c>
      <c r="AD147" s="314">
        <v>0</v>
      </c>
      <c r="AE147" s="314">
        <v>0</v>
      </c>
      <c r="AF147" s="314">
        <v>0</v>
      </c>
      <c r="AG147" s="314">
        <v>0</v>
      </c>
      <c r="AH147" s="314">
        <v>0</v>
      </c>
      <c r="AI147" s="314">
        <v>0</v>
      </c>
      <c r="AJ147" s="314"/>
      <c r="AK147" s="314"/>
      <c r="AL147" s="314"/>
      <c r="AM147" s="314"/>
      <c r="AN147" s="230"/>
      <c r="AO147" s="314"/>
      <c r="AP147" s="314"/>
      <c r="AQ147" s="230"/>
      <c r="AR147" s="314"/>
      <c r="AS147" s="314"/>
      <c r="AT147" s="314"/>
      <c r="AU147" s="314"/>
      <c r="AV147" s="314"/>
      <c r="AW147" s="314"/>
      <c r="AX147" s="314"/>
      <c r="AY147" s="314"/>
      <c r="AZ147" s="314"/>
      <c r="BA147" s="314"/>
      <c r="BB147" s="314"/>
      <c r="BC147" s="314"/>
      <c r="BD147" s="314"/>
      <c r="BE147" s="314"/>
      <c r="BF147" s="205">
        <f t="shared" si="51"/>
        <v>0</v>
      </c>
      <c r="BG147" s="786">
        <f t="shared" si="53"/>
        <v>0</v>
      </c>
      <c r="BH147" s="786">
        <f t="shared" si="54"/>
        <v>0</v>
      </c>
      <c r="BI147" s="197">
        <f>+BF262-BI146</f>
        <v>9499450</v>
      </c>
      <c r="BJ147" s="191" t="s">
        <v>383</v>
      </c>
    </row>
    <row r="148" spans="1:62">
      <c r="A148" s="287">
        <v>31</v>
      </c>
      <c r="B148" s="234" t="s">
        <v>384</v>
      </c>
      <c r="C148" s="234" t="s">
        <v>64</v>
      </c>
      <c r="D148" s="337">
        <v>50</v>
      </c>
      <c r="E148" s="230">
        <v>0</v>
      </c>
      <c r="F148" s="100">
        <f>SUMIF(pro!$A:$A,INTGRATE!$Y:$Y,pro!$N:$N)</f>
        <v>0</v>
      </c>
      <c r="G148" s="314"/>
      <c r="H148" s="314">
        <f>SUMIF(CBIN!$A:$A,INTGRATE!$Y:$Y,CBIN!$G:$G)</f>
        <v>0</v>
      </c>
      <c r="I148" s="230">
        <f>SUMIF(data!$D:$D,INTGRATE!$B148&amp;INTGRATE!$D148,data!$J:$J)</f>
        <v>0</v>
      </c>
      <c r="J148" s="230"/>
      <c r="K148" s="230"/>
      <c r="L148" s="230">
        <f>SUMIF(data!$D:$D,INTGRATE!$B148&amp;INTGRATE!$D148,data!$K:$K)</f>
        <v>0</v>
      </c>
      <c r="M148" s="314">
        <f>SUMIF(AJOUT!$A:$A,INTGRATE!$Y:$Y,AJOUT!$L:$L)</f>
        <v>0</v>
      </c>
      <c r="N148" s="100">
        <f>SUMIF(CBOUT!$A:$A,INTGRATE!$Y:$Y,CBOUT!$G:$G)</f>
        <v>0</v>
      </c>
      <c r="O148" s="482">
        <f t="shared" si="52"/>
        <v>0</v>
      </c>
      <c r="P148" s="230">
        <f t="shared" si="46"/>
        <v>0</v>
      </c>
      <c r="Q148" s="230">
        <f t="shared" si="47"/>
        <v>0</v>
      </c>
      <c r="R148" s="314"/>
      <c r="S148" s="205"/>
      <c r="T148" s="230">
        <f t="shared" si="48"/>
        <v>0</v>
      </c>
      <c r="U148" s="875">
        <f t="shared" si="49"/>
        <v>0</v>
      </c>
      <c r="V148" s="876"/>
      <c r="W148" s="403"/>
      <c r="X148" s="232"/>
      <c r="Y148" s="863" t="str">
        <f t="shared" si="50"/>
        <v>552FS1050</v>
      </c>
      <c r="Z148" s="818">
        <v>32110810</v>
      </c>
      <c r="AA148" s="230"/>
      <c r="AB148" s="314">
        <v>0</v>
      </c>
      <c r="AC148" s="314">
        <v>0</v>
      </c>
      <c r="AD148" s="314">
        <v>0</v>
      </c>
      <c r="AE148" s="314">
        <v>0</v>
      </c>
      <c r="AF148" s="314">
        <v>0</v>
      </c>
      <c r="AG148" s="314">
        <v>0</v>
      </c>
      <c r="AH148" s="314">
        <v>0</v>
      </c>
      <c r="AI148" s="314">
        <v>0</v>
      </c>
      <c r="AJ148" s="314"/>
      <c r="AK148" s="314"/>
      <c r="AL148" s="314"/>
      <c r="AM148" s="314"/>
      <c r="AN148" s="230"/>
      <c r="AO148" s="314"/>
      <c r="AP148" s="314"/>
      <c r="AQ148" s="230"/>
      <c r="AR148" s="314"/>
      <c r="AS148" s="314"/>
      <c r="AT148" s="314"/>
      <c r="AU148" s="314"/>
      <c r="AV148" s="314"/>
      <c r="AW148" s="314"/>
      <c r="AX148" s="314"/>
      <c r="AY148" s="314"/>
      <c r="AZ148" s="314"/>
      <c r="BA148" s="314"/>
      <c r="BB148" s="314"/>
      <c r="BC148" s="314"/>
      <c r="BD148" s="314"/>
      <c r="BE148" s="314"/>
      <c r="BF148" s="205">
        <f t="shared" si="51"/>
        <v>0</v>
      </c>
      <c r="BG148" s="786">
        <f t="shared" si="53"/>
        <v>0</v>
      </c>
      <c r="BH148" s="786">
        <f t="shared" si="54"/>
        <v>0</v>
      </c>
      <c r="BI148" s="197"/>
    </row>
    <row r="149" spans="1:62">
      <c r="A149" s="287">
        <v>32</v>
      </c>
      <c r="B149" s="234" t="s">
        <v>385</v>
      </c>
      <c r="C149" s="234" t="s">
        <v>64</v>
      </c>
      <c r="D149" s="337">
        <v>50</v>
      </c>
      <c r="E149" s="230">
        <v>0</v>
      </c>
      <c r="F149" s="100">
        <f>SUMIF(pro!$A:$A,INTGRATE!$Y:$Y,pro!$N:$N)</f>
        <v>0</v>
      </c>
      <c r="G149" s="314"/>
      <c r="H149" s="314">
        <f>SUMIF(CBIN!$A:$A,INTGRATE!$Y:$Y,CBIN!$G:$G)</f>
        <v>0</v>
      </c>
      <c r="I149" s="230">
        <f>SUMIF(data!$D:$D,INTGRATE!$B149&amp;INTGRATE!$D149,data!$J:$J)</f>
        <v>0</v>
      </c>
      <c r="J149" s="230"/>
      <c r="K149" s="230"/>
      <c r="L149" s="230">
        <f>SUMIF(data!$D:$D,INTGRATE!$B149&amp;INTGRATE!$D149,data!$K:$K)</f>
        <v>0</v>
      </c>
      <c r="M149" s="314">
        <f>SUMIF(AJOUT!$A:$A,INTGRATE!$Y:$Y,AJOUT!$L:$L)</f>
        <v>0</v>
      </c>
      <c r="N149" s="100">
        <f>SUMIF(CBOUT!$A:$A,INTGRATE!$Y:$Y,CBOUT!$G:$G)</f>
        <v>0</v>
      </c>
      <c r="O149" s="482">
        <f t="shared" si="52"/>
        <v>0</v>
      </c>
      <c r="P149" s="230">
        <f t="shared" si="46"/>
        <v>0</v>
      </c>
      <c r="Q149" s="230">
        <f t="shared" si="47"/>
        <v>0</v>
      </c>
      <c r="R149" s="314"/>
      <c r="S149" s="205"/>
      <c r="T149" s="230">
        <f t="shared" si="48"/>
        <v>0</v>
      </c>
      <c r="U149" s="875">
        <f t="shared" ref="U149:U196" si="55">IF(T149=0,0,P149/T149)</f>
        <v>0</v>
      </c>
      <c r="V149" s="876"/>
      <c r="W149" s="403"/>
      <c r="X149" s="232"/>
      <c r="Y149" s="863" t="str">
        <f t="shared" si="50"/>
        <v>552FS1150</v>
      </c>
      <c r="Z149" s="818">
        <v>32110811</v>
      </c>
      <c r="AA149" s="230"/>
      <c r="AB149" s="314">
        <v>0</v>
      </c>
      <c r="AC149" s="314">
        <v>0</v>
      </c>
      <c r="AD149" s="314">
        <v>0</v>
      </c>
      <c r="AE149" s="314">
        <v>0</v>
      </c>
      <c r="AF149" s="314">
        <v>0</v>
      </c>
      <c r="AG149" s="314">
        <v>0</v>
      </c>
      <c r="AH149" s="314">
        <v>0</v>
      </c>
      <c r="AI149" s="314">
        <v>0</v>
      </c>
      <c r="AJ149" s="314"/>
      <c r="AK149" s="314"/>
      <c r="AL149" s="314"/>
      <c r="AM149" s="314"/>
      <c r="AN149" s="230"/>
      <c r="AO149" s="314"/>
      <c r="AP149" s="314"/>
      <c r="AQ149" s="230"/>
      <c r="AR149" s="314"/>
      <c r="AS149" s="314"/>
      <c r="AT149" s="314"/>
      <c r="AU149" s="314"/>
      <c r="AV149" s="314"/>
      <c r="AW149" s="314"/>
      <c r="AX149" s="314"/>
      <c r="AY149" s="314"/>
      <c r="AZ149" s="314"/>
      <c r="BA149" s="314"/>
      <c r="BB149" s="314"/>
      <c r="BC149" s="314"/>
      <c r="BD149" s="314"/>
      <c r="BE149" s="314"/>
      <c r="BF149" s="205">
        <f t="shared" si="51"/>
        <v>0</v>
      </c>
      <c r="BG149" s="786">
        <f t="shared" si="53"/>
        <v>0</v>
      </c>
      <c r="BH149" s="786">
        <f t="shared" si="54"/>
        <v>0</v>
      </c>
      <c r="BI149" s="197"/>
    </row>
    <row r="150" spans="1:62">
      <c r="A150" s="287">
        <v>33</v>
      </c>
      <c r="B150" s="234" t="s">
        <v>386</v>
      </c>
      <c r="C150" s="234" t="s">
        <v>64</v>
      </c>
      <c r="D150" s="337">
        <v>50</v>
      </c>
      <c r="E150" s="230">
        <v>967</v>
      </c>
      <c r="F150" s="100">
        <f>SUMIF(pro!$A:$A,INTGRATE!$Y:$Y,pro!$N:$N)</f>
        <v>2414</v>
      </c>
      <c r="G150" s="314"/>
      <c r="H150" s="314">
        <f>SUMIF(CBIN!$A:$A,INTGRATE!$Y:$Y,CBIN!$G:$G)</f>
        <v>0</v>
      </c>
      <c r="I150" s="230">
        <f>SUMIF(data!$D:$D,INTGRATE!$B150&amp;INTGRATE!$D150,data!$J:$J)</f>
        <v>0</v>
      </c>
      <c r="J150" s="230"/>
      <c r="K150" s="230"/>
      <c r="L150" s="230">
        <f>SUMIF(data!$D:$D,INTGRATE!$B150&amp;INTGRATE!$D150,data!$K:$K)</f>
        <v>0</v>
      </c>
      <c r="M150" s="314">
        <f>SUMIF(AJOUT!$A:$A,INTGRATE!$Y:$Y,AJOUT!$L:$L)</f>
        <v>0</v>
      </c>
      <c r="N150" s="100">
        <f>SUMIF(CBOUT!$A:$A,INTGRATE!$Y:$Y,CBOUT!$G:$G)</f>
        <v>0</v>
      </c>
      <c r="O150" s="482">
        <f>E150+F150+H150-I150-N150+G150-M150</f>
        <v>3381</v>
      </c>
      <c r="P150" s="230">
        <f>O150*D150</f>
        <v>169050</v>
      </c>
      <c r="Q150" s="230">
        <f>SUM(AA150:BE150)</f>
        <v>42850</v>
      </c>
      <c r="R150" s="314"/>
      <c r="S150" s="205"/>
      <c r="T150" s="230">
        <f t="shared" ref="T150:T183" si="56">Q150/$N$293</f>
        <v>4761.1111111111113</v>
      </c>
      <c r="U150" s="875">
        <f>IF(T150=0,0,P150/T150)</f>
        <v>35.506417736289379</v>
      </c>
      <c r="V150" s="876"/>
      <c r="W150" s="403"/>
      <c r="X150" s="232"/>
      <c r="Y150" s="863" t="str">
        <f>B150&amp;D150</f>
        <v>552FS1350</v>
      </c>
      <c r="Z150" s="818">
        <v>32110813</v>
      </c>
      <c r="AA150" s="230"/>
      <c r="AB150" s="314">
        <v>42850</v>
      </c>
      <c r="AC150" s="314">
        <v>0</v>
      </c>
      <c r="AD150" s="314">
        <v>0</v>
      </c>
      <c r="AE150" s="314">
        <v>0</v>
      </c>
      <c r="AF150" s="314">
        <v>0</v>
      </c>
      <c r="AG150" s="314">
        <v>0</v>
      </c>
      <c r="AH150" s="314">
        <v>0</v>
      </c>
      <c r="AI150" s="314">
        <v>0</v>
      </c>
      <c r="AJ150" s="314"/>
      <c r="AK150" s="314"/>
      <c r="AL150" s="314"/>
      <c r="AM150" s="314"/>
      <c r="AN150" s="230"/>
      <c r="AO150" s="314"/>
      <c r="AP150" s="314"/>
      <c r="AQ150" s="230"/>
      <c r="AR150" s="314"/>
      <c r="AS150" s="314"/>
      <c r="AT150" s="314"/>
      <c r="AU150" s="314"/>
      <c r="AV150" s="314"/>
      <c r="AW150" s="314"/>
      <c r="AX150" s="314"/>
      <c r="AY150" s="314"/>
      <c r="AZ150" s="314"/>
      <c r="BA150" s="314"/>
      <c r="BB150" s="314"/>
      <c r="BC150" s="314"/>
      <c r="BD150" s="314"/>
      <c r="BE150" s="314"/>
      <c r="BF150" s="205">
        <f t="shared" si="51"/>
        <v>42850</v>
      </c>
      <c r="BG150" s="786">
        <f t="shared" si="53"/>
        <v>1</v>
      </c>
      <c r="BH150" s="786">
        <f t="shared" si="54"/>
        <v>42850</v>
      </c>
      <c r="BI150" s="197"/>
    </row>
    <row r="151" spans="1:62">
      <c r="A151" s="287">
        <v>34</v>
      </c>
      <c r="B151" s="234" t="s">
        <v>387</v>
      </c>
      <c r="C151" s="234" t="s">
        <v>64</v>
      </c>
      <c r="D151" s="337">
        <v>50</v>
      </c>
      <c r="E151" s="230">
        <v>0</v>
      </c>
      <c r="F151" s="100">
        <f>SUMIF(pro!$A:$A,INTGRATE!$Y:$Y,pro!$N:$N)</f>
        <v>0</v>
      </c>
      <c r="G151" s="314"/>
      <c r="H151" s="314">
        <f>SUMIF(CBIN!$A:$A,INTGRATE!$Y:$Y,CBIN!$G:$G)</f>
        <v>0</v>
      </c>
      <c r="I151" s="230">
        <f>SUMIF(data!$D:$D,INTGRATE!$B151&amp;INTGRATE!$D151,data!$J:$J)</f>
        <v>0</v>
      </c>
      <c r="J151" s="230"/>
      <c r="K151" s="230"/>
      <c r="L151" s="230">
        <f>SUMIF(data!$D:$D,INTGRATE!$B151&amp;INTGRATE!$D151,data!$K:$K)</f>
        <v>0</v>
      </c>
      <c r="M151" s="314">
        <f>SUMIF(AJOUT!$A:$A,INTGRATE!$Y:$Y,AJOUT!$L:$L)</f>
        <v>0</v>
      </c>
      <c r="N151" s="100">
        <f>SUMIF(CBOUT!$A:$A,INTGRATE!$Y:$Y,CBOUT!$G:$G)</f>
        <v>0</v>
      </c>
      <c r="O151" s="482">
        <f>E151+F151+H151-I151-N151+G151-M151</f>
        <v>0</v>
      </c>
      <c r="P151" s="230">
        <f>O151*D151</f>
        <v>0</v>
      </c>
      <c r="Q151" s="230">
        <f>SUM(AA151:BE151)</f>
        <v>0</v>
      </c>
      <c r="R151" s="314"/>
      <c r="S151" s="205"/>
      <c r="T151" s="230">
        <f t="shared" si="56"/>
        <v>0</v>
      </c>
      <c r="U151" s="875">
        <f>IF(T151=0,0,P151/T151)</f>
        <v>0</v>
      </c>
      <c r="V151" s="876"/>
      <c r="W151" s="403"/>
      <c r="X151" s="232"/>
      <c r="Y151" s="863" t="str">
        <f>B151&amp;D151</f>
        <v>552FS3150</v>
      </c>
      <c r="Z151" s="818">
        <v>32110831</v>
      </c>
      <c r="AA151" s="230"/>
      <c r="AB151" s="314">
        <v>0</v>
      </c>
      <c r="AC151" s="314">
        <v>0</v>
      </c>
      <c r="AD151" s="314">
        <v>0</v>
      </c>
      <c r="AE151" s="314">
        <v>0</v>
      </c>
      <c r="AF151" s="314">
        <v>0</v>
      </c>
      <c r="AG151" s="314">
        <v>0</v>
      </c>
      <c r="AH151" s="314">
        <v>0</v>
      </c>
      <c r="AI151" s="314">
        <v>0</v>
      </c>
      <c r="AJ151" s="314"/>
      <c r="AK151" s="314"/>
      <c r="AL151" s="314"/>
      <c r="AM151" s="314"/>
      <c r="AN151" s="230"/>
      <c r="AO151" s="314"/>
      <c r="AP151" s="314"/>
      <c r="AQ151" s="230"/>
      <c r="AR151" s="314"/>
      <c r="AS151" s="314"/>
      <c r="AT151" s="314"/>
      <c r="AU151" s="314"/>
      <c r="AV151" s="314"/>
      <c r="AW151" s="314"/>
      <c r="AX151" s="314"/>
      <c r="AY151" s="314"/>
      <c r="AZ151" s="314"/>
      <c r="BA151" s="314"/>
      <c r="BB151" s="314"/>
      <c r="BC151" s="314"/>
      <c r="BD151" s="314"/>
      <c r="BE151" s="314"/>
      <c r="BF151" s="205">
        <f t="shared" si="51"/>
        <v>0</v>
      </c>
      <c r="BG151" s="786">
        <f t="shared" si="53"/>
        <v>0</v>
      </c>
      <c r="BH151" s="786">
        <f t="shared" si="54"/>
        <v>0</v>
      </c>
      <c r="BI151" s="197"/>
    </row>
    <row r="152" spans="1:62">
      <c r="A152" s="287">
        <v>35</v>
      </c>
      <c r="B152" s="234" t="s">
        <v>388</v>
      </c>
      <c r="C152" s="234" t="s">
        <v>64</v>
      </c>
      <c r="D152" s="337">
        <v>50</v>
      </c>
      <c r="E152" s="230">
        <v>0</v>
      </c>
      <c r="F152" s="100">
        <f>SUMIF(pro!$A:$A,INTGRATE!$Y:$Y,pro!$N:$N)</f>
        <v>0</v>
      </c>
      <c r="G152" s="314"/>
      <c r="H152" s="314">
        <f>SUMIF(CBIN!$A:$A,INTGRATE!$Y:$Y,CBIN!$G:$G)</f>
        <v>0</v>
      </c>
      <c r="I152" s="230">
        <f>SUMIF(data!$D:$D,INTGRATE!$B152&amp;INTGRATE!$D152,data!$J:$J)</f>
        <v>0</v>
      </c>
      <c r="J152" s="230"/>
      <c r="K152" s="230"/>
      <c r="L152" s="230">
        <f>SUMIF(data!$D:$D,INTGRATE!$B152&amp;INTGRATE!$D152,data!$K:$K)</f>
        <v>0</v>
      </c>
      <c r="M152" s="314">
        <f>SUMIF(AJOUT!$A:$A,INTGRATE!$Y:$Y,AJOUT!$L:$L)</f>
        <v>0</v>
      </c>
      <c r="N152" s="100">
        <f>SUMIF(CBOUT!$A:$A,INTGRATE!$Y:$Y,CBOUT!$G:$G)</f>
        <v>0</v>
      </c>
      <c r="O152" s="482">
        <f t="shared" si="52"/>
        <v>0</v>
      </c>
      <c r="P152" s="230">
        <f t="shared" si="46"/>
        <v>0</v>
      </c>
      <c r="Q152" s="230">
        <f t="shared" ref="Q152:Q161" si="57">SUM(AA152:BE152)</f>
        <v>0</v>
      </c>
      <c r="R152" s="205"/>
      <c r="S152" s="205"/>
      <c r="T152" s="230">
        <f t="shared" si="56"/>
        <v>0</v>
      </c>
      <c r="U152" s="875">
        <f t="shared" si="55"/>
        <v>0</v>
      </c>
      <c r="V152" s="876"/>
      <c r="W152" s="453"/>
      <c r="X152" s="232"/>
      <c r="Y152" s="863" t="str">
        <f t="shared" si="50"/>
        <v>552FS3450</v>
      </c>
      <c r="Z152" s="818">
        <v>32110834</v>
      </c>
      <c r="AA152" s="230"/>
      <c r="AB152" s="314">
        <v>0</v>
      </c>
      <c r="AC152" s="314">
        <v>0</v>
      </c>
      <c r="AD152" s="314">
        <v>0</v>
      </c>
      <c r="AE152" s="314">
        <v>0</v>
      </c>
      <c r="AF152" s="314">
        <v>0</v>
      </c>
      <c r="AG152" s="314">
        <v>0</v>
      </c>
      <c r="AH152" s="314">
        <v>0</v>
      </c>
      <c r="AI152" s="314">
        <v>0</v>
      </c>
      <c r="AJ152" s="314"/>
      <c r="AK152" s="314"/>
      <c r="AL152" s="314"/>
      <c r="AM152" s="314"/>
      <c r="AN152" s="230"/>
      <c r="AO152" s="314"/>
      <c r="AP152" s="314"/>
      <c r="AQ152" s="230"/>
      <c r="AR152" s="314"/>
      <c r="AS152" s="314"/>
      <c r="AT152" s="314"/>
      <c r="AU152" s="314"/>
      <c r="AV152" s="314"/>
      <c r="AW152" s="314"/>
      <c r="AX152" s="314"/>
      <c r="AY152" s="314"/>
      <c r="AZ152" s="314"/>
      <c r="BA152" s="314"/>
      <c r="BB152" s="314"/>
      <c r="BC152" s="314"/>
      <c r="BD152" s="314"/>
      <c r="BE152" s="314"/>
      <c r="BF152" s="205">
        <f t="shared" si="51"/>
        <v>0</v>
      </c>
      <c r="BG152" s="786">
        <f t="shared" si="53"/>
        <v>0</v>
      </c>
      <c r="BH152" s="786">
        <f t="shared" si="54"/>
        <v>0</v>
      </c>
      <c r="BI152" s="197"/>
    </row>
    <row r="153" spans="1:62">
      <c r="A153" s="287">
        <v>36</v>
      </c>
      <c r="B153" s="234" t="s">
        <v>389</v>
      </c>
      <c r="C153" s="234" t="s">
        <v>64</v>
      </c>
      <c r="D153" s="337">
        <v>50</v>
      </c>
      <c r="E153" s="230">
        <v>0</v>
      </c>
      <c r="F153" s="100">
        <f>SUMIF(pro!$A:$A,INTGRATE!$Y:$Y,pro!$N:$N)</f>
        <v>0</v>
      </c>
      <c r="G153" s="314"/>
      <c r="H153" s="314">
        <f>SUMIF(CBIN!$A:$A,INTGRATE!$Y:$Y,CBIN!$G:$G)</f>
        <v>0</v>
      </c>
      <c r="I153" s="230">
        <f>SUMIF(data!$D:$D,INTGRATE!$B153&amp;INTGRATE!$D153,data!$J:$J)</f>
        <v>0</v>
      </c>
      <c r="J153" s="230"/>
      <c r="K153" s="230"/>
      <c r="L153" s="230">
        <f>SUMIF(data!$D:$D,INTGRATE!$B153&amp;INTGRATE!$D153,data!$K:$K)</f>
        <v>0</v>
      </c>
      <c r="M153" s="314">
        <f>SUMIF(AJOUT!$A:$A,INTGRATE!$Y:$Y,AJOUT!$L:$L)</f>
        <v>0</v>
      </c>
      <c r="N153" s="100">
        <f>SUMIF(CBOUT!$A:$A,INTGRATE!$Y:$Y,CBOUT!$G:$G)</f>
        <v>0</v>
      </c>
      <c r="O153" s="482">
        <f>E153+F153+H153-I153-N153+G153-M153</f>
        <v>0</v>
      </c>
      <c r="P153" s="230">
        <f>O153*D153</f>
        <v>0</v>
      </c>
      <c r="Q153" s="230">
        <f>SUM(AA153:BE153)</f>
        <v>0</v>
      </c>
      <c r="R153" s="205"/>
      <c r="S153" s="205"/>
      <c r="T153" s="230">
        <f t="shared" si="56"/>
        <v>0</v>
      </c>
      <c r="U153" s="875">
        <f>IF(T153=0,0,P153/T153)</f>
        <v>0</v>
      </c>
      <c r="V153" s="876"/>
      <c r="W153" s="453"/>
      <c r="X153" s="232"/>
      <c r="Y153" s="863" t="str">
        <f t="shared" si="50"/>
        <v>552FS3750</v>
      </c>
      <c r="Z153" s="818">
        <v>32110837</v>
      </c>
      <c r="AA153" s="230"/>
      <c r="AB153" s="314">
        <v>0</v>
      </c>
      <c r="AC153" s="314">
        <v>0</v>
      </c>
      <c r="AD153" s="314">
        <v>0</v>
      </c>
      <c r="AE153" s="314">
        <v>0</v>
      </c>
      <c r="AF153" s="314">
        <v>0</v>
      </c>
      <c r="AG153" s="314">
        <v>0</v>
      </c>
      <c r="AH153" s="314">
        <v>0</v>
      </c>
      <c r="AI153" s="314">
        <v>0</v>
      </c>
      <c r="AJ153" s="314"/>
      <c r="AK153" s="314"/>
      <c r="AL153" s="314"/>
      <c r="AM153" s="314"/>
      <c r="AN153" s="230"/>
      <c r="AO153" s="314"/>
      <c r="AP153" s="314"/>
      <c r="AQ153" s="230"/>
      <c r="AR153" s="314"/>
      <c r="AS153" s="314"/>
      <c r="AT153" s="314"/>
      <c r="AU153" s="314"/>
      <c r="AV153" s="314"/>
      <c r="AW153" s="314"/>
      <c r="AX153" s="314"/>
      <c r="AY153" s="314"/>
      <c r="AZ153" s="314"/>
      <c r="BA153" s="314"/>
      <c r="BB153" s="314"/>
      <c r="BC153" s="314"/>
      <c r="BD153" s="314"/>
      <c r="BE153" s="314"/>
      <c r="BF153" s="205">
        <f t="shared" si="51"/>
        <v>0</v>
      </c>
      <c r="BG153" s="786">
        <f t="shared" si="53"/>
        <v>0</v>
      </c>
      <c r="BH153" s="786">
        <f t="shared" si="54"/>
        <v>0</v>
      </c>
      <c r="BI153" s="197"/>
    </row>
    <row r="154" spans="1:62">
      <c r="A154" s="287">
        <v>37</v>
      </c>
      <c r="B154" s="234" t="s">
        <v>390</v>
      </c>
      <c r="C154" s="234" t="s">
        <v>64</v>
      </c>
      <c r="D154" s="337">
        <v>50</v>
      </c>
      <c r="E154" s="230">
        <v>0</v>
      </c>
      <c r="F154" s="100">
        <f>SUMIF(pro!$A:$A,INTGRATE!$Y:$Y,pro!$N:$N)</f>
        <v>0</v>
      </c>
      <c r="G154" s="314"/>
      <c r="H154" s="314"/>
      <c r="I154" s="230">
        <f>SUMIF(data!$D:$D,INTGRATE!$B154&amp;INTGRATE!$D154,data!$J:$J)</f>
        <v>0</v>
      </c>
      <c r="J154" s="230"/>
      <c r="K154" s="230"/>
      <c r="L154" s="230">
        <f>SUMIF(data!$D:$D,INTGRATE!$B154&amp;INTGRATE!$D154,data!$K:$K)</f>
        <v>0</v>
      </c>
      <c r="M154" s="314">
        <v>0</v>
      </c>
      <c r="N154" s="100">
        <f>SUMIF(CBOUT!$A:$A,INTGRATE!$Y:$Y,CBOUT!$G:$G)</f>
        <v>0</v>
      </c>
      <c r="O154" s="482">
        <f>E154+F154+H154-I154-N154+G154-M154</f>
        <v>0</v>
      </c>
      <c r="P154" s="230">
        <f>O154*D154</f>
        <v>0</v>
      </c>
      <c r="Q154" s="230">
        <f>SUM(AA154:BE154)</f>
        <v>0</v>
      </c>
      <c r="R154" s="205"/>
      <c r="S154" s="205"/>
      <c r="T154" s="230">
        <f t="shared" si="56"/>
        <v>0</v>
      </c>
      <c r="U154" s="875">
        <f>IF(T154=0,0,P154/T154)</f>
        <v>0</v>
      </c>
      <c r="V154" s="876"/>
      <c r="W154" s="453"/>
      <c r="X154" s="232"/>
      <c r="Y154" s="863" t="str">
        <f>B154&amp;D154</f>
        <v>552FS7350</v>
      </c>
      <c r="Z154" s="818">
        <v>32110873</v>
      </c>
      <c r="AA154" s="230"/>
      <c r="AB154" s="314">
        <v>0</v>
      </c>
      <c r="AC154" s="314">
        <v>0</v>
      </c>
      <c r="AD154" s="314">
        <v>0</v>
      </c>
      <c r="AE154" s="314">
        <v>0</v>
      </c>
      <c r="AF154" s="314">
        <v>0</v>
      </c>
      <c r="AG154" s="314">
        <v>0</v>
      </c>
      <c r="AH154" s="314">
        <v>0</v>
      </c>
      <c r="AI154" s="314">
        <v>0</v>
      </c>
      <c r="AJ154" s="314"/>
      <c r="AK154" s="314"/>
      <c r="AL154" s="314"/>
      <c r="AM154" s="314"/>
      <c r="AN154" s="230"/>
      <c r="AO154" s="314"/>
      <c r="AP154" s="314"/>
      <c r="AQ154" s="230"/>
      <c r="AR154" s="314"/>
      <c r="AS154" s="314"/>
      <c r="AT154" s="314"/>
      <c r="AU154" s="314"/>
      <c r="AV154" s="314"/>
      <c r="AW154" s="314"/>
      <c r="AX154" s="314"/>
      <c r="AY154" s="314"/>
      <c r="AZ154" s="314"/>
      <c r="BA154" s="314"/>
      <c r="BB154" s="314"/>
      <c r="BC154" s="314"/>
      <c r="BD154" s="314"/>
      <c r="BE154" s="314"/>
      <c r="BF154" s="205">
        <f t="shared" si="51"/>
        <v>0</v>
      </c>
      <c r="BG154" s="786">
        <f t="shared" si="53"/>
        <v>0</v>
      </c>
      <c r="BH154" s="786">
        <f t="shared" si="54"/>
        <v>0</v>
      </c>
      <c r="BI154" s="197"/>
    </row>
    <row r="155" spans="1:62">
      <c r="A155" s="287">
        <v>38</v>
      </c>
      <c r="B155" s="234" t="s">
        <v>391</v>
      </c>
      <c r="C155" s="234" t="s">
        <v>64</v>
      </c>
      <c r="D155" s="337">
        <v>50</v>
      </c>
      <c r="E155" s="230">
        <v>1901</v>
      </c>
      <c r="F155" s="100">
        <f>SUMIF(pro!$A:$A,INTGRATE!$Y:$Y,pro!$N:$N)</f>
        <v>9259</v>
      </c>
      <c r="G155" s="314"/>
      <c r="H155" s="314">
        <f>SUMIF(CBIN!$A:$A,INTGRATE!$Y:$Y,CBIN!$G:$G)</f>
        <v>0</v>
      </c>
      <c r="I155" s="230">
        <f>SUMIF(data!$D:$D,INTGRATE!$B155&amp;INTGRATE!$D155,data!$J:$J)</f>
        <v>0</v>
      </c>
      <c r="J155" s="230"/>
      <c r="K155" s="230"/>
      <c r="L155" s="230">
        <f>SUMIF(data!$D:$D,INTGRATE!$B155&amp;INTGRATE!$D155,data!$K:$K)</f>
        <v>0</v>
      </c>
      <c r="M155" s="314">
        <f>SUMIF(AJOUT!$A:$A,INTGRATE!$Y:$Y,AJOUT!$L:$L)</f>
        <v>0</v>
      </c>
      <c r="N155" s="100">
        <f>SUMIF(CBOUT!$A:$A,INTGRATE!$Y:$Y,CBOUT!$G:$G)</f>
        <v>0</v>
      </c>
      <c r="O155" s="482">
        <f t="shared" si="52"/>
        <v>11160</v>
      </c>
      <c r="P155" s="230">
        <f t="shared" si="46"/>
        <v>558000</v>
      </c>
      <c r="Q155" s="230">
        <f>SUM(AA155:BE155)</f>
        <v>520500</v>
      </c>
      <c r="R155" s="205"/>
      <c r="S155" s="205"/>
      <c r="T155" s="230">
        <f t="shared" si="56"/>
        <v>57833.333333333336</v>
      </c>
      <c r="U155" s="875">
        <f t="shared" si="55"/>
        <v>9.6484149855907777</v>
      </c>
      <c r="V155" s="876"/>
      <c r="W155" s="403"/>
      <c r="X155" s="232"/>
      <c r="Y155" s="863" t="str">
        <f t="shared" si="50"/>
        <v>552FS9050</v>
      </c>
      <c r="Z155" s="818">
        <v>32110890</v>
      </c>
      <c r="AA155" s="230"/>
      <c r="AB155" s="314">
        <v>173500</v>
      </c>
      <c r="AC155" s="314">
        <v>330200</v>
      </c>
      <c r="AD155" s="314">
        <v>16800</v>
      </c>
      <c r="AE155" s="314">
        <v>0</v>
      </c>
      <c r="AF155" s="314">
        <v>0</v>
      </c>
      <c r="AG155" s="314">
        <v>0</v>
      </c>
      <c r="AH155" s="314">
        <v>0</v>
      </c>
      <c r="AI155" s="314">
        <v>0</v>
      </c>
      <c r="AJ155" s="314"/>
      <c r="AK155" s="314"/>
      <c r="AL155" s="314"/>
      <c r="AM155" s="314"/>
      <c r="AN155" s="230"/>
      <c r="AO155" s="314"/>
      <c r="AP155" s="314"/>
      <c r="AQ155" s="230"/>
      <c r="AR155" s="314"/>
      <c r="AS155" s="314"/>
      <c r="AT155" s="314"/>
      <c r="AU155" s="314"/>
      <c r="AV155" s="314"/>
      <c r="AW155" s="314"/>
      <c r="AX155" s="314"/>
      <c r="AY155" s="314"/>
      <c r="AZ155" s="314"/>
      <c r="BA155" s="314"/>
      <c r="BB155" s="314"/>
      <c r="BC155" s="314"/>
      <c r="BD155" s="314"/>
      <c r="BE155" s="314"/>
      <c r="BF155" s="205">
        <f t="shared" si="51"/>
        <v>520500</v>
      </c>
      <c r="BG155" s="786">
        <f t="shared" si="53"/>
        <v>3</v>
      </c>
      <c r="BH155" s="786">
        <f t="shared" si="54"/>
        <v>173500</v>
      </c>
    </row>
    <row r="156" spans="1:62">
      <c r="A156" s="287">
        <v>39</v>
      </c>
      <c r="B156" s="234" t="s">
        <v>392</v>
      </c>
      <c r="C156" s="234" t="s">
        <v>64</v>
      </c>
      <c r="D156" s="337">
        <v>50</v>
      </c>
      <c r="E156" s="230">
        <v>0</v>
      </c>
      <c r="F156" s="100">
        <f>SUMIF(pro!$A:$A,INTGRATE!$Y:$Y,pro!$N:$N)</f>
        <v>0</v>
      </c>
      <c r="G156" s="314"/>
      <c r="H156" s="314">
        <f>SUMIF(CBIN!$A:$A,INTGRATE!$Y:$Y,CBIN!$G:$G)</f>
        <v>0</v>
      </c>
      <c r="I156" s="230">
        <f>SUMIF(data!$D:$D,INTGRATE!$B156&amp;INTGRATE!$D156,data!$J:$J)</f>
        <v>0</v>
      </c>
      <c r="J156" s="230"/>
      <c r="K156" s="230"/>
      <c r="L156" s="230">
        <f>SUMIF(data!$D:$D,INTGRATE!$B156&amp;INTGRATE!$D156,data!$K:$K)</f>
        <v>0</v>
      </c>
      <c r="M156" s="314">
        <f>SUMIF(AJOUT!$A:$A,INTGRATE!$Y:$Y,AJOUT!$L:$L)</f>
        <v>0</v>
      </c>
      <c r="N156" s="100">
        <f>SUMIF(CBOUT!$A:$A,INTGRATE!$Y:$Y,CBOUT!$G:$G)</f>
        <v>0</v>
      </c>
      <c r="O156" s="482">
        <f t="shared" ref="O156" si="58">E156+F156+H156-I156-N156+G156-M156</f>
        <v>0</v>
      </c>
      <c r="P156" s="230">
        <f t="shared" ref="P156" si="59">O156*D156</f>
        <v>0</v>
      </c>
      <c r="Q156" s="230">
        <f>SUM(AA156:BE156)</f>
        <v>0</v>
      </c>
      <c r="R156" s="205"/>
      <c r="S156" s="205"/>
      <c r="T156" s="230">
        <f t="shared" si="56"/>
        <v>0</v>
      </c>
      <c r="U156" s="875">
        <f t="shared" ref="U156" si="60">IF(T156=0,0,P156/T156)</f>
        <v>0</v>
      </c>
      <c r="V156" s="876"/>
      <c r="W156" s="403"/>
      <c r="X156" s="232"/>
      <c r="Y156" s="863" t="str">
        <f t="shared" si="50"/>
        <v>552WDF50</v>
      </c>
      <c r="Z156" s="818">
        <v>321181</v>
      </c>
      <c r="AA156" s="230"/>
      <c r="AB156" s="314">
        <v>0</v>
      </c>
      <c r="AC156" s="314">
        <v>0</v>
      </c>
      <c r="AD156" s="314">
        <v>0</v>
      </c>
      <c r="AE156" s="314">
        <v>0</v>
      </c>
      <c r="AF156" s="314">
        <v>0</v>
      </c>
      <c r="AG156" s="314">
        <v>0</v>
      </c>
      <c r="AH156" s="314">
        <v>0</v>
      </c>
      <c r="AI156" s="314">
        <v>0</v>
      </c>
      <c r="AJ156" s="314"/>
      <c r="AK156" s="314"/>
      <c r="AL156" s="314"/>
      <c r="AM156" s="314"/>
      <c r="AN156" s="230"/>
      <c r="AO156" s="314"/>
      <c r="AP156" s="314"/>
      <c r="AQ156" s="230"/>
      <c r="AR156" s="314"/>
      <c r="AS156" s="314"/>
      <c r="AT156" s="314"/>
      <c r="AU156" s="314"/>
      <c r="AV156" s="314"/>
      <c r="AW156" s="314"/>
      <c r="AX156" s="314"/>
      <c r="AY156" s="314"/>
      <c r="AZ156" s="314"/>
      <c r="BA156" s="314"/>
      <c r="BB156" s="314"/>
      <c r="BC156" s="314"/>
      <c r="BD156" s="314"/>
      <c r="BE156" s="314"/>
      <c r="BF156" s="205">
        <f t="shared" ref="BF156" si="61">SUM(AA156:BE156)</f>
        <v>0</v>
      </c>
      <c r="BG156" s="786">
        <f t="shared" ref="BG156" si="62">COUNTIF(AA156:BE156,"&gt;0")</f>
        <v>0</v>
      </c>
      <c r="BH156" s="786">
        <f t="shared" ref="BH156" si="63">IFERROR(BF156/BG156,0)</f>
        <v>0</v>
      </c>
    </row>
    <row r="157" spans="1:62">
      <c r="A157" s="287">
        <v>40</v>
      </c>
      <c r="B157" s="234" t="s">
        <v>393</v>
      </c>
      <c r="C157" s="234" t="s">
        <v>64</v>
      </c>
      <c r="D157" s="337">
        <v>50</v>
      </c>
      <c r="E157" s="230">
        <v>4508</v>
      </c>
      <c r="F157" s="100">
        <f>SUMIF(pro!$A:$A,INTGRATE!$Y:$Y,pro!$N:$N)</f>
        <v>0</v>
      </c>
      <c r="G157" s="230"/>
      <c r="H157" s="314">
        <f>SUMIF(CBIN!$A:$A,INTGRATE!$Y:$Y,CBIN!$G:$G)</f>
        <v>0</v>
      </c>
      <c r="I157" s="230">
        <f>SUMIF(data!$D:$D,INTGRATE!$B157&amp;INTGRATE!$D157,data!$J:$J)</f>
        <v>0</v>
      </c>
      <c r="J157" s="230"/>
      <c r="K157" s="230"/>
      <c r="L157" s="230">
        <f>SUMIF(data!$D:$D,INTGRATE!$B157&amp;INTGRATE!$D157,data!$K:$K)</f>
        <v>0</v>
      </c>
      <c r="M157" s="314">
        <f>SUMIF(AJOUT!$A:$A,INTGRATE!$Y:$Y,AJOUT!$L:$L)</f>
        <v>0</v>
      </c>
      <c r="N157" s="100">
        <f>SUMIF(CBOUT!$A:$A,INTGRATE!$Y:$Y,CBOUT!$G:$G)</f>
        <v>0</v>
      </c>
      <c r="O157" s="482">
        <f t="shared" si="52"/>
        <v>4508</v>
      </c>
      <c r="P157" s="230">
        <f t="shared" si="46"/>
        <v>225400</v>
      </c>
      <c r="Q157" s="230">
        <f t="shared" si="57"/>
        <v>2115700</v>
      </c>
      <c r="R157" s="205"/>
      <c r="S157" s="205"/>
      <c r="T157" s="230">
        <f t="shared" si="56"/>
        <v>235077.77777777778</v>
      </c>
      <c r="U157" s="875">
        <f t="shared" si="55"/>
        <v>0.95883159238077231</v>
      </c>
      <c r="V157" s="876"/>
      <c r="W157" s="452"/>
      <c r="X157" s="232"/>
      <c r="Y157" s="863" t="str">
        <f t="shared" si="50"/>
        <v>552SF50</v>
      </c>
      <c r="Z157" s="818" t="s">
        <v>394</v>
      </c>
      <c r="AA157" s="230"/>
      <c r="AB157" s="314">
        <v>0</v>
      </c>
      <c r="AC157" s="314">
        <v>167750</v>
      </c>
      <c r="AD157" s="314">
        <v>335450</v>
      </c>
      <c r="AE157" s="314">
        <v>312250</v>
      </c>
      <c r="AF157" s="314">
        <v>228550</v>
      </c>
      <c r="AG157" s="314">
        <v>382900</v>
      </c>
      <c r="AH157" s="314">
        <v>406800</v>
      </c>
      <c r="AI157" s="314">
        <v>282000</v>
      </c>
      <c r="AJ157" s="314"/>
      <c r="AK157" s="314"/>
      <c r="AL157" s="314"/>
      <c r="AM157" s="314"/>
      <c r="AN157" s="230"/>
      <c r="AO157" s="314"/>
      <c r="AP157" s="314"/>
      <c r="AQ157" s="230"/>
      <c r="AR157" s="314"/>
      <c r="AS157" s="314"/>
      <c r="AT157" s="314"/>
      <c r="AU157" s="314"/>
      <c r="AV157" s="314"/>
      <c r="AW157" s="314"/>
      <c r="AX157" s="314"/>
      <c r="AY157" s="314"/>
      <c r="AZ157" s="314"/>
      <c r="BA157" s="314"/>
      <c r="BB157" s="314"/>
      <c r="BC157" s="314"/>
      <c r="BD157" s="314"/>
      <c r="BE157" s="314"/>
      <c r="BF157" s="205">
        <f t="shared" si="51"/>
        <v>2115700</v>
      </c>
      <c r="BG157" s="786">
        <f t="shared" si="53"/>
        <v>7</v>
      </c>
      <c r="BH157" s="786">
        <f t="shared" si="54"/>
        <v>302242.85714285716</v>
      </c>
    </row>
    <row r="158" spans="1:62">
      <c r="A158" s="287">
        <v>41</v>
      </c>
      <c r="B158" s="234" t="s">
        <v>393</v>
      </c>
      <c r="C158" s="234" t="s">
        <v>64</v>
      </c>
      <c r="D158" s="542">
        <v>25</v>
      </c>
      <c r="E158" s="230">
        <v>0</v>
      </c>
      <c r="F158" s="100">
        <f>SUMIF(pro!$A:$A,INTGRATE!$Y:$Y,pro!$N:$N)</f>
        <v>0</v>
      </c>
      <c r="G158" s="230"/>
      <c r="H158" s="314">
        <f>SUMIF(CBIN!$A:$A,INTGRATE!$Y:$Y,CBIN!$G:$G)</f>
        <v>0</v>
      </c>
      <c r="I158" s="230">
        <f>SUMIF(data!$D:$D,INTGRATE!$B158&amp;INTGRATE!$D158,data!$J:$J)</f>
        <v>0</v>
      </c>
      <c r="J158" s="230"/>
      <c r="K158" s="230"/>
      <c r="L158" s="230">
        <f>SUMIF(data!$D:$D,INTGRATE!$B158&amp;INTGRATE!$D158,data!$K:$K)</f>
        <v>0</v>
      </c>
      <c r="M158" s="314">
        <f>SUMIF(AJOUT!$A:$A,INTGRATE!$Y:$Y,AJOUT!$L:$L)</f>
        <v>0</v>
      </c>
      <c r="N158" s="100">
        <f>SUMIF(CBOUT!$A:$A,INTGRATE!$Y:$Y,CBOUT!$G:$G)</f>
        <v>0</v>
      </c>
      <c r="O158" s="482">
        <f t="shared" si="52"/>
        <v>0</v>
      </c>
      <c r="P158" s="230">
        <f t="shared" si="46"/>
        <v>0</v>
      </c>
      <c r="Q158" s="230">
        <f t="shared" si="57"/>
        <v>0</v>
      </c>
      <c r="R158" s="205"/>
      <c r="S158" s="205"/>
      <c r="T158" s="230">
        <f t="shared" si="56"/>
        <v>0</v>
      </c>
      <c r="U158" s="875">
        <f t="shared" si="55"/>
        <v>0</v>
      </c>
      <c r="V158" s="876"/>
      <c r="W158" s="452"/>
      <c r="X158" s="232"/>
      <c r="Y158" s="863" t="str">
        <f t="shared" si="50"/>
        <v>552SF25</v>
      </c>
      <c r="Z158" s="818" t="s">
        <v>394</v>
      </c>
      <c r="AA158" s="230"/>
      <c r="AB158" s="314">
        <v>0</v>
      </c>
      <c r="AC158" s="314">
        <v>0</v>
      </c>
      <c r="AD158" s="314">
        <v>0</v>
      </c>
      <c r="AE158" s="314">
        <v>0</v>
      </c>
      <c r="AF158" s="314">
        <v>0</v>
      </c>
      <c r="AG158" s="314">
        <v>0</v>
      </c>
      <c r="AH158" s="314">
        <v>0</v>
      </c>
      <c r="AI158" s="314">
        <v>0</v>
      </c>
      <c r="AJ158" s="314"/>
      <c r="AK158" s="314"/>
      <c r="AL158" s="314"/>
      <c r="AM158" s="314"/>
      <c r="AN158" s="230"/>
      <c r="AO158" s="314"/>
      <c r="AP158" s="314"/>
      <c r="AQ158" s="230"/>
      <c r="AR158" s="314"/>
      <c r="AS158" s="314"/>
      <c r="AT158" s="314"/>
      <c r="AU158" s="314"/>
      <c r="AV158" s="314"/>
      <c r="AW158" s="314"/>
      <c r="AX158" s="314"/>
      <c r="AY158" s="314"/>
      <c r="AZ158" s="314"/>
      <c r="BA158" s="314"/>
      <c r="BB158" s="314"/>
      <c r="BC158" s="314"/>
      <c r="BD158" s="314"/>
      <c r="BE158" s="314"/>
      <c r="BF158" s="205">
        <f t="shared" si="51"/>
        <v>0</v>
      </c>
      <c r="BG158" s="786">
        <f t="shared" si="53"/>
        <v>0</v>
      </c>
      <c r="BH158" s="786">
        <f t="shared" si="54"/>
        <v>0</v>
      </c>
    </row>
    <row r="159" spans="1:62" ht="15" customHeight="1">
      <c r="A159" s="287">
        <v>42</v>
      </c>
      <c r="B159" s="234" t="s">
        <v>395</v>
      </c>
      <c r="C159" s="234" t="s">
        <v>61</v>
      </c>
      <c r="D159" s="542">
        <v>25</v>
      </c>
      <c r="E159" s="230">
        <v>0</v>
      </c>
      <c r="F159" s="100">
        <f>SUMIF(pro!$A:$A,INTGRATE!$Y:$Y,pro!$N:$N)</f>
        <v>0</v>
      </c>
      <c r="G159" s="230"/>
      <c r="H159" s="314">
        <f>SUMIF(CBIN!$A:$A,INTGRATE!$Y:$Y,CBIN!$G:$G)</f>
        <v>0</v>
      </c>
      <c r="I159" s="230">
        <f>SUMIF(data!$D:$D,INTGRATE!$B159&amp;INTGRATE!$D159,data!$J:$J)</f>
        <v>0</v>
      </c>
      <c r="J159" s="230"/>
      <c r="K159" s="230"/>
      <c r="L159" s="230">
        <f>SUMIF(data!$D:$D,INTGRATE!$B159&amp;INTGRATE!$D159,data!$K:$K)</f>
        <v>0</v>
      </c>
      <c r="M159" s="314">
        <f>SUMIF(AJOUT!$A:$A,INTGRATE!$Y:$Y,AJOUT!$L:$L)</f>
        <v>0</v>
      </c>
      <c r="N159" s="100">
        <f>SUMIF(CBOUT!$A:$A,INTGRATE!$Y:$Y,CBOUT!$G:$G)</f>
        <v>0</v>
      </c>
      <c r="O159" s="482">
        <f t="shared" si="52"/>
        <v>0</v>
      </c>
      <c r="P159" s="230">
        <f t="shared" si="46"/>
        <v>0</v>
      </c>
      <c r="Q159" s="230">
        <f>SUM(AA159:BE159)</f>
        <v>0</v>
      </c>
      <c r="R159" s="205"/>
      <c r="S159" s="205"/>
      <c r="T159" s="230">
        <f t="shared" si="56"/>
        <v>0</v>
      </c>
      <c r="U159" s="875">
        <f t="shared" si="55"/>
        <v>0</v>
      </c>
      <c r="V159" s="876"/>
      <c r="W159" s="452"/>
      <c r="X159" s="232"/>
      <c r="Y159" s="863" t="str">
        <f t="shared" si="50"/>
        <v>552SXF25</v>
      </c>
      <c r="Z159" s="823">
        <v>320008</v>
      </c>
      <c r="AA159" s="230"/>
      <c r="AB159" s="314">
        <v>0</v>
      </c>
      <c r="AC159" s="314">
        <v>0</v>
      </c>
      <c r="AD159" s="314">
        <v>0</v>
      </c>
      <c r="AE159" s="314">
        <v>0</v>
      </c>
      <c r="AF159" s="314">
        <v>0</v>
      </c>
      <c r="AG159" s="314">
        <v>0</v>
      </c>
      <c r="AH159" s="314">
        <v>0</v>
      </c>
      <c r="AI159" s="314">
        <v>0</v>
      </c>
      <c r="AJ159" s="314"/>
      <c r="AK159" s="314"/>
      <c r="AL159" s="314"/>
      <c r="AM159" s="314"/>
      <c r="AN159" s="230"/>
      <c r="AO159" s="314"/>
      <c r="AP159" s="314"/>
      <c r="AQ159" s="230"/>
      <c r="AR159" s="314"/>
      <c r="AS159" s="314"/>
      <c r="AT159" s="314"/>
      <c r="AU159" s="314"/>
      <c r="AV159" s="314"/>
      <c r="AW159" s="314"/>
      <c r="AX159" s="314"/>
      <c r="AY159" s="314"/>
      <c r="AZ159" s="314"/>
      <c r="BA159" s="314"/>
      <c r="BB159" s="314"/>
      <c r="BC159" s="314"/>
      <c r="BD159" s="314"/>
      <c r="BE159" s="314"/>
      <c r="BF159" s="205">
        <f t="shared" si="51"/>
        <v>0</v>
      </c>
      <c r="BG159" s="786">
        <f t="shared" si="53"/>
        <v>0</v>
      </c>
      <c r="BH159" s="786">
        <f t="shared" si="54"/>
        <v>0</v>
      </c>
    </row>
    <row r="160" spans="1:62">
      <c r="A160" s="287">
        <v>43</v>
      </c>
      <c r="B160" s="234" t="s">
        <v>396</v>
      </c>
      <c r="C160" s="234" t="s">
        <v>64</v>
      </c>
      <c r="D160" s="337">
        <v>50</v>
      </c>
      <c r="E160" s="230">
        <v>0</v>
      </c>
      <c r="F160" s="100">
        <f>SUMIF(pro!$A:$A,INTGRATE!$Y:$Y,pro!$N:$N)</f>
        <v>0</v>
      </c>
      <c r="G160" s="230"/>
      <c r="H160" s="314">
        <f>SUMIF(CBIN!$A:$A,INTGRATE!$Y:$Y,CBIN!$G:$G)</f>
        <v>0</v>
      </c>
      <c r="I160" s="230">
        <f>SUMIF(data!$D:$D,INTGRATE!$B160&amp;INTGRATE!$D160,data!$J:$J)</f>
        <v>0</v>
      </c>
      <c r="J160" s="230"/>
      <c r="K160" s="230"/>
      <c r="L160" s="230">
        <f>SUMIF(data!$D:$D,INTGRATE!$B160&amp;INTGRATE!$D160,data!$K:$K)</f>
        <v>0</v>
      </c>
      <c r="M160" s="314">
        <f>SUMIF(AJOUT!$A:$A,INTGRATE!$Y:$Y,AJOUT!$L:$L)</f>
        <v>0</v>
      </c>
      <c r="N160" s="100">
        <f>SUMIF(CBOUT!$A:$A,INTGRATE!$Y:$Y,CBOUT!$G:$G)</f>
        <v>0</v>
      </c>
      <c r="O160" s="482">
        <f>E160+F160+H160-I160-N160+G160-M160</f>
        <v>0</v>
      </c>
      <c r="P160" s="230">
        <f>O160*D160</f>
        <v>0</v>
      </c>
      <c r="Q160" s="230">
        <f>SUM(AA160:BE160)</f>
        <v>0</v>
      </c>
      <c r="R160" s="205"/>
      <c r="S160" s="205"/>
      <c r="T160" s="230">
        <f t="shared" si="56"/>
        <v>0</v>
      </c>
      <c r="U160" s="875">
        <f>IF(T160=0,0,P160/T160)</f>
        <v>0</v>
      </c>
      <c r="V160" s="876"/>
      <c r="W160" s="452"/>
      <c r="X160" s="232"/>
      <c r="Y160" s="863" t="str">
        <f>B160&amp;D160</f>
        <v>552SFS3150</v>
      </c>
      <c r="Z160" s="818">
        <v>32010831</v>
      </c>
      <c r="AA160" s="230"/>
      <c r="AB160" s="314">
        <v>0</v>
      </c>
      <c r="AC160" s="314">
        <v>0</v>
      </c>
      <c r="AD160" s="314">
        <v>0</v>
      </c>
      <c r="AE160" s="314">
        <v>0</v>
      </c>
      <c r="AF160" s="314">
        <v>0</v>
      </c>
      <c r="AG160" s="314">
        <v>0</v>
      </c>
      <c r="AH160" s="314">
        <v>0</v>
      </c>
      <c r="AI160" s="314">
        <v>0</v>
      </c>
      <c r="AJ160" s="314"/>
      <c r="AK160" s="314"/>
      <c r="AL160" s="314"/>
      <c r="AM160" s="314"/>
      <c r="AN160" s="230"/>
      <c r="AO160" s="314"/>
      <c r="AP160" s="314"/>
      <c r="AQ160" s="230"/>
      <c r="AR160" s="314"/>
      <c r="AS160" s="314"/>
      <c r="AT160" s="314"/>
      <c r="AU160" s="314"/>
      <c r="AV160" s="314"/>
      <c r="AW160" s="314"/>
      <c r="AX160" s="314"/>
      <c r="AY160" s="314"/>
      <c r="AZ160" s="314"/>
      <c r="BA160" s="314"/>
      <c r="BB160" s="314"/>
      <c r="BC160" s="314"/>
      <c r="BD160" s="314"/>
      <c r="BE160" s="314"/>
      <c r="BF160" s="205">
        <f t="shared" si="51"/>
        <v>0</v>
      </c>
      <c r="BG160" s="786">
        <f t="shared" si="53"/>
        <v>0</v>
      </c>
      <c r="BH160" s="786">
        <f t="shared" si="54"/>
        <v>0</v>
      </c>
    </row>
    <row r="161" spans="1:60">
      <c r="A161" s="287">
        <v>44</v>
      </c>
      <c r="B161" s="234" t="s">
        <v>397</v>
      </c>
      <c r="C161" s="234" t="s">
        <v>64</v>
      </c>
      <c r="D161" s="337">
        <v>50</v>
      </c>
      <c r="E161" s="230">
        <v>0</v>
      </c>
      <c r="F161" s="100">
        <f>SUMIF(pro!$A:$A,INTGRATE!$Y:$Y,pro!$N:$N)</f>
        <v>0</v>
      </c>
      <c r="G161" s="230"/>
      <c r="H161" s="314">
        <f>SUMIF(CBIN!$A:$A,INTGRATE!$Y:$Y,CBIN!$G:$G)</f>
        <v>0</v>
      </c>
      <c r="I161" s="230">
        <f>SUMIF(data!$D:$D,INTGRATE!$B161&amp;INTGRATE!$D161,data!$J:$J)</f>
        <v>0</v>
      </c>
      <c r="J161" s="230"/>
      <c r="K161" s="230"/>
      <c r="L161" s="230">
        <f>SUMIF(data!$D:$D,INTGRATE!$B161&amp;INTGRATE!$D161,data!$K:$K)</f>
        <v>0</v>
      </c>
      <c r="M161" s="314">
        <f>SUMIF(AJOUT!$A:$A,INTGRATE!$Y:$Y,AJOUT!$L:$L)</f>
        <v>0</v>
      </c>
      <c r="N161" s="100">
        <f>SUMIF(CBOUT!$A:$A,INTGRATE!$Y:$Y,CBOUT!$G:$G)</f>
        <v>0</v>
      </c>
      <c r="O161" s="482">
        <f t="shared" si="52"/>
        <v>0</v>
      </c>
      <c r="P161" s="230">
        <f t="shared" si="46"/>
        <v>0</v>
      </c>
      <c r="Q161" s="230">
        <f t="shared" si="57"/>
        <v>0</v>
      </c>
      <c r="R161" s="205"/>
      <c r="S161" s="205"/>
      <c r="T161" s="230">
        <f t="shared" si="56"/>
        <v>0</v>
      </c>
      <c r="U161" s="875">
        <f t="shared" si="55"/>
        <v>0</v>
      </c>
      <c r="V161" s="876"/>
      <c r="W161" s="345"/>
      <c r="X161" s="232"/>
      <c r="Y161" s="863" t="str">
        <f t="shared" si="50"/>
        <v>552SFS1350</v>
      </c>
      <c r="Z161" s="818">
        <v>32010813</v>
      </c>
      <c r="AA161" s="230"/>
      <c r="AB161" s="314">
        <v>0</v>
      </c>
      <c r="AC161" s="314">
        <v>0</v>
      </c>
      <c r="AD161" s="314">
        <v>0</v>
      </c>
      <c r="AE161" s="314">
        <v>0</v>
      </c>
      <c r="AF161" s="314">
        <v>0</v>
      </c>
      <c r="AG161" s="314">
        <v>0</v>
      </c>
      <c r="AH161" s="314">
        <v>0</v>
      </c>
      <c r="AI161" s="314">
        <v>0</v>
      </c>
      <c r="AJ161" s="314"/>
      <c r="AK161" s="314"/>
      <c r="AL161" s="314"/>
      <c r="AM161" s="314"/>
      <c r="AN161" s="230"/>
      <c r="AO161" s="314"/>
      <c r="AP161" s="314"/>
      <c r="AQ161" s="230"/>
      <c r="AR161" s="314"/>
      <c r="AS161" s="314"/>
      <c r="AT161" s="314"/>
      <c r="AU161" s="314"/>
      <c r="AV161" s="314"/>
      <c r="AW161" s="314"/>
      <c r="AX161" s="314"/>
      <c r="AY161" s="314"/>
      <c r="AZ161" s="314"/>
      <c r="BA161" s="314"/>
      <c r="BB161" s="314"/>
      <c r="BC161" s="314"/>
      <c r="BD161" s="314"/>
      <c r="BE161" s="314"/>
      <c r="BF161" s="205">
        <f t="shared" si="51"/>
        <v>0</v>
      </c>
      <c r="BG161" s="786">
        <f t="shared" si="53"/>
        <v>0</v>
      </c>
      <c r="BH161" s="786">
        <f t="shared" si="54"/>
        <v>0</v>
      </c>
    </row>
    <row r="162" spans="1:60">
      <c r="A162" s="287">
        <v>45</v>
      </c>
      <c r="B162" s="234" t="s">
        <v>398</v>
      </c>
      <c r="C162" s="234" t="s">
        <v>64</v>
      </c>
      <c r="D162" s="337">
        <v>50</v>
      </c>
      <c r="E162" s="230">
        <v>0</v>
      </c>
      <c r="F162" s="100">
        <f>SUMIF(pro!$A:$A,INTGRATE!$Y:$Y,pro!$N:$N)</f>
        <v>0</v>
      </c>
      <c r="G162" s="230"/>
      <c r="H162" s="314">
        <f>SUMIF(CBIN!$A:$A,INTGRATE!$Y:$Y,CBIN!$G:$G)</f>
        <v>0</v>
      </c>
      <c r="I162" s="230">
        <f>SUMIF(data!$D:$D,INTGRATE!$B162&amp;INTGRATE!$D162,data!$J:$J)</f>
        <v>0</v>
      </c>
      <c r="J162" s="230"/>
      <c r="K162" s="230"/>
      <c r="L162" s="230">
        <f>SUMIF(data!$D:$D,INTGRATE!$B162&amp;INTGRATE!$D162,data!$K:$K)</f>
        <v>0</v>
      </c>
      <c r="M162" s="314">
        <f>SUMIF(AJOUT!$A:$A,INTGRATE!$Y:$Y,AJOUT!$L:$L)</f>
        <v>0</v>
      </c>
      <c r="N162" s="100">
        <f>SUMIF(CBOUT!$A:$A,INTGRATE!$Y:$Y,CBOUT!$G:$G)</f>
        <v>0</v>
      </c>
      <c r="O162" s="482">
        <f t="shared" ref="O162:O200" si="64">E162+F162+H162-I162-N162+G162-M162</f>
        <v>0</v>
      </c>
      <c r="P162" s="230">
        <f t="shared" ref="P162:P195" si="65">O162*D162</f>
        <v>0</v>
      </c>
      <c r="Q162" s="230">
        <f t="shared" ref="Q162:Q183" si="66">SUM(AA162:BE162)</f>
        <v>0</v>
      </c>
      <c r="R162" s="205"/>
      <c r="S162" s="205"/>
      <c r="T162" s="230">
        <f t="shared" si="56"/>
        <v>0</v>
      </c>
      <c r="U162" s="875">
        <f>IF(T162=0,0,P162/T162)</f>
        <v>0</v>
      </c>
      <c r="V162" s="876"/>
      <c r="W162" s="345"/>
      <c r="X162" s="232"/>
      <c r="Y162" s="863" t="str">
        <f t="shared" ref="Y162:Y210" si="67">B162&amp;D162</f>
        <v>552SFS3750</v>
      </c>
      <c r="Z162" s="818">
        <v>32010837</v>
      </c>
      <c r="AA162" s="230"/>
      <c r="AB162" s="314">
        <v>0</v>
      </c>
      <c r="AC162" s="314">
        <v>0</v>
      </c>
      <c r="AD162" s="314">
        <v>0</v>
      </c>
      <c r="AE162" s="314">
        <v>0</v>
      </c>
      <c r="AF162" s="314">
        <v>0</v>
      </c>
      <c r="AG162" s="314">
        <v>0</v>
      </c>
      <c r="AH162" s="314">
        <v>0</v>
      </c>
      <c r="AI162" s="314">
        <v>0</v>
      </c>
      <c r="AJ162" s="314"/>
      <c r="AK162" s="314"/>
      <c r="AL162" s="314"/>
      <c r="AM162" s="314"/>
      <c r="AN162" s="230"/>
      <c r="AO162" s="314"/>
      <c r="AP162" s="314"/>
      <c r="AQ162" s="230"/>
      <c r="AR162" s="314"/>
      <c r="AS162" s="314"/>
      <c r="AT162" s="314"/>
      <c r="AU162" s="314"/>
      <c r="AV162" s="314"/>
      <c r="AW162" s="314"/>
      <c r="AX162" s="314"/>
      <c r="AY162" s="314"/>
      <c r="AZ162" s="314"/>
      <c r="BA162" s="314"/>
      <c r="BB162" s="314"/>
      <c r="BC162" s="314"/>
      <c r="BD162" s="314"/>
      <c r="BE162" s="314"/>
      <c r="BF162" s="205">
        <f t="shared" si="51"/>
        <v>0</v>
      </c>
      <c r="BG162" s="786">
        <f t="shared" si="53"/>
        <v>0</v>
      </c>
      <c r="BH162" s="786">
        <f t="shared" si="54"/>
        <v>0</v>
      </c>
    </row>
    <row r="163" spans="1:60">
      <c r="A163" s="287">
        <v>46</v>
      </c>
      <c r="B163" s="234" t="s">
        <v>399</v>
      </c>
      <c r="C163" s="234" t="s">
        <v>64</v>
      </c>
      <c r="D163" s="337">
        <v>50</v>
      </c>
      <c r="E163" s="230">
        <v>0</v>
      </c>
      <c r="F163" s="100">
        <f>SUMIF(pro!$A:$A,INTGRATE!$Y:$Y,pro!$N:$N)</f>
        <v>0</v>
      </c>
      <c r="G163" s="230"/>
      <c r="H163" s="314"/>
      <c r="I163" s="230">
        <f>SUMIF(data!$D:$D,INTGRATE!$B163&amp;INTGRATE!$D163,data!$J:$J)</f>
        <v>0</v>
      </c>
      <c r="J163" s="230"/>
      <c r="K163" s="230"/>
      <c r="L163" s="230">
        <f>SUMIF(data!$D:$D,INTGRATE!$B163&amp;INTGRATE!$D163,data!$K:$K)</f>
        <v>0</v>
      </c>
      <c r="M163" s="314">
        <f>SUMIF(AJOUT!$A:$A,INTGRATE!$Y:$Y,AJOUT!$L:$L)</f>
        <v>0</v>
      </c>
      <c r="N163" s="100">
        <f>SUMIF(CBOUT!$A:$A,INTGRATE!$Y:$Y,CBOUT!$G:$G)</f>
        <v>0</v>
      </c>
      <c r="O163" s="482">
        <f>E163+F163+H163-I163-N163+G163-M163</f>
        <v>0</v>
      </c>
      <c r="P163" s="230">
        <f>O163*D163</f>
        <v>0</v>
      </c>
      <c r="Q163" s="230">
        <f>SUM(AA163:BE163)</f>
        <v>0</v>
      </c>
      <c r="R163" s="205"/>
      <c r="S163" s="205"/>
      <c r="T163" s="230">
        <f t="shared" si="56"/>
        <v>0</v>
      </c>
      <c r="U163" s="875">
        <f>IF(T163=0,0,P163/T163)</f>
        <v>0</v>
      </c>
      <c r="V163" s="876"/>
      <c r="W163" s="345"/>
      <c r="X163" s="232"/>
      <c r="Y163" s="863" t="str">
        <f>B163&amp;D163</f>
        <v>552SFS7350</v>
      </c>
      <c r="Z163" s="818">
        <v>32010873</v>
      </c>
      <c r="AA163" s="230"/>
      <c r="AB163" s="314">
        <v>0</v>
      </c>
      <c r="AC163" s="314">
        <v>0</v>
      </c>
      <c r="AD163" s="314">
        <v>0</v>
      </c>
      <c r="AE163" s="314">
        <v>0</v>
      </c>
      <c r="AF163" s="314">
        <v>0</v>
      </c>
      <c r="AG163" s="314">
        <v>0</v>
      </c>
      <c r="AH163" s="314">
        <v>0</v>
      </c>
      <c r="AI163" s="314">
        <v>0</v>
      </c>
      <c r="AJ163" s="314"/>
      <c r="AK163" s="314"/>
      <c r="AL163" s="314"/>
      <c r="AM163" s="314"/>
      <c r="AN163" s="230"/>
      <c r="AO163" s="314"/>
      <c r="AP163" s="314"/>
      <c r="AQ163" s="230"/>
      <c r="AR163" s="314"/>
      <c r="AS163" s="314"/>
      <c r="AT163" s="314"/>
      <c r="AU163" s="314"/>
      <c r="AV163" s="314"/>
      <c r="AW163" s="314"/>
      <c r="AX163" s="314"/>
      <c r="AY163" s="314"/>
      <c r="AZ163" s="314"/>
      <c r="BA163" s="314"/>
      <c r="BB163" s="314"/>
      <c r="BC163" s="314"/>
      <c r="BD163" s="314"/>
      <c r="BE163" s="314"/>
      <c r="BF163" s="205">
        <f t="shared" si="51"/>
        <v>0</v>
      </c>
      <c r="BG163" s="786">
        <f t="shared" si="53"/>
        <v>0</v>
      </c>
      <c r="BH163" s="786">
        <f t="shared" si="54"/>
        <v>0</v>
      </c>
    </row>
    <row r="164" spans="1:60">
      <c r="A164" s="287">
        <v>47</v>
      </c>
      <c r="B164" s="234" t="s">
        <v>400</v>
      </c>
      <c r="C164" s="234" t="s">
        <v>64</v>
      </c>
      <c r="D164" s="337">
        <v>50</v>
      </c>
      <c r="E164" s="230">
        <v>45</v>
      </c>
      <c r="F164" s="100">
        <f>SUMIF(pro!$A:$A,INTGRATE!$Y:$Y,pro!$N:$N)</f>
        <v>4413</v>
      </c>
      <c r="G164" s="230"/>
      <c r="H164" s="314">
        <f>SUMIF(CBIN!$A:$A,INTGRATE!$Y:$Y,CBIN!$G:$G)</f>
        <v>0</v>
      </c>
      <c r="I164" s="230">
        <f>SUMIF(data!$D:$D,INTGRATE!$B164&amp;INTGRATE!$D164,data!$J:$J)</f>
        <v>0</v>
      </c>
      <c r="J164" s="230"/>
      <c r="K164" s="230"/>
      <c r="L164" s="230">
        <f>SUMIF(data!$D:$D,INTGRATE!$B164&amp;INTGRATE!$D164,data!$K:$K)</f>
        <v>0</v>
      </c>
      <c r="M164" s="314">
        <f>SUMIF(AJOUT!$A:$A,INTGRATE!$Y:$Y,AJOUT!$L:$L)</f>
        <v>0</v>
      </c>
      <c r="N164" s="100">
        <f>SUMIF(CBOUT!$A:$A,INTGRATE!$Y:$Y,CBOUT!$G:$G)</f>
        <v>0</v>
      </c>
      <c r="O164" s="482">
        <f t="shared" si="64"/>
        <v>4458</v>
      </c>
      <c r="P164" s="230">
        <f t="shared" si="65"/>
        <v>222900</v>
      </c>
      <c r="Q164" s="230">
        <f t="shared" si="66"/>
        <v>593300</v>
      </c>
      <c r="R164" s="205"/>
      <c r="S164" s="205"/>
      <c r="T164" s="230">
        <f t="shared" si="56"/>
        <v>65922.222222222219</v>
      </c>
      <c r="U164" s="875">
        <f t="shared" si="55"/>
        <v>3.3812573740097762</v>
      </c>
      <c r="V164" s="876"/>
      <c r="W164" s="345"/>
      <c r="X164" s="232"/>
      <c r="Y164" s="863" t="str">
        <f t="shared" si="67"/>
        <v>552SFS9050</v>
      </c>
      <c r="Z164" s="818">
        <v>32010890</v>
      </c>
      <c r="AA164" s="230"/>
      <c r="AB164" s="314">
        <v>276250</v>
      </c>
      <c r="AC164" s="314">
        <v>317050</v>
      </c>
      <c r="AD164" s="314">
        <v>0</v>
      </c>
      <c r="AE164" s="314">
        <v>0</v>
      </c>
      <c r="AF164" s="314">
        <v>0</v>
      </c>
      <c r="AG164" s="314">
        <v>0</v>
      </c>
      <c r="AH164" s="314">
        <v>0</v>
      </c>
      <c r="AI164" s="314">
        <v>0</v>
      </c>
      <c r="AJ164" s="314"/>
      <c r="AK164" s="314"/>
      <c r="AL164" s="314"/>
      <c r="AM164" s="314"/>
      <c r="AN164" s="230"/>
      <c r="AO164" s="314"/>
      <c r="AP164" s="314"/>
      <c r="AQ164" s="230"/>
      <c r="AR164" s="314"/>
      <c r="AS164" s="314"/>
      <c r="AT164" s="314"/>
      <c r="AU164" s="314"/>
      <c r="AV164" s="314"/>
      <c r="AW164" s="314"/>
      <c r="AX164" s="314"/>
      <c r="AY164" s="314"/>
      <c r="AZ164" s="314"/>
      <c r="BA164" s="314"/>
      <c r="BB164" s="314"/>
      <c r="BC164" s="314"/>
      <c r="BD164" s="314"/>
      <c r="BE164" s="314"/>
      <c r="BF164" s="205">
        <f t="shared" si="51"/>
        <v>593300</v>
      </c>
      <c r="BG164" s="786">
        <f t="shared" si="53"/>
        <v>2</v>
      </c>
      <c r="BH164" s="786">
        <f t="shared" si="54"/>
        <v>296650</v>
      </c>
    </row>
    <row r="165" spans="1:60">
      <c r="A165" s="287">
        <v>48</v>
      </c>
      <c r="B165" s="234" t="s">
        <v>401</v>
      </c>
      <c r="C165" s="234" t="s">
        <v>64</v>
      </c>
      <c r="D165" s="337">
        <v>50</v>
      </c>
      <c r="E165" s="230">
        <v>0</v>
      </c>
      <c r="F165" s="100">
        <f>SUMIF(pro!$A:$A,INTGRATE!$Y:$Y,pro!$N:$N)</f>
        <v>0</v>
      </c>
      <c r="G165" s="230"/>
      <c r="H165" s="314">
        <f>SUMIF(CBIN!$A:$A,INTGRATE!$Y:$Y,CBIN!$G:$G)</f>
        <v>0</v>
      </c>
      <c r="I165" s="230">
        <f>SUMIF(data!$D:$D,INTGRATE!$B165&amp;INTGRATE!$D165,data!$J:$J)</f>
        <v>0</v>
      </c>
      <c r="J165" s="230"/>
      <c r="K165" s="230"/>
      <c r="L165" s="230">
        <f>SUMIF(data!$D:$D,INTGRATE!$B165&amp;INTGRATE!$D165,data!$K:$K)</f>
        <v>0</v>
      </c>
      <c r="M165" s="314">
        <f>SUMIF(AJOUT!$A:$A,INTGRATE!$Y:$Y,AJOUT!$L:$L)</f>
        <v>0</v>
      </c>
      <c r="N165" s="100">
        <f>SUMIF(CBOUT!$A:$A,INTGRATE!$Y:$Y,CBOUT!$G:$G)</f>
        <v>0</v>
      </c>
      <c r="O165" s="482">
        <f t="shared" si="64"/>
        <v>0</v>
      </c>
      <c r="P165" s="230">
        <f t="shared" si="65"/>
        <v>0</v>
      </c>
      <c r="Q165" s="230">
        <f t="shared" si="66"/>
        <v>0</v>
      </c>
      <c r="R165" s="205"/>
      <c r="S165" s="205"/>
      <c r="T165" s="230">
        <f t="shared" si="56"/>
        <v>0</v>
      </c>
      <c r="U165" s="875">
        <f t="shared" si="55"/>
        <v>0</v>
      </c>
      <c r="V165" s="876"/>
      <c r="W165" s="345"/>
      <c r="X165" s="232"/>
      <c r="Y165" s="863" t="str">
        <f t="shared" si="67"/>
        <v>553BF50</v>
      </c>
      <c r="Z165" s="818" t="s">
        <v>402</v>
      </c>
      <c r="AA165" s="230"/>
      <c r="AB165" s="314">
        <v>0</v>
      </c>
      <c r="AC165" s="314">
        <v>0</v>
      </c>
      <c r="AD165" s="314">
        <v>0</v>
      </c>
      <c r="AE165" s="314">
        <v>0</v>
      </c>
      <c r="AF165" s="314">
        <v>0</v>
      </c>
      <c r="AG165" s="314">
        <v>0</v>
      </c>
      <c r="AH165" s="314">
        <v>0</v>
      </c>
      <c r="AI165" s="314">
        <v>0</v>
      </c>
      <c r="AJ165" s="314"/>
      <c r="AK165" s="314"/>
      <c r="AL165" s="314"/>
      <c r="AM165" s="314"/>
      <c r="AN165" s="230"/>
      <c r="AO165" s="314"/>
      <c r="AP165" s="314"/>
      <c r="AQ165" s="230"/>
      <c r="AR165" s="314"/>
      <c r="AS165" s="314"/>
      <c r="AT165" s="314"/>
      <c r="AU165" s="314"/>
      <c r="AV165" s="314"/>
      <c r="AW165" s="314"/>
      <c r="AX165" s="314"/>
      <c r="AY165" s="314"/>
      <c r="AZ165" s="314"/>
      <c r="BA165" s="314"/>
      <c r="BB165" s="314"/>
      <c r="BC165" s="314"/>
      <c r="BD165" s="314"/>
      <c r="BE165" s="314"/>
      <c r="BF165" s="205">
        <f t="shared" si="51"/>
        <v>0</v>
      </c>
      <c r="BG165" s="786">
        <f t="shared" si="53"/>
        <v>0</v>
      </c>
      <c r="BH165" s="786">
        <f t="shared" si="54"/>
        <v>0</v>
      </c>
    </row>
    <row r="166" spans="1:60">
      <c r="A166" s="287">
        <v>49</v>
      </c>
      <c r="B166" s="234" t="s">
        <v>403</v>
      </c>
      <c r="C166" s="234" t="s">
        <v>64</v>
      </c>
      <c r="D166" s="337">
        <v>50</v>
      </c>
      <c r="E166" s="230">
        <v>3326</v>
      </c>
      <c r="F166" s="100">
        <f>SUMIF(pro!$A:$A,INTGRATE!$Y:$Y,pro!$N:$N)</f>
        <v>0</v>
      </c>
      <c r="G166" s="230"/>
      <c r="H166" s="314">
        <f>SUMIF(CBIN!$A:$A,INTGRATE!$Y:$Y,CBIN!$G:$G)</f>
        <v>0</v>
      </c>
      <c r="I166" s="230">
        <f>SUMIF(data!$D:$D,INTGRATE!$B166&amp;INTGRATE!$D166,data!$J:$J)</f>
        <v>0</v>
      </c>
      <c r="J166" s="230"/>
      <c r="K166" s="230"/>
      <c r="L166" s="230">
        <f>SUMIF(data!$D:$D,INTGRATE!$B166&amp;INTGRATE!$D166,data!$K:$K)</f>
        <v>0</v>
      </c>
      <c r="M166" s="314">
        <f>SUMIF(AJOUT!$A:$A,INTGRATE!$Y:$Y,AJOUT!$L:$L)</f>
        <v>0</v>
      </c>
      <c r="N166" s="100">
        <f>SUMIF(CBOUT!$A:$A,INTGRATE!$Y:$Y,CBOUT!$G:$G)</f>
        <v>0</v>
      </c>
      <c r="O166" s="482">
        <f t="shared" si="64"/>
        <v>3326</v>
      </c>
      <c r="P166" s="230">
        <f t="shared" si="65"/>
        <v>166300</v>
      </c>
      <c r="Q166" s="230">
        <f t="shared" si="66"/>
        <v>964000</v>
      </c>
      <c r="R166" s="205"/>
      <c r="S166" s="205"/>
      <c r="T166" s="230">
        <f t="shared" si="56"/>
        <v>107111.11111111111</v>
      </c>
      <c r="U166" s="875">
        <f t="shared" si="55"/>
        <v>1.5525933609958507</v>
      </c>
      <c r="V166" s="876"/>
      <c r="W166" s="345"/>
      <c r="X166" s="232"/>
      <c r="Y166" s="863" t="str">
        <f t="shared" si="67"/>
        <v>553MF50</v>
      </c>
      <c r="Z166" s="818" t="s">
        <v>404</v>
      </c>
      <c r="AA166" s="230"/>
      <c r="AB166" s="314">
        <v>93750</v>
      </c>
      <c r="AC166" s="314">
        <v>86450</v>
      </c>
      <c r="AD166" s="314">
        <v>54750</v>
      </c>
      <c r="AE166" s="314">
        <v>115950</v>
      </c>
      <c r="AF166" s="314">
        <v>128900</v>
      </c>
      <c r="AG166" s="314">
        <v>190650</v>
      </c>
      <c r="AH166" s="314">
        <v>76500</v>
      </c>
      <c r="AI166" s="314">
        <v>217050</v>
      </c>
      <c r="AJ166" s="314"/>
      <c r="AK166" s="314"/>
      <c r="AL166" s="314"/>
      <c r="AM166" s="314"/>
      <c r="AN166" s="230"/>
      <c r="AO166" s="314"/>
      <c r="AP166" s="314"/>
      <c r="AQ166" s="230"/>
      <c r="AR166" s="314"/>
      <c r="AS166" s="314"/>
      <c r="AT166" s="314"/>
      <c r="AU166" s="314"/>
      <c r="AV166" s="314"/>
      <c r="AW166" s="314"/>
      <c r="AX166" s="314"/>
      <c r="AY166" s="314"/>
      <c r="AZ166" s="314"/>
      <c r="BA166" s="314"/>
      <c r="BB166" s="314"/>
      <c r="BC166" s="314"/>
      <c r="BD166" s="314"/>
      <c r="BE166" s="314"/>
      <c r="BF166" s="205">
        <f t="shared" si="51"/>
        <v>964000</v>
      </c>
      <c r="BG166" s="786">
        <f t="shared" si="53"/>
        <v>8</v>
      </c>
      <c r="BH166" s="786">
        <f t="shared" si="54"/>
        <v>120500</v>
      </c>
    </row>
    <row r="167" spans="1:60">
      <c r="A167" s="287">
        <v>50</v>
      </c>
      <c r="B167" s="234" t="s">
        <v>405</v>
      </c>
      <c r="C167" s="234" t="s">
        <v>64</v>
      </c>
      <c r="D167" s="337">
        <v>50</v>
      </c>
      <c r="E167" s="230">
        <v>0</v>
      </c>
      <c r="F167" s="100">
        <f>SUMIF(pro!$A:$A,INTGRATE!$Y:$Y,pro!$N:$N)</f>
        <v>0</v>
      </c>
      <c r="G167" s="230"/>
      <c r="H167" s="314">
        <f>SUMIF(CBIN!$A:$A,INTGRATE!$Y:$Y,CBIN!$G:$G)</f>
        <v>0</v>
      </c>
      <c r="I167" s="230">
        <f>SUMIF(data!$D:$D,INTGRATE!$B167&amp;INTGRATE!$D167,data!$J:$J)</f>
        <v>0</v>
      </c>
      <c r="J167" s="230"/>
      <c r="K167" s="230"/>
      <c r="L167" s="230">
        <f>SUMIF(data!$D:$D,INTGRATE!$B167&amp;INTGRATE!$D167,data!$K:$K)</f>
        <v>0</v>
      </c>
      <c r="M167" s="314">
        <f>SUMIF(AJOUT!$A:$A,INTGRATE!$Y:$Y,AJOUT!$L:$L)</f>
        <v>0</v>
      </c>
      <c r="N167" s="100">
        <f>SUMIF(CBOUT!$A:$A,INTGRATE!$Y:$Y,CBOUT!$G:$G)</f>
        <v>0</v>
      </c>
      <c r="O167" s="482">
        <f t="shared" si="64"/>
        <v>0</v>
      </c>
      <c r="P167" s="230">
        <f t="shared" si="65"/>
        <v>0</v>
      </c>
      <c r="Q167" s="230">
        <f t="shared" si="66"/>
        <v>0</v>
      </c>
      <c r="R167" s="205"/>
      <c r="S167" s="205"/>
      <c r="T167" s="230">
        <f t="shared" si="56"/>
        <v>0</v>
      </c>
      <c r="U167" s="875">
        <f t="shared" si="55"/>
        <v>0</v>
      </c>
      <c r="V167" s="876"/>
      <c r="W167" s="345"/>
      <c r="X167" s="232"/>
      <c r="Y167" s="863" t="str">
        <f t="shared" si="67"/>
        <v>553MFS3450</v>
      </c>
      <c r="Z167" s="818">
        <v>33221834</v>
      </c>
      <c r="AA167" s="230"/>
      <c r="AB167" s="314">
        <v>0</v>
      </c>
      <c r="AC167" s="314">
        <v>0</v>
      </c>
      <c r="AD167" s="314">
        <v>0</v>
      </c>
      <c r="AE167" s="314">
        <v>0</v>
      </c>
      <c r="AF167" s="314">
        <v>0</v>
      </c>
      <c r="AG167" s="314">
        <v>0</v>
      </c>
      <c r="AH167" s="314">
        <v>0</v>
      </c>
      <c r="AI167" s="314">
        <v>0</v>
      </c>
      <c r="AJ167" s="314"/>
      <c r="AK167" s="314"/>
      <c r="AL167" s="314"/>
      <c r="AM167" s="314"/>
      <c r="AN167" s="230"/>
      <c r="AO167" s="314"/>
      <c r="AP167" s="314"/>
      <c r="AQ167" s="230"/>
      <c r="AR167" s="314"/>
      <c r="AS167" s="314"/>
      <c r="AT167" s="314"/>
      <c r="AU167" s="314"/>
      <c r="AV167" s="314"/>
      <c r="AW167" s="314"/>
      <c r="AX167" s="314"/>
      <c r="AY167" s="314"/>
      <c r="AZ167" s="314"/>
      <c r="BA167" s="314"/>
      <c r="BB167" s="314"/>
      <c r="BC167" s="314"/>
      <c r="BD167" s="314"/>
      <c r="BE167" s="314"/>
      <c r="BF167" s="205">
        <f t="shared" si="51"/>
        <v>0</v>
      </c>
      <c r="BG167" s="786">
        <f t="shared" si="53"/>
        <v>0</v>
      </c>
      <c r="BH167" s="786">
        <f t="shared" si="54"/>
        <v>0</v>
      </c>
    </row>
    <row r="168" spans="1:60">
      <c r="A168" s="287">
        <v>51</v>
      </c>
      <c r="B168" s="234" t="s">
        <v>406</v>
      </c>
      <c r="C168" s="234" t="s">
        <v>64</v>
      </c>
      <c r="D168" s="337">
        <v>50</v>
      </c>
      <c r="E168" s="230">
        <v>0</v>
      </c>
      <c r="F168" s="100">
        <f>SUMIF(pro!$A:$A,INTGRATE!$Y:$Y,pro!$N:$N)</f>
        <v>0</v>
      </c>
      <c r="G168" s="230"/>
      <c r="H168" s="314">
        <f>SUMIF(CBIN!$A:$A,INTGRATE!$Y:$Y,CBIN!$G:$G)</f>
        <v>0</v>
      </c>
      <c r="I168" s="230">
        <f>SUMIF(data!$D:$D,INTGRATE!$B168&amp;INTGRATE!$D168,data!$J:$J)</f>
        <v>0</v>
      </c>
      <c r="J168" s="230"/>
      <c r="K168" s="230"/>
      <c r="L168" s="230">
        <f>SUMIF(data!$D:$D,INTGRATE!$B168&amp;INTGRATE!$D168,data!$K:$K)</f>
        <v>0</v>
      </c>
      <c r="M168" s="314">
        <f>SUMIF(AJOUT!$A:$A,INTGRATE!$Y:$Y,AJOUT!$L:$L)</f>
        <v>0</v>
      </c>
      <c r="N168" s="100">
        <f>SUMIF(CBOUT!$A:$A,INTGRATE!$Y:$Y,CBOUT!$G:$G)</f>
        <v>0</v>
      </c>
      <c r="O168" s="482">
        <f t="shared" si="64"/>
        <v>0</v>
      </c>
      <c r="P168" s="230">
        <f t="shared" si="65"/>
        <v>0</v>
      </c>
      <c r="Q168" s="230">
        <f t="shared" si="66"/>
        <v>0</v>
      </c>
      <c r="R168" s="205"/>
      <c r="S168" s="205"/>
      <c r="T168" s="230">
        <f t="shared" si="56"/>
        <v>0</v>
      </c>
      <c r="U168" s="875">
        <f t="shared" si="55"/>
        <v>0</v>
      </c>
      <c r="V168" s="876"/>
      <c r="W168" s="345"/>
      <c r="X168" s="232"/>
      <c r="Y168" s="863" t="str">
        <f t="shared" si="67"/>
        <v>553MFS7350</v>
      </c>
      <c r="Z168" s="818">
        <v>33221873</v>
      </c>
      <c r="AA168" s="230"/>
      <c r="AB168" s="314">
        <v>0</v>
      </c>
      <c r="AC168" s="314">
        <v>0</v>
      </c>
      <c r="AD168" s="314">
        <v>0</v>
      </c>
      <c r="AE168" s="314">
        <v>0</v>
      </c>
      <c r="AF168" s="314">
        <v>0</v>
      </c>
      <c r="AG168" s="314">
        <v>0</v>
      </c>
      <c r="AH168" s="314">
        <v>0</v>
      </c>
      <c r="AI168" s="314">
        <v>0</v>
      </c>
      <c r="AJ168" s="314"/>
      <c r="AK168" s="314"/>
      <c r="AL168" s="314"/>
      <c r="AM168" s="314"/>
      <c r="AN168" s="230"/>
      <c r="AO168" s="314"/>
      <c r="AP168" s="314"/>
      <c r="AQ168" s="230"/>
      <c r="AR168" s="314"/>
      <c r="AS168" s="314"/>
      <c r="AT168" s="314"/>
      <c r="AU168" s="314"/>
      <c r="AV168" s="314"/>
      <c r="AW168" s="314"/>
      <c r="AX168" s="314"/>
      <c r="AY168" s="314"/>
      <c r="AZ168" s="314"/>
      <c r="BA168" s="314"/>
      <c r="BB168" s="314"/>
      <c r="BC168" s="314"/>
      <c r="BD168" s="314"/>
      <c r="BE168" s="314"/>
      <c r="BF168" s="205">
        <f t="shared" si="51"/>
        <v>0</v>
      </c>
      <c r="BG168" s="786">
        <f t="shared" si="53"/>
        <v>0</v>
      </c>
      <c r="BH168" s="786">
        <f t="shared" si="54"/>
        <v>0</v>
      </c>
    </row>
    <row r="169" spans="1:60">
      <c r="A169" s="287">
        <v>52</v>
      </c>
      <c r="B169" s="234" t="s">
        <v>407</v>
      </c>
      <c r="C169" s="234" t="s">
        <v>64</v>
      </c>
      <c r="D169" s="337">
        <v>50</v>
      </c>
      <c r="E169" s="230">
        <v>0</v>
      </c>
      <c r="F169" s="100">
        <f>SUMIF(pro!$A:$A,INTGRATE!$Y:$Y,pro!$N:$N)</f>
        <v>0</v>
      </c>
      <c r="G169" s="230"/>
      <c r="H169" s="314">
        <f>SUMIF(CBIN!$A:$A,INTGRATE!$Y:$Y,CBIN!$G:$G)</f>
        <v>0</v>
      </c>
      <c r="I169" s="230">
        <f>SUMIF(data!$D:$D,INTGRATE!$B169&amp;INTGRATE!$D169,data!$J:$J)</f>
        <v>0</v>
      </c>
      <c r="J169" s="230"/>
      <c r="K169" s="230"/>
      <c r="L169" s="230">
        <f>SUMIF(data!$D:$D,INTGRATE!$B169&amp;INTGRATE!$D169,data!$K:$K)</f>
        <v>0</v>
      </c>
      <c r="M169" s="314">
        <f>SUMIF(AJOUT!$A:$A,INTGRATE!$Y:$Y,AJOUT!$L:$L)</f>
        <v>0</v>
      </c>
      <c r="N169" s="100">
        <f>SUMIF(CBOUT!$A:$A,INTGRATE!$Y:$Y,CBOUT!$G:$G)</f>
        <v>0</v>
      </c>
      <c r="O169" s="482">
        <f t="shared" si="64"/>
        <v>0</v>
      </c>
      <c r="P169" s="230">
        <f t="shared" si="65"/>
        <v>0</v>
      </c>
      <c r="Q169" s="230">
        <f t="shared" si="66"/>
        <v>0</v>
      </c>
      <c r="R169" s="205"/>
      <c r="S169" s="205"/>
      <c r="T169" s="230">
        <f t="shared" si="56"/>
        <v>0</v>
      </c>
      <c r="U169" s="875">
        <f t="shared" si="55"/>
        <v>0</v>
      </c>
      <c r="V169" s="876"/>
      <c r="W169" s="345"/>
      <c r="X169" s="232"/>
      <c r="Y169" s="863" t="str">
        <f t="shared" si="67"/>
        <v>553MFS9050</v>
      </c>
      <c r="Z169" s="818">
        <v>33221890</v>
      </c>
      <c r="AA169" s="230"/>
      <c r="AB169" s="314">
        <v>0</v>
      </c>
      <c r="AC169" s="314">
        <v>0</v>
      </c>
      <c r="AD169" s="314">
        <v>0</v>
      </c>
      <c r="AE169" s="314">
        <v>0</v>
      </c>
      <c r="AF169" s="314">
        <v>0</v>
      </c>
      <c r="AG169" s="314">
        <v>0</v>
      </c>
      <c r="AH169" s="314">
        <v>0</v>
      </c>
      <c r="AI169" s="314">
        <v>0</v>
      </c>
      <c r="AJ169" s="314"/>
      <c r="AK169" s="314"/>
      <c r="AL169" s="314"/>
      <c r="AM169" s="314"/>
      <c r="AN169" s="230"/>
      <c r="AO169" s="314"/>
      <c r="AP169" s="314"/>
      <c r="AQ169" s="230"/>
      <c r="AR169" s="314"/>
      <c r="AS169" s="314"/>
      <c r="AT169" s="314"/>
      <c r="AU169" s="314"/>
      <c r="AV169" s="314"/>
      <c r="AW169" s="314"/>
      <c r="AX169" s="314"/>
      <c r="AY169" s="314"/>
      <c r="AZ169" s="314"/>
      <c r="BA169" s="314"/>
      <c r="BB169" s="314"/>
      <c r="BC169" s="314"/>
      <c r="BD169" s="314"/>
      <c r="BE169" s="314"/>
      <c r="BF169" s="205">
        <f t="shared" si="51"/>
        <v>0</v>
      </c>
      <c r="BG169" s="786">
        <f t="shared" si="53"/>
        <v>0</v>
      </c>
      <c r="BH169" s="786">
        <f t="shared" si="54"/>
        <v>0</v>
      </c>
    </row>
    <row r="170" spans="1:60">
      <c r="A170" s="287">
        <v>53</v>
      </c>
      <c r="B170" s="234" t="s">
        <v>408</v>
      </c>
      <c r="C170" s="234" t="s">
        <v>64</v>
      </c>
      <c r="D170" s="542">
        <v>25</v>
      </c>
      <c r="E170" s="230">
        <v>0</v>
      </c>
      <c r="F170" s="100">
        <f>SUMIF(pro!$A:$A,INTGRATE!$Y:$Y,pro!$N:$N)</f>
        <v>0</v>
      </c>
      <c r="G170" s="230"/>
      <c r="H170" s="314">
        <f>SUMIF(CBIN!$A:$A,INTGRATE!$Y:$Y,CBIN!$G:$G)</f>
        <v>0</v>
      </c>
      <c r="I170" s="230">
        <f>SUMIF(data!$D:$D,INTGRATE!$B170&amp;INTGRATE!$D170,data!$J:$J)</f>
        <v>0</v>
      </c>
      <c r="J170" s="230"/>
      <c r="K170" s="230"/>
      <c r="L170" s="230">
        <f>SUMIF(data!$D:$D,INTGRATE!$B170&amp;INTGRATE!$D170,data!$K:$K)</f>
        <v>0</v>
      </c>
      <c r="M170" s="314">
        <f>SUMIF(AJOUT!$A:$A,INTGRATE!$Y:$Y,AJOUT!$L:$L)</f>
        <v>0</v>
      </c>
      <c r="N170" s="100">
        <f>SUMIF(CBOUT!$A:$A,INTGRATE!$Y:$Y,CBOUT!$G:$G)</f>
        <v>0</v>
      </c>
      <c r="O170" s="482">
        <f t="shared" si="64"/>
        <v>0</v>
      </c>
      <c r="P170" s="230">
        <f t="shared" si="65"/>
        <v>0</v>
      </c>
      <c r="Q170" s="230">
        <f t="shared" si="66"/>
        <v>0</v>
      </c>
      <c r="R170" s="205"/>
      <c r="S170" s="205"/>
      <c r="T170" s="230">
        <f t="shared" si="56"/>
        <v>0</v>
      </c>
      <c r="U170" s="875">
        <f>IF(T170=0,0,P170/T170)</f>
        <v>0</v>
      </c>
      <c r="V170" s="876"/>
      <c r="W170" s="345"/>
      <c r="X170" s="232"/>
      <c r="Y170" s="863" t="str">
        <f t="shared" si="67"/>
        <v>553SF25</v>
      </c>
      <c r="Z170" s="818">
        <v>332101</v>
      </c>
      <c r="AA170" s="230"/>
      <c r="AB170" s="314">
        <v>0</v>
      </c>
      <c r="AC170" s="314">
        <v>0</v>
      </c>
      <c r="AD170" s="314">
        <v>0</v>
      </c>
      <c r="AE170" s="314">
        <v>0</v>
      </c>
      <c r="AF170" s="314">
        <v>0</v>
      </c>
      <c r="AG170" s="314">
        <v>0</v>
      </c>
      <c r="AH170" s="314">
        <v>0</v>
      </c>
      <c r="AI170" s="314">
        <v>0</v>
      </c>
      <c r="AJ170" s="314"/>
      <c r="AK170" s="314"/>
      <c r="AL170" s="314"/>
      <c r="AM170" s="314"/>
      <c r="AN170" s="230"/>
      <c r="AO170" s="314"/>
      <c r="AP170" s="314"/>
      <c r="AQ170" s="230"/>
      <c r="AR170" s="314"/>
      <c r="AS170" s="314"/>
      <c r="AT170" s="314"/>
      <c r="AU170" s="314"/>
      <c r="AV170" s="314"/>
      <c r="AW170" s="314"/>
      <c r="AX170" s="314"/>
      <c r="AY170" s="314"/>
      <c r="AZ170" s="314"/>
      <c r="BA170" s="314"/>
      <c r="BB170" s="314"/>
      <c r="BC170" s="314"/>
      <c r="BD170" s="314"/>
      <c r="BE170" s="314"/>
      <c r="BF170" s="205">
        <f t="shared" si="51"/>
        <v>0</v>
      </c>
      <c r="BG170" s="786">
        <f t="shared" si="53"/>
        <v>0</v>
      </c>
      <c r="BH170" s="786">
        <f t="shared" si="54"/>
        <v>0</v>
      </c>
    </row>
    <row r="171" spans="1:60">
      <c r="A171" s="287">
        <v>54</v>
      </c>
      <c r="B171" s="234" t="s">
        <v>408</v>
      </c>
      <c r="C171" s="234" t="s">
        <v>64</v>
      </c>
      <c r="D171" s="337">
        <v>50</v>
      </c>
      <c r="E171" s="230">
        <v>0</v>
      </c>
      <c r="F171" s="100">
        <f>SUMIF(pro!$A:$A,INTGRATE!$Y:$Y,pro!$N:$N)</f>
        <v>0</v>
      </c>
      <c r="G171" s="230"/>
      <c r="H171" s="314">
        <f>SUMIF(CBIN!$A:$A,INTGRATE!$Y:$Y,CBIN!$G:$G)</f>
        <v>0</v>
      </c>
      <c r="I171" s="230">
        <f>SUMIF(data!$D:$D,INTGRATE!$B171&amp;INTGRATE!$D171,data!$J:$J)</f>
        <v>0</v>
      </c>
      <c r="J171" s="230"/>
      <c r="K171" s="230"/>
      <c r="L171" s="230">
        <f>SUMIF(data!$D:$D,INTGRATE!$B171&amp;INTGRATE!$D171,data!$K:$K)</f>
        <v>0</v>
      </c>
      <c r="M171" s="314">
        <f>SUMIF(AJOUT!$A:$A,INTGRATE!$Y:$Y,AJOUT!$L:$L)</f>
        <v>0</v>
      </c>
      <c r="N171" s="100">
        <f>SUMIF(CBOUT!$A:$A,INTGRATE!$Y:$Y,CBOUT!$G:$G)</f>
        <v>0</v>
      </c>
      <c r="O171" s="482">
        <f t="shared" si="64"/>
        <v>0</v>
      </c>
      <c r="P171" s="230">
        <f t="shared" si="65"/>
        <v>0</v>
      </c>
      <c r="Q171" s="230">
        <f t="shared" si="66"/>
        <v>0</v>
      </c>
      <c r="R171" s="205"/>
      <c r="S171" s="205"/>
      <c r="T171" s="230">
        <f t="shared" si="56"/>
        <v>0</v>
      </c>
      <c r="U171" s="875">
        <f t="shared" si="55"/>
        <v>0</v>
      </c>
      <c r="V171" s="876"/>
      <c r="W171" s="345"/>
      <c r="X171" s="232"/>
      <c r="Y171" s="863" t="str">
        <f t="shared" si="67"/>
        <v>553SF50</v>
      </c>
      <c r="Z171" s="818">
        <v>332101</v>
      </c>
      <c r="AA171" s="230"/>
      <c r="AB171" s="314">
        <v>0</v>
      </c>
      <c r="AC171" s="314">
        <v>0</v>
      </c>
      <c r="AD171" s="314">
        <v>0</v>
      </c>
      <c r="AE171" s="314">
        <v>0</v>
      </c>
      <c r="AF171" s="314">
        <v>0</v>
      </c>
      <c r="AG171" s="314">
        <v>0</v>
      </c>
      <c r="AH171" s="314">
        <v>0</v>
      </c>
      <c r="AI171" s="314">
        <v>0</v>
      </c>
      <c r="AJ171" s="314"/>
      <c r="AK171" s="314"/>
      <c r="AL171" s="314"/>
      <c r="AM171" s="314"/>
      <c r="AN171" s="230"/>
      <c r="AO171" s="314"/>
      <c r="AP171" s="314"/>
      <c r="AQ171" s="230"/>
      <c r="AR171" s="314"/>
      <c r="AS171" s="314"/>
      <c r="AT171" s="314"/>
      <c r="AU171" s="314"/>
      <c r="AV171" s="314"/>
      <c r="AW171" s="314"/>
      <c r="AX171" s="314"/>
      <c r="AY171" s="314"/>
      <c r="AZ171" s="314"/>
      <c r="BA171" s="314"/>
      <c r="BB171" s="314"/>
      <c r="BC171" s="314"/>
      <c r="BD171" s="314"/>
      <c r="BE171" s="314"/>
      <c r="BF171" s="205">
        <f t="shared" si="51"/>
        <v>0</v>
      </c>
      <c r="BG171" s="786">
        <f t="shared" si="53"/>
        <v>0</v>
      </c>
      <c r="BH171" s="786">
        <f t="shared" si="54"/>
        <v>0</v>
      </c>
    </row>
    <row r="172" spans="1:60">
      <c r="A172" s="287">
        <v>55</v>
      </c>
      <c r="B172" s="234" t="s">
        <v>409</v>
      </c>
      <c r="C172" s="234" t="s">
        <v>64</v>
      </c>
      <c r="D172" s="553">
        <v>25</v>
      </c>
      <c r="E172" s="230">
        <v>0</v>
      </c>
      <c r="F172" s="100"/>
      <c r="G172" s="230"/>
      <c r="H172" s="314">
        <f>SUMIF(CBIN!$A:$A,INTGRATE!$Y:$Y,CBIN!$G:$G)</f>
        <v>0</v>
      </c>
      <c r="I172" s="230">
        <f>SUMIF(data!$D:$D,INTGRATE!$B172&amp;INTGRATE!$D172,data!$J:$J)</f>
        <v>0</v>
      </c>
      <c r="J172" s="230"/>
      <c r="K172" s="230"/>
      <c r="L172" s="230">
        <f>SUMIF(data!$D:$D,INTGRATE!$B172&amp;INTGRATE!$D172,data!$K:$K)</f>
        <v>0</v>
      </c>
      <c r="M172" s="314">
        <f>SUMIF(AJOUT!$A:$A,INTGRATE!$Y:$Y,AJOUT!$L:$L)</f>
        <v>0</v>
      </c>
      <c r="N172" s="100">
        <f>SUMIF(CBOUT!$A:$A,INTGRATE!$Y:$Y,CBOUT!$G:$G)</f>
        <v>0</v>
      </c>
      <c r="O172" s="482">
        <f>E172+F172+H172-I172-N172+G172-M172</f>
        <v>0</v>
      </c>
      <c r="P172" s="230">
        <f>O172*D172</f>
        <v>0</v>
      </c>
      <c r="Q172" s="230">
        <f t="shared" si="66"/>
        <v>0</v>
      </c>
      <c r="R172" s="205"/>
      <c r="S172" s="205"/>
      <c r="T172" s="230">
        <f t="shared" si="56"/>
        <v>0</v>
      </c>
      <c r="U172" s="875">
        <f>IF(T172=0,0,P172/T172)</f>
        <v>0</v>
      </c>
      <c r="V172" s="876"/>
      <c r="W172" s="345"/>
      <c r="X172" s="232"/>
      <c r="Y172" s="863" t="str">
        <f>B172&amp;D172</f>
        <v>553WDF25</v>
      </c>
      <c r="Z172" s="818">
        <v>332481</v>
      </c>
      <c r="AA172" s="230"/>
      <c r="AB172" s="314">
        <v>0</v>
      </c>
      <c r="AC172" s="314">
        <v>0</v>
      </c>
      <c r="AD172" s="314">
        <v>0</v>
      </c>
      <c r="AE172" s="314">
        <v>0</v>
      </c>
      <c r="AF172" s="314">
        <v>0</v>
      </c>
      <c r="AG172" s="314">
        <v>0</v>
      </c>
      <c r="AH172" s="314">
        <v>0</v>
      </c>
      <c r="AI172" s="314">
        <v>0</v>
      </c>
      <c r="AJ172" s="314"/>
      <c r="AK172" s="314"/>
      <c r="AL172" s="314"/>
      <c r="AM172" s="314"/>
      <c r="AN172" s="230"/>
      <c r="AO172" s="314"/>
      <c r="AP172" s="314"/>
      <c r="AQ172" s="230"/>
      <c r="AR172" s="314"/>
      <c r="AS172" s="314"/>
      <c r="AT172" s="314"/>
      <c r="AU172" s="314"/>
      <c r="AV172" s="314"/>
      <c r="AW172" s="314"/>
      <c r="AX172" s="314"/>
      <c r="AY172" s="314"/>
      <c r="AZ172" s="314"/>
      <c r="BA172" s="314"/>
      <c r="BB172" s="314"/>
      <c r="BC172" s="314"/>
      <c r="BD172" s="314"/>
      <c r="BE172" s="314"/>
      <c r="BF172" s="205">
        <f t="shared" si="51"/>
        <v>0</v>
      </c>
      <c r="BG172" s="786">
        <f t="shared" si="53"/>
        <v>0</v>
      </c>
      <c r="BH172" s="786">
        <f t="shared" si="54"/>
        <v>0</v>
      </c>
    </row>
    <row r="173" spans="1:60">
      <c r="A173" s="287">
        <v>56</v>
      </c>
      <c r="B173" s="234" t="s">
        <v>409</v>
      </c>
      <c r="C173" s="234" t="s">
        <v>64</v>
      </c>
      <c r="D173" s="337">
        <v>50</v>
      </c>
      <c r="E173" s="230">
        <v>0</v>
      </c>
      <c r="F173" s="100">
        <f>SUMIF(pro!$A:$A,INTGRATE!$Y:$Y,pro!$N:$N)</f>
        <v>0</v>
      </c>
      <c r="G173" s="230"/>
      <c r="H173" s="314">
        <f>SUMIF(CBIN!$A:$A,INTGRATE!$Y:$Y,CBIN!$G:$G)</f>
        <v>0</v>
      </c>
      <c r="I173" s="230">
        <f>SUMIF(data!$D:$D,INTGRATE!$B173&amp;INTGRATE!$D173,data!$J:$J)</f>
        <v>0</v>
      </c>
      <c r="J173" s="230"/>
      <c r="K173" s="230"/>
      <c r="L173" s="230">
        <f>SUMIF(data!$D:$D,INTGRATE!$B173&amp;INTGRATE!$D173,data!$K:$K)</f>
        <v>0</v>
      </c>
      <c r="M173" s="314">
        <f>SUMIF(AJOUT!$A:$A,INTGRATE!$Y:$Y,AJOUT!$L:$L)</f>
        <v>0</v>
      </c>
      <c r="N173" s="100">
        <f>SUMIF(CBOUT!$A:$A,INTGRATE!$Y:$Y,CBOUT!$G:$G)</f>
        <v>0</v>
      </c>
      <c r="O173" s="482">
        <f t="shared" si="64"/>
        <v>0</v>
      </c>
      <c r="P173" s="230">
        <f t="shared" si="65"/>
        <v>0</v>
      </c>
      <c r="Q173" s="230">
        <f t="shared" si="66"/>
        <v>0</v>
      </c>
      <c r="R173" s="205"/>
      <c r="S173" s="205"/>
      <c r="T173" s="230">
        <f t="shared" si="56"/>
        <v>0</v>
      </c>
      <c r="U173" s="875">
        <f t="shared" si="55"/>
        <v>0</v>
      </c>
      <c r="V173" s="876"/>
      <c r="W173" s="345"/>
      <c r="X173" s="232"/>
      <c r="Y173" s="863" t="str">
        <f t="shared" si="67"/>
        <v>553WDF50</v>
      </c>
      <c r="Z173" s="818">
        <v>332481</v>
      </c>
      <c r="AA173" s="230"/>
      <c r="AB173" s="314">
        <v>0</v>
      </c>
      <c r="AC173" s="314">
        <v>0</v>
      </c>
      <c r="AD173" s="314">
        <v>0</v>
      </c>
      <c r="AE173" s="314">
        <v>0</v>
      </c>
      <c r="AF173" s="314">
        <v>0</v>
      </c>
      <c r="AG173" s="314">
        <v>0</v>
      </c>
      <c r="AH173" s="314">
        <v>0</v>
      </c>
      <c r="AI173" s="314">
        <v>0</v>
      </c>
      <c r="AJ173" s="314"/>
      <c r="AK173" s="314"/>
      <c r="AL173" s="314"/>
      <c r="AM173" s="314"/>
      <c r="AN173" s="230"/>
      <c r="AO173" s="314"/>
      <c r="AP173" s="314"/>
      <c r="AQ173" s="230"/>
      <c r="AR173" s="314"/>
      <c r="AS173" s="314"/>
      <c r="AT173" s="314"/>
      <c r="AU173" s="314"/>
      <c r="AV173" s="314"/>
      <c r="AW173" s="314"/>
      <c r="AX173" s="314"/>
      <c r="AY173" s="314"/>
      <c r="AZ173" s="314"/>
      <c r="BA173" s="314"/>
      <c r="BB173" s="314"/>
      <c r="BC173" s="314"/>
      <c r="BD173" s="314"/>
      <c r="BE173" s="314"/>
      <c r="BF173" s="205">
        <f t="shared" si="51"/>
        <v>0</v>
      </c>
      <c r="BG173" s="786">
        <f t="shared" si="53"/>
        <v>0</v>
      </c>
      <c r="BH173" s="786">
        <f t="shared" si="54"/>
        <v>0</v>
      </c>
    </row>
    <row r="174" spans="1:60">
      <c r="A174" s="287">
        <v>57</v>
      </c>
      <c r="B174" s="331" t="s">
        <v>410</v>
      </c>
      <c r="C174" s="361" t="s">
        <v>64</v>
      </c>
      <c r="D174" s="597">
        <v>50</v>
      </c>
      <c r="E174" s="230">
        <v>0</v>
      </c>
      <c r="F174" s="100">
        <f>SUMIF(pro!$A:$A,INTGRATE!$Y:$Y,pro!$N:$N)</f>
        <v>0</v>
      </c>
      <c r="G174" s="230"/>
      <c r="H174" s="314">
        <f>SUMIF(CBIN!$A:$A,INTGRATE!$Y:$Y,CBIN!$G:$G)</f>
        <v>0</v>
      </c>
      <c r="I174" s="230">
        <f>SUMIF(data!$D:$D,INTGRATE!$B174&amp;INTGRATE!$D174,data!$J:$J)</f>
        <v>0</v>
      </c>
      <c r="J174" s="230"/>
      <c r="K174" s="230"/>
      <c r="L174" s="230">
        <f>SUMIF(data!$D:$D,INTGRATE!$B174&amp;INTGRATE!$D174,data!$K:$K)</f>
        <v>0</v>
      </c>
      <c r="M174" s="314">
        <f>SUMIF(AJOUT!$A:$A,INTGRATE!$Y:$Y,AJOUT!$L:$L)</f>
        <v>0</v>
      </c>
      <c r="N174" s="100">
        <f>SUMIF(CBOUT!$A:$A,INTGRATE!$Y:$Y,CBOUT!$G:$G)</f>
        <v>0</v>
      </c>
      <c r="O174" s="482">
        <f t="shared" si="64"/>
        <v>0</v>
      </c>
      <c r="P174" s="230">
        <f t="shared" si="65"/>
        <v>0</v>
      </c>
      <c r="Q174" s="230">
        <f t="shared" si="66"/>
        <v>0</v>
      </c>
      <c r="R174" s="205"/>
      <c r="S174" s="205"/>
      <c r="T174" s="230">
        <f t="shared" si="56"/>
        <v>0</v>
      </c>
      <c r="U174" s="875">
        <f t="shared" si="55"/>
        <v>0</v>
      </c>
      <c r="V174" s="876"/>
      <c r="W174" s="403"/>
      <c r="X174" s="232"/>
      <c r="Y174" s="863" t="str">
        <f t="shared" si="67"/>
        <v>562F50</v>
      </c>
      <c r="Z174" s="818" t="s">
        <v>411</v>
      </c>
      <c r="AA174" s="230"/>
      <c r="AB174" s="314">
        <v>0</v>
      </c>
      <c r="AC174" s="314">
        <v>0</v>
      </c>
      <c r="AD174" s="314">
        <v>0</v>
      </c>
      <c r="AE174" s="314">
        <v>0</v>
      </c>
      <c r="AF174" s="314">
        <v>0</v>
      </c>
      <c r="AG174" s="314">
        <v>0</v>
      </c>
      <c r="AH174" s="314">
        <v>0</v>
      </c>
      <c r="AI174" s="314">
        <v>0</v>
      </c>
      <c r="AJ174" s="314"/>
      <c r="AK174" s="314"/>
      <c r="AL174" s="314"/>
      <c r="AM174" s="314"/>
      <c r="AN174" s="230"/>
      <c r="AO174" s="314"/>
      <c r="AP174" s="314"/>
      <c r="AQ174" s="230"/>
      <c r="AR174" s="314"/>
      <c r="AS174" s="314"/>
      <c r="AT174" s="314"/>
      <c r="AU174" s="314"/>
      <c r="AV174" s="314"/>
      <c r="AW174" s="314"/>
      <c r="AX174" s="314"/>
      <c r="AY174" s="314"/>
      <c r="AZ174" s="314"/>
      <c r="BA174" s="314"/>
      <c r="BB174" s="314"/>
      <c r="BC174" s="314"/>
      <c r="BD174" s="314"/>
      <c r="BE174" s="314"/>
      <c r="BF174" s="205">
        <f t="shared" si="51"/>
        <v>0</v>
      </c>
      <c r="BG174" s="786">
        <f t="shared" si="53"/>
        <v>0</v>
      </c>
      <c r="BH174" s="786">
        <f t="shared" si="54"/>
        <v>0</v>
      </c>
    </row>
    <row r="175" spans="1:60">
      <c r="A175" s="287">
        <v>58</v>
      </c>
      <c r="B175" s="331" t="s">
        <v>412</v>
      </c>
      <c r="C175" s="361" t="s">
        <v>64</v>
      </c>
      <c r="D175" s="597">
        <v>50</v>
      </c>
      <c r="E175" s="230">
        <v>0</v>
      </c>
      <c r="F175" s="100">
        <f>SUMIF(pro!$A:$A,INTGRATE!$Y:$Y,pro!$N:$N)</f>
        <v>0</v>
      </c>
      <c r="G175" s="230"/>
      <c r="H175" s="314"/>
      <c r="I175" s="230">
        <f>SUMIF(data!$D:$D,INTGRATE!$B175&amp;INTGRATE!$D175,data!$J:$J)</f>
        <v>0</v>
      </c>
      <c r="J175" s="230"/>
      <c r="K175" s="230"/>
      <c r="L175" s="230">
        <f>SUMIF(data!$D:$D,INTGRATE!$B175&amp;INTGRATE!$D175,data!$K:$K)</f>
        <v>0</v>
      </c>
      <c r="M175" s="314">
        <f>SUMIF(AJOUT!$A:$A,INTGRATE!$Y:$Y,AJOUT!$L:$L)</f>
        <v>0</v>
      </c>
      <c r="N175" s="100">
        <f>SUMIF(CBOUT!$A:$A,INTGRATE!$Y:$Y,CBOUT!$G:$G)</f>
        <v>0</v>
      </c>
      <c r="O175" s="482">
        <f t="shared" ref="O175" si="68">E175+F175+H175-I175-N175+G175-M175</f>
        <v>0</v>
      </c>
      <c r="P175" s="230">
        <f t="shared" ref="P175" si="69">O175*D175</f>
        <v>0</v>
      </c>
      <c r="Q175" s="230">
        <f t="shared" ref="Q175" si="70">SUM(AA175:BE175)</f>
        <v>0</v>
      </c>
      <c r="R175" s="205"/>
      <c r="S175" s="205"/>
      <c r="T175" s="230">
        <f t="shared" si="56"/>
        <v>0</v>
      </c>
      <c r="U175" s="875">
        <f t="shared" ref="U175" si="71">IF(T175=0,0,P175/T175)</f>
        <v>0</v>
      </c>
      <c r="V175" s="876"/>
      <c r="W175" s="403"/>
      <c r="X175" s="232"/>
      <c r="Y175" s="863" t="str">
        <f t="shared" si="67"/>
        <v>562FS9050</v>
      </c>
      <c r="Z175" s="818">
        <v>36210890</v>
      </c>
      <c r="AA175" s="230"/>
      <c r="AB175" s="314">
        <v>0</v>
      </c>
      <c r="AC175" s="314">
        <v>0</v>
      </c>
      <c r="AD175" s="314">
        <v>0</v>
      </c>
      <c r="AE175" s="314">
        <v>0</v>
      </c>
      <c r="AF175" s="314">
        <v>0</v>
      </c>
      <c r="AG175" s="314">
        <v>0</v>
      </c>
      <c r="AH175" s="314">
        <v>0</v>
      </c>
      <c r="AI175" s="314">
        <v>0</v>
      </c>
      <c r="AJ175" s="314"/>
      <c r="AK175" s="314"/>
      <c r="AL175" s="314"/>
      <c r="AM175" s="314"/>
      <c r="AN175" s="230"/>
      <c r="AO175" s="314"/>
      <c r="AP175" s="314"/>
      <c r="AQ175" s="230"/>
      <c r="AR175" s="314"/>
      <c r="AS175" s="314"/>
      <c r="AT175" s="314"/>
      <c r="AU175" s="314"/>
      <c r="AV175" s="314"/>
      <c r="AW175" s="314"/>
      <c r="AX175" s="314"/>
      <c r="AY175" s="314"/>
      <c r="AZ175" s="314"/>
      <c r="BA175" s="314"/>
      <c r="BB175" s="314"/>
      <c r="BC175" s="314"/>
      <c r="BD175" s="314"/>
      <c r="BE175" s="314"/>
      <c r="BF175" s="205">
        <f t="shared" si="51"/>
        <v>0</v>
      </c>
      <c r="BG175" s="786">
        <f t="shared" ref="BG175" si="72">COUNTIF(AA175:BE175,"&gt;0")</f>
        <v>0</v>
      </c>
      <c r="BH175" s="786">
        <f t="shared" ref="BH175" si="73">IFERROR(BF175/BG175,0)</f>
        <v>0</v>
      </c>
    </row>
    <row r="176" spans="1:60">
      <c r="A176" s="287">
        <v>59</v>
      </c>
      <c r="B176" s="331" t="s">
        <v>413</v>
      </c>
      <c r="C176" s="361" t="s">
        <v>64</v>
      </c>
      <c r="D176" s="597">
        <v>50</v>
      </c>
      <c r="E176" s="230">
        <v>96</v>
      </c>
      <c r="F176" s="100">
        <f>SUMIF(pro!$A:$A,INTGRATE!$Y:$Y,pro!$N:$N)</f>
        <v>0</v>
      </c>
      <c r="G176" s="230"/>
      <c r="H176" s="314">
        <f>SUMIF(CBIN!$A:$A,INTGRATE!$Y:$Y,CBIN!$G:$G)</f>
        <v>0</v>
      </c>
      <c r="I176" s="230">
        <f>SUMIF(data!$D:$D,INTGRATE!$B176&amp;INTGRATE!$D176,data!$J:$J)</f>
        <v>0</v>
      </c>
      <c r="J176" s="230"/>
      <c r="K176" s="230"/>
      <c r="L176" s="230">
        <f>SUMIF(data!$D:$D,INTGRATE!$B176&amp;INTGRATE!$D176,data!$K:$K)</f>
        <v>0</v>
      </c>
      <c r="M176" s="314">
        <f>SUMIF(AJOUT!$A:$A,INTGRATE!$Y:$Y,AJOUT!$L:$L)</f>
        <v>0</v>
      </c>
      <c r="N176" s="100">
        <f>SUMIF(CBOUT!$A:$A,INTGRATE!$Y:$Y,CBOUT!$G:$G)</f>
        <v>0</v>
      </c>
      <c r="O176" s="482">
        <f t="shared" si="64"/>
        <v>96</v>
      </c>
      <c r="P176" s="230">
        <f t="shared" si="65"/>
        <v>4800</v>
      </c>
      <c r="Q176" s="230">
        <f t="shared" si="66"/>
        <v>207450</v>
      </c>
      <c r="R176" s="205"/>
      <c r="S176" s="205"/>
      <c r="T176" s="230">
        <f t="shared" si="56"/>
        <v>23050</v>
      </c>
      <c r="U176" s="875">
        <f t="shared" si="55"/>
        <v>0.20824295010845986</v>
      </c>
      <c r="V176" s="876"/>
      <c r="W176" s="345"/>
      <c r="X176" s="232"/>
      <c r="Y176" s="863" t="str">
        <f t="shared" si="67"/>
        <v>562PF50</v>
      </c>
      <c r="Z176" s="818" t="s">
        <v>414</v>
      </c>
      <c r="AA176" s="230"/>
      <c r="AB176" s="314">
        <v>1500</v>
      </c>
      <c r="AC176" s="314">
        <v>0</v>
      </c>
      <c r="AD176" s="314">
        <v>14500</v>
      </c>
      <c r="AE176" s="314">
        <v>29000</v>
      </c>
      <c r="AF176" s="314">
        <v>83400</v>
      </c>
      <c r="AG176" s="314">
        <v>70550</v>
      </c>
      <c r="AH176" s="314">
        <v>0</v>
      </c>
      <c r="AI176" s="314">
        <v>8500</v>
      </c>
      <c r="AJ176" s="314"/>
      <c r="AK176" s="314"/>
      <c r="AL176" s="314"/>
      <c r="AM176" s="314"/>
      <c r="AN176" s="230"/>
      <c r="AO176" s="314"/>
      <c r="AP176" s="314"/>
      <c r="AQ176" s="230"/>
      <c r="AR176" s="314"/>
      <c r="AS176" s="314"/>
      <c r="AT176" s="314"/>
      <c r="AU176" s="314"/>
      <c r="AV176" s="314"/>
      <c r="AW176" s="314"/>
      <c r="AX176" s="314"/>
      <c r="AY176" s="314"/>
      <c r="AZ176" s="314"/>
      <c r="BA176" s="314"/>
      <c r="BB176" s="314"/>
      <c r="BC176" s="314"/>
      <c r="BD176" s="314"/>
      <c r="BE176" s="314"/>
      <c r="BF176" s="205">
        <f t="shared" si="51"/>
        <v>207450</v>
      </c>
      <c r="BG176" s="786">
        <f t="shared" si="53"/>
        <v>6</v>
      </c>
      <c r="BH176" s="786">
        <f t="shared" si="54"/>
        <v>34575</v>
      </c>
    </row>
    <row r="177" spans="1:60">
      <c r="A177" s="287">
        <v>60</v>
      </c>
      <c r="B177" s="331" t="s">
        <v>415</v>
      </c>
      <c r="C177" s="361" t="s">
        <v>64</v>
      </c>
      <c r="D177" s="597">
        <v>50</v>
      </c>
      <c r="E177" s="230">
        <v>0</v>
      </c>
      <c r="F177" s="100">
        <f>SUMIF(pro!$A:$A,INTGRATE!$Y:$Y,pro!$N:$N)</f>
        <v>0</v>
      </c>
      <c r="G177" s="230"/>
      <c r="H177" s="314">
        <f>SUMIF(CBIN!$A:$A,INTGRATE!$Y:$Y,CBIN!$G:$G)</f>
        <v>0</v>
      </c>
      <c r="I177" s="230">
        <f>SUMIF(data!$D:$D,INTGRATE!$B177&amp;INTGRATE!$D177,data!$J:$J)</f>
        <v>0</v>
      </c>
      <c r="J177" s="230"/>
      <c r="K177" s="230"/>
      <c r="L177" s="230">
        <f>SUMIF(data!$D:$D,INTGRATE!$B177&amp;INTGRATE!$D177,data!$K:$K)</f>
        <v>0</v>
      </c>
      <c r="M177" s="314">
        <f>SUMIF(AJOUT!$A:$A,INTGRATE!$Y:$Y,AJOUT!$L:$L)</f>
        <v>0</v>
      </c>
      <c r="N177" s="100">
        <f>SUMIF(CBOUT!$A:$A,INTGRATE!$Y:$Y,CBOUT!$G:$G)</f>
        <v>0</v>
      </c>
      <c r="O177" s="482">
        <f t="shared" si="64"/>
        <v>0</v>
      </c>
      <c r="P177" s="230">
        <f t="shared" si="65"/>
        <v>0</v>
      </c>
      <c r="Q177" s="230">
        <f t="shared" si="66"/>
        <v>0</v>
      </c>
      <c r="R177" s="205"/>
      <c r="S177" s="205"/>
      <c r="T177" s="230">
        <f t="shared" si="56"/>
        <v>0</v>
      </c>
      <c r="U177" s="875">
        <f t="shared" si="55"/>
        <v>0</v>
      </c>
      <c r="V177" s="876"/>
      <c r="W177" s="345"/>
      <c r="X177" s="232"/>
      <c r="Y177" s="863" t="str">
        <f t="shared" si="67"/>
        <v>562PFS3450</v>
      </c>
      <c r="Z177" s="818">
        <v>36430834</v>
      </c>
      <c r="AA177" s="230"/>
      <c r="AB177" s="314">
        <v>0</v>
      </c>
      <c r="AC177" s="314">
        <v>0</v>
      </c>
      <c r="AD177" s="314">
        <v>0</v>
      </c>
      <c r="AE177" s="314">
        <v>0</v>
      </c>
      <c r="AF177" s="314">
        <v>0</v>
      </c>
      <c r="AG177" s="314">
        <v>0</v>
      </c>
      <c r="AH177" s="314">
        <v>0</v>
      </c>
      <c r="AI177" s="314">
        <v>0</v>
      </c>
      <c r="AJ177" s="314"/>
      <c r="AK177" s="314"/>
      <c r="AL177" s="314"/>
      <c r="AM177" s="314"/>
      <c r="AN177" s="230"/>
      <c r="AO177" s="314"/>
      <c r="AP177" s="314"/>
      <c r="AQ177" s="230"/>
      <c r="AR177" s="314"/>
      <c r="AS177" s="314"/>
      <c r="AT177" s="314"/>
      <c r="AU177" s="314"/>
      <c r="AV177" s="314"/>
      <c r="AW177" s="314"/>
      <c r="AX177" s="314"/>
      <c r="AY177" s="314"/>
      <c r="AZ177" s="314"/>
      <c r="BA177" s="314"/>
      <c r="BB177" s="314"/>
      <c r="BC177" s="314"/>
      <c r="BD177" s="314"/>
      <c r="BE177" s="314"/>
      <c r="BF177" s="205">
        <f t="shared" si="51"/>
        <v>0</v>
      </c>
      <c r="BG177" s="786">
        <f t="shared" si="53"/>
        <v>0</v>
      </c>
      <c r="BH177" s="786">
        <f t="shared" si="54"/>
        <v>0</v>
      </c>
    </row>
    <row r="178" spans="1:60">
      <c r="A178" s="287">
        <v>61</v>
      </c>
      <c r="B178" s="331" t="s">
        <v>416</v>
      </c>
      <c r="C178" s="361" t="s">
        <v>64</v>
      </c>
      <c r="D178" s="597">
        <v>50</v>
      </c>
      <c r="E178" s="230">
        <v>0</v>
      </c>
      <c r="F178" s="100">
        <f>SUMIF(pro!$A:$A,INTGRATE!$Y:$Y,pro!$N:$N)</f>
        <v>0</v>
      </c>
      <c r="G178" s="230"/>
      <c r="H178" s="314">
        <f>SUMIF(CBIN!$A:$A,INTGRATE!$Y:$Y,CBIN!$G:$G)</f>
        <v>0</v>
      </c>
      <c r="I178" s="230">
        <f>SUMIF(data!$D:$D,INTGRATE!$B178&amp;INTGRATE!$D178,data!$J:$J)</f>
        <v>0</v>
      </c>
      <c r="J178" s="230"/>
      <c r="K178" s="230"/>
      <c r="L178" s="230">
        <f>SUMIF(data!$D:$D,INTGRATE!$B178&amp;INTGRATE!$D178,data!$K:$K)</f>
        <v>0</v>
      </c>
      <c r="M178" s="314">
        <f>SUMIF(AJOUT!$A:$A,INTGRATE!$Y:$Y,AJOUT!$L:$L)</f>
        <v>0</v>
      </c>
      <c r="N178" s="100">
        <f>SUMIF(CBOUT!$A:$A,INTGRATE!$Y:$Y,CBOUT!$G:$G)</f>
        <v>0</v>
      </c>
      <c r="O178" s="482">
        <f>E178+F178+H178-I178-N178+G178-M178</f>
        <v>0</v>
      </c>
      <c r="P178" s="230">
        <f t="shared" si="65"/>
        <v>0</v>
      </c>
      <c r="Q178" s="230">
        <f t="shared" si="66"/>
        <v>0</v>
      </c>
      <c r="R178" s="205"/>
      <c r="S178" s="205"/>
      <c r="T178" s="230">
        <f t="shared" si="56"/>
        <v>0</v>
      </c>
      <c r="U178" s="875">
        <f>IF(T178=0,0,P178/T178)</f>
        <v>0</v>
      </c>
      <c r="V178" s="876"/>
      <c r="W178" s="345"/>
      <c r="X178" s="232"/>
      <c r="Y178" s="863" t="str">
        <f t="shared" si="67"/>
        <v>562PFS3750</v>
      </c>
      <c r="Z178" s="818">
        <v>36430837</v>
      </c>
      <c r="AA178" s="230"/>
      <c r="AB178" s="314">
        <v>0</v>
      </c>
      <c r="AC178" s="314">
        <v>0</v>
      </c>
      <c r="AD178" s="314">
        <v>0</v>
      </c>
      <c r="AE178" s="314">
        <v>0</v>
      </c>
      <c r="AF178" s="314">
        <v>0</v>
      </c>
      <c r="AG178" s="314">
        <v>0</v>
      </c>
      <c r="AH178" s="314">
        <v>0</v>
      </c>
      <c r="AI178" s="314">
        <v>0</v>
      </c>
      <c r="AJ178" s="314"/>
      <c r="AK178" s="314"/>
      <c r="AL178" s="314"/>
      <c r="AM178" s="314"/>
      <c r="AN178" s="230"/>
      <c r="AO178" s="314"/>
      <c r="AP178" s="314"/>
      <c r="AQ178" s="230"/>
      <c r="AR178" s="314"/>
      <c r="AS178" s="314"/>
      <c r="AT178" s="314"/>
      <c r="AU178" s="314"/>
      <c r="AV178" s="314"/>
      <c r="AW178" s="314"/>
      <c r="AX178" s="314"/>
      <c r="AY178" s="314"/>
      <c r="AZ178" s="314"/>
      <c r="BA178" s="314"/>
      <c r="BB178" s="314"/>
      <c r="BC178" s="314"/>
      <c r="BD178" s="314"/>
      <c r="BE178" s="314"/>
      <c r="BF178" s="205">
        <f t="shared" si="51"/>
        <v>0</v>
      </c>
      <c r="BG178" s="786">
        <f t="shared" si="53"/>
        <v>0</v>
      </c>
      <c r="BH178" s="786">
        <f t="shared" si="54"/>
        <v>0</v>
      </c>
    </row>
    <row r="179" spans="1:60">
      <c r="A179" s="287">
        <v>62</v>
      </c>
      <c r="B179" s="331" t="s">
        <v>417</v>
      </c>
      <c r="C179" s="361" t="s">
        <v>64</v>
      </c>
      <c r="D179" s="597">
        <v>50</v>
      </c>
      <c r="E179" s="230">
        <v>0</v>
      </c>
      <c r="F179" s="100">
        <f>SUMIF(pro!$A:$A,INTGRATE!$Y:$Y,pro!$N:$N)</f>
        <v>0</v>
      </c>
      <c r="G179" s="230"/>
      <c r="H179" s="314">
        <f>SUMIF(CBIN!$A:$A,INTGRATE!$Y:$Y,CBIN!$G:$G)</f>
        <v>0</v>
      </c>
      <c r="I179" s="230">
        <f>SUMIF(data!$D:$D,INTGRATE!$B179&amp;INTGRATE!$D179,data!$J:$J)</f>
        <v>0</v>
      </c>
      <c r="J179" s="230"/>
      <c r="K179" s="230"/>
      <c r="L179" s="230">
        <f>SUMIF(data!$D:$D,INTGRATE!$B179&amp;INTGRATE!$D179,data!$K:$K)</f>
        <v>0</v>
      </c>
      <c r="M179" s="314">
        <f>SUMIF(AJOUT!$A:$A,INTGRATE!$Y:$Y,AJOUT!$L:$L)</f>
        <v>0</v>
      </c>
      <c r="N179" s="100">
        <f>SUMIF(CBOUT!$A:$A,INTGRATE!$Y:$Y,CBOUT!$G:$G)</f>
        <v>0</v>
      </c>
      <c r="O179" s="482">
        <f>E179+F179+H179-I179-N179+G179-M179</f>
        <v>0</v>
      </c>
      <c r="P179" s="230">
        <f>O179*D179</f>
        <v>0</v>
      </c>
      <c r="Q179" s="230">
        <f t="shared" si="66"/>
        <v>0</v>
      </c>
      <c r="R179" s="205"/>
      <c r="S179" s="205"/>
      <c r="T179" s="230">
        <f t="shared" si="56"/>
        <v>0</v>
      </c>
      <c r="U179" s="875">
        <f>IF(T179=0,0,P179/T179)</f>
        <v>0</v>
      </c>
      <c r="V179" s="876"/>
      <c r="W179" s="345"/>
      <c r="X179" s="232"/>
      <c r="Y179" s="863" t="str">
        <f>B179&amp;D179</f>
        <v>562PFS7650</v>
      </c>
      <c r="Z179" s="818">
        <v>36430876</v>
      </c>
      <c r="AA179" s="230"/>
      <c r="AB179" s="314">
        <v>0</v>
      </c>
      <c r="AC179" s="314">
        <v>0</v>
      </c>
      <c r="AD179" s="314">
        <v>0</v>
      </c>
      <c r="AE179" s="314">
        <v>0</v>
      </c>
      <c r="AF179" s="314">
        <v>0</v>
      </c>
      <c r="AG179" s="314">
        <v>0</v>
      </c>
      <c r="AH179" s="314">
        <v>0</v>
      </c>
      <c r="AI179" s="314">
        <v>0</v>
      </c>
      <c r="AJ179" s="314"/>
      <c r="AK179" s="314"/>
      <c r="AL179" s="314"/>
      <c r="AM179" s="314"/>
      <c r="AN179" s="230"/>
      <c r="AO179" s="314"/>
      <c r="AP179" s="314"/>
      <c r="AQ179" s="230"/>
      <c r="AR179" s="314"/>
      <c r="AS179" s="314"/>
      <c r="AT179" s="314"/>
      <c r="AU179" s="314"/>
      <c r="AV179" s="314"/>
      <c r="AW179" s="314"/>
      <c r="AX179" s="314"/>
      <c r="AY179" s="314"/>
      <c r="AZ179" s="314"/>
      <c r="BA179" s="314"/>
      <c r="BB179" s="314"/>
      <c r="BC179" s="314"/>
      <c r="BD179" s="314"/>
      <c r="BE179" s="314"/>
      <c r="BF179" s="205">
        <f t="shared" si="51"/>
        <v>0</v>
      </c>
      <c r="BG179" s="786">
        <f t="shared" si="53"/>
        <v>0</v>
      </c>
      <c r="BH179" s="786">
        <f t="shared" si="54"/>
        <v>0</v>
      </c>
    </row>
    <row r="180" spans="1:60">
      <c r="A180" s="287">
        <v>63</v>
      </c>
      <c r="B180" s="331" t="s">
        <v>418</v>
      </c>
      <c r="C180" s="361" t="s">
        <v>64</v>
      </c>
      <c r="D180" s="597">
        <v>50</v>
      </c>
      <c r="E180" s="230">
        <v>46</v>
      </c>
      <c r="F180" s="100">
        <f>SUMIF(pro!$A:$A,INTGRATE!$Y:$Y,pro!$N:$N)</f>
        <v>1723</v>
      </c>
      <c r="G180" s="230"/>
      <c r="H180" s="314">
        <f>SUMIF(CBIN!$A:$A,INTGRATE!$Y:$Y,CBIN!$G:$G)</f>
        <v>0</v>
      </c>
      <c r="I180" s="230">
        <f>SUMIF(data!$D:$D,INTGRATE!$B180&amp;INTGRATE!$D180,data!$J:$J)</f>
        <v>0</v>
      </c>
      <c r="J180" s="230"/>
      <c r="K180" s="230"/>
      <c r="L180" s="230">
        <f>SUMIF(data!$D:$D,INTGRATE!$B180&amp;INTGRATE!$D180,data!$K:$K)</f>
        <v>0</v>
      </c>
      <c r="M180" s="314">
        <f>SUMIF(AJOUT!$A:$A,INTGRATE!$Y:$Y,AJOUT!$L:$L)</f>
        <v>0</v>
      </c>
      <c r="N180" s="100">
        <f>SUMIF(CBOUT!$A:$A,INTGRATE!$Y:$Y,CBOUT!$G:$G)</f>
        <v>0</v>
      </c>
      <c r="O180" s="482">
        <f>E180+F180+H180-I180-N180+G180-M180</f>
        <v>1769</v>
      </c>
      <c r="P180" s="230">
        <f>O180*D180</f>
        <v>88450</v>
      </c>
      <c r="Q180" s="230">
        <f t="shared" si="66"/>
        <v>62350</v>
      </c>
      <c r="R180" s="205"/>
      <c r="S180" s="205"/>
      <c r="T180" s="230">
        <f t="shared" si="56"/>
        <v>6927.7777777777774</v>
      </c>
      <c r="U180" s="875">
        <f>IF(T180=0,0,P180/T180)</f>
        <v>12.767441860465118</v>
      </c>
      <c r="V180" s="876"/>
      <c r="W180" s="345"/>
      <c r="X180" s="232"/>
      <c r="Y180" s="863" t="str">
        <f t="shared" si="67"/>
        <v>562PFS9050</v>
      </c>
      <c r="Z180" s="818">
        <v>36430890</v>
      </c>
      <c r="AA180" s="230"/>
      <c r="AB180" s="314">
        <v>13450</v>
      </c>
      <c r="AC180" s="314">
        <v>20500</v>
      </c>
      <c r="AD180" s="314">
        <v>26400</v>
      </c>
      <c r="AE180" s="314">
        <v>0</v>
      </c>
      <c r="AF180" s="314">
        <v>2000</v>
      </c>
      <c r="AG180" s="314">
        <v>0</v>
      </c>
      <c r="AH180" s="314">
        <v>0</v>
      </c>
      <c r="AI180" s="314">
        <v>0</v>
      </c>
      <c r="AJ180" s="314"/>
      <c r="AK180" s="314"/>
      <c r="AL180" s="314"/>
      <c r="AM180" s="314"/>
      <c r="AN180" s="230"/>
      <c r="AO180" s="314"/>
      <c r="AP180" s="314"/>
      <c r="AQ180" s="230"/>
      <c r="AR180" s="314"/>
      <c r="AS180" s="314"/>
      <c r="AT180" s="314"/>
      <c r="AU180" s="314"/>
      <c r="AV180" s="314"/>
      <c r="AW180" s="314"/>
      <c r="AX180" s="314"/>
      <c r="AY180" s="314"/>
      <c r="AZ180" s="314"/>
      <c r="BA180" s="314"/>
      <c r="BB180" s="314"/>
      <c r="BC180" s="314"/>
      <c r="BD180" s="314"/>
      <c r="BE180" s="314"/>
      <c r="BF180" s="205">
        <f t="shared" si="51"/>
        <v>62350</v>
      </c>
      <c r="BG180" s="786">
        <f t="shared" si="53"/>
        <v>4</v>
      </c>
      <c r="BH180" s="786">
        <f t="shared" si="54"/>
        <v>15587.5</v>
      </c>
    </row>
    <row r="181" spans="1:60">
      <c r="A181" s="287">
        <v>64</v>
      </c>
      <c r="B181" s="331" t="s">
        <v>419</v>
      </c>
      <c r="C181" s="361" t="s">
        <v>64</v>
      </c>
      <c r="D181" s="597">
        <v>50</v>
      </c>
      <c r="E181" s="230">
        <v>0</v>
      </c>
      <c r="F181" s="100">
        <f>SUMIF(pro!$A:$A,INTGRATE!$Y:$Y,pro!$N:$N)</f>
        <v>0</v>
      </c>
      <c r="G181" s="230"/>
      <c r="H181" s="314">
        <f>SUMIF(CBIN!$A:$A,INTGRATE!$Y:$Y,CBIN!$G:$G)</f>
        <v>0</v>
      </c>
      <c r="I181" s="230">
        <f>SUMIF(data!$D:$D,INTGRATE!$B181&amp;INTGRATE!$D181,data!$J:$J)</f>
        <v>0</v>
      </c>
      <c r="J181" s="230"/>
      <c r="K181" s="230"/>
      <c r="L181" s="230">
        <f>SUMIF(data!$D:$D,INTGRATE!$B181&amp;INTGRATE!$D181,data!$K:$K)</f>
        <v>0</v>
      </c>
      <c r="M181" s="314">
        <f>SUMIF(AJOUT!$A:$A,INTGRATE!$Y:$Y,AJOUT!$L:$L)</f>
        <v>0</v>
      </c>
      <c r="N181" s="100">
        <f>SUMIF(CBOUT!$A:$A,INTGRATE!$Y:$Y,CBOUT!$G:$G)</f>
        <v>0</v>
      </c>
      <c r="O181" s="482">
        <f t="shared" si="64"/>
        <v>0</v>
      </c>
      <c r="P181" s="230">
        <f t="shared" si="65"/>
        <v>0</v>
      </c>
      <c r="Q181" s="230">
        <f t="shared" si="66"/>
        <v>38050</v>
      </c>
      <c r="R181" s="205"/>
      <c r="S181" s="205"/>
      <c r="T181" s="230">
        <f t="shared" si="56"/>
        <v>4227.7777777777774</v>
      </c>
      <c r="U181" s="875">
        <f t="shared" si="55"/>
        <v>0</v>
      </c>
      <c r="V181" s="876"/>
      <c r="W181" s="345"/>
      <c r="X181" s="232"/>
      <c r="Y181" s="863" t="str">
        <f t="shared" si="67"/>
        <v>566F50</v>
      </c>
      <c r="Z181" s="818" t="s">
        <v>420</v>
      </c>
      <c r="AA181" s="230"/>
      <c r="AB181" s="314">
        <v>2750</v>
      </c>
      <c r="AC181" s="314">
        <v>0</v>
      </c>
      <c r="AD181" s="314">
        <v>3850</v>
      </c>
      <c r="AE181" s="314">
        <v>0</v>
      </c>
      <c r="AF181" s="314">
        <v>10000</v>
      </c>
      <c r="AG181" s="314">
        <v>21450</v>
      </c>
      <c r="AH181" s="314">
        <v>0</v>
      </c>
      <c r="AI181" s="314">
        <v>0</v>
      </c>
      <c r="AJ181" s="314"/>
      <c r="AK181" s="314"/>
      <c r="AL181" s="314"/>
      <c r="AM181" s="314"/>
      <c r="AN181" s="230"/>
      <c r="AO181" s="314"/>
      <c r="AP181" s="314"/>
      <c r="AQ181" s="230"/>
      <c r="AR181" s="314"/>
      <c r="AS181" s="314"/>
      <c r="AT181" s="314"/>
      <c r="AU181" s="314"/>
      <c r="AV181" s="314"/>
      <c r="AW181" s="314"/>
      <c r="AX181" s="314"/>
      <c r="AY181" s="314"/>
      <c r="AZ181" s="314"/>
      <c r="BA181" s="314"/>
      <c r="BB181" s="314"/>
      <c r="BC181" s="314"/>
      <c r="BD181" s="314"/>
      <c r="BE181" s="314"/>
      <c r="BF181" s="205">
        <f t="shared" si="51"/>
        <v>38050</v>
      </c>
      <c r="BG181" s="786">
        <f t="shared" si="53"/>
        <v>4</v>
      </c>
      <c r="BH181" s="786">
        <f t="shared" si="54"/>
        <v>9512.5</v>
      </c>
    </row>
    <row r="182" spans="1:60">
      <c r="A182" s="287">
        <v>65</v>
      </c>
      <c r="B182" s="331" t="s">
        <v>421</v>
      </c>
      <c r="C182" s="361" t="s">
        <v>64</v>
      </c>
      <c r="D182" s="597">
        <v>50</v>
      </c>
      <c r="E182" s="230">
        <v>0</v>
      </c>
      <c r="F182" s="100">
        <f>SUMIF(pro!$A:$A,INTGRATE!$Y:$Y,pro!$N:$N)</f>
        <v>0</v>
      </c>
      <c r="G182" s="230"/>
      <c r="H182" s="314">
        <f>SUMIF(CBIN!$A:$A,INTGRATE!$Y:$Y,CBIN!$G:$G)</f>
        <v>0</v>
      </c>
      <c r="I182" s="230">
        <f>SUMIF(data!$D:$D,INTGRATE!$B182&amp;INTGRATE!$D182,data!$J:$J)</f>
        <v>0</v>
      </c>
      <c r="J182" s="230"/>
      <c r="K182" s="230"/>
      <c r="L182" s="230">
        <f>SUMIF(data!$D:$D,INTGRATE!$B182&amp;INTGRATE!$D182,data!$K:$K)</f>
        <v>0</v>
      </c>
      <c r="M182" s="314">
        <f>SUMIF(AJOUT!$A:$A,INTGRATE!$Y:$Y,AJOUT!$L:$L)</f>
        <v>0</v>
      </c>
      <c r="N182" s="100">
        <f>SUMIF(CBOUT!$A:$A,INTGRATE!$Y:$Y,CBOUT!$G:$G)</f>
        <v>0</v>
      </c>
      <c r="O182" s="482">
        <f>E182+F182+H182-I182-N182+G182-M182</f>
        <v>0</v>
      </c>
      <c r="P182" s="230">
        <f>O182*D182</f>
        <v>0</v>
      </c>
      <c r="Q182" s="230">
        <f>SUM(AA182:BE182)</f>
        <v>0</v>
      </c>
      <c r="R182" s="205"/>
      <c r="S182" s="205"/>
      <c r="T182" s="230">
        <f t="shared" si="56"/>
        <v>0</v>
      </c>
      <c r="U182" s="875">
        <f>IF(T182=0,0,P182/T182)</f>
        <v>0</v>
      </c>
      <c r="V182" s="876"/>
      <c r="W182" s="781"/>
      <c r="X182" s="232"/>
      <c r="Y182" s="863" t="str">
        <f t="shared" si="67"/>
        <v>566FS2550</v>
      </c>
      <c r="Z182" s="818">
        <v>36630825</v>
      </c>
      <c r="AA182" s="230"/>
      <c r="AB182" s="314">
        <v>0</v>
      </c>
      <c r="AC182" s="314">
        <v>0</v>
      </c>
      <c r="AD182" s="314">
        <v>0</v>
      </c>
      <c r="AE182" s="314">
        <v>0</v>
      </c>
      <c r="AF182" s="314">
        <v>0</v>
      </c>
      <c r="AG182" s="314">
        <v>0</v>
      </c>
      <c r="AH182" s="314">
        <v>0</v>
      </c>
      <c r="AI182" s="314">
        <v>0</v>
      </c>
      <c r="AJ182" s="314"/>
      <c r="AK182" s="314"/>
      <c r="AL182" s="314"/>
      <c r="AM182" s="314"/>
      <c r="AN182" s="230"/>
      <c r="AO182" s="314"/>
      <c r="AP182" s="314"/>
      <c r="AQ182" s="230"/>
      <c r="AR182" s="314"/>
      <c r="AS182" s="314"/>
      <c r="AT182" s="314"/>
      <c r="AU182" s="314"/>
      <c r="AV182" s="314"/>
      <c r="AW182" s="314"/>
      <c r="AX182" s="314"/>
      <c r="AY182" s="314"/>
      <c r="AZ182" s="314"/>
      <c r="BA182" s="314"/>
      <c r="BB182" s="314"/>
      <c r="BC182" s="314"/>
      <c r="BD182" s="314"/>
      <c r="BE182" s="314"/>
      <c r="BF182" s="205">
        <f t="shared" si="51"/>
        <v>0</v>
      </c>
      <c r="BG182" s="786">
        <f t="shared" si="53"/>
        <v>0</v>
      </c>
      <c r="BH182" s="786">
        <f t="shared" si="54"/>
        <v>0</v>
      </c>
    </row>
    <row r="183" spans="1:60">
      <c r="A183" s="287">
        <v>66</v>
      </c>
      <c r="B183" s="331" t="s">
        <v>422</v>
      </c>
      <c r="C183" s="361" t="s">
        <v>64</v>
      </c>
      <c r="D183" s="597">
        <v>50</v>
      </c>
      <c r="E183" s="230">
        <v>150</v>
      </c>
      <c r="F183" s="100">
        <f>SUMIF(pro!$A:$A,INTGRATE!$Y:$Y,pro!$N:$N)</f>
        <v>0</v>
      </c>
      <c r="G183" s="230"/>
      <c r="H183" s="314">
        <f>SUMIF(CBIN!$A:$A,INTGRATE!$Y:$Y,CBIN!$G:$G)</f>
        <v>0</v>
      </c>
      <c r="I183" s="230">
        <f>SUMIF(data!$D:$D,INTGRATE!$B183&amp;INTGRATE!$D183,data!$J:$J)</f>
        <v>0</v>
      </c>
      <c r="J183" s="230"/>
      <c r="K183" s="230"/>
      <c r="L183" s="230">
        <f>SUMIF(data!$D:$D,INTGRATE!$B183&amp;INTGRATE!$D183,data!$K:$K)</f>
        <v>0</v>
      </c>
      <c r="M183" s="314">
        <f>SUMIF(AJOUT!$A:$A,INTGRATE!$Y:$Y,AJOUT!$L:$L)</f>
        <v>0</v>
      </c>
      <c r="N183" s="100">
        <f>SUMIF(CBOUT!$A:$A,INTGRATE!$Y:$Y,CBOUT!$G:$G)</f>
        <v>0</v>
      </c>
      <c r="O183" s="482">
        <f t="shared" si="64"/>
        <v>150</v>
      </c>
      <c r="P183" s="230">
        <f t="shared" si="65"/>
        <v>7500</v>
      </c>
      <c r="Q183" s="230">
        <f t="shared" si="66"/>
        <v>16100</v>
      </c>
      <c r="R183" s="205"/>
      <c r="S183" s="205"/>
      <c r="T183" s="230">
        <f t="shared" si="56"/>
        <v>1788.8888888888889</v>
      </c>
      <c r="U183" s="875">
        <f t="shared" si="55"/>
        <v>4.1925465838509313</v>
      </c>
      <c r="V183" s="876"/>
      <c r="W183" s="235"/>
      <c r="X183" s="232"/>
      <c r="Y183" s="863" t="str">
        <f t="shared" si="67"/>
        <v>566FS3150</v>
      </c>
      <c r="Z183" s="818">
        <v>36630831</v>
      </c>
      <c r="AA183" s="230"/>
      <c r="AB183" s="314">
        <v>10750</v>
      </c>
      <c r="AC183" s="314">
        <v>5350</v>
      </c>
      <c r="AD183" s="314">
        <v>0</v>
      </c>
      <c r="AE183" s="314">
        <v>0</v>
      </c>
      <c r="AF183" s="314">
        <v>0</v>
      </c>
      <c r="AG183" s="314">
        <v>0</v>
      </c>
      <c r="AH183" s="314">
        <v>0</v>
      </c>
      <c r="AI183" s="314">
        <v>0</v>
      </c>
      <c r="AJ183" s="314"/>
      <c r="AK183" s="314"/>
      <c r="AL183" s="314"/>
      <c r="AM183" s="314"/>
      <c r="AN183" s="230"/>
      <c r="AO183" s="314"/>
      <c r="AP183" s="314"/>
      <c r="AQ183" s="230"/>
      <c r="AR183" s="314"/>
      <c r="AS183" s="314"/>
      <c r="AT183" s="314"/>
      <c r="AU183" s="314"/>
      <c r="AV183" s="314"/>
      <c r="AW183" s="314"/>
      <c r="AX183" s="314"/>
      <c r="AY183" s="314"/>
      <c r="AZ183" s="314"/>
      <c r="BA183" s="314"/>
      <c r="BB183" s="314"/>
      <c r="BC183" s="314"/>
      <c r="BD183" s="314"/>
      <c r="BE183" s="314"/>
      <c r="BF183" s="205">
        <f t="shared" si="51"/>
        <v>16100</v>
      </c>
      <c r="BG183" s="786">
        <f t="shared" si="53"/>
        <v>2</v>
      </c>
      <c r="BH183" s="786">
        <f t="shared" si="54"/>
        <v>8050</v>
      </c>
    </row>
    <row r="184" spans="1:60">
      <c r="A184" s="287">
        <v>67</v>
      </c>
      <c r="B184" s="331" t="s">
        <v>423</v>
      </c>
      <c r="C184" s="361" t="s">
        <v>64</v>
      </c>
      <c r="D184" s="597">
        <v>50</v>
      </c>
      <c r="E184" s="230">
        <v>0</v>
      </c>
      <c r="F184" s="100">
        <f>SUMIF(pro!$A:$A,INTGRATE!$Y:$Y,pro!$N:$N)</f>
        <v>0</v>
      </c>
      <c r="G184" s="230"/>
      <c r="H184" s="314">
        <f>SUMIF(CBIN!$A:$A,INTGRATE!$Y:$Y,CBIN!$G:$G)</f>
        <v>0</v>
      </c>
      <c r="I184" s="230">
        <f>SUMIF(data!$D:$D,INTGRATE!$B184&amp;INTGRATE!$D184,data!$J:$J)</f>
        <v>0</v>
      </c>
      <c r="J184" s="230"/>
      <c r="K184" s="230"/>
      <c r="L184" s="230">
        <f>SUMIF(data!$D:$D,INTGRATE!$B184&amp;INTGRATE!$D184,data!$K:$K)</f>
        <v>0</v>
      </c>
      <c r="M184" s="314">
        <f>SUMIF(AJOUT!$A:$A,INTGRATE!$Y:$Y,AJOUT!$L:$L)</f>
        <v>0</v>
      </c>
      <c r="N184" s="100">
        <f>SUMIF(CBOUT!$A:$A,INTGRATE!$Y:$Y,CBOUT!$G:$G)</f>
        <v>0</v>
      </c>
      <c r="O184" s="482">
        <f t="shared" si="64"/>
        <v>0</v>
      </c>
      <c r="P184" s="230">
        <f t="shared" si="65"/>
        <v>0</v>
      </c>
      <c r="Q184" s="230">
        <f t="shared" ref="Q184:Q247" si="74">SUM(AA184:BE184)</f>
        <v>0</v>
      </c>
      <c r="R184" s="205"/>
      <c r="S184" s="205"/>
      <c r="T184" s="230">
        <f t="shared" ref="T184:T215" si="75">Q184/$N$293</f>
        <v>0</v>
      </c>
      <c r="U184" s="875">
        <f t="shared" si="55"/>
        <v>0</v>
      </c>
      <c r="V184" s="876"/>
      <c r="W184" s="235"/>
      <c r="X184" s="232"/>
      <c r="Y184" s="863" t="str">
        <f t="shared" si="67"/>
        <v>566FS3750</v>
      </c>
      <c r="Z184" s="818">
        <v>36630837</v>
      </c>
      <c r="AA184" s="230"/>
      <c r="AB184" s="314">
        <v>0</v>
      </c>
      <c r="AC184" s="314">
        <v>0</v>
      </c>
      <c r="AD184" s="314">
        <v>0</v>
      </c>
      <c r="AE184" s="314">
        <v>0</v>
      </c>
      <c r="AF184" s="314">
        <v>0</v>
      </c>
      <c r="AG184" s="314">
        <v>0</v>
      </c>
      <c r="AH184" s="314">
        <v>0</v>
      </c>
      <c r="AI184" s="314">
        <v>0</v>
      </c>
      <c r="AJ184" s="314"/>
      <c r="AK184" s="314"/>
      <c r="AL184" s="314"/>
      <c r="AM184" s="314"/>
      <c r="AN184" s="230"/>
      <c r="AO184" s="314"/>
      <c r="AP184" s="314"/>
      <c r="AQ184" s="230"/>
      <c r="AR184" s="314"/>
      <c r="AS184" s="314"/>
      <c r="AT184" s="314"/>
      <c r="AU184" s="314"/>
      <c r="AV184" s="314"/>
      <c r="AW184" s="314"/>
      <c r="AX184" s="314"/>
      <c r="AY184" s="314"/>
      <c r="AZ184" s="314"/>
      <c r="BA184" s="314"/>
      <c r="BB184" s="314"/>
      <c r="BC184" s="314"/>
      <c r="BD184" s="314"/>
      <c r="BE184" s="314"/>
      <c r="BF184" s="205">
        <f t="shared" si="51"/>
        <v>0</v>
      </c>
      <c r="BG184" s="786">
        <f t="shared" si="53"/>
        <v>0</v>
      </c>
      <c r="BH184" s="786">
        <f t="shared" si="54"/>
        <v>0</v>
      </c>
    </row>
    <row r="185" spans="1:60">
      <c r="A185" s="287">
        <v>68</v>
      </c>
      <c r="B185" s="331" t="s">
        <v>424</v>
      </c>
      <c r="C185" s="361" t="s">
        <v>64</v>
      </c>
      <c r="D185" s="597">
        <v>50</v>
      </c>
      <c r="E185" s="230">
        <v>0</v>
      </c>
      <c r="F185" s="100">
        <f>SUMIF(pro!$A:$A,INTGRATE!$Y:$Y,pro!$N:$N)</f>
        <v>0</v>
      </c>
      <c r="G185" s="230"/>
      <c r="H185" s="314">
        <f>SUMIF(CBIN!$A:$A,INTGRATE!$Y:$Y,CBIN!$G:$G)</f>
        <v>0</v>
      </c>
      <c r="I185" s="230">
        <f>SUMIF(data!$D:$D,INTGRATE!$B185&amp;INTGRATE!$D185,data!$J:$J)</f>
        <v>0</v>
      </c>
      <c r="J185" s="230"/>
      <c r="K185" s="230"/>
      <c r="L185" s="230">
        <f>SUMIF(data!$D:$D,INTGRATE!$B185&amp;INTGRATE!$D185,data!$K:$K)</f>
        <v>0</v>
      </c>
      <c r="M185" s="314">
        <v>0</v>
      </c>
      <c r="N185" s="100">
        <f>SUMIF(CBOUT!$A:$A,INTGRATE!$Y:$Y,CBOUT!$G:$G)</f>
        <v>0</v>
      </c>
      <c r="O185" s="482">
        <f>E185+F185+H185-I185-N185+G185-M185</f>
        <v>0</v>
      </c>
      <c r="P185" s="230">
        <f>O185*D185</f>
        <v>0</v>
      </c>
      <c r="Q185" s="230">
        <f t="shared" si="74"/>
        <v>0</v>
      </c>
      <c r="R185" s="205"/>
      <c r="S185" s="205"/>
      <c r="T185" s="230">
        <f t="shared" si="75"/>
        <v>0</v>
      </c>
      <c r="U185" s="875">
        <f>IF(T185=0,0,P185/T185)</f>
        <v>0</v>
      </c>
      <c r="V185" s="876"/>
      <c r="W185" s="235"/>
      <c r="X185" s="232"/>
      <c r="Y185" s="863" t="str">
        <f>B185&amp;D185</f>
        <v>566FS7250</v>
      </c>
      <c r="Z185" s="818">
        <v>36630872</v>
      </c>
      <c r="AA185" s="230"/>
      <c r="AB185" s="314">
        <v>0</v>
      </c>
      <c r="AC185" s="314">
        <v>0</v>
      </c>
      <c r="AD185" s="314">
        <v>0</v>
      </c>
      <c r="AE185" s="314">
        <v>0</v>
      </c>
      <c r="AF185" s="314">
        <v>0</v>
      </c>
      <c r="AG185" s="314">
        <v>0</v>
      </c>
      <c r="AH185" s="314">
        <v>0</v>
      </c>
      <c r="AI185" s="314">
        <v>0</v>
      </c>
      <c r="AJ185" s="314"/>
      <c r="AK185" s="314"/>
      <c r="AL185" s="314"/>
      <c r="AM185" s="314"/>
      <c r="AN185" s="230"/>
      <c r="AO185" s="314"/>
      <c r="AP185" s="314"/>
      <c r="AQ185" s="230"/>
      <c r="AR185" s="314"/>
      <c r="AS185" s="314"/>
      <c r="AT185" s="314"/>
      <c r="AU185" s="314"/>
      <c r="AV185" s="314"/>
      <c r="AW185" s="314"/>
      <c r="AX185" s="314"/>
      <c r="AY185" s="314"/>
      <c r="AZ185" s="314"/>
      <c r="BA185" s="314"/>
      <c r="BB185" s="314"/>
      <c r="BC185" s="314"/>
      <c r="BD185" s="314"/>
      <c r="BE185" s="314"/>
      <c r="BF185" s="205">
        <f t="shared" si="51"/>
        <v>0</v>
      </c>
      <c r="BG185" s="786">
        <f t="shared" ref="BG185:BG248" si="76">COUNTIF(AA185:BE185,"&gt;0")</f>
        <v>0</v>
      </c>
      <c r="BH185" s="786">
        <f t="shared" ref="BH185:BH248" si="77">IFERROR(BF185/BG185,0)</f>
        <v>0</v>
      </c>
    </row>
    <row r="186" spans="1:60">
      <c r="A186" s="287">
        <v>69</v>
      </c>
      <c r="B186" s="331" t="s">
        <v>425</v>
      </c>
      <c r="C186" s="361" t="s">
        <v>64</v>
      </c>
      <c r="D186" s="597">
        <v>50</v>
      </c>
      <c r="E186" s="230">
        <v>0</v>
      </c>
      <c r="F186" s="100">
        <f>SUMIF(pro!$A:$A,INTGRATE!$Y:$Y,pro!$N:$N)</f>
        <v>0</v>
      </c>
      <c r="G186" s="230"/>
      <c r="H186" s="314">
        <f>SUMIF(CBIN!$A:$A,INTGRATE!$Y:$Y,CBIN!$G:$G)</f>
        <v>0</v>
      </c>
      <c r="I186" s="230">
        <f>SUMIF(data!$D:$D,INTGRATE!$B186&amp;INTGRATE!$D186,data!$J:$J)</f>
        <v>0</v>
      </c>
      <c r="J186" s="230"/>
      <c r="K186" s="230"/>
      <c r="L186" s="230">
        <f>SUMIF(data!$D:$D,INTGRATE!$B186&amp;INTGRATE!$D186,data!$K:$K)</f>
        <v>0</v>
      </c>
      <c r="M186" s="314">
        <f>SUMIF(AJOUT!$A:$A,INTGRATE!$Y:$Y,AJOUT!$L:$L)</f>
        <v>0</v>
      </c>
      <c r="N186" s="100">
        <f>SUMIF(CBOUT!$A:$A,INTGRATE!$Y:$Y,CBOUT!$G:$G)</f>
        <v>0</v>
      </c>
      <c r="O186" s="482">
        <f>E186+F186+H186-I186-N186+G186-M186</f>
        <v>0</v>
      </c>
      <c r="P186" s="230">
        <f>O186*D186</f>
        <v>0</v>
      </c>
      <c r="Q186" s="230">
        <f t="shared" si="74"/>
        <v>0</v>
      </c>
      <c r="R186" s="205"/>
      <c r="S186" s="205"/>
      <c r="T186" s="230">
        <f t="shared" si="75"/>
        <v>0</v>
      </c>
      <c r="U186" s="875">
        <f t="shared" ref="U186:U193" si="78">IF(T186=0,0,P186/T186)</f>
        <v>0</v>
      </c>
      <c r="V186" s="876"/>
      <c r="W186" s="235"/>
      <c r="X186" s="232"/>
      <c r="Y186" s="863" t="str">
        <f>B186&amp;D186</f>
        <v>566FS9050</v>
      </c>
      <c r="Z186" s="818">
        <v>36630890</v>
      </c>
      <c r="AA186" s="230"/>
      <c r="AB186" s="314">
        <v>0</v>
      </c>
      <c r="AC186" s="314">
        <v>0</v>
      </c>
      <c r="AD186" s="314">
        <v>0</v>
      </c>
      <c r="AE186" s="314">
        <v>0</v>
      </c>
      <c r="AF186" s="314">
        <v>0</v>
      </c>
      <c r="AG186" s="314">
        <v>0</v>
      </c>
      <c r="AH186" s="314">
        <v>0</v>
      </c>
      <c r="AI186" s="314">
        <v>0</v>
      </c>
      <c r="AJ186" s="314"/>
      <c r="AK186" s="314"/>
      <c r="AL186" s="314"/>
      <c r="AM186" s="314"/>
      <c r="AN186" s="230"/>
      <c r="AO186" s="314"/>
      <c r="AP186" s="314"/>
      <c r="AQ186" s="230"/>
      <c r="AR186" s="314"/>
      <c r="AS186" s="314"/>
      <c r="AT186" s="314"/>
      <c r="AU186" s="314"/>
      <c r="AV186" s="314"/>
      <c r="AW186" s="314"/>
      <c r="AX186" s="314"/>
      <c r="AY186" s="314"/>
      <c r="AZ186" s="314"/>
      <c r="BA186" s="314"/>
      <c r="BB186" s="314"/>
      <c r="BC186" s="314"/>
      <c r="BD186" s="314"/>
      <c r="BE186" s="314"/>
      <c r="BF186" s="205">
        <f t="shared" si="51"/>
        <v>0</v>
      </c>
      <c r="BG186" s="786">
        <f t="shared" si="76"/>
        <v>0</v>
      </c>
      <c r="BH186" s="786">
        <f t="shared" si="77"/>
        <v>0</v>
      </c>
    </row>
    <row r="187" spans="1:60">
      <c r="A187" s="287">
        <v>70</v>
      </c>
      <c r="B187" s="331" t="s">
        <v>426</v>
      </c>
      <c r="C187" s="361" t="s">
        <v>64</v>
      </c>
      <c r="D187" s="597">
        <v>50</v>
      </c>
      <c r="E187" s="230">
        <v>548</v>
      </c>
      <c r="F187" s="100">
        <f>SUMIF(pro!$A:$A,INTGRATE!$Y:$Y,pro!$N:$N)</f>
        <v>0</v>
      </c>
      <c r="G187" s="230"/>
      <c r="H187" s="314">
        <f>SUMIF(CBIN!$A:$A,INTGRATE!$Y:$Y,CBIN!$G:$G)</f>
        <v>0</v>
      </c>
      <c r="I187" s="230">
        <f>SUMIF(data!$D:$D,INTGRATE!$B187&amp;INTGRATE!$D187,data!$J:$J)</f>
        <v>0</v>
      </c>
      <c r="J187" s="230"/>
      <c r="K187" s="230"/>
      <c r="L187" s="230">
        <f>SUMIF(data!$D:$D,INTGRATE!$B187&amp;INTGRATE!$D187,data!$K:$K)</f>
        <v>0</v>
      </c>
      <c r="M187" s="314">
        <f>SUMIF(AJOUT!$A:$A,INTGRATE!$Y:$Y,AJOUT!$L:$L)</f>
        <v>0</v>
      </c>
      <c r="N187" s="100">
        <f>SUMIF(CBOUT!$A:$A,INTGRATE!$Y:$Y,CBOUT!$G:$G)</f>
        <v>0</v>
      </c>
      <c r="O187" s="482">
        <f t="shared" si="64"/>
        <v>548</v>
      </c>
      <c r="P187" s="230">
        <f t="shared" si="65"/>
        <v>27400</v>
      </c>
      <c r="Q187" s="230">
        <f t="shared" si="74"/>
        <v>110950</v>
      </c>
      <c r="R187" s="205"/>
      <c r="S187" s="205"/>
      <c r="T187" s="230">
        <f t="shared" si="75"/>
        <v>12327.777777777777</v>
      </c>
      <c r="U187" s="875">
        <f t="shared" si="78"/>
        <v>2.2226228030644437</v>
      </c>
      <c r="V187" s="876"/>
      <c r="W187" s="527"/>
      <c r="X187" s="235"/>
      <c r="Y187" s="863" t="str">
        <f t="shared" si="67"/>
        <v>567SF50</v>
      </c>
      <c r="Z187" s="818" t="s">
        <v>427</v>
      </c>
      <c r="AA187" s="230"/>
      <c r="AB187" s="314">
        <v>18150</v>
      </c>
      <c r="AC187" s="314">
        <v>0</v>
      </c>
      <c r="AD187" s="314">
        <v>22250</v>
      </c>
      <c r="AE187" s="314">
        <v>0</v>
      </c>
      <c r="AF187" s="314">
        <v>36350</v>
      </c>
      <c r="AG187" s="314">
        <v>18700</v>
      </c>
      <c r="AH187" s="314">
        <v>15500</v>
      </c>
      <c r="AI187" s="314">
        <v>0</v>
      </c>
      <c r="AJ187" s="314"/>
      <c r="AK187" s="314"/>
      <c r="AL187" s="314"/>
      <c r="AM187" s="314"/>
      <c r="AN187" s="230"/>
      <c r="AO187" s="314"/>
      <c r="AP187" s="314"/>
      <c r="AQ187" s="230"/>
      <c r="AR187" s="314"/>
      <c r="AS187" s="314"/>
      <c r="AT187" s="314"/>
      <c r="AU187" s="314"/>
      <c r="AV187" s="314"/>
      <c r="AW187" s="314"/>
      <c r="AX187" s="314"/>
      <c r="AY187" s="314"/>
      <c r="AZ187" s="314"/>
      <c r="BA187" s="314"/>
      <c r="BB187" s="314"/>
      <c r="BC187" s="314"/>
      <c r="BD187" s="314"/>
      <c r="BE187" s="314"/>
      <c r="BF187" s="205">
        <f t="shared" si="51"/>
        <v>110950</v>
      </c>
      <c r="BG187" s="786">
        <f t="shared" si="76"/>
        <v>5</v>
      </c>
      <c r="BH187" s="786">
        <f t="shared" si="77"/>
        <v>22190</v>
      </c>
    </row>
    <row r="188" spans="1:60">
      <c r="A188" s="287">
        <v>71</v>
      </c>
      <c r="B188" s="331" t="s">
        <v>428</v>
      </c>
      <c r="C188" s="361" t="s">
        <v>64</v>
      </c>
      <c r="D188" s="597">
        <v>50</v>
      </c>
      <c r="E188" s="316">
        <v>1959</v>
      </c>
      <c r="F188" s="100">
        <f>SUMIF(pro!$A:$A,INTGRATE!$Y:$Y,pro!$N:$N)</f>
        <v>0</v>
      </c>
      <c r="G188" s="230"/>
      <c r="H188" s="314">
        <f>SUMIF(CBIN!$A:$A,INTGRATE!$Y:$Y,CBIN!$G:$G)</f>
        <v>0</v>
      </c>
      <c r="I188" s="230">
        <f>SUMIF(data!$D:$D,INTGRATE!$B188&amp;INTGRATE!$D188,data!$J:$J)</f>
        <v>0</v>
      </c>
      <c r="J188" s="230"/>
      <c r="K188" s="230"/>
      <c r="L188" s="230">
        <f>SUMIF(data!$D:$D,INTGRATE!$B188&amp;INTGRATE!$D188,data!$K:$K)</f>
        <v>0</v>
      </c>
      <c r="M188" s="314">
        <f>SUMIF(AJOUT!$A:$A,INTGRATE!$Y:$Y,AJOUT!$L:$L)</f>
        <v>0</v>
      </c>
      <c r="N188" s="100">
        <f>SUMIF(CBOUT!$A:$A,INTGRATE!$Y:$Y,CBOUT!$G:$G)</f>
        <v>0</v>
      </c>
      <c r="O188" s="482">
        <f>E188+F188+H188-I188-N188+G188-M188</f>
        <v>1959</v>
      </c>
      <c r="P188" s="230">
        <f>O188*D188</f>
        <v>97950</v>
      </c>
      <c r="Q188" s="230">
        <f t="shared" si="74"/>
        <v>58450</v>
      </c>
      <c r="R188" s="205"/>
      <c r="S188" s="205"/>
      <c r="T188" s="230">
        <f t="shared" si="75"/>
        <v>6494.4444444444443</v>
      </c>
      <c r="U188" s="875">
        <f>IF(T188=0,0,P188/T188)</f>
        <v>15.082121471343028</v>
      </c>
      <c r="V188" s="876"/>
      <c r="W188" s="461"/>
      <c r="X188" s="235"/>
      <c r="Y188" s="863" t="str">
        <f t="shared" si="67"/>
        <v>567SFS3150</v>
      </c>
      <c r="Z188" s="818">
        <v>36730831</v>
      </c>
      <c r="AA188" s="230"/>
      <c r="AB188" s="314">
        <v>7750</v>
      </c>
      <c r="AC188" s="314">
        <v>9850</v>
      </c>
      <c r="AD188" s="314">
        <v>19050</v>
      </c>
      <c r="AE188" s="314">
        <v>5000</v>
      </c>
      <c r="AF188" s="314">
        <v>0</v>
      </c>
      <c r="AG188" s="314">
        <v>0</v>
      </c>
      <c r="AH188" s="314">
        <v>0</v>
      </c>
      <c r="AI188" s="314">
        <v>16800</v>
      </c>
      <c r="AJ188" s="314"/>
      <c r="AK188" s="314"/>
      <c r="AL188" s="314"/>
      <c r="AM188" s="314"/>
      <c r="AN188" s="230"/>
      <c r="AO188" s="314"/>
      <c r="AP188" s="314"/>
      <c r="AQ188" s="230"/>
      <c r="AR188" s="314"/>
      <c r="AS188" s="314"/>
      <c r="AT188" s="314"/>
      <c r="AU188" s="314"/>
      <c r="AV188" s="314"/>
      <c r="AW188" s="314"/>
      <c r="AX188" s="314"/>
      <c r="AY188" s="314"/>
      <c r="AZ188" s="314"/>
      <c r="BA188" s="314"/>
      <c r="BB188" s="314"/>
      <c r="BC188" s="314"/>
      <c r="BD188" s="314"/>
      <c r="BE188" s="314"/>
      <c r="BF188" s="205">
        <f t="shared" si="51"/>
        <v>58450</v>
      </c>
      <c r="BG188" s="786">
        <f t="shared" si="76"/>
        <v>5</v>
      </c>
      <c r="BH188" s="786">
        <f t="shared" si="77"/>
        <v>11690</v>
      </c>
    </row>
    <row r="189" spans="1:60">
      <c r="A189" s="287">
        <v>72</v>
      </c>
      <c r="B189" s="331" t="s">
        <v>429</v>
      </c>
      <c r="C189" s="361" t="s">
        <v>64</v>
      </c>
      <c r="D189" s="597">
        <v>50</v>
      </c>
      <c r="E189" s="316">
        <v>121</v>
      </c>
      <c r="F189" s="100">
        <f>SUMIF(pro!$A:$A,INTGRATE!$Y:$Y,pro!$N:$N)</f>
        <v>0</v>
      </c>
      <c r="G189" s="230"/>
      <c r="H189" s="314"/>
      <c r="I189" s="230">
        <f>SUMIF(data!$D:$D,INTGRATE!$B189&amp;INTGRATE!$D189,data!$J:$J)</f>
        <v>0</v>
      </c>
      <c r="J189" s="230"/>
      <c r="K189" s="230"/>
      <c r="L189" s="230">
        <f>SUMIF(data!$D:$D,INTGRATE!$B189&amp;INTGRATE!$D189,data!$K:$K)</f>
        <v>0</v>
      </c>
      <c r="M189" s="314">
        <f>SUMIF(AJOUT!$A:$A,INTGRATE!$Y:$Y,AJOUT!$L:$L)</f>
        <v>0</v>
      </c>
      <c r="N189" s="100">
        <f>SUMIF(CBOUT!$A:$A,INTGRATE!$Y:$Y,CBOUT!$G:$G)</f>
        <v>0</v>
      </c>
      <c r="O189" s="482">
        <f>E189+F189+H189-I189-N189+G189-M189</f>
        <v>121</v>
      </c>
      <c r="P189" s="230">
        <f>O189*D189</f>
        <v>6050</v>
      </c>
      <c r="Q189" s="230">
        <f>SUM(AA189:BE189)</f>
        <v>6350</v>
      </c>
      <c r="R189" s="205"/>
      <c r="S189" s="205"/>
      <c r="T189" s="230">
        <f t="shared" si="75"/>
        <v>705.55555555555554</v>
      </c>
      <c r="U189" s="875">
        <f>IF(T189=0,0,P189/T189)</f>
        <v>8.5748031496063</v>
      </c>
      <c r="V189" s="876"/>
      <c r="W189" s="461"/>
      <c r="X189" s="235"/>
      <c r="Y189" s="863" t="str">
        <f>B189&amp;D189</f>
        <v>567SFS2550</v>
      </c>
      <c r="Z189" s="818">
        <v>36730825</v>
      </c>
      <c r="AA189" s="230"/>
      <c r="AB189" s="314">
        <v>6350</v>
      </c>
      <c r="AC189" s="314">
        <v>0</v>
      </c>
      <c r="AD189" s="314">
        <v>0</v>
      </c>
      <c r="AE189" s="314">
        <v>0</v>
      </c>
      <c r="AF189" s="314">
        <v>0</v>
      </c>
      <c r="AG189" s="314">
        <v>0</v>
      </c>
      <c r="AH189" s="314">
        <v>0</v>
      </c>
      <c r="AI189" s="314">
        <v>0</v>
      </c>
      <c r="AJ189" s="314"/>
      <c r="AK189" s="314"/>
      <c r="AL189" s="314"/>
      <c r="AM189" s="314"/>
      <c r="AN189" s="230"/>
      <c r="AO189" s="314"/>
      <c r="AP189" s="314"/>
      <c r="AQ189" s="230"/>
      <c r="AR189" s="314"/>
      <c r="AS189" s="314"/>
      <c r="AT189" s="314"/>
      <c r="AU189" s="314"/>
      <c r="AV189" s="314"/>
      <c r="AW189" s="314"/>
      <c r="AX189" s="314"/>
      <c r="AY189" s="314"/>
      <c r="AZ189" s="314"/>
      <c r="BA189" s="314"/>
      <c r="BB189" s="314"/>
      <c r="BC189" s="314"/>
      <c r="BD189" s="314"/>
      <c r="BE189" s="314"/>
      <c r="BF189" s="205">
        <f t="shared" si="51"/>
        <v>6350</v>
      </c>
      <c r="BG189" s="786">
        <f t="shared" si="76"/>
        <v>1</v>
      </c>
      <c r="BH189" s="786">
        <f t="shared" si="77"/>
        <v>6350</v>
      </c>
    </row>
    <row r="190" spans="1:60">
      <c r="A190" s="287">
        <v>73</v>
      </c>
      <c r="B190" s="331" t="s">
        <v>430</v>
      </c>
      <c r="C190" s="361" t="s">
        <v>64</v>
      </c>
      <c r="D190" s="597">
        <v>50</v>
      </c>
      <c r="E190" s="316">
        <v>0</v>
      </c>
      <c r="F190" s="100">
        <f>SUMIF(pro!$A:$A,INTGRATE!$Y:$Y,pro!$N:$N)</f>
        <v>0</v>
      </c>
      <c r="G190" s="230"/>
      <c r="H190" s="314">
        <f>SUMIF(CBIN!$A:$A,INTGRATE!$Y:$Y,CBIN!$G:$G)</f>
        <v>0</v>
      </c>
      <c r="I190" s="230">
        <f>SUMIF(data!$D:$D,INTGRATE!$B190&amp;INTGRATE!$D190,data!$J:$J)</f>
        <v>0</v>
      </c>
      <c r="J190" s="230"/>
      <c r="K190" s="230"/>
      <c r="L190" s="230">
        <f>SUMIF(data!$D:$D,INTGRATE!$B190&amp;INTGRATE!$D190,data!$K:$K)</f>
        <v>0</v>
      </c>
      <c r="M190" s="314">
        <f>SUMIF(AJOUT!$A:$A,INTGRATE!$Y:$Y,AJOUT!$L:$L)</f>
        <v>0</v>
      </c>
      <c r="N190" s="100">
        <f>SUMIF(CBOUT!$A:$A,INTGRATE!$Y:$Y,CBOUT!$G:$G)</f>
        <v>0</v>
      </c>
      <c r="O190" s="482">
        <f t="shared" si="64"/>
        <v>0</v>
      </c>
      <c r="P190" s="230">
        <f t="shared" si="65"/>
        <v>0</v>
      </c>
      <c r="Q190" s="230">
        <f t="shared" si="74"/>
        <v>0</v>
      </c>
      <c r="R190" s="205"/>
      <c r="S190" s="205"/>
      <c r="T190" s="230">
        <f t="shared" si="75"/>
        <v>0</v>
      </c>
      <c r="U190" s="875">
        <f t="shared" si="78"/>
        <v>0</v>
      </c>
      <c r="V190" s="876"/>
      <c r="W190" s="461"/>
      <c r="X190" s="235"/>
      <c r="Y190" s="863" t="str">
        <f t="shared" si="67"/>
        <v>567SFS4950</v>
      </c>
      <c r="Z190" s="818">
        <v>36730849</v>
      </c>
      <c r="AA190" s="230"/>
      <c r="AB190" s="314">
        <v>0</v>
      </c>
      <c r="AC190" s="314">
        <v>0</v>
      </c>
      <c r="AD190" s="314">
        <v>0</v>
      </c>
      <c r="AE190" s="314">
        <v>0</v>
      </c>
      <c r="AF190" s="314">
        <v>0</v>
      </c>
      <c r="AG190" s="314">
        <v>0</v>
      </c>
      <c r="AH190" s="314">
        <v>0</v>
      </c>
      <c r="AI190" s="314">
        <v>0</v>
      </c>
      <c r="AJ190" s="314"/>
      <c r="AK190" s="314"/>
      <c r="AL190" s="314"/>
      <c r="AM190" s="314"/>
      <c r="AN190" s="230"/>
      <c r="AO190" s="314"/>
      <c r="AP190" s="314"/>
      <c r="AQ190" s="230"/>
      <c r="AR190" s="314"/>
      <c r="AS190" s="314"/>
      <c r="AT190" s="314"/>
      <c r="AU190" s="314"/>
      <c r="AV190" s="314"/>
      <c r="AW190" s="314"/>
      <c r="AX190" s="314"/>
      <c r="AY190" s="314"/>
      <c r="AZ190" s="314"/>
      <c r="BA190" s="314"/>
      <c r="BB190" s="314"/>
      <c r="BC190" s="314"/>
      <c r="BD190" s="314"/>
      <c r="BE190" s="314"/>
      <c r="BF190" s="205">
        <f t="shared" si="51"/>
        <v>0</v>
      </c>
      <c r="BG190" s="786">
        <f t="shared" si="76"/>
        <v>0</v>
      </c>
      <c r="BH190" s="786">
        <f t="shared" si="77"/>
        <v>0</v>
      </c>
    </row>
    <row r="191" spans="1:60">
      <c r="A191" s="287">
        <v>74</v>
      </c>
      <c r="B191" s="331" t="s">
        <v>431</v>
      </c>
      <c r="C191" s="361" t="s">
        <v>64</v>
      </c>
      <c r="D191" s="597">
        <v>50</v>
      </c>
      <c r="E191" s="316">
        <v>0</v>
      </c>
      <c r="F191" s="100">
        <f>SUMIF(pro!$A:$A,INTGRATE!$Y:$Y,pro!$N:$N)</f>
        <v>0</v>
      </c>
      <c r="G191" s="230"/>
      <c r="H191" s="314">
        <f>SUMIF(CBIN!$A:$A,INTGRATE!$Y:$Y,CBIN!$G:$G)</f>
        <v>0</v>
      </c>
      <c r="I191" s="230">
        <f>SUMIF(data!$D:$D,INTGRATE!$B191&amp;INTGRATE!$D191,data!$J:$J)</f>
        <v>0</v>
      </c>
      <c r="J191" s="230"/>
      <c r="K191" s="230"/>
      <c r="L191" s="230">
        <f>SUMIF(data!$D:$D,INTGRATE!$B191&amp;INTGRATE!$D191,data!$K:$K)</f>
        <v>0</v>
      </c>
      <c r="M191" s="314">
        <f>SUMIF(AJOUT!$A:$A,INTGRATE!$Y:$Y,AJOUT!$L:$L)</f>
        <v>0</v>
      </c>
      <c r="N191" s="100">
        <f>SUMIF(CBOUT!$A:$A,INTGRATE!$Y:$Y,CBOUT!$G:$G)</f>
        <v>0</v>
      </c>
      <c r="O191" s="482">
        <f t="shared" si="64"/>
        <v>0</v>
      </c>
      <c r="P191" s="230">
        <f t="shared" si="65"/>
        <v>0</v>
      </c>
      <c r="Q191" s="230">
        <f t="shared" si="74"/>
        <v>0</v>
      </c>
      <c r="R191" s="205"/>
      <c r="S191" s="205"/>
      <c r="T191" s="230">
        <f t="shared" si="75"/>
        <v>0</v>
      </c>
      <c r="U191" s="875">
        <f t="shared" si="78"/>
        <v>0</v>
      </c>
      <c r="V191" s="876"/>
      <c r="W191" s="461"/>
      <c r="X191" s="235"/>
      <c r="Y191" s="863" t="str">
        <f t="shared" si="67"/>
        <v>567SFS5050</v>
      </c>
      <c r="Z191" s="818">
        <v>36730850</v>
      </c>
      <c r="AA191" s="230"/>
      <c r="AB191" s="314">
        <v>0</v>
      </c>
      <c r="AC191" s="314">
        <v>0</v>
      </c>
      <c r="AD191" s="314">
        <v>0</v>
      </c>
      <c r="AE191" s="314">
        <v>0</v>
      </c>
      <c r="AF191" s="314">
        <v>0</v>
      </c>
      <c r="AG191" s="314">
        <v>0</v>
      </c>
      <c r="AH191" s="314">
        <v>0</v>
      </c>
      <c r="AI191" s="314">
        <v>0</v>
      </c>
      <c r="AJ191" s="314"/>
      <c r="AK191" s="314"/>
      <c r="AL191" s="314"/>
      <c r="AM191" s="314"/>
      <c r="AN191" s="230"/>
      <c r="AO191" s="314"/>
      <c r="AP191" s="314"/>
      <c r="AQ191" s="230"/>
      <c r="AR191" s="314"/>
      <c r="AS191" s="314"/>
      <c r="AT191" s="314"/>
      <c r="AU191" s="314"/>
      <c r="AV191" s="314"/>
      <c r="AW191" s="314"/>
      <c r="AX191" s="314"/>
      <c r="AY191" s="314"/>
      <c r="AZ191" s="314"/>
      <c r="BA191" s="314"/>
      <c r="BB191" s="314"/>
      <c r="BC191" s="314"/>
      <c r="BD191" s="314"/>
      <c r="BE191" s="314"/>
      <c r="BF191" s="205">
        <f t="shared" si="51"/>
        <v>0</v>
      </c>
      <c r="BG191" s="786">
        <f t="shared" si="76"/>
        <v>0</v>
      </c>
      <c r="BH191" s="786">
        <f t="shared" si="77"/>
        <v>0</v>
      </c>
    </row>
    <row r="192" spans="1:60">
      <c r="A192" s="287">
        <v>75</v>
      </c>
      <c r="B192" s="331" t="s">
        <v>432</v>
      </c>
      <c r="C192" s="361" t="s">
        <v>64</v>
      </c>
      <c r="D192" s="597">
        <v>50</v>
      </c>
      <c r="E192" s="316">
        <v>0</v>
      </c>
      <c r="F192" s="100">
        <f>SUMIF(pro!$A:$A,INTGRATE!$Y:$Y,pro!$N:$N)</f>
        <v>0</v>
      </c>
      <c r="G192" s="230"/>
      <c r="H192" s="314">
        <f>SUMIF(CBIN!$A:$A,INTGRATE!$Y:$Y,CBIN!$G:$G)</f>
        <v>0</v>
      </c>
      <c r="I192" s="230">
        <f>SUMIF(data!$D:$D,INTGRATE!$B192&amp;INTGRATE!$D192,data!$J:$J)</f>
        <v>0</v>
      </c>
      <c r="J192" s="230"/>
      <c r="K192" s="230"/>
      <c r="L192" s="230">
        <f>SUMIF(data!$D:$D,INTGRATE!$B192&amp;INTGRATE!$D192,data!$K:$K)</f>
        <v>0</v>
      </c>
      <c r="M192" s="314">
        <f>SUMIF(AJOUT!$A:$A,INTGRATE!$Y:$Y,AJOUT!$L:$L)</f>
        <v>0</v>
      </c>
      <c r="N192" s="100">
        <f>SUMIF(CBOUT!$A:$A,INTGRATE!$Y:$Y,CBOUT!$G:$G)</f>
        <v>0</v>
      </c>
      <c r="O192" s="482">
        <f>E192+F192+H192-I192-N192+G192-M192</f>
        <v>0</v>
      </c>
      <c r="P192" s="230">
        <f>O192*D192</f>
        <v>0</v>
      </c>
      <c r="Q192" s="230">
        <f t="shared" si="74"/>
        <v>0</v>
      </c>
      <c r="R192" s="205"/>
      <c r="S192" s="205"/>
      <c r="T192" s="230">
        <f t="shared" si="75"/>
        <v>0</v>
      </c>
      <c r="U192" s="875">
        <f t="shared" si="78"/>
        <v>0</v>
      </c>
      <c r="V192" s="876"/>
      <c r="W192" s="461"/>
      <c r="X192" s="235"/>
      <c r="Y192" s="863" t="str">
        <f>B192&amp;D192</f>
        <v>567SFS5350</v>
      </c>
      <c r="Z192" s="818">
        <v>36730853</v>
      </c>
      <c r="AA192" s="230"/>
      <c r="AB192" s="314">
        <v>0</v>
      </c>
      <c r="AC192" s="314">
        <v>0</v>
      </c>
      <c r="AD192" s="314">
        <v>0</v>
      </c>
      <c r="AE192" s="314">
        <v>0</v>
      </c>
      <c r="AF192" s="314">
        <v>0</v>
      </c>
      <c r="AG192" s="314">
        <v>0</v>
      </c>
      <c r="AH192" s="314">
        <v>0</v>
      </c>
      <c r="AI192" s="314">
        <v>0</v>
      </c>
      <c r="AJ192" s="314"/>
      <c r="AK192" s="314"/>
      <c r="AL192" s="314"/>
      <c r="AM192" s="314"/>
      <c r="AN192" s="230"/>
      <c r="AO192" s="314"/>
      <c r="AP192" s="314"/>
      <c r="AQ192" s="230"/>
      <c r="AR192" s="314"/>
      <c r="AS192" s="314"/>
      <c r="AT192" s="314"/>
      <c r="AU192" s="314"/>
      <c r="AV192" s="314"/>
      <c r="AW192" s="314"/>
      <c r="AX192" s="314"/>
      <c r="AY192" s="314"/>
      <c r="AZ192" s="314"/>
      <c r="BA192" s="314"/>
      <c r="BB192" s="314"/>
      <c r="BC192" s="314"/>
      <c r="BD192" s="314"/>
      <c r="BE192" s="314"/>
      <c r="BF192" s="205">
        <f t="shared" si="51"/>
        <v>0</v>
      </c>
      <c r="BG192" s="786">
        <f t="shared" si="76"/>
        <v>0</v>
      </c>
      <c r="BH192" s="786">
        <f t="shared" si="77"/>
        <v>0</v>
      </c>
    </row>
    <row r="193" spans="1:60">
      <c r="A193" s="287">
        <v>76</v>
      </c>
      <c r="B193" s="331" t="s">
        <v>433</v>
      </c>
      <c r="C193" s="361" t="s">
        <v>64</v>
      </c>
      <c r="D193" s="597">
        <v>50</v>
      </c>
      <c r="E193" s="316">
        <v>0</v>
      </c>
      <c r="F193" s="100">
        <f>SUMIF(pro!$A:$A,INTGRATE!$Y:$Y,pro!$N:$N)</f>
        <v>0</v>
      </c>
      <c r="G193" s="230"/>
      <c r="H193" s="314">
        <f>SUMIF(CBIN!$A:$A,INTGRATE!$Y:$Y,CBIN!$G:$G)</f>
        <v>0</v>
      </c>
      <c r="I193" s="230">
        <f>SUMIF(data!$D:$D,INTGRATE!$B193&amp;INTGRATE!$D193,data!$J:$J)</f>
        <v>0</v>
      </c>
      <c r="J193" s="230"/>
      <c r="K193" s="230"/>
      <c r="L193" s="230">
        <f>SUMIF(data!$D:$D,INTGRATE!$B193&amp;INTGRATE!$D193,data!$K:$K)</f>
        <v>0</v>
      </c>
      <c r="M193" s="314">
        <f>SUMIF(AJOUT!$A:$A,INTGRATE!$Y:$Y,AJOUT!$L:$L)</f>
        <v>0</v>
      </c>
      <c r="N193" s="100">
        <f>SUMIF(CBOUT!$A:$A,INTGRATE!$Y:$Y,CBOUT!$G:$G)</f>
        <v>0</v>
      </c>
      <c r="O193" s="482">
        <f>E193+F193+H193-I193-N193+G193-M193</f>
        <v>0</v>
      </c>
      <c r="P193" s="230">
        <f>O193*D193</f>
        <v>0</v>
      </c>
      <c r="Q193" s="230">
        <f t="shared" si="74"/>
        <v>0</v>
      </c>
      <c r="R193" s="205"/>
      <c r="S193" s="205"/>
      <c r="T193" s="230">
        <f t="shared" si="75"/>
        <v>0</v>
      </c>
      <c r="U193" s="875">
        <f t="shared" si="78"/>
        <v>0</v>
      </c>
      <c r="V193" s="876"/>
      <c r="W193" s="461"/>
      <c r="X193" s="235"/>
      <c r="Y193" s="863" t="str">
        <f>B193&amp;D193</f>
        <v>567SFS9050</v>
      </c>
      <c r="Z193" s="818">
        <v>36730890</v>
      </c>
      <c r="AA193" s="230"/>
      <c r="AB193" s="314">
        <v>0</v>
      </c>
      <c r="AC193" s="314">
        <v>0</v>
      </c>
      <c r="AD193" s="314">
        <v>0</v>
      </c>
      <c r="AE193" s="314">
        <v>0</v>
      </c>
      <c r="AF193" s="314">
        <v>0</v>
      </c>
      <c r="AG193" s="314">
        <v>0</v>
      </c>
      <c r="AH193" s="314">
        <v>0</v>
      </c>
      <c r="AI193" s="314">
        <v>0</v>
      </c>
      <c r="AJ193" s="314"/>
      <c r="AK193" s="314"/>
      <c r="AL193" s="314"/>
      <c r="AM193" s="314"/>
      <c r="AN193" s="230"/>
      <c r="AO193" s="314"/>
      <c r="AP193" s="314"/>
      <c r="AQ193" s="230"/>
      <c r="AR193" s="314"/>
      <c r="AS193" s="314"/>
      <c r="AT193" s="314"/>
      <c r="AU193" s="314"/>
      <c r="AV193" s="314"/>
      <c r="AW193" s="314"/>
      <c r="AX193" s="314"/>
      <c r="AY193" s="314"/>
      <c r="AZ193" s="314"/>
      <c r="BA193" s="314"/>
      <c r="BB193" s="314"/>
      <c r="BC193" s="314"/>
      <c r="BD193" s="314"/>
      <c r="BE193" s="314"/>
      <c r="BF193" s="205">
        <f t="shared" si="51"/>
        <v>0</v>
      </c>
      <c r="BG193" s="786">
        <f t="shared" si="76"/>
        <v>0</v>
      </c>
      <c r="BH193" s="786">
        <f t="shared" si="77"/>
        <v>0</v>
      </c>
    </row>
    <row r="194" spans="1:60">
      <c r="A194" s="287">
        <v>77</v>
      </c>
      <c r="B194" s="331" t="s">
        <v>434</v>
      </c>
      <c r="C194" s="361" t="s">
        <v>64</v>
      </c>
      <c r="D194" s="597">
        <v>50</v>
      </c>
      <c r="E194" s="316">
        <v>0</v>
      </c>
      <c r="F194" s="100">
        <f>SUMIF(pro!$A:$A,INTGRATE!$Y:$Y,pro!$N:$N)</f>
        <v>0</v>
      </c>
      <c r="G194" s="316"/>
      <c r="H194" s="314">
        <f>SUMIF(CBIN!$A:$A,INTGRATE!$Y:$Y,CBIN!$G:$G)</f>
        <v>0</v>
      </c>
      <c r="I194" s="230">
        <f>SUMIF(data!$D:$D,INTGRATE!$B194&amp;INTGRATE!$D194,data!$J:$J)</f>
        <v>0</v>
      </c>
      <c r="J194" s="230"/>
      <c r="K194" s="230"/>
      <c r="L194" s="230">
        <f>SUMIF(data!$D:$D,INTGRATE!$B194&amp;INTGRATE!$D194,data!$K:$K)</f>
        <v>0</v>
      </c>
      <c r="M194" s="314">
        <f>SUMIF(AJOUT!$A:$A,INTGRATE!$Y:$Y,AJOUT!$L:$L)</f>
        <v>0</v>
      </c>
      <c r="N194" s="100">
        <f>SUMIF(CBOUT!$A:$A,INTGRATE!$Y:$Y,CBOUT!$G:$G)</f>
        <v>0</v>
      </c>
      <c r="O194" s="482">
        <f>E194+F194+H194-I194-N194+G194-M194</f>
        <v>0</v>
      </c>
      <c r="P194" s="230">
        <f>O194*D194</f>
        <v>0</v>
      </c>
      <c r="Q194" s="230">
        <f t="shared" si="74"/>
        <v>0</v>
      </c>
      <c r="R194" s="205"/>
      <c r="S194" s="205"/>
      <c r="T194" s="230">
        <f t="shared" si="75"/>
        <v>0</v>
      </c>
      <c r="U194" s="875">
        <f>IF(T194=0,0,P194/T194)</f>
        <v>0</v>
      </c>
      <c r="V194" s="876"/>
      <c r="W194" s="461"/>
      <c r="X194" s="235"/>
      <c r="Y194" s="863" t="str">
        <f>B194&amp;D194</f>
        <v>567SFS7650</v>
      </c>
      <c r="Z194" s="818">
        <v>36730876</v>
      </c>
      <c r="AA194" s="230"/>
      <c r="AB194" s="314">
        <v>0</v>
      </c>
      <c r="AC194" s="314">
        <v>0</v>
      </c>
      <c r="AD194" s="314">
        <v>0</v>
      </c>
      <c r="AE194" s="314">
        <v>0</v>
      </c>
      <c r="AF194" s="314">
        <v>0</v>
      </c>
      <c r="AG194" s="314">
        <v>0</v>
      </c>
      <c r="AH194" s="314">
        <v>0</v>
      </c>
      <c r="AI194" s="314">
        <v>0</v>
      </c>
      <c r="AJ194" s="314"/>
      <c r="AK194" s="314"/>
      <c r="AL194" s="314"/>
      <c r="AM194" s="314"/>
      <c r="AN194" s="230"/>
      <c r="AO194" s="314"/>
      <c r="AP194" s="314"/>
      <c r="AQ194" s="230"/>
      <c r="AR194" s="314"/>
      <c r="AS194" s="314"/>
      <c r="AT194" s="314"/>
      <c r="AU194" s="314"/>
      <c r="AV194" s="314"/>
      <c r="AW194" s="314"/>
      <c r="AX194" s="314"/>
      <c r="AY194" s="314"/>
      <c r="AZ194" s="314"/>
      <c r="BA194" s="314"/>
      <c r="BB194" s="314"/>
      <c r="BC194" s="314"/>
      <c r="BD194" s="314"/>
      <c r="BE194" s="314"/>
      <c r="BF194" s="205">
        <f t="shared" si="51"/>
        <v>0</v>
      </c>
      <c r="BG194" s="786">
        <f t="shared" si="76"/>
        <v>0</v>
      </c>
      <c r="BH194" s="786">
        <f t="shared" si="77"/>
        <v>0</v>
      </c>
    </row>
    <row r="195" spans="1:60">
      <c r="A195" s="287">
        <v>78</v>
      </c>
      <c r="B195" s="331" t="s">
        <v>435</v>
      </c>
      <c r="C195" s="361" t="s">
        <v>64</v>
      </c>
      <c r="D195" s="597">
        <v>50</v>
      </c>
      <c r="E195" s="316">
        <v>0</v>
      </c>
      <c r="F195" s="100">
        <f>SUMIF(pro!$A:$A,INTGRATE!$Y:$Y,pro!$N:$N)</f>
        <v>0</v>
      </c>
      <c r="G195" s="316"/>
      <c r="H195" s="314">
        <f>SUMIF(CBIN!$A:$A,INTGRATE!$Y:$Y,CBIN!$G:$G)</f>
        <v>0</v>
      </c>
      <c r="I195" s="230">
        <f>SUMIF(data!$D:$D,INTGRATE!$B195&amp;INTGRATE!$D195,data!$J:$J)</f>
        <v>0</v>
      </c>
      <c r="J195" s="230"/>
      <c r="K195" s="230"/>
      <c r="L195" s="230">
        <f>SUMIF(data!$D:$D,INTGRATE!$B195&amp;INTGRATE!$D195,data!$K:$K)</f>
        <v>0</v>
      </c>
      <c r="M195" s="314">
        <f>SUMIF(AJOUT!$A:$A,INTGRATE!$Y:$Y,AJOUT!$L:$L)</f>
        <v>0</v>
      </c>
      <c r="N195" s="100">
        <f>SUMIF(CBOUT!$A:$A,INTGRATE!$Y:$Y,CBOUT!$G:$G)</f>
        <v>0</v>
      </c>
      <c r="O195" s="482">
        <f t="shared" si="64"/>
        <v>0</v>
      </c>
      <c r="P195" s="230">
        <f t="shared" si="65"/>
        <v>0</v>
      </c>
      <c r="Q195" s="230">
        <f t="shared" si="74"/>
        <v>0</v>
      </c>
      <c r="R195" s="205"/>
      <c r="S195" s="205"/>
      <c r="T195" s="230">
        <f t="shared" si="75"/>
        <v>0</v>
      </c>
      <c r="U195" s="875">
        <f t="shared" si="55"/>
        <v>0</v>
      </c>
      <c r="V195" s="876"/>
      <c r="W195" s="235"/>
      <c r="X195" s="235"/>
      <c r="Y195" s="863" t="str">
        <f t="shared" si="67"/>
        <v>567SFS3250</v>
      </c>
      <c r="Z195" s="818">
        <v>36730832</v>
      </c>
      <c r="AA195" s="230"/>
      <c r="AB195" s="314">
        <v>0</v>
      </c>
      <c r="AC195" s="314">
        <v>0</v>
      </c>
      <c r="AD195" s="314">
        <v>0</v>
      </c>
      <c r="AE195" s="314">
        <v>0</v>
      </c>
      <c r="AF195" s="314">
        <v>0</v>
      </c>
      <c r="AG195" s="314">
        <v>0</v>
      </c>
      <c r="AH195" s="314">
        <v>0</v>
      </c>
      <c r="AI195" s="314">
        <v>0</v>
      </c>
      <c r="AJ195" s="314"/>
      <c r="AK195" s="314"/>
      <c r="AL195" s="314"/>
      <c r="AM195" s="314"/>
      <c r="AN195" s="230"/>
      <c r="AO195" s="314"/>
      <c r="AP195" s="314"/>
      <c r="AQ195" s="230"/>
      <c r="AR195" s="314"/>
      <c r="AS195" s="314"/>
      <c r="AT195" s="314"/>
      <c r="AU195" s="314"/>
      <c r="AV195" s="314"/>
      <c r="AW195" s="314"/>
      <c r="AX195" s="314"/>
      <c r="AY195" s="314"/>
      <c r="AZ195" s="314"/>
      <c r="BA195" s="314"/>
      <c r="BB195" s="314"/>
      <c r="BC195" s="314"/>
      <c r="BD195" s="314"/>
      <c r="BE195" s="314"/>
      <c r="BF195" s="205">
        <f t="shared" si="51"/>
        <v>0</v>
      </c>
      <c r="BG195" s="786">
        <f t="shared" si="76"/>
        <v>0</v>
      </c>
      <c r="BH195" s="786">
        <f t="shared" si="77"/>
        <v>0</v>
      </c>
    </row>
    <row r="196" spans="1:60">
      <c r="A196" s="287">
        <v>79</v>
      </c>
      <c r="B196" s="231" t="s">
        <v>349</v>
      </c>
      <c r="C196" s="231" t="s">
        <v>61</v>
      </c>
      <c r="D196" s="364" t="s">
        <v>66</v>
      </c>
      <c r="E196" s="316">
        <v>0</v>
      </c>
      <c r="F196" s="230">
        <f>SUMIF(data!$D:$D,INTGRATE!$B196&amp;INTGRATE!$D196,data!$K:$K)</f>
        <v>0</v>
      </c>
      <c r="G196" s="316"/>
      <c r="H196" s="314">
        <f>SUMIF(CBIN!$A:$A,INTGRATE!$Y:$Y,CBIN!$G:$G)</f>
        <v>0</v>
      </c>
      <c r="I196" s="230">
        <f>SUMIF(data!$D:$D,INTGRATE!$B196&amp;INTGRATE!$D196,data!$J:$J)</f>
        <v>0</v>
      </c>
      <c r="J196" s="230"/>
      <c r="K196" s="230"/>
      <c r="L196" s="230">
        <f>SUMIF(data!$D:$D,INTGRATE!$B196&amp;INTGRATE!$D196,data!$K:$K)</f>
        <v>0</v>
      </c>
      <c r="M196" s="314">
        <f>SUMIF(AJOUT!$A:$A,INTGRATE!$Y:$Y,AJOUT!$L:$L)</f>
        <v>0</v>
      </c>
      <c r="N196" s="100">
        <f>SUMIF(CBOUT!$A:$A,INTGRATE!$Y:$Y,CBOUT!$G:$G)</f>
        <v>0</v>
      </c>
      <c r="O196" s="482">
        <v>0</v>
      </c>
      <c r="P196" s="345">
        <f t="shared" ref="P196:P202" si="79">F196-L196</f>
        <v>0</v>
      </c>
      <c r="Q196" s="350">
        <f t="shared" si="74"/>
        <v>0</v>
      </c>
      <c r="R196" s="205"/>
      <c r="S196" s="205"/>
      <c r="T196" s="345">
        <f t="shared" si="75"/>
        <v>0</v>
      </c>
      <c r="U196" s="875">
        <f t="shared" si="55"/>
        <v>0</v>
      </c>
      <c r="V196" s="876"/>
      <c r="W196" s="235"/>
      <c r="X196" s="235"/>
      <c r="Y196" s="863" t="str">
        <f t="shared" si="67"/>
        <v>550SFS25SILO</v>
      </c>
      <c r="Z196" s="818">
        <v>31210825</v>
      </c>
      <c r="AA196" s="230"/>
      <c r="AB196" s="314">
        <v>0</v>
      </c>
      <c r="AC196" s="314">
        <v>0</v>
      </c>
      <c r="AD196" s="314">
        <v>0</v>
      </c>
      <c r="AE196" s="314">
        <v>0</v>
      </c>
      <c r="AF196" s="314">
        <v>0</v>
      </c>
      <c r="AG196" s="314">
        <v>0</v>
      </c>
      <c r="AH196" s="314">
        <v>0</v>
      </c>
      <c r="AI196" s="314">
        <v>0</v>
      </c>
      <c r="AJ196" s="314"/>
      <c r="AK196" s="314"/>
      <c r="AL196" s="314"/>
      <c r="AM196" s="314"/>
      <c r="AN196" s="230"/>
      <c r="AO196" s="314"/>
      <c r="AP196" s="314"/>
      <c r="AQ196" s="230"/>
      <c r="AR196" s="314"/>
      <c r="AS196" s="314"/>
      <c r="AT196" s="314"/>
      <c r="AU196" s="314"/>
      <c r="AV196" s="314"/>
      <c r="AW196" s="314"/>
      <c r="AX196" s="314"/>
      <c r="AY196" s="314"/>
      <c r="AZ196" s="314"/>
      <c r="BA196" s="314"/>
      <c r="BB196" s="314"/>
      <c r="BC196" s="314"/>
      <c r="BD196" s="314"/>
      <c r="BE196" s="314"/>
      <c r="BF196" s="205">
        <f t="shared" si="51"/>
        <v>0</v>
      </c>
      <c r="BG196" s="786">
        <f t="shared" si="76"/>
        <v>0</v>
      </c>
      <c r="BH196" s="786">
        <f t="shared" si="77"/>
        <v>0</v>
      </c>
    </row>
    <row r="197" spans="1:60">
      <c r="A197" s="287">
        <v>80</v>
      </c>
      <c r="B197" s="231" t="s">
        <v>348</v>
      </c>
      <c r="C197" s="231" t="s">
        <v>61</v>
      </c>
      <c r="D197" s="364" t="s">
        <v>66</v>
      </c>
      <c r="E197" s="316">
        <v>0</v>
      </c>
      <c r="F197" s="230">
        <f>SUMIF(data!$D:$D,INTGRATE!$B197&amp;INTGRATE!$D197,data!$K:$K)</f>
        <v>0</v>
      </c>
      <c r="G197" s="316"/>
      <c r="H197" s="314">
        <f>SUMIF(CBIN!$A:$A,INTGRATE!$Y:$Y,CBIN!$G:$G)</f>
        <v>0</v>
      </c>
      <c r="I197" s="230">
        <f>SUMIF(data!$D:$D,INTGRATE!$B197&amp;INTGRATE!$D197,data!$J:$J)</f>
        <v>0</v>
      </c>
      <c r="J197" s="230"/>
      <c r="K197" s="230"/>
      <c r="L197" s="230">
        <f>SUMIF(data!$D:$D,INTGRATE!$B197&amp;INTGRATE!$D197,data!$K:$K)</f>
        <v>0</v>
      </c>
      <c r="M197" s="314">
        <f>SUMIF(AJOUT!$A:$A,INTGRATE!$Y:$Y,AJOUT!$L:$L)</f>
        <v>0</v>
      </c>
      <c r="N197" s="100">
        <f>SUMIF(CBOUT!$A:$A,INTGRATE!$Y:$Y,CBOUT!$G:$G)</f>
        <v>0</v>
      </c>
      <c r="O197" s="482">
        <v>0</v>
      </c>
      <c r="P197" s="345">
        <f t="shared" si="79"/>
        <v>0</v>
      </c>
      <c r="Q197" s="350">
        <f t="shared" si="74"/>
        <v>0</v>
      </c>
      <c r="R197" s="205"/>
      <c r="S197" s="205"/>
      <c r="T197" s="345">
        <f t="shared" si="75"/>
        <v>0</v>
      </c>
      <c r="U197" s="875">
        <f t="shared" ref="U197:U260" si="80">IF(T197=0,0,P197/T197)</f>
        <v>0</v>
      </c>
      <c r="V197" s="876"/>
      <c r="W197" s="235"/>
      <c r="X197" s="235"/>
      <c r="Y197" s="863" t="str">
        <f t="shared" si="67"/>
        <v>550SFS31SILO</v>
      </c>
      <c r="Z197" s="818">
        <v>31210831</v>
      </c>
      <c r="AA197" s="230"/>
      <c r="AB197" s="314">
        <v>0</v>
      </c>
      <c r="AC197" s="314">
        <v>0</v>
      </c>
      <c r="AD197" s="314">
        <v>0</v>
      </c>
      <c r="AE197" s="314">
        <v>0</v>
      </c>
      <c r="AF197" s="314">
        <v>0</v>
      </c>
      <c r="AG197" s="314">
        <v>0</v>
      </c>
      <c r="AH197" s="314">
        <v>0</v>
      </c>
      <c r="AI197" s="314">
        <v>0</v>
      </c>
      <c r="AJ197" s="314"/>
      <c r="AK197" s="314"/>
      <c r="AL197" s="314"/>
      <c r="AM197" s="314"/>
      <c r="AN197" s="230"/>
      <c r="AO197" s="314"/>
      <c r="AP197" s="314"/>
      <c r="AQ197" s="230"/>
      <c r="AR197" s="314"/>
      <c r="AS197" s="314"/>
      <c r="AT197" s="314"/>
      <c r="AU197" s="314"/>
      <c r="AV197" s="314"/>
      <c r="AW197" s="314"/>
      <c r="AX197" s="314"/>
      <c r="AY197" s="314"/>
      <c r="AZ197" s="314"/>
      <c r="BA197" s="314"/>
      <c r="BB197" s="314"/>
      <c r="BC197" s="314"/>
      <c r="BD197" s="314"/>
      <c r="BE197" s="314"/>
      <c r="BF197" s="205">
        <f t="shared" si="51"/>
        <v>0</v>
      </c>
      <c r="BG197" s="786">
        <f t="shared" si="76"/>
        <v>0</v>
      </c>
      <c r="BH197" s="786">
        <f t="shared" si="77"/>
        <v>0</v>
      </c>
    </row>
    <row r="198" spans="1:60" ht="14.25" customHeight="1">
      <c r="A198" s="287">
        <v>81</v>
      </c>
      <c r="B198" s="231" t="s">
        <v>436</v>
      </c>
      <c r="C198" s="231" t="s">
        <v>61</v>
      </c>
      <c r="D198" s="364" t="s">
        <v>66</v>
      </c>
      <c r="E198" s="316">
        <v>0</v>
      </c>
      <c r="F198" s="230">
        <f>SUMIF(data!$D:$D,INTGRATE!$B198&amp;INTGRATE!$D198,data!$K:$K)</f>
        <v>0</v>
      </c>
      <c r="G198" s="316"/>
      <c r="H198" s="314">
        <f>SUMIF(CBIN!$A:$A,INTGRATE!$Y:$Y,CBIN!$G:$G)</f>
        <v>0</v>
      </c>
      <c r="I198" s="230">
        <f>SUMIF(data!$D:$D,INTGRATE!$B198&amp;INTGRATE!$D198,data!$J:$J)</f>
        <v>0</v>
      </c>
      <c r="J198" s="230"/>
      <c r="K198" s="230"/>
      <c r="L198" s="230">
        <f>SUMIF(data!$D:$D,INTGRATE!$B198&amp;INTGRATE!$D198,data!$K:$K)</f>
        <v>0</v>
      </c>
      <c r="M198" s="314">
        <f>SUMIF(AJOUT!$A:$A,INTGRATE!$Y:$Y,AJOUT!$L:$L)</f>
        <v>0</v>
      </c>
      <c r="N198" s="100">
        <f>SUMIF(CBOUT!$A:$A,INTGRATE!$Y:$Y,CBOUT!$G:$G)</f>
        <v>0</v>
      </c>
      <c r="O198" s="482">
        <v>0</v>
      </c>
      <c r="P198" s="230">
        <f t="shared" si="79"/>
        <v>0</v>
      </c>
      <c r="Q198" s="350">
        <f t="shared" si="74"/>
        <v>0</v>
      </c>
      <c r="R198" s="205"/>
      <c r="S198" s="205"/>
      <c r="T198" s="345">
        <f t="shared" si="75"/>
        <v>0</v>
      </c>
      <c r="U198" s="875">
        <f t="shared" si="80"/>
        <v>0</v>
      </c>
      <c r="V198" s="876"/>
      <c r="W198" s="235"/>
      <c r="X198" s="235"/>
      <c r="Y198" s="863" t="str">
        <f t="shared" si="67"/>
        <v>550SFS88SILO</v>
      </c>
      <c r="Z198" s="818">
        <v>31210888</v>
      </c>
      <c r="AA198" s="230"/>
      <c r="AB198" s="314">
        <v>0</v>
      </c>
      <c r="AC198" s="314">
        <v>0</v>
      </c>
      <c r="AD198" s="314">
        <v>0</v>
      </c>
      <c r="AE198" s="314">
        <v>0</v>
      </c>
      <c r="AF198" s="314">
        <v>0</v>
      </c>
      <c r="AG198" s="314">
        <v>0</v>
      </c>
      <c r="AH198" s="314">
        <v>0</v>
      </c>
      <c r="AI198" s="314">
        <v>0</v>
      </c>
      <c r="AJ198" s="314"/>
      <c r="AK198" s="314"/>
      <c r="AL198" s="314"/>
      <c r="AM198" s="314"/>
      <c r="AN198" s="230"/>
      <c r="AO198" s="314"/>
      <c r="AP198" s="314"/>
      <c r="AQ198" s="230"/>
      <c r="AR198" s="314"/>
      <c r="AS198" s="314"/>
      <c r="AT198" s="314"/>
      <c r="AU198" s="314"/>
      <c r="AV198" s="314"/>
      <c r="AW198" s="314"/>
      <c r="AX198" s="314"/>
      <c r="AY198" s="314"/>
      <c r="AZ198" s="314"/>
      <c r="BA198" s="314"/>
      <c r="BB198" s="314"/>
      <c r="BC198" s="314"/>
      <c r="BD198" s="314"/>
      <c r="BE198" s="314"/>
      <c r="BF198" s="205">
        <f t="shared" si="51"/>
        <v>0</v>
      </c>
      <c r="BG198" s="786">
        <f t="shared" si="76"/>
        <v>0</v>
      </c>
      <c r="BH198" s="786">
        <f t="shared" si="77"/>
        <v>0</v>
      </c>
    </row>
    <row r="199" spans="1:60">
      <c r="A199" s="287">
        <v>82</v>
      </c>
      <c r="B199" s="231" t="s">
        <v>344</v>
      </c>
      <c r="C199" s="231" t="s">
        <v>61</v>
      </c>
      <c r="D199" s="364" t="s">
        <v>66</v>
      </c>
      <c r="E199" s="316">
        <v>0</v>
      </c>
      <c r="F199" s="230">
        <f>SUMIF(data!$D:$D,INTGRATE!$B199&amp;INTGRATE!$D199,data!$K:$K)</f>
        <v>0</v>
      </c>
      <c r="G199" s="316"/>
      <c r="H199" s="314">
        <f>SUMIF(CBIN!$A:$A,INTGRATE!$Y:$Y,CBIN!$G:$G)</f>
        <v>0</v>
      </c>
      <c r="I199" s="230">
        <f>SUMIF(data!$D:$D,INTGRATE!$B199&amp;INTGRATE!$D199,data!$J:$J)</f>
        <v>0</v>
      </c>
      <c r="J199" s="230"/>
      <c r="K199" s="230"/>
      <c r="L199" s="230">
        <f>SUMIF(data!$D:$D,INTGRATE!$B199&amp;INTGRATE!$D199,data!$K:$K)</f>
        <v>0</v>
      </c>
      <c r="M199" s="314">
        <f>SUMIF(AJOUT!$A:$A,INTGRATE!$Y:$Y,AJOUT!$L:$L)</f>
        <v>0</v>
      </c>
      <c r="N199" s="100">
        <f>SUMIF(CBOUT!$A:$A,INTGRATE!$Y:$Y,CBOUT!$G:$G)</f>
        <v>0</v>
      </c>
      <c r="O199" s="482">
        <v>0</v>
      </c>
      <c r="P199" s="230">
        <f>F199-L199</f>
        <v>0</v>
      </c>
      <c r="Q199" s="350">
        <f t="shared" si="74"/>
        <v>0</v>
      </c>
      <c r="R199" s="205"/>
      <c r="S199" s="205"/>
      <c r="T199" s="345">
        <f t="shared" si="75"/>
        <v>0</v>
      </c>
      <c r="U199" s="875">
        <f t="shared" si="80"/>
        <v>0</v>
      </c>
      <c r="V199" s="876"/>
      <c r="W199" s="235"/>
      <c r="X199" s="235"/>
      <c r="Y199" s="863" t="str">
        <f>B199&amp;D199</f>
        <v>550SFSILO</v>
      </c>
      <c r="Z199" s="818" t="s">
        <v>345</v>
      </c>
      <c r="AA199" s="230"/>
      <c r="AB199" s="314">
        <v>0</v>
      </c>
      <c r="AC199" s="314">
        <v>0</v>
      </c>
      <c r="AD199" s="314">
        <v>0</v>
      </c>
      <c r="AE199" s="314">
        <v>0</v>
      </c>
      <c r="AF199" s="314">
        <v>0</v>
      </c>
      <c r="AG199" s="314">
        <v>0</v>
      </c>
      <c r="AH199" s="314">
        <v>0</v>
      </c>
      <c r="AI199" s="314">
        <v>0</v>
      </c>
      <c r="AJ199" s="314"/>
      <c r="AK199" s="314"/>
      <c r="AL199" s="314"/>
      <c r="AM199" s="314"/>
      <c r="AN199" s="230"/>
      <c r="AO199" s="314"/>
      <c r="AP199" s="314"/>
      <c r="AQ199" s="230"/>
      <c r="AR199" s="314"/>
      <c r="AS199" s="314"/>
      <c r="AT199" s="314"/>
      <c r="AU199" s="314"/>
      <c r="AV199" s="314"/>
      <c r="AW199" s="314"/>
      <c r="AX199" s="314"/>
      <c r="AY199" s="314"/>
      <c r="AZ199" s="314"/>
      <c r="BA199" s="314"/>
      <c r="BB199" s="314"/>
      <c r="BC199" s="314"/>
      <c r="BD199" s="314"/>
      <c r="BE199" s="314"/>
      <c r="BF199" s="205">
        <f t="shared" si="51"/>
        <v>0</v>
      </c>
      <c r="BG199" s="786">
        <f t="shared" si="76"/>
        <v>0</v>
      </c>
      <c r="BH199" s="786">
        <f t="shared" si="77"/>
        <v>0</v>
      </c>
    </row>
    <row r="200" spans="1:60">
      <c r="A200" s="287">
        <v>83</v>
      </c>
      <c r="B200" s="231" t="s">
        <v>356</v>
      </c>
      <c r="C200" s="231" t="s">
        <v>61</v>
      </c>
      <c r="D200" s="364" t="s">
        <v>66</v>
      </c>
      <c r="E200" s="316">
        <v>0</v>
      </c>
      <c r="F200" s="230">
        <f>SUMIF(data!$D:$D,INTGRATE!$B200&amp;INTGRATE!$D200,data!$K:$K)</f>
        <v>0</v>
      </c>
      <c r="G200" s="1185"/>
      <c r="H200" s="314">
        <f>SUMIF(CBIN!$A:$A,INTGRATE!$Y:$Y,CBIN!$G:$G)</f>
        <v>0</v>
      </c>
      <c r="I200" s="230">
        <f>SUMIF(data!$D:$D,INTGRATE!$B200&amp;INTGRATE!$D200,data!$J:$J)</f>
        <v>0</v>
      </c>
      <c r="J200" s="230"/>
      <c r="K200" s="230"/>
      <c r="L200" s="230">
        <f>SUMIF(data!$D:$D,INTGRATE!$B200&amp;INTGRATE!$D200,data!$K:$K)</f>
        <v>0</v>
      </c>
      <c r="M200" s="314">
        <f>SUMIF(AJOUT!$A:$A,INTGRATE!$Y:$Y,AJOUT!$L:$L)</f>
        <v>0</v>
      </c>
      <c r="N200" s="100">
        <f>SUMIF(CBOUT!$A:$A,INTGRATE!$Y:$Y,CBOUT!$G:$G)</f>
        <v>0</v>
      </c>
      <c r="O200" s="482">
        <f t="shared" si="64"/>
        <v>0</v>
      </c>
      <c r="P200" s="230">
        <f t="shared" si="79"/>
        <v>0</v>
      </c>
      <c r="Q200" s="350">
        <f t="shared" si="74"/>
        <v>0</v>
      </c>
      <c r="R200" s="205"/>
      <c r="S200" s="205"/>
      <c r="T200" s="345">
        <f t="shared" si="75"/>
        <v>0</v>
      </c>
      <c r="U200" s="875">
        <f t="shared" si="80"/>
        <v>0</v>
      </c>
      <c r="V200" s="876"/>
      <c r="W200" s="235"/>
      <c r="X200" s="235"/>
      <c r="Y200" s="863" t="str">
        <f t="shared" si="67"/>
        <v>551FSILO</v>
      </c>
      <c r="Z200" s="822" t="s">
        <v>357</v>
      </c>
      <c r="AA200" s="230"/>
      <c r="AB200" s="314">
        <v>0</v>
      </c>
      <c r="AC200" s="314">
        <v>0</v>
      </c>
      <c r="AD200" s="314">
        <v>0</v>
      </c>
      <c r="AE200" s="314">
        <v>0</v>
      </c>
      <c r="AF200" s="314">
        <v>0</v>
      </c>
      <c r="AG200" s="314">
        <v>0</v>
      </c>
      <c r="AH200" s="314">
        <v>0</v>
      </c>
      <c r="AI200" s="314">
        <v>0</v>
      </c>
      <c r="AJ200" s="314"/>
      <c r="AK200" s="314"/>
      <c r="AL200" s="314"/>
      <c r="AM200" s="314"/>
      <c r="AN200" s="230"/>
      <c r="AO200" s="314"/>
      <c r="AP200" s="314"/>
      <c r="AQ200" s="230"/>
      <c r="AR200" s="314"/>
      <c r="AS200" s="314"/>
      <c r="AT200" s="314"/>
      <c r="AU200" s="314"/>
      <c r="AV200" s="314"/>
      <c r="AW200" s="314"/>
      <c r="AX200" s="314"/>
      <c r="AY200" s="314"/>
      <c r="AZ200" s="314"/>
      <c r="BA200" s="314"/>
      <c r="BB200" s="314"/>
      <c r="BC200" s="314"/>
      <c r="BD200" s="314"/>
      <c r="BE200" s="314"/>
      <c r="BF200" s="205">
        <f t="shared" si="51"/>
        <v>0</v>
      </c>
      <c r="BG200" s="786">
        <f t="shared" si="76"/>
        <v>0</v>
      </c>
      <c r="BH200" s="786">
        <f t="shared" si="77"/>
        <v>0</v>
      </c>
    </row>
    <row r="201" spans="1:60">
      <c r="A201" s="287">
        <v>84</v>
      </c>
      <c r="B201" s="231" t="s">
        <v>356</v>
      </c>
      <c r="C201" s="231" t="s">
        <v>61</v>
      </c>
      <c r="D201" s="556" t="s">
        <v>437</v>
      </c>
      <c r="E201" s="316">
        <v>0</v>
      </c>
      <c r="F201" s="230">
        <f>SUMIF(data!$D:$D,INTGRATE!$B201&amp;INTGRATE!$D201,data!$K:$K)</f>
        <v>0</v>
      </c>
      <c r="G201" s="1185"/>
      <c r="H201" s="314"/>
      <c r="I201" s="230">
        <f>SUMIF(data!$D:$D,INTGRATE!$B201&amp;INTGRATE!$D201,data!$J:$J)</f>
        <v>0</v>
      </c>
      <c r="J201" s="230"/>
      <c r="K201" s="230"/>
      <c r="L201" s="230">
        <f>SUMIF(data!$D:$D,INTGRATE!$B201&amp;INTGRATE!$D201,data!$K:$K)</f>
        <v>0</v>
      </c>
      <c r="M201" s="314">
        <f>SUMIF(AJOUT!$A:$A,INTGRATE!$Y:$Y,AJOUT!$L:$L)</f>
        <v>0</v>
      </c>
      <c r="N201" s="100">
        <f>SUMIF(CBOUT!$A:$A,INTGRATE!$Y:$Y,CBOUT!$G:$G)</f>
        <v>0</v>
      </c>
      <c r="O201" s="482">
        <v>0</v>
      </c>
      <c r="P201" s="230">
        <f t="shared" si="79"/>
        <v>0</v>
      </c>
      <c r="Q201" s="350">
        <f t="shared" si="74"/>
        <v>0</v>
      </c>
      <c r="R201" s="205"/>
      <c r="S201" s="205"/>
      <c r="T201" s="345">
        <f t="shared" si="75"/>
        <v>0</v>
      </c>
      <c r="U201" s="875">
        <f t="shared" si="80"/>
        <v>0</v>
      </c>
      <c r="V201" s="876"/>
      <c r="W201" s="235"/>
      <c r="X201" s="235"/>
      <c r="Y201" s="863" t="str">
        <f t="shared" si="67"/>
        <v>551FBigbag</v>
      </c>
      <c r="Z201" s="822">
        <v>314101</v>
      </c>
      <c r="AA201" s="230"/>
      <c r="AB201" s="314">
        <v>0</v>
      </c>
      <c r="AC201" s="314">
        <v>0</v>
      </c>
      <c r="AD201" s="314">
        <v>0</v>
      </c>
      <c r="AE201" s="314">
        <v>0</v>
      </c>
      <c r="AF201" s="314">
        <v>0</v>
      </c>
      <c r="AG201" s="314">
        <v>0</v>
      </c>
      <c r="AH201" s="314">
        <v>0</v>
      </c>
      <c r="AI201" s="314">
        <v>0</v>
      </c>
      <c r="AJ201" s="314"/>
      <c r="AK201" s="314"/>
      <c r="AL201" s="314"/>
      <c r="AM201" s="314"/>
      <c r="AN201" s="230"/>
      <c r="AO201" s="314"/>
      <c r="AP201" s="314"/>
      <c r="AQ201" s="230"/>
      <c r="AR201" s="314"/>
      <c r="AS201" s="314"/>
      <c r="AT201" s="314"/>
      <c r="AU201" s="314"/>
      <c r="AV201" s="314"/>
      <c r="AW201" s="314"/>
      <c r="AX201" s="314"/>
      <c r="AY201" s="314"/>
      <c r="AZ201" s="314"/>
      <c r="BA201" s="314"/>
      <c r="BB201" s="314"/>
      <c r="BC201" s="314"/>
      <c r="BD201" s="314"/>
      <c r="BE201" s="314"/>
      <c r="BF201" s="205">
        <f t="shared" si="51"/>
        <v>0</v>
      </c>
      <c r="BG201" s="786">
        <f t="shared" si="76"/>
        <v>0</v>
      </c>
      <c r="BH201" s="786">
        <f t="shared" si="77"/>
        <v>0</v>
      </c>
    </row>
    <row r="202" spans="1:60">
      <c r="A202" s="287">
        <v>85</v>
      </c>
      <c r="B202" s="231" t="s">
        <v>358</v>
      </c>
      <c r="C202" s="231" t="s">
        <v>61</v>
      </c>
      <c r="D202" s="364" t="s">
        <v>66</v>
      </c>
      <c r="E202" s="316">
        <v>0</v>
      </c>
      <c r="F202" s="230">
        <f>SUMIF(data!$D:$D,INTGRATE!$B202&amp;INTGRATE!$D202,data!$K:$K)</f>
        <v>0</v>
      </c>
      <c r="G202" s="1185"/>
      <c r="H202" s="314">
        <f>SUMIF(CBIN!$A:$A,INTGRATE!$Y:$Y,CBIN!$G:$G)</f>
        <v>0</v>
      </c>
      <c r="I202" s="230">
        <f>SUMIF(data!$D:$D,INTGRATE!$B202&amp;INTGRATE!$D202,data!$J:$J)</f>
        <v>0</v>
      </c>
      <c r="J202" s="230"/>
      <c r="K202" s="230"/>
      <c r="L202" s="230">
        <f>SUMIF(data!$D:$D,INTGRATE!$B202&amp;INTGRATE!$D202,data!$K:$K)</f>
        <v>0</v>
      </c>
      <c r="M202" s="314">
        <f>SUMIF(AJOUT!$A:$A,INTGRATE!$Y:$Y,AJOUT!$L:$L)</f>
        <v>0</v>
      </c>
      <c r="N202" s="100">
        <f>SUMIF(CBOUT!$A:$A,INTGRATE!$Y:$Y,CBOUT!$G:$G)</f>
        <v>0</v>
      </c>
      <c r="O202" s="482">
        <v>0</v>
      </c>
      <c r="P202" s="230">
        <f t="shared" si="79"/>
        <v>0</v>
      </c>
      <c r="Q202" s="350">
        <f t="shared" si="74"/>
        <v>14520</v>
      </c>
      <c r="R202" s="205"/>
      <c r="S202" s="205"/>
      <c r="T202" s="345">
        <f t="shared" si="75"/>
        <v>1613.3333333333333</v>
      </c>
      <c r="U202" s="875">
        <f t="shared" si="80"/>
        <v>0</v>
      </c>
      <c r="V202" s="876"/>
      <c r="W202" s="235"/>
      <c r="X202" s="235"/>
      <c r="Y202" s="863" t="str">
        <f t="shared" si="67"/>
        <v>551FS31SILO</v>
      </c>
      <c r="Z202" s="818">
        <v>31410831</v>
      </c>
      <c r="AA202" s="230"/>
      <c r="AB202" s="314">
        <v>0</v>
      </c>
      <c r="AC202" s="314">
        <v>14520</v>
      </c>
      <c r="AD202" s="314">
        <v>0</v>
      </c>
      <c r="AE202" s="314">
        <v>0</v>
      </c>
      <c r="AF202" s="314">
        <v>0</v>
      </c>
      <c r="AG202" s="314">
        <v>0</v>
      </c>
      <c r="AH202" s="314">
        <v>0</v>
      </c>
      <c r="AI202" s="314">
        <v>0</v>
      </c>
      <c r="AJ202" s="314"/>
      <c r="AK202" s="314"/>
      <c r="AL202" s="314"/>
      <c r="AM202" s="314"/>
      <c r="AN202" s="230"/>
      <c r="AO202" s="314"/>
      <c r="AP202" s="314"/>
      <c r="AQ202" s="230"/>
      <c r="AR202" s="314"/>
      <c r="AS202" s="314"/>
      <c r="AT202" s="314"/>
      <c r="AU202" s="314"/>
      <c r="AV202" s="314"/>
      <c r="AW202" s="314"/>
      <c r="AX202" s="314"/>
      <c r="AY202" s="314"/>
      <c r="AZ202" s="314"/>
      <c r="BA202" s="314"/>
      <c r="BB202" s="314"/>
      <c r="BC202" s="314"/>
      <c r="BD202" s="314"/>
      <c r="BE202" s="314"/>
      <c r="BF202" s="205">
        <f t="shared" si="51"/>
        <v>14520</v>
      </c>
      <c r="BG202" s="786">
        <f t="shared" si="76"/>
        <v>1</v>
      </c>
      <c r="BH202" s="786">
        <f t="shared" si="77"/>
        <v>14520</v>
      </c>
    </row>
    <row r="203" spans="1:60">
      <c r="A203" s="287">
        <v>86</v>
      </c>
      <c r="B203" s="231" t="s">
        <v>364</v>
      </c>
      <c r="C203" s="231" t="s">
        <v>61</v>
      </c>
      <c r="D203" s="364" t="s">
        <v>66</v>
      </c>
      <c r="E203" s="316">
        <v>0</v>
      </c>
      <c r="F203" s="230">
        <f>SUMIF(data!$D:$D,INTGRATE!$B203&amp;INTGRATE!$D203,data!$K:$K)</f>
        <v>0</v>
      </c>
      <c r="G203" s="1185"/>
      <c r="H203" s="314">
        <f>SUMIF(CBIN!$A:$A,INTGRATE!$Y:$Y,CBIN!$G:$G)</f>
        <v>0</v>
      </c>
      <c r="I203" s="230">
        <f>SUMIF(data!$D:$D,INTGRATE!$B203&amp;INTGRATE!$D203,data!$J:$J)</f>
        <v>0</v>
      </c>
      <c r="J203" s="230"/>
      <c r="K203" s="230"/>
      <c r="L203" s="230">
        <f>SUMIF(data!$D:$D,INTGRATE!$B203&amp;INTGRATE!$D203,data!$K:$K)</f>
        <v>0</v>
      </c>
      <c r="M203" s="314">
        <f>SUMIF(AJOUT!$A:$A,INTGRATE!$Y:$Y,AJOUT!$L:$L)</f>
        <v>0</v>
      </c>
      <c r="N203" s="100">
        <f>SUMIF(CBOUT!$A:$A,INTGRATE!$Y:$Y,CBOUT!$G:$G)</f>
        <v>0</v>
      </c>
      <c r="O203" s="482">
        <v>0</v>
      </c>
      <c r="P203" s="230"/>
      <c r="Q203" s="350">
        <f t="shared" si="74"/>
        <v>21170</v>
      </c>
      <c r="R203" s="205"/>
      <c r="S203" s="205"/>
      <c r="T203" s="345">
        <f t="shared" si="75"/>
        <v>2352.2222222222222</v>
      </c>
      <c r="U203" s="875">
        <f t="shared" si="80"/>
        <v>0</v>
      </c>
      <c r="V203" s="876"/>
      <c r="W203" s="235"/>
      <c r="X203" s="235"/>
      <c r="Y203" s="863" t="str">
        <f t="shared" si="67"/>
        <v>551FS54SILO</v>
      </c>
      <c r="Z203" s="818">
        <v>31410844</v>
      </c>
      <c r="AA203" s="230"/>
      <c r="AB203" s="314">
        <v>0</v>
      </c>
      <c r="AC203" s="314">
        <v>21170</v>
      </c>
      <c r="AD203" s="314">
        <v>0</v>
      </c>
      <c r="AE203" s="314">
        <v>0</v>
      </c>
      <c r="AF203" s="314">
        <v>0</v>
      </c>
      <c r="AG203" s="314">
        <v>0</v>
      </c>
      <c r="AH203" s="314">
        <v>0</v>
      </c>
      <c r="AI203" s="314">
        <v>0</v>
      </c>
      <c r="AJ203" s="314"/>
      <c r="AK203" s="314"/>
      <c r="AL203" s="314"/>
      <c r="AM203" s="314"/>
      <c r="AN203" s="230"/>
      <c r="AO203" s="314"/>
      <c r="AP203" s="314"/>
      <c r="AQ203" s="230"/>
      <c r="AR203" s="314"/>
      <c r="AS203" s="314"/>
      <c r="AT203" s="314"/>
      <c r="AU203" s="314"/>
      <c r="AV203" s="314"/>
      <c r="AW203" s="314"/>
      <c r="AX203" s="314"/>
      <c r="AY203" s="314"/>
      <c r="AZ203" s="314"/>
      <c r="BA203" s="314"/>
      <c r="BB203" s="314"/>
      <c r="BC203" s="314"/>
      <c r="BD203" s="314"/>
      <c r="BE203" s="314"/>
      <c r="BF203" s="205">
        <f t="shared" si="51"/>
        <v>21170</v>
      </c>
      <c r="BG203" s="786">
        <f t="shared" si="76"/>
        <v>1</v>
      </c>
      <c r="BH203" s="786">
        <f t="shared" si="77"/>
        <v>21170</v>
      </c>
    </row>
    <row r="204" spans="1:60">
      <c r="A204" s="287">
        <v>87</v>
      </c>
      <c r="B204" s="231" t="s">
        <v>363</v>
      </c>
      <c r="C204" s="231" t="s">
        <v>61</v>
      </c>
      <c r="D204" s="364" t="s">
        <v>66</v>
      </c>
      <c r="E204" s="316">
        <v>0</v>
      </c>
      <c r="F204" s="230">
        <f>SUMIF(data!$D:$D,INTGRATE!$B204&amp;INTGRATE!$D204,data!$K:$K)</f>
        <v>0</v>
      </c>
      <c r="G204" s="316">
        <v>0</v>
      </c>
      <c r="H204" s="316">
        <v>0</v>
      </c>
      <c r="I204" s="316">
        <v>0</v>
      </c>
      <c r="J204" s="316">
        <v>0</v>
      </c>
      <c r="K204" s="316">
        <v>0</v>
      </c>
      <c r="L204" s="230">
        <f>SUMIF(data!$D:$D,INTGRATE!$B204&amp;INTGRATE!$D204,data!$K:$K)</f>
        <v>0</v>
      </c>
      <c r="M204" s="316">
        <v>0</v>
      </c>
      <c r="N204" s="316">
        <v>0</v>
      </c>
      <c r="O204" s="482">
        <v>0</v>
      </c>
      <c r="P204" s="230">
        <v>0</v>
      </c>
      <c r="Q204" s="350">
        <f t="shared" si="74"/>
        <v>0</v>
      </c>
      <c r="R204" s="205"/>
      <c r="S204" s="205"/>
      <c r="T204" s="345">
        <f t="shared" si="75"/>
        <v>0</v>
      </c>
      <c r="U204" s="875">
        <f t="shared" si="80"/>
        <v>0</v>
      </c>
      <c r="V204" s="876"/>
      <c r="W204" s="235"/>
      <c r="X204" s="235"/>
      <c r="Y204" s="863" t="str">
        <f t="shared" si="67"/>
        <v>551FS47SILO</v>
      </c>
      <c r="Z204" s="818">
        <v>31410847</v>
      </c>
      <c r="AA204" s="230"/>
      <c r="AB204" s="314">
        <v>0</v>
      </c>
      <c r="AC204" s="314">
        <v>0</v>
      </c>
      <c r="AD204" s="314">
        <v>0</v>
      </c>
      <c r="AE204" s="314">
        <v>0</v>
      </c>
      <c r="AF204" s="314">
        <v>0</v>
      </c>
      <c r="AG204" s="314">
        <v>0</v>
      </c>
      <c r="AH204" s="314">
        <v>0</v>
      </c>
      <c r="AI204" s="314">
        <v>0</v>
      </c>
      <c r="AJ204" s="314"/>
      <c r="AK204" s="314"/>
      <c r="AL204" s="314"/>
      <c r="AM204" s="314"/>
      <c r="AN204" s="230"/>
      <c r="AO204" s="314"/>
      <c r="AP204" s="314"/>
      <c r="AQ204" s="230"/>
      <c r="AR204" s="314"/>
      <c r="AS204" s="314"/>
      <c r="AT204" s="314"/>
      <c r="AU204" s="314"/>
      <c r="AV204" s="314"/>
      <c r="AW204" s="314"/>
      <c r="AX204" s="314"/>
      <c r="AY204" s="314"/>
      <c r="AZ204" s="314"/>
      <c r="BA204" s="314"/>
      <c r="BB204" s="314"/>
      <c r="BC204" s="314"/>
      <c r="BD204" s="314"/>
      <c r="BE204" s="314"/>
      <c r="BF204" s="205">
        <f t="shared" si="51"/>
        <v>0</v>
      </c>
      <c r="BG204" s="786">
        <f t="shared" si="76"/>
        <v>0</v>
      </c>
      <c r="BH204" s="786">
        <f t="shared" si="77"/>
        <v>0</v>
      </c>
    </row>
    <row r="205" spans="1:60">
      <c r="A205" s="287">
        <v>88</v>
      </c>
      <c r="B205" s="231" t="s">
        <v>438</v>
      </c>
      <c r="C205" s="231" t="s">
        <v>61</v>
      </c>
      <c r="D205" s="364" t="s">
        <v>66</v>
      </c>
      <c r="E205" s="316">
        <v>0</v>
      </c>
      <c r="F205" s="230">
        <f>SUMIF(data!$D:$D,INTGRATE!$B205&amp;INTGRATE!$D205,data!$K:$K)</f>
        <v>0</v>
      </c>
      <c r="G205" s="316">
        <v>0</v>
      </c>
      <c r="H205" s="316">
        <v>0</v>
      </c>
      <c r="I205" s="316">
        <v>0</v>
      </c>
      <c r="J205" s="316">
        <v>0</v>
      </c>
      <c r="K205" s="316">
        <v>0</v>
      </c>
      <c r="L205" s="230">
        <f>SUMIF(data!$D:$D,INTGRATE!$B205&amp;INTGRATE!$D205,data!$K:$K)</f>
        <v>0</v>
      </c>
      <c r="M205" s="316">
        <v>0</v>
      </c>
      <c r="N205" s="316">
        <v>0</v>
      </c>
      <c r="O205" s="482">
        <v>0</v>
      </c>
      <c r="P205" s="230">
        <v>0</v>
      </c>
      <c r="Q205" s="350">
        <f t="shared" si="74"/>
        <v>0</v>
      </c>
      <c r="R205" s="205"/>
      <c r="S205" s="205"/>
      <c r="T205" s="345">
        <f t="shared" si="75"/>
        <v>0</v>
      </c>
      <c r="U205" s="875">
        <f t="shared" si="80"/>
        <v>0</v>
      </c>
      <c r="V205" s="876"/>
      <c r="W205" s="235"/>
      <c r="X205" s="235"/>
      <c r="Y205" s="863" t="str">
        <f t="shared" si="67"/>
        <v>551FS48SILO</v>
      </c>
      <c r="Z205" s="818">
        <v>31410848</v>
      </c>
      <c r="AA205" s="230"/>
      <c r="AB205" s="314">
        <v>0</v>
      </c>
      <c r="AC205" s="314">
        <v>0</v>
      </c>
      <c r="AD205" s="314">
        <v>0</v>
      </c>
      <c r="AE205" s="314">
        <v>0</v>
      </c>
      <c r="AF205" s="314">
        <v>0</v>
      </c>
      <c r="AG205" s="314">
        <v>0</v>
      </c>
      <c r="AH205" s="314">
        <v>0</v>
      </c>
      <c r="AI205" s="314">
        <v>0</v>
      </c>
      <c r="AJ205" s="314"/>
      <c r="AK205" s="314"/>
      <c r="AL205" s="314"/>
      <c r="AM205" s="314"/>
      <c r="AN205" s="230"/>
      <c r="AO205" s="314"/>
      <c r="AP205" s="314"/>
      <c r="AQ205" s="230"/>
      <c r="AR205" s="314"/>
      <c r="AS205" s="314"/>
      <c r="AT205" s="314"/>
      <c r="AU205" s="314"/>
      <c r="AV205" s="314"/>
      <c r="AW205" s="314"/>
      <c r="AX205" s="314"/>
      <c r="AY205" s="314"/>
      <c r="AZ205" s="314"/>
      <c r="BA205" s="314"/>
      <c r="BB205" s="314"/>
      <c r="BC205" s="314"/>
      <c r="BD205" s="314"/>
      <c r="BE205" s="314"/>
      <c r="BF205" s="205">
        <f t="shared" si="51"/>
        <v>0</v>
      </c>
      <c r="BG205" s="786">
        <f t="shared" si="76"/>
        <v>0</v>
      </c>
      <c r="BH205" s="786">
        <f t="shared" si="77"/>
        <v>0</v>
      </c>
    </row>
    <row r="206" spans="1:60">
      <c r="A206" s="287">
        <v>89</v>
      </c>
      <c r="B206" s="231" t="s">
        <v>365</v>
      </c>
      <c r="C206" s="231" t="s">
        <v>61</v>
      </c>
      <c r="D206" s="364" t="s">
        <v>66</v>
      </c>
      <c r="E206" s="316"/>
      <c r="F206" s="230">
        <f>SUMIF(data!$D:$D,INTGRATE!$B206&amp;INTGRATE!$D206,data!$K:$K)</f>
        <v>0</v>
      </c>
      <c r="G206" s="316"/>
      <c r="H206" s="316"/>
      <c r="I206" s="316">
        <v>0</v>
      </c>
      <c r="J206" s="316">
        <v>0</v>
      </c>
      <c r="K206" s="316">
        <v>0</v>
      </c>
      <c r="L206" s="230">
        <f>SUMIF(data!$D:$D,INTGRATE!$B206&amp;INTGRATE!$D206,data!$K:$K)</f>
        <v>0</v>
      </c>
      <c r="M206" s="316"/>
      <c r="N206" s="316"/>
      <c r="O206" s="482"/>
      <c r="P206" s="230"/>
      <c r="Q206" s="350">
        <f t="shared" si="74"/>
        <v>0</v>
      </c>
      <c r="R206" s="205"/>
      <c r="S206" s="205"/>
      <c r="T206" s="345">
        <f t="shared" si="75"/>
        <v>0</v>
      </c>
      <c r="U206" s="875">
        <f t="shared" si="80"/>
        <v>0</v>
      </c>
      <c r="V206" s="876"/>
      <c r="W206" s="235"/>
      <c r="X206" s="235"/>
      <c r="Y206" s="863" t="str">
        <f t="shared" si="67"/>
        <v>551FS52SILO</v>
      </c>
      <c r="Z206" s="818">
        <v>31410852</v>
      </c>
      <c r="AA206" s="230"/>
      <c r="AB206" s="314">
        <v>0</v>
      </c>
      <c r="AC206" s="314">
        <v>0</v>
      </c>
      <c r="AD206" s="314">
        <v>0</v>
      </c>
      <c r="AE206" s="314">
        <v>0</v>
      </c>
      <c r="AF206" s="314">
        <v>0</v>
      </c>
      <c r="AG206" s="314">
        <v>0</v>
      </c>
      <c r="AH206" s="314">
        <v>0</v>
      </c>
      <c r="AI206" s="314">
        <v>0</v>
      </c>
      <c r="AJ206" s="314"/>
      <c r="AK206" s="314"/>
      <c r="AL206" s="314"/>
      <c r="AM206" s="314"/>
      <c r="AN206" s="230"/>
      <c r="AO206" s="314"/>
      <c r="AP206" s="314"/>
      <c r="AQ206" s="230"/>
      <c r="AR206" s="314"/>
      <c r="AS206" s="314"/>
      <c r="AT206" s="314"/>
      <c r="AU206" s="314"/>
      <c r="AV206" s="314"/>
      <c r="AW206" s="314"/>
      <c r="AX206" s="314"/>
      <c r="AY206" s="314"/>
      <c r="AZ206" s="314"/>
      <c r="BA206" s="314"/>
      <c r="BB206" s="314"/>
      <c r="BC206" s="314"/>
      <c r="BD206" s="314"/>
      <c r="BE206" s="314"/>
      <c r="BF206" s="205">
        <f t="shared" si="51"/>
        <v>0</v>
      </c>
      <c r="BG206" s="786">
        <f t="shared" si="76"/>
        <v>0</v>
      </c>
      <c r="BH206" s="786">
        <f t="shared" si="77"/>
        <v>0</v>
      </c>
    </row>
    <row r="207" spans="1:60">
      <c r="A207" s="287">
        <v>90</v>
      </c>
      <c r="B207" s="231" t="s">
        <v>368</v>
      </c>
      <c r="C207" s="231" t="s">
        <v>64</v>
      </c>
      <c r="D207" s="364" t="s">
        <v>66</v>
      </c>
      <c r="E207" s="316">
        <v>0</v>
      </c>
      <c r="F207" s="230">
        <f>SUMIF(data!$D:$D,INTGRATE!$B207&amp;INTGRATE!$D207,data!$K:$K)</f>
        <v>0</v>
      </c>
      <c r="G207" s="1185"/>
      <c r="H207" s="314">
        <f>SUMIF(CBIN!$A:$A,INTGRATE!$Y:$Y,CBIN!$G:$G)</f>
        <v>0</v>
      </c>
      <c r="I207" s="230">
        <f>SUMIF(data!$D:$D,INTGRATE!$B207&amp;INTGRATE!$D207,data!$J:$J)</f>
        <v>0</v>
      </c>
      <c r="J207" s="230"/>
      <c r="K207" s="230"/>
      <c r="L207" s="230">
        <f>SUMIF(data!$D:$D,INTGRATE!$B207&amp;INTGRATE!$D207,data!$K:$K)</f>
        <v>0</v>
      </c>
      <c r="M207" s="314">
        <f>SUMIF(AJOUT!$A:$A,INTGRATE!$Y:$Y,AJOUT!$L:$L)</f>
        <v>0</v>
      </c>
      <c r="N207" s="100">
        <f>SUMIF(CBOUT!$A:$A,INTGRATE!$Y:$Y,CBOUT!$G:$G)</f>
        <v>0</v>
      </c>
      <c r="O207" s="482">
        <v>0</v>
      </c>
      <c r="P207" s="230">
        <f>F207-L207</f>
        <v>0</v>
      </c>
      <c r="Q207" s="350">
        <f t="shared" si="74"/>
        <v>0</v>
      </c>
      <c r="R207" s="205"/>
      <c r="S207" s="205"/>
      <c r="T207" s="345">
        <f t="shared" si="75"/>
        <v>0</v>
      </c>
      <c r="U207" s="875">
        <f t="shared" si="80"/>
        <v>0</v>
      </c>
      <c r="V207" s="876"/>
      <c r="W207" s="235"/>
      <c r="X207" s="235"/>
      <c r="Y207" s="863" t="str">
        <f t="shared" si="67"/>
        <v>551GPFSILO</v>
      </c>
      <c r="Z207" s="818" t="s">
        <v>367</v>
      </c>
      <c r="AA207" s="230"/>
      <c r="AB207" s="314">
        <v>0</v>
      </c>
      <c r="AC207" s="314">
        <v>0</v>
      </c>
      <c r="AD207" s="314">
        <v>0</v>
      </c>
      <c r="AE207" s="314">
        <v>0</v>
      </c>
      <c r="AF207" s="314">
        <v>0</v>
      </c>
      <c r="AG207" s="314">
        <v>0</v>
      </c>
      <c r="AH207" s="314">
        <v>0</v>
      </c>
      <c r="AI207" s="314">
        <v>0</v>
      </c>
      <c r="AJ207" s="314"/>
      <c r="AK207" s="314"/>
      <c r="AL207" s="314"/>
      <c r="AM207" s="314"/>
      <c r="AN207" s="230"/>
      <c r="AO207" s="314"/>
      <c r="AP207" s="314"/>
      <c r="AQ207" s="230"/>
      <c r="AR207" s="314"/>
      <c r="AS207" s="314"/>
      <c r="AT207" s="314"/>
      <c r="AU207" s="314"/>
      <c r="AV207" s="314"/>
      <c r="AW207" s="314"/>
      <c r="AX207" s="314"/>
      <c r="AY207" s="314"/>
      <c r="AZ207" s="314"/>
      <c r="BA207" s="314"/>
      <c r="BB207" s="314"/>
      <c r="BC207" s="314"/>
      <c r="BD207" s="314"/>
      <c r="BE207" s="314"/>
      <c r="BF207" s="205">
        <f t="shared" si="51"/>
        <v>0</v>
      </c>
      <c r="BG207" s="786">
        <f t="shared" si="76"/>
        <v>0</v>
      </c>
      <c r="BH207" s="786">
        <f t="shared" si="77"/>
        <v>0</v>
      </c>
    </row>
    <row r="208" spans="1:60">
      <c r="A208" s="287">
        <v>91</v>
      </c>
      <c r="B208" s="231" t="s">
        <v>368</v>
      </c>
      <c r="C208" s="231" t="s">
        <v>64</v>
      </c>
      <c r="D208" s="556" t="s">
        <v>437</v>
      </c>
      <c r="E208" s="316"/>
      <c r="F208" s="230">
        <f>SUMIF(data!$D:$D,INTGRATE!$B208&amp;INTGRATE!$D208,data!$K:$K)</f>
        <v>0</v>
      </c>
      <c r="G208" s="1185"/>
      <c r="H208" s="314"/>
      <c r="I208" s="230">
        <f>SUMIF(data!$D:$D,INTGRATE!$B208&amp;INTGRATE!$D208,data!$J:$J)</f>
        <v>0</v>
      </c>
      <c r="J208" s="230"/>
      <c r="K208" s="230"/>
      <c r="L208" s="230">
        <f>SUMIF(data!$D:$D,INTGRATE!$B208&amp;INTGRATE!$D208,data!$K:$K)</f>
        <v>0</v>
      </c>
      <c r="M208" s="314"/>
      <c r="N208" s="100">
        <f>SUMIF(CBOUT!$A:$A,INTGRATE!$Y:$Y,CBOUT!$G:$G)</f>
        <v>0</v>
      </c>
      <c r="O208" s="482"/>
      <c r="P208" s="230">
        <v>0</v>
      </c>
      <c r="Q208" s="350">
        <f t="shared" si="74"/>
        <v>0</v>
      </c>
      <c r="R208" s="205"/>
      <c r="S208" s="205"/>
      <c r="T208" s="345">
        <f t="shared" si="75"/>
        <v>0</v>
      </c>
      <c r="U208" s="875">
        <f t="shared" si="80"/>
        <v>0</v>
      </c>
      <c r="V208" s="876"/>
      <c r="W208" s="235"/>
      <c r="X208" s="235"/>
      <c r="Y208" s="863" t="str">
        <f t="shared" si="67"/>
        <v>551GPFBigbag</v>
      </c>
      <c r="Z208" s="818">
        <v>314111</v>
      </c>
      <c r="AA208" s="230"/>
      <c r="AB208" s="314">
        <v>0</v>
      </c>
      <c r="AC208" s="314">
        <v>0</v>
      </c>
      <c r="AD208" s="314">
        <v>0</v>
      </c>
      <c r="AE208" s="314">
        <v>0</v>
      </c>
      <c r="AF208" s="314">
        <v>0</v>
      </c>
      <c r="AG208" s="314">
        <v>0</v>
      </c>
      <c r="AH208" s="314">
        <v>0</v>
      </c>
      <c r="AI208" s="314">
        <v>0</v>
      </c>
      <c r="AJ208" s="314"/>
      <c r="AK208" s="314"/>
      <c r="AL208" s="314"/>
      <c r="AM208" s="314"/>
      <c r="AN208" s="230"/>
      <c r="AO208" s="314"/>
      <c r="AP208" s="314"/>
      <c r="AQ208" s="230"/>
      <c r="AR208" s="314"/>
      <c r="AS208" s="314"/>
      <c r="AT208" s="314"/>
      <c r="AU208" s="314"/>
      <c r="AV208" s="314"/>
      <c r="AW208" s="314"/>
      <c r="AX208" s="314"/>
      <c r="AY208" s="314"/>
      <c r="AZ208" s="314"/>
      <c r="BA208" s="314"/>
      <c r="BB208" s="314"/>
      <c r="BC208" s="314"/>
      <c r="BD208" s="314"/>
      <c r="BE208" s="314"/>
      <c r="BF208" s="205">
        <f t="shared" si="51"/>
        <v>0</v>
      </c>
      <c r="BG208" s="786">
        <f t="shared" si="76"/>
        <v>0</v>
      </c>
      <c r="BH208" s="786">
        <f t="shared" si="77"/>
        <v>0</v>
      </c>
    </row>
    <row r="209" spans="1:60">
      <c r="A209" s="287">
        <v>92</v>
      </c>
      <c r="B209" s="231" t="s">
        <v>439</v>
      </c>
      <c r="C209" s="231" t="s">
        <v>64</v>
      </c>
      <c r="D209" s="364" t="s">
        <v>66</v>
      </c>
      <c r="E209" s="316">
        <v>0</v>
      </c>
      <c r="F209" s="230">
        <f>SUMIF(data!$D:$D,INTGRATE!$B209&amp;INTGRATE!$D209,data!$K:$K)</f>
        <v>0</v>
      </c>
      <c r="G209" s="1185"/>
      <c r="H209" s="314">
        <f>SUMIF(CBIN!$A:$A,INTGRATE!$Y:$Y,CBIN!$G:$G)</f>
        <v>0</v>
      </c>
      <c r="I209" s="230">
        <f>SUMIF(data!$D:$D,INTGRATE!$B209&amp;INTGRATE!$D209,data!$J:$J)</f>
        <v>0</v>
      </c>
      <c r="J209" s="230"/>
      <c r="K209" s="230"/>
      <c r="L209" s="230">
        <f>SUMIF(data!$D:$D,INTGRATE!$B209&amp;INTGRATE!$D209,data!$K:$K)</f>
        <v>0</v>
      </c>
      <c r="M209" s="314">
        <f>SUMIF(AJOUT!$A:$A,INTGRATE!$Y:$Y,AJOUT!$L:$L)</f>
        <v>0</v>
      </c>
      <c r="N209" s="100">
        <f>SUMIF(CBOUT!$A:$A,INTGRATE!$Y:$Y,CBOUT!$G:$G)</f>
        <v>0</v>
      </c>
      <c r="O209" s="482">
        <v>0</v>
      </c>
      <c r="P209" s="230">
        <f>F209-L209</f>
        <v>0</v>
      </c>
      <c r="Q209" s="350">
        <f t="shared" si="74"/>
        <v>0</v>
      </c>
      <c r="R209" s="205"/>
      <c r="S209" s="205"/>
      <c r="T209" s="345">
        <f t="shared" si="75"/>
        <v>0</v>
      </c>
      <c r="U209" s="875">
        <f t="shared" si="80"/>
        <v>0</v>
      </c>
      <c r="V209" s="876"/>
      <c r="W209" s="235"/>
      <c r="X209" s="235"/>
      <c r="Y209" s="863" t="str">
        <f t="shared" si="67"/>
        <v>551GPFS10SILO</v>
      </c>
      <c r="Z209" s="818">
        <v>31411810</v>
      </c>
      <c r="AA209" s="230"/>
      <c r="AB209" s="314">
        <v>0</v>
      </c>
      <c r="AC209" s="314">
        <v>0</v>
      </c>
      <c r="AD209" s="314">
        <v>0</v>
      </c>
      <c r="AE209" s="314">
        <v>0</v>
      </c>
      <c r="AF209" s="314">
        <v>0</v>
      </c>
      <c r="AG209" s="314">
        <v>0</v>
      </c>
      <c r="AH209" s="314">
        <v>0</v>
      </c>
      <c r="AI209" s="314">
        <v>0</v>
      </c>
      <c r="AJ209" s="314"/>
      <c r="AK209" s="314"/>
      <c r="AL209" s="314"/>
      <c r="AM209" s="314"/>
      <c r="AN209" s="230"/>
      <c r="AO209" s="314"/>
      <c r="AP209" s="314"/>
      <c r="AQ209" s="230"/>
      <c r="AR209" s="314"/>
      <c r="AS209" s="314"/>
      <c r="AT209" s="314"/>
      <c r="AU209" s="314"/>
      <c r="AV209" s="314"/>
      <c r="AW209" s="314"/>
      <c r="AX209" s="314"/>
      <c r="AY209" s="314"/>
      <c r="AZ209" s="314"/>
      <c r="BA209" s="314"/>
      <c r="BB209" s="314"/>
      <c r="BC209" s="314"/>
      <c r="BD209" s="314"/>
      <c r="BE209" s="314"/>
      <c r="BF209" s="205">
        <f t="shared" si="51"/>
        <v>0</v>
      </c>
      <c r="BG209" s="786">
        <f t="shared" si="76"/>
        <v>0</v>
      </c>
      <c r="BH209" s="786">
        <f t="shared" si="77"/>
        <v>0</v>
      </c>
    </row>
    <row r="210" spans="1:60" ht="13.5" customHeight="1">
      <c r="A210" s="287">
        <v>93</v>
      </c>
      <c r="B210" s="231" t="s">
        <v>376</v>
      </c>
      <c r="C210" s="231" t="s">
        <v>64</v>
      </c>
      <c r="D210" s="364" t="s">
        <v>66</v>
      </c>
      <c r="E210" s="316"/>
      <c r="F210" s="230">
        <f>SUMIF(data!$D:$D,INTGRATE!$B210&amp;INTGRATE!$D210,data!$K:$K)</f>
        <v>0</v>
      </c>
      <c r="G210" s="1185"/>
      <c r="H210" s="314"/>
      <c r="I210" s="230">
        <f>SUMIF(data!$D:$D,INTGRATE!$B210&amp;INTGRATE!$D210,data!$J:$J)</f>
        <v>0</v>
      </c>
      <c r="J210" s="230"/>
      <c r="K210" s="230"/>
      <c r="L210" s="230">
        <f>SUMIF(data!$D:$D,INTGRATE!$B210&amp;INTGRATE!$D210,data!$K:$K)</f>
        <v>0</v>
      </c>
      <c r="M210" s="314">
        <f>SUMIF(AJOUT!$A:$A,INTGRATE!$Y:$Y,AJOUT!$L:$L)</f>
        <v>0</v>
      </c>
      <c r="N210" s="100">
        <f>SUMIF(CBOUT!$A:$A,INTGRATE!$Y:$Y,CBOUT!$G:$G)</f>
        <v>0</v>
      </c>
      <c r="O210" s="482"/>
      <c r="P210" s="230">
        <f>F210-L210</f>
        <v>0</v>
      </c>
      <c r="Q210" s="350">
        <f t="shared" si="74"/>
        <v>0</v>
      </c>
      <c r="R210" s="205"/>
      <c r="S210" s="205"/>
      <c r="T210" s="345">
        <f t="shared" si="75"/>
        <v>0</v>
      </c>
      <c r="U210" s="875">
        <f t="shared" si="80"/>
        <v>0</v>
      </c>
      <c r="V210" s="876"/>
      <c r="W210" s="235"/>
      <c r="X210" s="235"/>
      <c r="Y210" s="863" t="str">
        <f t="shared" si="67"/>
        <v>551GPFS11SILO</v>
      </c>
      <c r="Z210" s="818">
        <v>31411811</v>
      </c>
      <c r="AA210" s="230"/>
      <c r="AB210" s="314">
        <v>0</v>
      </c>
      <c r="AC210" s="314">
        <v>0</v>
      </c>
      <c r="AD210" s="314">
        <v>0</v>
      </c>
      <c r="AE210" s="314">
        <v>0</v>
      </c>
      <c r="AF210" s="314">
        <v>0</v>
      </c>
      <c r="AG210" s="314">
        <v>0</v>
      </c>
      <c r="AH210" s="314">
        <v>0</v>
      </c>
      <c r="AI210" s="314">
        <v>0</v>
      </c>
      <c r="AJ210" s="314"/>
      <c r="AK210" s="314"/>
      <c r="AL210" s="314"/>
      <c r="AM210" s="314"/>
      <c r="AN210" s="230"/>
      <c r="AO210" s="314"/>
      <c r="AP210" s="314"/>
      <c r="AQ210" s="230"/>
      <c r="AR210" s="314"/>
      <c r="AS210" s="314"/>
      <c r="AT210" s="314"/>
      <c r="AU210" s="314"/>
      <c r="AV210" s="314"/>
      <c r="AW210" s="314"/>
      <c r="AX210" s="314"/>
      <c r="AY210" s="314"/>
      <c r="AZ210" s="314"/>
      <c r="BA210" s="314"/>
      <c r="BB210" s="314"/>
      <c r="BC210" s="314"/>
      <c r="BD210" s="314"/>
      <c r="BE210" s="314"/>
      <c r="BF210" s="205">
        <f t="shared" si="51"/>
        <v>0</v>
      </c>
      <c r="BG210" s="786">
        <f t="shared" si="76"/>
        <v>0</v>
      </c>
      <c r="BH210" s="786">
        <f t="shared" si="77"/>
        <v>0</v>
      </c>
    </row>
    <row r="211" spans="1:60" ht="13.5" customHeight="1">
      <c r="A211" s="287">
        <v>94</v>
      </c>
      <c r="B211" s="231" t="s">
        <v>377</v>
      </c>
      <c r="C211" s="231" t="s">
        <v>64</v>
      </c>
      <c r="D211" s="364" t="s">
        <v>66</v>
      </c>
      <c r="E211" s="316"/>
      <c r="F211" s="230">
        <f>SUMIF(data!$D:$D,INTGRATE!$B211&amp;INTGRATE!$D211,data!$K:$K)</f>
        <v>0</v>
      </c>
      <c r="G211" s="1185"/>
      <c r="H211" s="314"/>
      <c r="I211" s="230"/>
      <c r="J211" s="230"/>
      <c r="K211" s="230"/>
      <c r="L211" s="230">
        <f>SUMIF(data!$D:$D,INTGRATE!$B211&amp;INTGRATE!$D211,data!$K:$K)</f>
        <v>0</v>
      </c>
      <c r="M211" s="314"/>
      <c r="N211" s="100"/>
      <c r="O211" s="482"/>
      <c r="P211" s="230"/>
      <c r="Q211" s="350">
        <f t="shared" si="74"/>
        <v>29620</v>
      </c>
      <c r="R211" s="205"/>
      <c r="S211" s="205"/>
      <c r="T211" s="345">
        <f t="shared" si="75"/>
        <v>3291.1111111111113</v>
      </c>
      <c r="U211" s="875">
        <f t="shared" si="80"/>
        <v>0</v>
      </c>
      <c r="V211" s="876"/>
      <c r="W211" s="235"/>
      <c r="X211" s="235"/>
      <c r="Y211" s="863" t="str">
        <f>B211&amp;D211</f>
        <v>551GPFS13SILO</v>
      </c>
      <c r="Z211" s="818">
        <v>31411813</v>
      </c>
      <c r="AA211" s="230"/>
      <c r="AB211" s="314">
        <v>0</v>
      </c>
      <c r="AC211" s="314">
        <v>0</v>
      </c>
      <c r="AD211" s="314">
        <v>0</v>
      </c>
      <c r="AE211" s="314">
        <v>0</v>
      </c>
      <c r="AF211" s="314">
        <v>0</v>
      </c>
      <c r="AG211" s="314">
        <v>0</v>
      </c>
      <c r="AH211" s="314">
        <v>0</v>
      </c>
      <c r="AI211" s="314">
        <v>29620</v>
      </c>
      <c r="AJ211" s="314"/>
      <c r="AK211" s="314"/>
      <c r="AL211" s="314"/>
      <c r="AM211" s="314"/>
      <c r="AN211" s="230"/>
      <c r="AO211" s="314"/>
      <c r="AP211" s="314"/>
      <c r="AQ211" s="230"/>
      <c r="AR211" s="314"/>
      <c r="AS211" s="314"/>
      <c r="AT211" s="314"/>
      <c r="AU211" s="314"/>
      <c r="AV211" s="314"/>
      <c r="AW211" s="314"/>
      <c r="AX211" s="314"/>
      <c r="AY211" s="314"/>
      <c r="AZ211" s="314"/>
      <c r="BA211" s="314"/>
      <c r="BB211" s="314"/>
      <c r="BC211" s="314"/>
      <c r="BD211" s="314"/>
      <c r="BE211" s="314"/>
      <c r="BF211" s="205">
        <f t="shared" si="51"/>
        <v>29620</v>
      </c>
      <c r="BG211" s="786">
        <f t="shared" si="76"/>
        <v>1</v>
      </c>
      <c r="BH211" s="786">
        <f t="shared" si="77"/>
        <v>29620</v>
      </c>
    </row>
    <row r="212" spans="1:60">
      <c r="A212" s="287">
        <v>95</v>
      </c>
      <c r="B212" s="231" t="s">
        <v>380</v>
      </c>
      <c r="C212" s="231" t="s">
        <v>64</v>
      </c>
      <c r="D212" s="364" t="s">
        <v>66</v>
      </c>
      <c r="E212" s="316"/>
      <c r="F212" s="230">
        <f>SUMIF(data!$D:$D,INTGRATE!$B212&amp;INTGRATE!$D212,data!$K:$K)</f>
        <v>0</v>
      </c>
      <c r="G212" s="1185"/>
      <c r="H212" s="314">
        <f>SUMIF(CBIN!$A:$A,INTGRATE!$Y:$Y,CBIN!$G:$G)</f>
        <v>0</v>
      </c>
      <c r="I212" s="230">
        <f>SUMIF(data!$D:$D,INTGRATE!$B212&amp;INTGRATE!$D212,data!$J:$J)</f>
        <v>0</v>
      </c>
      <c r="J212" s="230"/>
      <c r="K212" s="230"/>
      <c r="L212" s="230">
        <f>SUMIF(data!$D:$D,INTGRATE!$B212&amp;INTGRATE!$D212,data!$K:$K)</f>
        <v>0</v>
      </c>
      <c r="M212" s="314">
        <v>0</v>
      </c>
      <c r="N212" s="100">
        <f>SUMIF(CBOUT!$A:$A,INTGRATE!$Y:$Y,CBOUT!$G:$G)</f>
        <v>0</v>
      </c>
      <c r="O212" s="482"/>
      <c r="P212" s="230">
        <f>F212-L212</f>
        <v>0</v>
      </c>
      <c r="Q212" s="350">
        <f t="shared" si="74"/>
        <v>25200</v>
      </c>
      <c r="R212" s="205"/>
      <c r="S212" s="205"/>
      <c r="T212" s="345">
        <f t="shared" si="75"/>
        <v>2800</v>
      </c>
      <c r="U212" s="875">
        <f t="shared" si="80"/>
        <v>0</v>
      </c>
      <c r="V212" s="876"/>
      <c r="W212" s="235"/>
      <c r="X212" s="235"/>
      <c r="Y212" s="863" t="str">
        <f t="shared" ref="Y212:Y260" si="81">B212&amp;D212</f>
        <v>551GPFS54SILO</v>
      </c>
      <c r="Z212" s="818">
        <v>31411854</v>
      </c>
      <c r="AA212" s="230"/>
      <c r="AB212" s="314">
        <v>3930</v>
      </c>
      <c r="AC212" s="314">
        <v>6050</v>
      </c>
      <c r="AD212" s="314">
        <v>0</v>
      </c>
      <c r="AE212" s="314">
        <v>0</v>
      </c>
      <c r="AF212" s="314">
        <v>15220</v>
      </c>
      <c r="AG212" s="314">
        <v>0</v>
      </c>
      <c r="AH212" s="314">
        <v>0</v>
      </c>
      <c r="AI212" s="314">
        <v>0</v>
      </c>
      <c r="AJ212" s="314"/>
      <c r="AK212" s="314"/>
      <c r="AL212" s="314"/>
      <c r="AM212" s="314"/>
      <c r="AN212" s="230"/>
      <c r="AO212" s="314"/>
      <c r="AP212" s="314"/>
      <c r="AQ212" s="230"/>
      <c r="AR212" s="314"/>
      <c r="AS212" s="314"/>
      <c r="AT212" s="314"/>
      <c r="AU212" s="314"/>
      <c r="AV212" s="314"/>
      <c r="AW212" s="314"/>
      <c r="AX212" s="314"/>
      <c r="AY212" s="314"/>
      <c r="AZ212" s="314"/>
      <c r="BA212" s="314"/>
      <c r="BB212" s="314"/>
      <c r="BC212" s="314"/>
      <c r="BD212" s="314"/>
      <c r="BE212" s="314"/>
      <c r="BF212" s="205">
        <f t="shared" ref="BF212:BF260" si="82">SUM(AA212:BE212)</f>
        <v>25200</v>
      </c>
      <c r="BG212" s="786">
        <f t="shared" si="76"/>
        <v>3</v>
      </c>
      <c r="BH212" s="786">
        <f t="shared" si="77"/>
        <v>8400</v>
      </c>
    </row>
    <row r="213" spans="1:60">
      <c r="A213" s="287">
        <v>96</v>
      </c>
      <c r="B213" s="231" t="s">
        <v>372</v>
      </c>
      <c r="C213" s="231" t="s">
        <v>64</v>
      </c>
      <c r="D213" s="364" t="s">
        <v>66</v>
      </c>
      <c r="E213" s="316"/>
      <c r="F213" s="230">
        <f>SUMIF(data!$D:$D,INTGRATE!$B213&amp;INTGRATE!$D213,data!$K:$K)</f>
        <v>0</v>
      </c>
      <c r="G213" s="1185"/>
      <c r="H213" s="314">
        <f>SUMIF(CBIN!$A:$A,INTGRATE!$Y:$Y,CBIN!$G:$G)</f>
        <v>0</v>
      </c>
      <c r="I213" s="230">
        <f>SUMIF(data!$D:$D,INTGRATE!$B213&amp;INTGRATE!$D213,data!$J:$J)</f>
        <v>0</v>
      </c>
      <c r="J213" s="230"/>
      <c r="K213" s="230"/>
      <c r="L213" s="230">
        <f>SUMIF(data!$D:$D,INTGRATE!$B213&amp;INTGRATE!$D213,data!$K:$K)</f>
        <v>0</v>
      </c>
      <c r="M213" s="314">
        <v>0</v>
      </c>
      <c r="N213" s="100">
        <f>SUMIF(CBOUT!$A:$A,INTGRATE!$Y:$Y,CBOUT!$G:$G)</f>
        <v>0</v>
      </c>
      <c r="O213" s="482"/>
      <c r="P213" s="230">
        <v>0</v>
      </c>
      <c r="Q213" s="350">
        <f t="shared" si="74"/>
        <v>0</v>
      </c>
      <c r="R213" s="205"/>
      <c r="S213" s="205"/>
      <c r="T213" s="345">
        <f t="shared" si="75"/>
        <v>0</v>
      </c>
      <c r="U213" s="875">
        <f t="shared" si="80"/>
        <v>0</v>
      </c>
      <c r="V213" s="876"/>
      <c r="W213" s="235"/>
      <c r="X213" s="235"/>
      <c r="Y213" s="863" t="str">
        <f t="shared" si="81"/>
        <v>551GPFS47SILO</v>
      </c>
      <c r="Z213" s="818">
        <v>31411847</v>
      </c>
      <c r="AA213" s="230"/>
      <c r="AB213" s="314">
        <v>0</v>
      </c>
      <c r="AC213" s="314">
        <v>0</v>
      </c>
      <c r="AD213" s="314">
        <v>0</v>
      </c>
      <c r="AE213" s="314">
        <v>0</v>
      </c>
      <c r="AF213" s="314">
        <v>0</v>
      </c>
      <c r="AG213" s="314">
        <v>0</v>
      </c>
      <c r="AH213" s="314">
        <v>0</v>
      </c>
      <c r="AI213" s="314">
        <v>0</v>
      </c>
      <c r="AJ213" s="314"/>
      <c r="AK213" s="314"/>
      <c r="AL213" s="314"/>
      <c r="AM213" s="314"/>
      <c r="AN213" s="230"/>
      <c r="AO213" s="314"/>
      <c r="AP213" s="314"/>
      <c r="AQ213" s="230"/>
      <c r="AR213" s="314"/>
      <c r="AS213" s="314"/>
      <c r="AT213" s="314"/>
      <c r="AU213" s="314"/>
      <c r="AV213" s="314"/>
      <c r="AW213" s="314"/>
      <c r="AX213" s="314"/>
      <c r="AY213" s="314"/>
      <c r="AZ213" s="314"/>
      <c r="BA213" s="314"/>
      <c r="BB213" s="314"/>
      <c r="BC213" s="314"/>
      <c r="BD213" s="314"/>
      <c r="BE213" s="314"/>
      <c r="BF213" s="205">
        <f t="shared" si="82"/>
        <v>0</v>
      </c>
      <c r="BG213" s="786">
        <f t="shared" si="76"/>
        <v>0</v>
      </c>
      <c r="BH213" s="786">
        <f t="shared" si="77"/>
        <v>0</v>
      </c>
    </row>
    <row r="214" spans="1:60">
      <c r="A214" s="287">
        <v>97</v>
      </c>
      <c r="B214" s="231" t="s">
        <v>373</v>
      </c>
      <c r="C214" s="231" t="s">
        <v>64</v>
      </c>
      <c r="D214" s="364" t="s">
        <v>66</v>
      </c>
      <c r="E214" s="316"/>
      <c r="F214" s="230">
        <f>SUMIF(data!$D:$D,INTGRATE!$B214&amp;INTGRATE!$D214,data!$K:$K)</f>
        <v>0</v>
      </c>
      <c r="G214" s="1185"/>
      <c r="H214" s="314">
        <f>SUMIF(CBIN!$A:$A,INTGRATE!$Y:$Y,CBIN!$G:$G)</f>
        <v>0</v>
      </c>
      <c r="I214" s="230">
        <f>SUMIF(data!$D:$D,INTGRATE!$B214&amp;INTGRATE!$D214,data!$J:$J)</f>
        <v>0</v>
      </c>
      <c r="J214" s="230"/>
      <c r="K214" s="230"/>
      <c r="L214" s="230">
        <f>SUMIF(data!$D:$D,INTGRATE!$B214&amp;INTGRATE!$D214,data!$K:$K)</f>
        <v>0</v>
      </c>
      <c r="M214" s="314">
        <v>0</v>
      </c>
      <c r="N214" s="100">
        <f>SUMIF(CBOUT!$A:$A,INTGRATE!$Y:$Y,CBOUT!$G:$G)</f>
        <v>0</v>
      </c>
      <c r="O214" s="482"/>
      <c r="P214" s="230">
        <v>0</v>
      </c>
      <c r="Q214" s="350">
        <f t="shared" si="74"/>
        <v>0</v>
      </c>
      <c r="R214" s="205"/>
      <c r="S214" s="205"/>
      <c r="T214" s="345">
        <f t="shared" si="75"/>
        <v>0</v>
      </c>
      <c r="U214" s="875">
        <f t="shared" si="80"/>
        <v>0</v>
      </c>
      <c r="V214" s="876"/>
      <c r="W214" s="235"/>
      <c r="X214" s="235"/>
      <c r="Y214" s="863" t="str">
        <f t="shared" si="81"/>
        <v>551GPFS48SILO</v>
      </c>
      <c r="Z214" s="818">
        <v>31411848</v>
      </c>
      <c r="AA214" s="230"/>
      <c r="AB214" s="314">
        <v>0</v>
      </c>
      <c r="AC214" s="314">
        <v>0</v>
      </c>
      <c r="AD214" s="314">
        <v>0</v>
      </c>
      <c r="AE214" s="314">
        <v>0</v>
      </c>
      <c r="AF214" s="314">
        <v>0</v>
      </c>
      <c r="AG214" s="314">
        <v>0</v>
      </c>
      <c r="AH214" s="314">
        <v>0</v>
      </c>
      <c r="AI214" s="314">
        <v>0</v>
      </c>
      <c r="AJ214" s="314"/>
      <c r="AK214" s="314"/>
      <c r="AL214" s="314"/>
      <c r="AM214" s="314"/>
      <c r="AN214" s="230"/>
      <c r="AO214" s="314"/>
      <c r="AP214" s="314"/>
      <c r="AQ214" s="230"/>
      <c r="AR214" s="314"/>
      <c r="AS214" s="314"/>
      <c r="AT214" s="314"/>
      <c r="AU214" s="314"/>
      <c r="AV214" s="314"/>
      <c r="AW214" s="314"/>
      <c r="AX214" s="314"/>
      <c r="AY214" s="314"/>
      <c r="AZ214" s="314"/>
      <c r="BA214" s="314"/>
      <c r="BB214" s="314"/>
      <c r="BC214" s="314"/>
      <c r="BD214" s="314"/>
      <c r="BE214" s="314"/>
      <c r="BF214" s="205">
        <f t="shared" si="82"/>
        <v>0</v>
      </c>
      <c r="BG214" s="786">
        <f t="shared" si="76"/>
        <v>0</v>
      </c>
      <c r="BH214" s="786">
        <f t="shared" si="77"/>
        <v>0</v>
      </c>
    </row>
    <row r="215" spans="1:60">
      <c r="A215" s="287">
        <v>98</v>
      </c>
      <c r="B215" s="231" t="s">
        <v>374</v>
      </c>
      <c r="C215" s="231" t="s">
        <v>64</v>
      </c>
      <c r="D215" s="364" t="s">
        <v>66</v>
      </c>
      <c r="E215" s="316"/>
      <c r="F215" s="230">
        <f>SUMIF(data!$D:$D,INTGRATE!$B215&amp;INTGRATE!$D215,data!$K:$K)</f>
        <v>0</v>
      </c>
      <c r="G215" s="1185"/>
      <c r="H215" s="314">
        <f>SUMIF(CBIN!$A:$A,INTGRATE!$Y:$Y,CBIN!$G:$G)</f>
        <v>0</v>
      </c>
      <c r="I215" s="230"/>
      <c r="J215" s="230"/>
      <c r="K215" s="230"/>
      <c r="L215" s="230">
        <f>SUMIF(data!$D:$D,INTGRATE!$B215&amp;INTGRATE!$D215,data!$K:$K)</f>
        <v>0</v>
      </c>
      <c r="M215" s="314">
        <v>0</v>
      </c>
      <c r="N215" s="100">
        <f>SUMIF(CBOUT!$A:$A,INTGRATE!$Y:$Y,CBOUT!$G:$G)</f>
        <v>0</v>
      </c>
      <c r="O215" s="482"/>
      <c r="P215" s="230">
        <v>0</v>
      </c>
      <c r="Q215" s="350">
        <f t="shared" si="74"/>
        <v>0</v>
      </c>
      <c r="R215" s="205"/>
      <c r="S215" s="205"/>
      <c r="T215" s="345">
        <f t="shared" si="75"/>
        <v>0</v>
      </c>
      <c r="U215" s="875">
        <f t="shared" si="80"/>
        <v>0</v>
      </c>
      <c r="V215" s="876"/>
      <c r="W215" s="235"/>
      <c r="X215" s="235"/>
      <c r="Y215" s="863" t="str">
        <f>B215&amp;D215</f>
        <v>551GPFS52SILO</v>
      </c>
      <c r="Z215" s="818">
        <v>31411852</v>
      </c>
      <c r="AA215" s="230"/>
      <c r="AB215" s="314">
        <v>0</v>
      </c>
      <c r="AC215" s="314">
        <v>0</v>
      </c>
      <c r="AD215" s="314">
        <v>0</v>
      </c>
      <c r="AE215" s="314">
        <v>0</v>
      </c>
      <c r="AF215" s="314">
        <v>0</v>
      </c>
      <c r="AG215" s="314">
        <v>0</v>
      </c>
      <c r="AH215" s="314">
        <v>0</v>
      </c>
      <c r="AI215" s="314">
        <v>0</v>
      </c>
      <c r="AJ215" s="314"/>
      <c r="AK215" s="314"/>
      <c r="AL215" s="314"/>
      <c r="AM215" s="314"/>
      <c r="AN215" s="230"/>
      <c r="AO215" s="314"/>
      <c r="AP215" s="314"/>
      <c r="AQ215" s="230"/>
      <c r="AR215" s="314"/>
      <c r="AS215" s="314"/>
      <c r="AT215" s="314"/>
      <c r="AU215" s="314"/>
      <c r="AV215" s="314"/>
      <c r="AW215" s="314"/>
      <c r="AX215" s="314"/>
      <c r="AY215" s="314"/>
      <c r="AZ215" s="314"/>
      <c r="BA215" s="314"/>
      <c r="BB215" s="314"/>
      <c r="BC215" s="314"/>
      <c r="BD215" s="314"/>
      <c r="BE215" s="314"/>
      <c r="BF215" s="205">
        <f t="shared" si="82"/>
        <v>0</v>
      </c>
      <c r="BG215" s="786">
        <f t="shared" si="76"/>
        <v>0</v>
      </c>
      <c r="BH215" s="786">
        <f t="shared" si="77"/>
        <v>0</v>
      </c>
    </row>
    <row r="216" spans="1:60">
      <c r="A216" s="287">
        <v>99</v>
      </c>
      <c r="B216" s="231" t="s">
        <v>375</v>
      </c>
      <c r="C216" s="231" t="s">
        <v>64</v>
      </c>
      <c r="D216" s="364" t="s">
        <v>66</v>
      </c>
      <c r="E216" s="316">
        <v>0</v>
      </c>
      <c r="F216" s="230">
        <f>SUMIF(data!$D:$D,INTGRATE!$B216&amp;INTGRATE!$D216,data!$K:$K)</f>
        <v>0</v>
      </c>
      <c r="G216" s="1185"/>
      <c r="H216" s="314">
        <f>SUMIF(CBIN!$A:$A,INTGRATE!$Y:$Y,CBIN!$G:$G)</f>
        <v>0</v>
      </c>
      <c r="I216" s="230">
        <f>SUMIF(data!$D:$D,INTGRATE!$B216&amp;INTGRATE!$D216,data!$J:$J)</f>
        <v>0</v>
      </c>
      <c r="J216" s="230"/>
      <c r="K216" s="230"/>
      <c r="L216" s="230">
        <f>SUMIF(data!$D:$D,INTGRATE!$B216&amp;INTGRATE!$D216,data!$K:$K)</f>
        <v>0</v>
      </c>
      <c r="M216" s="314">
        <f>SUMIF(AJOUT!$A:$A,INTGRATE!$Y:$Y,AJOUT!$L:$L)</f>
        <v>0</v>
      </c>
      <c r="N216" s="100">
        <f>SUMIF(CBOUT!$A:$A,INTGRATE!$Y:$Y,CBOUT!$G:$G)</f>
        <v>0</v>
      </c>
      <c r="O216" s="482">
        <v>0</v>
      </c>
      <c r="P216" s="230">
        <f>F216-L216</f>
        <v>0</v>
      </c>
      <c r="Q216" s="350">
        <f t="shared" si="74"/>
        <v>28960</v>
      </c>
      <c r="R216" s="205"/>
      <c r="S216" s="205"/>
      <c r="T216" s="345">
        <f t="shared" ref="T216:T247" si="83">Q216/$N$293</f>
        <v>3217.7777777777778</v>
      </c>
      <c r="U216" s="875">
        <f t="shared" si="80"/>
        <v>0</v>
      </c>
      <c r="V216" s="876"/>
      <c r="W216" s="235"/>
      <c r="X216" s="235"/>
      <c r="Y216" s="863" t="str">
        <f t="shared" si="81"/>
        <v>551GPFS31SILO</v>
      </c>
      <c r="Z216" s="818">
        <v>31411831</v>
      </c>
      <c r="AA216" s="230"/>
      <c r="AB216" s="314">
        <v>0</v>
      </c>
      <c r="AC216" s="314">
        <v>0</v>
      </c>
      <c r="AD216" s="314">
        <v>0</v>
      </c>
      <c r="AE216" s="314">
        <v>14500</v>
      </c>
      <c r="AF216" s="314">
        <v>0</v>
      </c>
      <c r="AG216" s="314">
        <v>14460</v>
      </c>
      <c r="AH216" s="314">
        <v>0</v>
      </c>
      <c r="AI216" s="314">
        <v>0</v>
      </c>
      <c r="AJ216" s="314"/>
      <c r="AK216" s="314"/>
      <c r="AL216" s="314"/>
      <c r="AM216" s="314"/>
      <c r="AN216" s="230"/>
      <c r="AO216" s="314"/>
      <c r="AP216" s="314"/>
      <c r="AQ216" s="230"/>
      <c r="AR216" s="314"/>
      <c r="AS216" s="314"/>
      <c r="AT216" s="314"/>
      <c r="AU216" s="314"/>
      <c r="AV216" s="314"/>
      <c r="AW216" s="314"/>
      <c r="AX216" s="314"/>
      <c r="AY216" s="314"/>
      <c r="AZ216" s="314"/>
      <c r="BA216" s="314"/>
      <c r="BB216" s="314"/>
      <c r="BC216" s="314"/>
      <c r="BD216" s="314"/>
      <c r="BE216" s="314"/>
      <c r="BF216" s="205">
        <f t="shared" si="82"/>
        <v>28960</v>
      </c>
      <c r="BG216" s="786">
        <f t="shared" si="76"/>
        <v>2</v>
      </c>
      <c r="BH216" s="786">
        <f t="shared" si="77"/>
        <v>14480</v>
      </c>
    </row>
    <row r="217" spans="1:60">
      <c r="A217" s="287">
        <v>100</v>
      </c>
      <c r="B217" s="234" t="s">
        <v>393</v>
      </c>
      <c r="C217" s="234" t="s">
        <v>64</v>
      </c>
      <c r="D217" s="337" t="s">
        <v>66</v>
      </c>
      <c r="E217" s="316">
        <v>0</v>
      </c>
      <c r="F217" s="230">
        <f>SUMIF(data!$D:$D,INTGRATE!$B217&amp;INTGRATE!$D217,data!$K:$K)</f>
        <v>0</v>
      </c>
      <c r="G217" s="1185"/>
      <c r="H217" s="314">
        <f>SUMIF(CBIN!$A:$A,INTGRATE!$Y:$Y,CBIN!$G:$G)</f>
        <v>0</v>
      </c>
      <c r="I217" s="230">
        <f>SUMIF(data!$D:$D,INTGRATE!$B217&amp;INTGRATE!#REF!,data!$J:$J)</f>
        <v>0</v>
      </c>
      <c r="J217" s="230"/>
      <c r="K217" s="230"/>
      <c r="L217" s="230">
        <f>SUMIF(data!$D:$D,INTGRATE!$B217&amp;INTGRATE!$D217,data!$K:$K)</f>
        <v>0</v>
      </c>
      <c r="M217" s="314">
        <f>SUMIF(AJOUT!$A:$A,INTGRATE!$Y:$Y,AJOUT!$L:$L)</f>
        <v>0</v>
      </c>
      <c r="N217" s="100">
        <f>SUMIF(CBOUT!$A:$A,INTGRATE!$Y:$Y,CBOUT!$G:$G)</f>
        <v>0</v>
      </c>
      <c r="O217" s="482">
        <v>0</v>
      </c>
      <c r="P217" s="230">
        <f>F217-L217</f>
        <v>0</v>
      </c>
      <c r="Q217" s="350">
        <f t="shared" si="74"/>
        <v>1204950</v>
      </c>
      <c r="R217" s="205"/>
      <c r="S217" s="205"/>
      <c r="T217" s="345">
        <f t="shared" si="83"/>
        <v>133883.33333333334</v>
      </c>
      <c r="U217" s="875">
        <f t="shared" si="80"/>
        <v>0</v>
      </c>
      <c r="V217" s="876"/>
      <c r="W217" s="235"/>
      <c r="X217" s="235"/>
      <c r="Y217" s="863" t="str">
        <f t="shared" si="81"/>
        <v>552SFSILO</v>
      </c>
      <c r="Z217" s="818" t="s">
        <v>440</v>
      </c>
      <c r="AA217" s="350"/>
      <c r="AB217" s="314">
        <v>0</v>
      </c>
      <c r="AC217" s="314">
        <v>62650</v>
      </c>
      <c r="AD217" s="314">
        <v>197610</v>
      </c>
      <c r="AE217" s="314">
        <v>133950</v>
      </c>
      <c r="AF217" s="314">
        <v>204320</v>
      </c>
      <c r="AG217" s="314">
        <v>195060</v>
      </c>
      <c r="AH217" s="314">
        <v>250190</v>
      </c>
      <c r="AI217" s="314">
        <v>161170</v>
      </c>
      <c r="AJ217" s="314"/>
      <c r="AK217" s="314"/>
      <c r="AL217" s="314"/>
      <c r="AM217" s="314"/>
      <c r="AN217" s="230"/>
      <c r="AO217" s="314"/>
      <c r="AP217" s="314"/>
      <c r="AQ217" s="230"/>
      <c r="AR217" s="314"/>
      <c r="AS217" s="314"/>
      <c r="AT217" s="314"/>
      <c r="AU217" s="314"/>
      <c r="AV217" s="314"/>
      <c r="AW217" s="314"/>
      <c r="AX217" s="314"/>
      <c r="AY217" s="314"/>
      <c r="AZ217" s="314"/>
      <c r="BA217" s="314"/>
      <c r="BB217" s="314"/>
      <c r="BC217" s="314"/>
      <c r="BD217" s="314"/>
      <c r="BE217" s="314"/>
      <c r="BF217" s="205">
        <f t="shared" si="82"/>
        <v>1204950</v>
      </c>
      <c r="BG217" s="786">
        <f t="shared" si="76"/>
        <v>7</v>
      </c>
      <c r="BH217" s="786">
        <f t="shared" si="77"/>
        <v>172135.71428571429</v>
      </c>
    </row>
    <row r="218" spans="1:60">
      <c r="A218" s="287">
        <v>101</v>
      </c>
      <c r="B218" s="234" t="s">
        <v>393</v>
      </c>
      <c r="C218" s="234" t="s">
        <v>64</v>
      </c>
      <c r="D218" s="553" t="s">
        <v>437</v>
      </c>
      <c r="E218" s="316"/>
      <c r="F218" s="230">
        <f>SUMIF(data!$D:$D,INTGRATE!$B218&amp;INTGRATE!$D218,data!$K:$K)</f>
        <v>0</v>
      </c>
      <c r="G218" s="1185"/>
      <c r="H218" s="314">
        <f>SUMIF(CBIN!$A:$A,INTGRATE!$Y:$Y,CBIN!$G:$G)</f>
        <v>0</v>
      </c>
      <c r="I218" s="230">
        <f>SUMIF(data!$D:$D,INTGRATE!$B218&amp;INTGRATE!$D218,data!$J:$J)</f>
        <v>0</v>
      </c>
      <c r="J218" s="230"/>
      <c r="K218" s="230"/>
      <c r="L218" s="230">
        <f>SUMIF(data!$D:$D,INTGRATE!$B218&amp;INTGRATE!$D218,data!$K:$K)</f>
        <v>0</v>
      </c>
      <c r="M218" s="314">
        <f>SUMIF(AJOUT!$A:$A,INTGRATE!$Y:$Y,AJOUT!$L:$L)</f>
        <v>0</v>
      </c>
      <c r="N218" s="100">
        <f>SUMIF(CBOUT!$A:$A,INTGRATE!$Y:$Y,CBOUT!$G:$G)</f>
        <v>0</v>
      </c>
      <c r="O218" s="482"/>
      <c r="P218" s="230">
        <f>F218-L218</f>
        <v>0</v>
      </c>
      <c r="Q218" s="350">
        <f t="shared" si="74"/>
        <v>0</v>
      </c>
      <c r="R218" s="205"/>
      <c r="S218" s="205"/>
      <c r="T218" s="345">
        <f t="shared" si="83"/>
        <v>0</v>
      </c>
      <c r="U218" s="875">
        <f t="shared" si="80"/>
        <v>0</v>
      </c>
      <c r="V218" s="876"/>
      <c r="W218" s="235"/>
      <c r="X218" s="235"/>
      <c r="Y218" s="863" t="str">
        <f t="shared" si="81"/>
        <v>552SFBigbag</v>
      </c>
      <c r="Z218" s="818" t="s">
        <v>440</v>
      </c>
      <c r="AA218" s="350"/>
      <c r="AB218" s="314">
        <v>0</v>
      </c>
      <c r="AC218" s="314">
        <v>0</v>
      </c>
      <c r="AD218" s="314">
        <v>0</v>
      </c>
      <c r="AE218" s="314">
        <v>0</v>
      </c>
      <c r="AF218" s="314">
        <v>0</v>
      </c>
      <c r="AG218" s="314">
        <v>0</v>
      </c>
      <c r="AH218" s="314">
        <v>0</v>
      </c>
      <c r="AI218" s="314">
        <v>0</v>
      </c>
      <c r="AJ218" s="314"/>
      <c r="AK218" s="314"/>
      <c r="AL218" s="314"/>
      <c r="AM218" s="314"/>
      <c r="AN218" s="230"/>
      <c r="AO218" s="314"/>
      <c r="AP218" s="314"/>
      <c r="AQ218" s="230"/>
      <c r="AR218" s="314"/>
      <c r="AS218" s="314"/>
      <c r="AT218" s="314"/>
      <c r="AU218" s="314"/>
      <c r="AV218" s="314"/>
      <c r="AW218" s="314"/>
      <c r="AX218" s="314"/>
      <c r="AY218" s="314"/>
      <c r="AZ218" s="314"/>
      <c r="BA218" s="314"/>
      <c r="BB218" s="314"/>
      <c r="BC218" s="314"/>
      <c r="BD218" s="314"/>
      <c r="BE218" s="314"/>
      <c r="BF218" s="205">
        <f t="shared" si="82"/>
        <v>0</v>
      </c>
      <c r="BG218" s="786">
        <f t="shared" si="76"/>
        <v>0</v>
      </c>
      <c r="BH218" s="786">
        <f t="shared" si="77"/>
        <v>0</v>
      </c>
    </row>
    <row r="219" spans="1:60">
      <c r="A219" s="287">
        <v>102</v>
      </c>
      <c r="B219" s="234" t="s">
        <v>396</v>
      </c>
      <c r="C219" s="234" t="s">
        <v>64</v>
      </c>
      <c r="D219" s="337" t="s">
        <v>66</v>
      </c>
      <c r="E219" s="316"/>
      <c r="F219" s="230">
        <f>SUMIF(data!$D:$D,INTGRATE!$B219&amp;INTGRATE!$D219,data!$K:$K)</f>
        <v>0</v>
      </c>
      <c r="G219" s="1185"/>
      <c r="H219" s="314"/>
      <c r="I219" s="230">
        <f>SUMIF(data!$D:$D,INTGRATE!$B219&amp;INTGRATE!$D219,data!$J:$J)</f>
        <v>0</v>
      </c>
      <c r="J219" s="230"/>
      <c r="K219" s="230"/>
      <c r="L219" s="230">
        <f>SUMIF(data!$D:$D,INTGRATE!$B219&amp;INTGRATE!$D219,data!$K:$K)</f>
        <v>0</v>
      </c>
      <c r="M219" s="314">
        <f>SUMIF(AJOUT!$A:$A,INTGRATE!$Y:$Y,AJOUT!$L:$L)</f>
        <v>0</v>
      </c>
      <c r="N219" s="100">
        <f>SUMIF(CBOUT!$A:$A,INTGRATE!$Y:$Y,CBOUT!$G:$G)</f>
        <v>0</v>
      </c>
      <c r="O219" s="482"/>
      <c r="P219" s="230"/>
      <c r="Q219" s="350">
        <f t="shared" si="74"/>
        <v>0</v>
      </c>
      <c r="R219" s="205"/>
      <c r="S219" s="205"/>
      <c r="T219" s="345">
        <f t="shared" si="83"/>
        <v>0</v>
      </c>
      <c r="U219" s="875">
        <f t="shared" si="80"/>
        <v>0</v>
      </c>
      <c r="V219" s="876"/>
      <c r="W219" s="235"/>
      <c r="X219" s="235"/>
      <c r="Y219" s="863" t="str">
        <f t="shared" si="81"/>
        <v>552SFS31SILO</v>
      </c>
      <c r="Z219" s="818">
        <v>32010831</v>
      </c>
      <c r="AA219" s="230"/>
      <c r="AB219" s="314">
        <v>0</v>
      </c>
      <c r="AC219" s="314">
        <v>0</v>
      </c>
      <c r="AD219" s="314">
        <v>0</v>
      </c>
      <c r="AE219" s="314">
        <v>0</v>
      </c>
      <c r="AF219" s="314">
        <v>0</v>
      </c>
      <c r="AG219" s="314">
        <v>0</v>
      </c>
      <c r="AH219" s="314">
        <v>0</v>
      </c>
      <c r="AI219" s="314">
        <v>0</v>
      </c>
      <c r="AJ219" s="314"/>
      <c r="AK219" s="314"/>
      <c r="AL219" s="314"/>
      <c r="AM219" s="314"/>
      <c r="AN219" s="230"/>
      <c r="AO219" s="314"/>
      <c r="AP219" s="314"/>
      <c r="AQ219" s="230"/>
      <c r="AR219" s="314"/>
      <c r="AS219" s="314"/>
      <c r="AT219" s="314"/>
      <c r="AU219" s="314"/>
      <c r="AV219" s="314"/>
      <c r="AW219" s="314"/>
      <c r="AX219" s="314"/>
      <c r="AY219" s="314"/>
      <c r="AZ219" s="314"/>
      <c r="BA219" s="314"/>
      <c r="BB219" s="314"/>
      <c r="BC219" s="314"/>
      <c r="BD219" s="314"/>
      <c r="BE219" s="314"/>
      <c r="BF219" s="205">
        <f t="shared" si="82"/>
        <v>0</v>
      </c>
      <c r="BG219" s="786">
        <f t="shared" si="76"/>
        <v>0</v>
      </c>
      <c r="BH219" s="786">
        <f t="shared" si="77"/>
        <v>0</v>
      </c>
    </row>
    <row r="220" spans="1:60">
      <c r="A220" s="287">
        <v>103</v>
      </c>
      <c r="B220" s="234" t="s">
        <v>398</v>
      </c>
      <c r="C220" s="234" t="s">
        <v>64</v>
      </c>
      <c r="D220" s="337" t="s">
        <v>66</v>
      </c>
      <c r="E220" s="316"/>
      <c r="F220" s="230">
        <f>SUMIF(data!$D:$D,INTGRATE!$B220&amp;INTGRATE!$D220,data!$K:$K)</f>
        <v>0</v>
      </c>
      <c r="G220" s="1185"/>
      <c r="H220" s="314"/>
      <c r="I220" s="230"/>
      <c r="J220" s="230"/>
      <c r="K220" s="230"/>
      <c r="L220" s="230">
        <f>SUMIF(data!$D:$D,INTGRATE!$B220&amp;INTGRATE!$D220,data!$K:$K)</f>
        <v>0</v>
      </c>
      <c r="M220" s="314"/>
      <c r="N220" s="100">
        <f>SUMIF(CBOUT!$A:$A,INTGRATE!$Y:$Y,CBOUT!$G:$G)</f>
        <v>0</v>
      </c>
      <c r="O220" s="482"/>
      <c r="P220" s="230"/>
      <c r="Q220" s="350">
        <f t="shared" si="74"/>
        <v>0</v>
      </c>
      <c r="R220" s="205"/>
      <c r="S220" s="205"/>
      <c r="T220" s="345">
        <f t="shared" si="83"/>
        <v>0</v>
      </c>
      <c r="U220" s="875">
        <f t="shared" si="80"/>
        <v>0</v>
      </c>
      <c r="V220" s="876"/>
      <c r="W220" s="235"/>
      <c r="X220" s="235"/>
      <c r="Y220" s="863" t="str">
        <f t="shared" si="81"/>
        <v>552SFS37SILO</v>
      </c>
      <c r="Z220" s="818">
        <v>32010837</v>
      </c>
      <c r="AA220" s="230"/>
      <c r="AB220" s="314">
        <v>0</v>
      </c>
      <c r="AC220" s="314">
        <v>0</v>
      </c>
      <c r="AD220" s="314">
        <v>0</v>
      </c>
      <c r="AE220" s="314">
        <v>0</v>
      </c>
      <c r="AF220" s="314">
        <v>0</v>
      </c>
      <c r="AG220" s="314">
        <v>0</v>
      </c>
      <c r="AH220" s="314">
        <v>0</v>
      </c>
      <c r="AI220" s="314">
        <v>0</v>
      </c>
      <c r="AJ220" s="314"/>
      <c r="AK220" s="314"/>
      <c r="AL220" s="314"/>
      <c r="AM220" s="314"/>
      <c r="AN220" s="230"/>
      <c r="AO220" s="314"/>
      <c r="AP220" s="314"/>
      <c r="AQ220" s="230"/>
      <c r="AR220" s="314"/>
      <c r="AS220" s="314"/>
      <c r="AT220" s="314"/>
      <c r="AU220" s="314"/>
      <c r="AV220" s="314"/>
      <c r="AW220" s="314"/>
      <c r="AX220" s="314"/>
      <c r="AY220" s="314"/>
      <c r="AZ220" s="314"/>
      <c r="BA220" s="314"/>
      <c r="BB220" s="314"/>
      <c r="BC220" s="314"/>
      <c r="BD220" s="314"/>
      <c r="BE220" s="314"/>
      <c r="BF220" s="205">
        <f t="shared" si="82"/>
        <v>0</v>
      </c>
      <c r="BG220" s="786">
        <f t="shared" si="76"/>
        <v>0</v>
      </c>
      <c r="BH220" s="786">
        <f t="shared" si="77"/>
        <v>0</v>
      </c>
    </row>
    <row r="221" spans="1:60">
      <c r="A221" s="287">
        <v>104</v>
      </c>
      <c r="B221" s="234" t="s">
        <v>399</v>
      </c>
      <c r="C221" s="234" t="s">
        <v>64</v>
      </c>
      <c r="D221" s="337" t="s">
        <v>66</v>
      </c>
      <c r="E221" s="316"/>
      <c r="F221" s="230">
        <f>SUMIF(data!$D:$D,INTGRATE!$B221&amp;INTGRATE!$D221,data!$K:$K)</f>
        <v>0</v>
      </c>
      <c r="G221" s="1185"/>
      <c r="H221" s="314"/>
      <c r="I221" s="230"/>
      <c r="J221" s="230"/>
      <c r="K221" s="230"/>
      <c r="L221" s="230">
        <f>SUMIF(data!$D:$D,INTGRATE!$B221&amp;INTGRATE!$D221,data!$K:$K)</f>
        <v>0</v>
      </c>
      <c r="M221" s="314"/>
      <c r="N221" s="100"/>
      <c r="O221" s="482"/>
      <c r="P221" s="230"/>
      <c r="Q221" s="350">
        <f t="shared" si="74"/>
        <v>0</v>
      </c>
      <c r="R221" s="205"/>
      <c r="S221" s="205"/>
      <c r="T221" s="345">
        <f t="shared" si="83"/>
        <v>0</v>
      </c>
      <c r="U221" s="875">
        <f>IF(T221=0,0,P221/T221)</f>
        <v>0</v>
      </c>
      <c r="V221" s="876"/>
      <c r="W221" s="235"/>
      <c r="X221" s="235"/>
      <c r="Y221" s="863" t="str">
        <f t="shared" si="81"/>
        <v>552SFS73SILO</v>
      </c>
      <c r="Z221" s="818">
        <v>32010873</v>
      </c>
      <c r="AA221" s="230"/>
      <c r="AB221" s="314">
        <v>0</v>
      </c>
      <c r="AC221" s="314">
        <v>0</v>
      </c>
      <c r="AD221" s="314">
        <v>0</v>
      </c>
      <c r="AE221" s="314">
        <v>0</v>
      </c>
      <c r="AF221" s="314">
        <v>0</v>
      </c>
      <c r="AG221" s="314">
        <v>0</v>
      </c>
      <c r="AH221" s="314">
        <v>0</v>
      </c>
      <c r="AI221" s="314">
        <v>0</v>
      </c>
      <c r="AJ221" s="314"/>
      <c r="AK221" s="314"/>
      <c r="AL221" s="314"/>
      <c r="AM221" s="314"/>
      <c r="AN221" s="230"/>
      <c r="AO221" s="314"/>
      <c r="AP221" s="314"/>
      <c r="AQ221" s="230"/>
      <c r="AR221" s="314"/>
      <c r="AS221" s="314"/>
      <c r="AT221" s="314"/>
      <c r="AU221" s="314"/>
      <c r="AV221" s="314"/>
      <c r="AW221" s="314"/>
      <c r="AX221" s="314"/>
      <c r="AY221" s="314"/>
      <c r="AZ221" s="314"/>
      <c r="BA221" s="314"/>
      <c r="BB221" s="314"/>
      <c r="BC221" s="314"/>
      <c r="BD221" s="314"/>
      <c r="BE221" s="314"/>
      <c r="BF221" s="205">
        <f t="shared" si="82"/>
        <v>0</v>
      </c>
      <c r="BG221" s="786">
        <f t="shared" si="76"/>
        <v>0</v>
      </c>
      <c r="BH221" s="786">
        <f t="shared" si="77"/>
        <v>0</v>
      </c>
    </row>
    <row r="222" spans="1:60">
      <c r="A222" s="287">
        <v>105</v>
      </c>
      <c r="B222" s="234" t="s">
        <v>400</v>
      </c>
      <c r="C222" s="234" t="s">
        <v>64</v>
      </c>
      <c r="D222" s="337" t="s">
        <v>66</v>
      </c>
      <c r="E222" s="316"/>
      <c r="F222" s="230">
        <f>SUMIF(data!$D:$D,INTGRATE!$B222&amp;INTGRATE!$D222,data!$K:$K)</f>
        <v>0</v>
      </c>
      <c r="G222" s="1185"/>
      <c r="H222" s="314">
        <f>SUMIF(CBIN!$A:$A,INTGRATE!$Y:$Y,CBIN!$G:$G)</f>
        <v>0</v>
      </c>
      <c r="I222" s="230">
        <f>SUMIF(data!$D:$D,INTGRATE!$B222&amp;INTGRATE!$D222,data!$J:$J)</f>
        <v>0</v>
      </c>
      <c r="J222" s="230"/>
      <c r="K222" s="230"/>
      <c r="L222" s="230">
        <f>SUMIF(data!$D:$D,INTGRATE!$B222&amp;INTGRATE!$D222,data!$K:$K)</f>
        <v>0</v>
      </c>
      <c r="M222" s="314">
        <f>SUMIF(AJOUT!$A:$A,INTGRATE!$Y:$Y,AJOUT!$L:$L)</f>
        <v>0</v>
      </c>
      <c r="N222" s="100">
        <f>SUMIF(CBOUT!$A:$A,INTGRATE!$Y:$Y,CBOUT!$G:$G)</f>
        <v>0</v>
      </c>
      <c r="O222" s="482"/>
      <c r="P222" s="230"/>
      <c r="Q222" s="350">
        <f t="shared" si="74"/>
        <v>408740</v>
      </c>
      <c r="R222" s="205"/>
      <c r="S222" s="205"/>
      <c r="T222" s="345">
        <f t="shared" si="83"/>
        <v>45415.555555555555</v>
      </c>
      <c r="U222" s="875">
        <f t="shared" si="80"/>
        <v>0</v>
      </c>
      <c r="V222" s="876"/>
      <c r="W222" s="235"/>
      <c r="X222" s="235"/>
      <c r="Y222" s="863" t="str">
        <f t="shared" si="81"/>
        <v>552SFS90SILO</v>
      </c>
      <c r="Z222" s="818">
        <v>32010890</v>
      </c>
      <c r="AA222" s="230"/>
      <c r="AB222" s="314">
        <v>247550</v>
      </c>
      <c r="AC222" s="314">
        <v>161190</v>
      </c>
      <c r="AD222" s="314">
        <v>0</v>
      </c>
      <c r="AE222" s="314">
        <v>0</v>
      </c>
      <c r="AF222" s="314">
        <v>0</v>
      </c>
      <c r="AG222" s="314">
        <v>0</v>
      </c>
      <c r="AH222" s="314">
        <v>0</v>
      </c>
      <c r="AI222" s="314">
        <v>0</v>
      </c>
      <c r="AJ222" s="314"/>
      <c r="AK222" s="314"/>
      <c r="AL222" s="314"/>
      <c r="AM222" s="314"/>
      <c r="AN222" s="230"/>
      <c r="AO222" s="314"/>
      <c r="AP222" s="314"/>
      <c r="AQ222" s="230"/>
      <c r="AR222" s="314"/>
      <c r="AS222" s="314"/>
      <c r="AT222" s="314"/>
      <c r="AU222" s="314"/>
      <c r="AV222" s="314"/>
      <c r="AW222" s="314"/>
      <c r="AX222" s="314"/>
      <c r="AY222" s="314"/>
      <c r="AZ222" s="314"/>
      <c r="BA222" s="314"/>
      <c r="BB222" s="314"/>
      <c r="BC222" s="314"/>
      <c r="BD222" s="314"/>
      <c r="BE222" s="314"/>
      <c r="BF222" s="205">
        <f t="shared" si="82"/>
        <v>408740</v>
      </c>
      <c r="BG222" s="786">
        <f t="shared" si="76"/>
        <v>2</v>
      </c>
      <c r="BH222" s="786">
        <f t="shared" si="77"/>
        <v>204370</v>
      </c>
    </row>
    <row r="223" spans="1:60">
      <c r="A223" s="287">
        <v>106</v>
      </c>
      <c r="B223" s="234" t="s">
        <v>382</v>
      </c>
      <c r="C223" s="234" t="s">
        <v>64</v>
      </c>
      <c r="D223" s="337" t="s">
        <v>66</v>
      </c>
      <c r="E223" s="316"/>
      <c r="F223" s="230">
        <f>SUMIF(data!$D:$D,INTGRATE!$B223&amp;INTGRATE!$D223,data!$K:$K)</f>
        <v>0</v>
      </c>
      <c r="G223" s="1185"/>
      <c r="H223" s="314">
        <f>SUMIF(CBIN!$A:$A,INTGRATE!$Y:$Y,CBIN!$G:$G)</f>
        <v>0</v>
      </c>
      <c r="I223" s="230">
        <f>SUMIF(data!$D:$D,INTGRATE!$B223&amp;INTGRATE!$D223,data!$J:$J)</f>
        <v>0</v>
      </c>
      <c r="J223" s="230"/>
      <c r="K223" s="230"/>
      <c r="L223" s="230">
        <f>SUMIF(data!$D:$D,INTGRATE!$B223&amp;INTGRATE!$D223,data!$K:$K)</f>
        <v>0</v>
      </c>
      <c r="M223" s="314">
        <f>SUMIF(AJOUT!$A:$A,INTGRATE!$Y:$Y,AJOUT!$L:$L)</f>
        <v>0</v>
      </c>
      <c r="N223" s="100">
        <f>SUMIF(CBOUT!$A:$A,INTGRATE!$Y:$Y,CBOUT!$G:$G)</f>
        <v>0</v>
      </c>
      <c r="O223" s="482"/>
      <c r="P223" s="230"/>
      <c r="Q223" s="350">
        <f t="shared" si="74"/>
        <v>567400</v>
      </c>
      <c r="R223" s="205"/>
      <c r="S223" s="205"/>
      <c r="T223" s="345">
        <f t="shared" si="83"/>
        <v>63044.444444444445</v>
      </c>
      <c r="U223" s="875">
        <f t="shared" si="80"/>
        <v>0</v>
      </c>
      <c r="V223" s="876"/>
      <c r="W223" s="235"/>
      <c r="X223" s="235"/>
      <c r="Y223" s="863" t="str">
        <f t="shared" si="81"/>
        <v>552FSILO</v>
      </c>
      <c r="Z223" s="818">
        <v>321101</v>
      </c>
      <c r="AA223" s="230"/>
      <c r="AB223" s="314">
        <v>0</v>
      </c>
      <c r="AC223" s="314">
        <v>13930</v>
      </c>
      <c r="AD223" s="314">
        <v>82670</v>
      </c>
      <c r="AE223" s="314">
        <v>71560</v>
      </c>
      <c r="AF223" s="314">
        <v>85060</v>
      </c>
      <c r="AG223" s="314">
        <v>121430</v>
      </c>
      <c r="AH223" s="314">
        <v>102660</v>
      </c>
      <c r="AI223" s="314">
        <v>90090</v>
      </c>
      <c r="AJ223" s="314"/>
      <c r="AK223" s="314"/>
      <c r="AL223" s="314"/>
      <c r="AM223" s="314"/>
      <c r="AN223" s="230"/>
      <c r="AO223" s="314"/>
      <c r="AP223" s="314"/>
      <c r="AQ223" s="230"/>
      <c r="AR223" s="314"/>
      <c r="AS223" s="314"/>
      <c r="AT223" s="314"/>
      <c r="AU223" s="314"/>
      <c r="AV223" s="314"/>
      <c r="AW223" s="314"/>
      <c r="AX223" s="314"/>
      <c r="AY223" s="314"/>
      <c r="AZ223" s="314"/>
      <c r="BA223" s="314"/>
      <c r="BB223" s="314"/>
      <c r="BC223" s="314"/>
      <c r="BD223" s="314"/>
      <c r="BE223" s="314"/>
      <c r="BF223" s="205">
        <f t="shared" si="82"/>
        <v>567400</v>
      </c>
      <c r="BG223" s="786">
        <f t="shared" si="76"/>
        <v>7</v>
      </c>
      <c r="BH223" s="786">
        <f t="shared" si="77"/>
        <v>81057.142857142855</v>
      </c>
    </row>
    <row r="224" spans="1:60">
      <c r="A224" s="287">
        <v>107</v>
      </c>
      <c r="B224" s="234" t="s">
        <v>382</v>
      </c>
      <c r="C224" s="234" t="s">
        <v>64</v>
      </c>
      <c r="D224" s="553" t="s">
        <v>437</v>
      </c>
      <c r="E224" s="316"/>
      <c r="F224" s="230">
        <f>SUMIF(data!$D:$D,INTGRATE!$B224&amp;INTGRATE!$D224,data!$K:$K)</f>
        <v>0</v>
      </c>
      <c r="G224" s="1185"/>
      <c r="H224" s="314"/>
      <c r="I224" s="230">
        <f>SUMIF(data!$D:$D,INTGRATE!$B224&amp;INTGRATE!$D224,data!$J:$J)</f>
        <v>0</v>
      </c>
      <c r="J224" s="230"/>
      <c r="K224" s="230"/>
      <c r="L224" s="230">
        <f>SUMIF(data!$D:$D,INTGRATE!$B224&amp;INTGRATE!$D224,data!$K:$K)</f>
        <v>0</v>
      </c>
      <c r="M224" s="314">
        <f>SUMIF(AJOUT!$A:$A,INTGRATE!$Y:$Y,AJOUT!$L:$L)</f>
        <v>0</v>
      </c>
      <c r="N224" s="100">
        <f>SUMIF(CBOUT!$A:$A,INTGRATE!$Y:$Y,CBOUT!$G:$G)</f>
        <v>0</v>
      </c>
      <c r="O224" s="482"/>
      <c r="P224" s="230"/>
      <c r="Q224" s="350">
        <f t="shared" si="74"/>
        <v>0</v>
      </c>
      <c r="R224" s="205"/>
      <c r="S224" s="205"/>
      <c r="T224" s="345">
        <f t="shared" si="83"/>
        <v>0</v>
      </c>
      <c r="U224" s="875">
        <f t="shared" si="80"/>
        <v>0</v>
      </c>
      <c r="V224" s="876"/>
      <c r="W224" s="235"/>
      <c r="X224" s="235"/>
      <c r="Y224" s="863" t="str">
        <f t="shared" si="81"/>
        <v>552FBigbag</v>
      </c>
      <c r="Z224" s="818">
        <v>321101</v>
      </c>
      <c r="AA224" s="230"/>
      <c r="AB224" s="314">
        <v>0</v>
      </c>
      <c r="AC224" s="314">
        <v>0</v>
      </c>
      <c r="AD224" s="314">
        <v>0</v>
      </c>
      <c r="AE224" s="314">
        <v>0</v>
      </c>
      <c r="AF224" s="314">
        <v>0</v>
      </c>
      <c r="AG224" s="314">
        <v>0</v>
      </c>
      <c r="AH224" s="314">
        <v>0</v>
      </c>
      <c r="AI224" s="314">
        <v>0</v>
      </c>
      <c r="AJ224" s="314"/>
      <c r="AK224" s="314"/>
      <c r="AL224" s="314"/>
      <c r="AM224" s="314"/>
      <c r="AN224" s="230"/>
      <c r="AO224" s="314"/>
      <c r="AP224" s="314"/>
      <c r="AQ224" s="230"/>
      <c r="AR224" s="314"/>
      <c r="AS224" s="314"/>
      <c r="AT224" s="314"/>
      <c r="AU224" s="314"/>
      <c r="AV224" s="314"/>
      <c r="AW224" s="314"/>
      <c r="AX224" s="314"/>
      <c r="AY224" s="314"/>
      <c r="AZ224" s="314"/>
      <c r="BA224" s="314"/>
      <c r="BB224" s="314"/>
      <c r="BC224" s="314"/>
      <c r="BD224" s="314"/>
      <c r="BE224" s="314"/>
      <c r="BF224" s="205">
        <f t="shared" si="82"/>
        <v>0</v>
      </c>
      <c r="BG224" s="786">
        <f t="shared" si="76"/>
        <v>0</v>
      </c>
      <c r="BH224" s="786">
        <f t="shared" si="77"/>
        <v>0</v>
      </c>
    </row>
    <row r="225" spans="1:60">
      <c r="A225" s="287">
        <v>108</v>
      </c>
      <c r="B225" s="234" t="s">
        <v>395</v>
      </c>
      <c r="C225" s="234" t="s">
        <v>64</v>
      </c>
      <c r="D225" s="553" t="s">
        <v>437</v>
      </c>
      <c r="E225" s="316"/>
      <c r="F225" s="230">
        <f>SUMIF(data!$D:$D,INTGRATE!$B225&amp;INTGRATE!$D225,data!$K:$K)</f>
        <v>0</v>
      </c>
      <c r="G225" s="1185"/>
      <c r="H225" s="314"/>
      <c r="I225" s="230"/>
      <c r="J225" s="230"/>
      <c r="K225" s="230"/>
      <c r="L225" s="230">
        <f>SUMIF(data!$D:$D,INTGRATE!$B225&amp;INTGRATE!$D225,data!$K:$K)</f>
        <v>0</v>
      </c>
      <c r="M225" s="314">
        <f>SUMIF(AJOUT!$A:$A,INTGRATE!$Y:$Y,AJOUT!$L:$L)</f>
        <v>0</v>
      </c>
      <c r="N225" s="100">
        <f>SUMIF(CBOUT!$A:$A,INTGRATE!$Y:$Y,CBOUT!$G:$G)</f>
        <v>0</v>
      </c>
      <c r="O225" s="482"/>
      <c r="P225" s="230">
        <v>0</v>
      </c>
      <c r="Q225" s="350">
        <f t="shared" si="74"/>
        <v>0</v>
      </c>
      <c r="R225" s="205"/>
      <c r="S225" s="205"/>
      <c r="T225" s="345">
        <f t="shared" si="83"/>
        <v>0</v>
      </c>
      <c r="U225" s="875">
        <f t="shared" si="80"/>
        <v>0</v>
      </c>
      <c r="V225" s="876"/>
      <c r="W225" s="235"/>
      <c r="X225" s="235"/>
      <c r="Y225" s="863" t="str">
        <f t="shared" si="81"/>
        <v>552SXFBigbag</v>
      </c>
      <c r="Z225" s="818">
        <v>321101</v>
      </c>
      <c r="AA225" s="230"/>
      <c r="AB225" s="314">
        <v>0</v>
      </c>
      <c r="AC225" s="314">
        <v>0</v>
      </c>
      <c r="AD225" s="314">
        <v>0</v>
      </c>
      <c r="AE225" s="314">
        <v>0</v>
      </c>
      <c r="AF225" s="314">
        <v>0</v>
      </c>
      <c r="AG225" s="314">
        <v>0</v>
      </c>
      <c r="AH225" s="314">
        <v>0</v>
      </c>
      <c r="AI225" s="314">
        <v>0</v>
      </c>
      <c r="AJ225" s="314"/>
      <c r="AK225" s="314"/>
      <c r="AL225" s="314"/>
      <c r="AM225" s="314"/>
      <c r="AN225" s="230"/>
      <c r="AO225" s="314"/>
      <c r="AP225" s="314"/>
      <c r="AQ225" s="230"/>
      <c r="AR225" s="314"/>
      <c r="AS225" s="314"/>
      <c r="AT225" s="314"/>
      <c r="AU225" s="314"/>
      <c r="AV225" s="314"/>
      <c r="AW225" s="314"/>
      <c r="AX225" s="314"/>
      <c r="AY225" s="314"/>
      <c r="AZ225" s="314"/>
      <c r="BA225" s="314"/>
      <c r="BB225" s="314"/>
      <c r="BC225" s="314"/>
      <c r="BD225" s="314"/>
      <c r="BE225" s="314"/>
      <c r="BF225" s="205">
        <f t="shared" si="82"/>
        <v>0</v>
      </c>
      <c r="BG225" s="786">
        <f t="shared" si="76"/>
        <v>0</v>
      </c>
      <c r="BH225" s="786">
        <f t="shared" si="77"/>
        <v>0</v>
      </c>
    </row>
    <row r="226" spans="1:60">
      <c r="A226" s="287">
        <v>109</v>
      </c>
      <c r="B226" s="234" t="s">
        <v>384</v>
      </c>
      <c r="C226" s="234" t="s">
        <v>64</v>
      </c>
      <c r="D226" s="337" t="s">
        <v>66</v>
      </c>
      <c r="E226" s="316">
        <v>0</v>
      </c>
      <c r="F226" s="230">
        <f>SUMIF(data!$D:$D,INTGRATE!$B226&amp;INTGRATE!$D226,data!$K:$K)</f>
        <v>0</v>
      </c>
      <c r="G226" s="1185"/>
      <c r="H226" s="314">
        <f>SUMIF(CBIN!$A:$A,INTGRATE!$Y:$Y,CBIN!$G:$G)</f>
        <v>0</v>
      </c>
      <c r="I226" s="230">
        <f>SUMIF(data!$D:$D,INTGRATE!$B226&amp;INTGRATE!$D226,data!$J:$J)</f>
        <v>0</v>
      </c>
      <c r="J226" s="230"/>
      <c r="K226" s="230"/>
      <c r="L226" s="230">
        <f>SUMIF(data!$D:$D,INTGRATE!$B226&amp;INTGRATE!$D226,data!$K:$K)</f>
        <v>0</v>
      </c>
      <c r="M226" s="314">
        <f>SUMIF(AJOUT!$A:$A,INTGRATE!$Y:$Y,AJOUT!$L:$L)</f>
        <v>0</v>
      </c>
      <c r="N226" s="100">
        <f>SUMIF(CBOUT!$A:$A,INTGRATE!$Y:$Y,CBOUT!$G:$G)</f>
        <v>0</v>
      </c>
      <c r="O226" s="482">
        <v>0</v>
      </c>
      <c r="P226" s="230">
        <f>F226-L226</f>
        <v>0</v>
      </c>
      <c r="Q226" s="350">
        <f t="shared" si="74"/>
        <v>0</v>
      </c>
      <c r="R226" s="205"/>
      <c r="S226" s="205"/>
      <c r="T226" s="345">
        <f t="shared" si="83"/>
        <v>0</v>
      </c>
      <c r="U226" s="875">
        <f t="shared" si="80"/>
        <v>0</v>
      </c>
      <c r="V226" s="876"/>
      <c r="W226" s="235"/>
      <c r="X226" s="235"/>
      <c r="Y226" s="863" t="str">
        <f t="shared" si="81"/>
        <v>552FS10SILO</v>
      </c>
      <c r="Z226" s="818">
        <v>32110810</v>
      </c>
      <c r="AA226" s="230"/>
      <c r="AB226" s="314">
        <v>0</v>
      </c>
      <c r="AC226" s="314">
        <v>0</v>
      </c>
      <c r="AD226" s="314">
        <v>0</v>
      </c>
      <c r="AE226" s="314">
        <v>0</v>
      </c>
      <c r="AF226" s="314">
        <v>0</v>
      </c>
      <c r="AG226" s="314">
        <v>0</v>
      </c>
      <c r="AH226" s="314">
        <v>0</v>
      </c>
      <c r="AI226" s="314">
        <v>0</v>
      </c>
      <c r="AJ226" s="314"/>
      <c r="AK226" s="314"/>
      <c r="AL226" s="314"/>
      <c r="AM226" s="314"/>
      <c r="AN226" s="230"/>
      <c r="AO226" s="314"/>
      <c r="AP226" s="314"/>
      <c r="AQ226" s="230"/>
      <c r="AR226" s="314"/>
      <c r="AS226" s="314"/>
      <c r="AT226" s="314"/>
      <c r="AU226" s="314"/>
      <c r="AV226" s="314"/>
      <c r="AW226" s="314"/>
      <c r="AX226" s="314"/>
      <c r="AY226" s="314"/>
      <c r="AZ226" s="314"/>
      <c r="BA226" s="314"/>
      <c r="BB226" s="314"/>
      <c r="BC226" s="314"/>
      <c r="BD226" s="314"/>
      <c r="BE226" s="314"/>
      <c r="BF226" s="205">
        <f t="shared" si="82"/>
        <v>0</v>
      </c>
      <c r="BG226" s="786">
        <f t="shared" si="76"/>
        <v>0</v>
      </c>
      <c r="BH226" s="786">
        <f t="shared" si="77"/>
        <v>0</v>
      </c>
    </row>
    <row r="227" spans="1:60">
      <c r="A227" s="287">
        <v>110</v>
      </c>
      <c r="B227" s="234" t="s">
        <v>385</v>
      </c>
      <c r="C227" s="234" t="s">
        <v>64</v>
      </c>
      <c r="D227" s="337" t="s">
        <v>66</v>
      </c>
      <c r="E227" s="316"/>
      <c r="F227" s="230">
        <f>SUMIF(data!$D:$D,INTGRATE!$B227&amp;INTGRATE!$D227,data!$K:$K)</f>
        <v>0</v>
      </c>
      <c r="G227" s="1185"/>
      <c r="H227" s="314"/>
      <c r="I227" s="230"/>
      <c r="J227" s="230"/>
      <c r="K227" s="230"/>
      <c r="L227" s="230">
        <f>SUMIF(data!$D:$D,INTGRATE!$B227&amp;INTGRATE!$D227,data!$K:$K)</f>
        <v>0</v>
      </c>
      <c r="M227" s="314">
        <f>SUMIF(AJOUT!$A:$A,INTGRATE!$Y:$Y,AJOUT!$L:$L)</f>
        <v>0</v>
      </c>
      <c r="N227" s="100">
        <f>SUMIF(CBOUT!$A:$A,INTGRATE!$Y:$Y,CBOUT!$G:$G)</f>
        <v>0</v>
      </c>
      <c r="O227" s="482"/>
      <c r="P227" s="230"/>
      <c r="Q227" s="350">
        <f t="shared" si="74"/>
        <v>0</v>
      </c>
      <c r="R227" s="205"/>
      <c r="S227" s="205"/>
      <c r="T227" s="345">
        <f t="shared" si="83"/>
        <v>0</v>
      </c>
      <c r="U227" s="875">
        <f t="shared" si="80"/>
        <v>0</v>
      </c>
      <c r="V227" s="876"/>
      <c r="W227" s="235"/>
      <c r="X227" s="235"/>
      <c r="Y227" s="863" t="str">
        <f t="shared" si="81"/>
        <v>552FS11SILO</v>
      </c>
      <c r="Z227" s="818">
        <v>32110811</v>
      </c>
      <c r="AA227" s="230"/>
      <c r="AB227" s="314">
        <v>0</v>
      </c>
      <c r="AC227" s="314">
        <v>0</v>
      </c>
      <c r="AD227" s="314">
        <v>0</v>
      </c>
      <c r="AE227" s="314">
        <v>0</v>
      </c>
      <c r="AF227" s="314">
        <v>0</v>
      </c>
      <c r="AG227" s="314">
        <v>0</v>
      </c>
      <c r="AH227" s="314">
        <v>0</v>
      </c>
      <c r="AI227" s="314">
        <v>0</v>
      </c>
      <c r="AJ227" s="314"/>
      <c r="AK227" s="314"/>
      <c r="AL227" s="314"/>
      <c r="AM227" s="314"/>
      <c r="AN227" s="230"/>
      <c r="AO227" s="314"/>
      <c r="AP227" s="314"/>
      <c r="AQ227" s="230"/>
      <c r="AR227" s="314"/>
      <c r="AS227" s="314"/>
      <c r="AT227" s="314"/>
      <c r="AU227" s="314"/>
      <c r="AV227" s="314"/>
      <c r="AW227" s="314"/>
      <c r="AX227" s="314"/>
      <c r="AY227" s="314"/>
      <c r="AZ227" s="314"/>
      <c r="BA227" s="314"/>
      <c r="BB227" s="314"/>
      <c r="BC227" s="314"/>
      <c r="BD227" s="314"/>
      <c r="BE227" s="314"/>
      <c r="BF227" s="205">
        <f t="shared" si="82"/>
        <v>0</v>
      </c>
      <c r="BG227" s="786">
        <f t="shared" si="76"/>
        <v>0</v>
      </c>
      <c r="BH227" s="786">
        <f t="shared" si="77"/>
        <v>0</v>
      </c>
    </row>
    <row r="228" spans="1:60">
      <c r="A228" s="287">
        <v>111</v>
      </c>
      <c r="B228" s="234" t="s">
        <v>386</v>
      </c>
      <c r="C228" s="234" t="s">
        <v>64</v>
      </c>
      <c r="D228" s="337" t="s">
        <v>66</v>
      </c>
      <c r="E228" s="316"/>
      <c r="F228" s="230">
        <f>SUMIF(data!$D:$D,INTGRATE!$B228&amp;INTGRATE!$D228,data!$K:$K)</f>
        <v>0</v>
      </c>
      <c r="G228" s="1185"/>
      <c r="H228" s="314"/>
      <c r="I228" s="230"/>
      <c r="J228" s="230"/>
      <c r="K228" s="230"/>
      <c r="L228" s="230">
        <f>SUMIF(data!$D:$D,INTGRATE!$B228&amp;INTGRATE!$D228,data!$K:$K)</f>
        <v>0</v>
      </c>
      <c r="M228" s="314">
        <f>SUMIF(AJOUT!$A:$A,INTGRATE!$Y:$Y,AJOUT!$L:$L)</f>
        <v>0</v>
      </c>
      <c r="N228" s="100">
        <f>SUMIF(CBOUT!$A:$A,INTGRATE!$Y:$Y,CBOUT!$G:$G)</f>
        <v>0</v>
      </c>
      <c r="O228" s="482"/>
      <c r="P228" s="230"/>
      <c r="Q228" s="350">
        <f t="shared" si="74"/>
        <v>0</v>
      </c>
      <c r="R228" s="205"/>
      <c r="S228" s="205"/>
      <c r="T228" s="345">
        <f t="shared" si="83"/>
        <v>0</v>
      </c>
      <c r="U228" s="875">
        <f t="shared" si="80"/>
        <v>0</v>
      </c>
      <c r="V228" s="876"/>
      <c r="W228" s="235"/>
      <c r="X228" s="235"/>
      <c r="Y228" s="863" t="str">
        <f>B228&amp;D228</f>
        <v>552FS13SILO</v>
      </c>
      <c r="Z228" s="818">
        <v>32110813</v>
      </c>
      <c r="AA228" s="230"/>
      <c r="AB228" s="314">
        <v>0</v>
      </c>
      <c r="AC228" s="314">
        <v>0</v>
      </c>
      <c r="AD228" s="314">
        <v>0</v>
      </c>
      <c r="AE228" s="314">
        <v>0</v>
      </c>
      <c r="AF228" s="314">
        <v>0</v>
      </c>
      <c r="AG228" s="314">
        <v>0</v>
      </c>
      <c r="AH228" s="314">
        <v>0</v>
      </c>
      <c r="AI228" s="314">
        <v>0</v>
      </c>
      <c r="AJ228" s="314"/>
      <c r="AK228" s="314"/>
      <c r="AL228" s="314"/>
      <c r="AM228" s="314"/>
      <c r="AN228" s="230"/>
      <c r="AO228" s="314"/>
      <c r="AP228" s="314"/>
      <c r="AQ228" s="230"/>
      <c r="AR228" s="314"/>
      <c r="AS228" s="314"/>
      <c r="AT228" s="314"/>
      <c r="AU228" s="314"/>
      <c r="AV228" s="314"/>
      <c r="AW228" s="314"/>
      <c r="AX228" s="314"/>
      <c r="AY228" s="314"/>
      <c r="AZ228" s="314"/>
      <c r="BA228" s="314"/>
      <c r="BB228" s="314"/>
      <c r="BC228" s="314"/>
      <c r="BD228" s="314"/>
      <c r="BE228" s="314"/>
      <c r="BF228" s="205">
        <f t="shared" si="82"/>
        <v>0</v>
      </c>
      <c r="BG228" s="786">
        <f t="shared" si="76"/>
        <v>0</v>
      </c>
      <c r="BH228" s="786">
        <f t="shared" si="77"/>
        <v>0</v>
      </c>
    </row>
    <row r="229" spans="1:60">
      <c r="A229" s="287">
        <v>112</v>
      </c>
      <c r="B229" s="234" t="s">
        <v>387</v>
      </c>
      <c r="C229" s="234" t="s">
        <v>64</v>
      </c>
      <c r="D229" s="337" t="s">
        <v>66</v>
      </c>
      <c r="E229" s="316"/>
      <c r="F229" s="230">
        <f>SUMIF(data!$D:$D,INTGRATE!$B229&amp;INTGRATE!$D229,data!$K:$K)</f>
        <v>0</v>
      </c>
      <c r="G229" s="1185"/>
      <c r="H229" s="314"/>
      <c r="I229" s="230"/>
      <c r="J229" s="230"/>
      <c r="K229" s="230"/>
      <c r="L229" s="230">
        <f>SUMIF(data!$D:$D,INTGRATE!$B229&amp;INTGRATE!$D229,data!$K:$K)</f>
        <v>0</v>
      </c>
      <c r="M229" s="314">
        <f>SUMIF(AJOUT!$A:$A,INTGRATE!$Y:$Y,AJOUT!$L:$L)</f>
        <v>0</v>
      </c>
      <c r="N229" s="100">
        <f>SUMIF(CBOUT!$A:$A,INTGRATE!$Y:$Y,CBOUT!$G:$G)</f>
        <v>0</v>
      </c>
      <c r="O229" s="482"/>
      <c r="P229" s="230"/>
      <c r="Q229" s="350">
        <f t="shared" si="74"/>
        <v>0</v>
      </c>
      <c r="R229" s="205"/>
      <c r="S229" s="205"/>
      <c r="T229" s="345">
        <f t="shared" si="83"/>
        <v>0</v>
      </c>
      <c r="U229" s="875">
        <f t="shared" si="80"/>
        <v>0</v>
      </c>
      <c r="V229" s="876"/>
      <c r="W229" s="235"/>
      <c r="X229" s="235"/>
      <c r="Y229" s="863" t="str">
        <f>B229&amp;D229</f>
        <v>552FS31SILO</v>
      </c>
      <c r="Z229" s="818">
        <v>32110831</v>
      </c>
      <c r="AA229" s="230"/>
      <c r="AB229" s="314">
        <v>0</v>
      </c>
      <c r="AC229" s="314">
        <v>0</v>
      </c>
      <c r="AD229" s="314">
        <v>0</v>
      </c>
      <c r="AE229" s="314">
        <v>0</v>
      </c>
      <c r="AF229" s="314">
        <v>0</v>
      </c>
      <c r="AG229" s="314">
        <v>0</v>
      </c>
      <c r="AH229" s="314">
        <v>0</v>
      </c>
      <c r="AI229" s="314">
        <v>0</v>
      </c>
      <c r="AJ229" s="314"/>
      <c r="AK229" s="314"/>
      <c r="AL229" s="314"/>
      <c r="AM229" s="314"/>
      <c r="AN229" s="230"/>
      <c r="AO229" s="314"/>
      <c r="AP229" s="314"/>
      <c r="AQ229" s="230"/>
      <c r="AR229" s="314"/>
      <c r="AS229" s="314"/>
      <c r="AT229" s="314"/>
      <c r="AU229" s="314"/>
      <c r="AV229" s="314"/>
      <c r="AW229" s="314"/>
      <c r="AX229" s="314"/>
      <c r="AY229" s="314"/>
      <c r="AZ229" s="314"/>
      <c r="BA229" s="314"/>
      <c r="BB229" s="314"/>
      <c r="BC229" s="314"/>
      <c r="BD229" s="314"/>
      <c r="BE229" s="314"/>
      <c r="BF229" s="205">
        <f t="shared" si="82"/>
        <v>0</v>
      </c>
      <c r="BG229" s="786">
        <f t="shared" si="76"/>
        <v>0</v>
      </c>
      <c r="BH229" s="786">
        <f t="shared" si="77"/>
        <v>0</v>
      </c>
    </row>
    <row r="230" spans="1:60">
      <c r="A230" s="287">
        <v>113</v>
      </c>
      <c r="B230" s="234" t="s">
        <v>388</v>
      </c>
      <c r="C230" s="234" t="s">
        <v>64</v>
      </c>
      <c r="D230" s="337" t="s">
        <v>66</v>
      </c>
      <c r="E230" s="316"/>
      <c r="F230" s="230">
        <f>SUMIF(data!$D:$D,INTGRATE!$B230&amp;INTGRATE!$D230,data!$K:$K)</f>
        <v>0</v>
      </c>
      <c r="G230" s="1185"/>
      <c r="H230" s="314"/>
      <c r="I230" s="230">
        <f>SUMIF(data!$D:$D,INTGRATE!$B230&amp;INTGRATE!$D230,data!$J:$J)</f>
        <v>0</v>
      </c>
      <c r="J230" s="230"/>
      <c r="K230" s="230"/>
      <c r="L230" s="230">
        <f>SUMIF(data!$D:$D,INTGRATE!$B230&amp;INTGRATE!$D230,data!$K:$K)</f>
        <v>0</v>
      </c>
      <c r="M230" s="314">
        <f>SUMIF(AJOUT!$A:$A,INTGRATE!$Y:$Y,AJOUT!$L:$L)</f>
        <v>0</v>
      </c>
      <c r="N230" s="100">
        <f>SUMIF(CBOUT!$A:$A,INTGRATE!$Y:$Y,CBOUT!$G:$G)</f>
        <v>0</v>
      </c>
      <c r="O230" s="482"/>
      <c r="P230" s="230"/>
      <c r="Q230" s="350">
        <f t="shared" si="74"/>
        <v>0</v>
      </c>
      <c r="R230" s="205"/>
      <c r="S230" s="205"/>
      <c r="T230" s="345">
        <f t="shared" si="83"/>
        <v>0</v>
      </c>
      <c r="U230" s="875">
        <f t="shared" si="80"/>
        <v>0</v>
      </c>
      <c r="V230" s="876"/>
      <c r="W230" s="235"/>
      <c r="X230" s="235"/>
      <c r="Y230" s="863" t="str">
        <f t="shared" si="81"/>
        <v>552FS34SILO</v>
      </c>
      <c r="Z230" s="818">
        <v>32110834</v>
      </c>
      <c r="AA230" s="230"/>
      <c r="AB230" s="314">
        <v>0</v>
      </c>
      <c r="AC230" s="314">
        <v>0</v>
      </c>
      <c r="AD230" s="314">
        <v>0</v>
      </c>
      <c r="AE230" s="314">
        <v>0</v>
      </c>
      <c r="AF230" s="314">
        <v>0</v>
      </c>
      <c r="AG230" s="314">
        <v>0</v>
      </c>
      <c r="AH230" s="314">
        <v>0</v>
      </c>
      <c r="AI230" s="314">
        <v>0</v>
      </c>
      <c r="AJ230" s="314"/>
      <c r="AK230" s="314"/>
      <c r="AL230" s="314"/>
      <c r="AM230" s="314"/>
      <c r="AN230" s="230"/>
      <c r="AO230" s="314"/>
      <c r="AP230" s="314"/>
      <c r="AQ230" s="230"/>
      <c r="AR230" s="314"/>
      <c r="AS230" s="314"/>
      <c r="AT230" s="314"/>
      <c r="AU230" s="314"/>
      <c r="AV230" s="314"/>
      <c r="AW230" s="314"/>
      <c r="AX230" s="314"/>
      <c r="AY230" s="314"/>
      <c r="AZ230" s="314"/>
      <c r="BA230" s="314"/>
      <c r="BB230" s="314"/>
      <c r="BC230" s="314"/>
      <c r="BD230" s="314"/>
      <c r="BE230" s="314"/>
      <c r="BF230" s="205">
        <f t="shared" si="82"/>
        <v>0</v>
      </c>
      <c r="BG230" s="786">
        <f t="shared" si="76"/>
        <v>0</v>
      </c>
      <c r="BH230" s="786">
        <f t="shared" si="77"/>
        <v>0</v>
      </c>
    </row>
    <row r="231" spans="1:60">
      <c r="A231" s="287">
        <v>114</v>
      </c>
      <c r="B231" s="234" t="s">
        <v>389</v>
      </c>
      <c r="C231" s="234" t="s">
        <v>64</v>
      </c>
      <c r="D231" s="337" t="s">
        <v>66</v>
      </c>
      <c r="E231" s="316"/>
      <c r="F231" s="230">
        <f>SUMIF(data!$D:$D,INTGRATE!$B231&amp;INTGRATE!$D231,data!$K:$K)</f>
        <v>0</v>
      </c>
      <c r="G231" s="1185"/>
      <c r="H231" s="314"/>
      <c r="I231" s="230">
        <f>SUMIF(data!$D:$D,INTGRATE!$B231&amp;INTGRATE!$D231,data!$J:$J)</f>
        <v>0</v>
      </c>
      <c r="J231" s="230"/>
      <c r="K231" s="230"/>
      <c r="L231" s="230">
        <f>SUMIF(data!$D:$D,INTGRATE!$B231&amp;INTGRATE!$D231,data!$K:$K)</f>
        <v>0</v>
      </c>
      <c r="M231" s="314">
        <f>SUMIF(AJOUT!$A:$A,INTGRATE!$Y:$Y,AJOUT!$L:$L)</f>
        <v>0</v>
      </c>
      <c r="N231" s="100">
        <f>SUMIF(CBOUT!$A:$A,INTGRATE!$Y:$Y,CBOUT!$G:$G)</f>
        <v>0</v>
      </c>
      <c r="O231" s="482"/>
      <c r="P231" s="230"/>
      <c r="Q231" s="350">
        <f t="shared" si="74"/>
        <v>0</v>
      </c>
      <c r="R231" s="205"/>
      <c r="S231" s="205"/>
      <c r="T231" s="345">
        <f t="shared" si="83"/>
        <v>0</v>
      </c>
      <c r="U231" s="875">
        <f t="shared" si="80"/>
        <v>0</v>
      </c>
      <c r="V231" s="876"/>
      <c r="W231" s="235"/>
      <c r="X231" s="235"/>
      <c r="Y231" s="863" t="str">
        <f t="shared" si="81"/>
        <v>552FS37SILO</v>
      </c>
      <c r="Z231" s="818">
        <v>32110837</v>
      </c>
      <c r="AA231" s="230"/>
      <c r="AB231" s="314">
        <v>0</v>
      </c>
      <c r="AC231" s="314">
        <v>0</v>
      </c>
      <c r="AD231" s="314">
        <v>0</v>
      </c>
      <c r="AE231" s="314">
        <v>0</v>
      </c>
      <c r="AF231" s="314">
        <v>0</v>
      </c>
      <c r="AG231" s="314">
        <v>0</v>
      </c>
      <c r="AH231" s="314">
        <v>0</v>
      </c>
      <c r="AI231" s="314">
        <v>0</v>
      </c>
      <c r="AJ231" s="314"/>
      <c r="AK231" s="314"/>
      <c r="AL231" s="314"/>
      <c r="AM231" s="314"/>
      <c r="AN231" s="230"/>
      <c r="AO231" s="314"/>
      <c r="AP231" s="314"/>
      <c r="AQ231" s="230"/>
      <c r="AR231" s="314"/>
      <c r="AS231" s="314"/>
      <c r="AT231" s="314"/>
      <c r="AU231" s="314"/>
      <c r="AV231" s="314"/>
      <c r="AW231" s="314"/>
      <c r="AX231" s="314"/>
      <c r="AY231" s="314"/>
      <c r="AZ231" s="314"/>
      <c r="BA231" s="314"/>
      <c r="BB231" s="314"/>
      <c r="BC231" s="314"/>
      <c r="BD231" s="314"/>
      <c r="BE231" s="314"/>
      <c r="BF231" s="205">
        <f t="shared" si="82"/>
        <v>0</v>
      </c>
      <c r="BG231" s="786">
        <f t="shared" si="76"/>
        <v>0</v>
      </c>
      <c r="BH231" s="786">
        <f t="shared" si="77"/>
        <v>0</v>
      </c>
    </row>
    <row r="232" spans="1:60">
      <c r="A232" s="287">
        <v>115</v>
      </c>
      <c r="B232" s="234" t="s">
        <v>390</v>
      </c>
      <c r="C232" s="234" t="s">
        <v>64</v>
      </c>
      <c r="D232" s="337" t="s">
        <v>66</v>
      </c>
      <c r="E232" s="316"/>
      <c r="F232" s="230">
        <f>SUMIF(data!$D:$D,INTGRATE!$B232&amp;INTGRATE!$D232,data!$K:$K)</f>
        <v>0</v>
      </c>
      <c r="G232" s="1185"/>
      <c r="H232" s="314"/>
      <c r="I232" s="230"/>
      <c r="J232" s="230"/>
      <c r="K232" s="230"/>
      <c r="L232" s="230">
        <f>SUMIF(data!$D:$D,INTGRATE!$B232&amp;INTGRATE!$D232,data!$K:$K)</f>
        <v>0</v>
      </c>
      <c r="M232" s="314"/>
      <c r="N232" s="100"/>
      <c r="O232" s="482"/>
      <c r="P232" s="230"/>
      <c r="Q232" s="350">
        <f t="shared" si="74"/>
        <v>0</v>
      </c>
      <c r="R232" s="205"/>
      <c r="S232" s="205"/>
      <c r="T232" s="345">
        <f t="shared" si="83"/>
        <v>0</v>
      </c>
      <c r="U232" s="875">
        <f>IF(T232=0,0,P232/T232)</f>
        <v>0</v>
      </c>
      <c r="V232" s="876"/>
      <c r="W232" s="235"/>
      <c r="X232" s="235"/>
      <c r="Y232" s="863" t="str">
        <f>B232&amp;D232</f>
        <v>552FS73SILO</v>
      </c>
      <c r="Z232" s="818">
        <v>32110873</v>
      </c>
      <c r="AA232" s="230"/>
      <c r="AB232" s="314">
        <v>0</v>
      </c>
      <c r="AC232" s="314">
        <v>0</v>
      </c>
      <c r="AD232" s="314">
        <v>0</v>
      </c>
      <c r="AE232" s="314">
        <v>0</v>
      </c>
      <c r="AF232" s="314">
        <v>0</v>
      </c>
      <c r="AG232" s="314">
        <v>0</v>
      </c>
      <c r="AH232" s="314">
        <v>0</v>
      </c>
      <c r="AI232" s="314">
        <v>0</v>
      </c>
      <c r="AJ232" s="314"/>
      <c r="AK232" s="314"/>
      <c r="AL232" s="314"/>
      <c r="AM232" s="314"/>
      <c r="AN232" s="230"/>
      <c r="AO232" s="314"/>
      <c r="AP232" s="314"/>
      <c r="AQ232" s="230"/>
      <c r="AR232" s="314"/>
      <c r="AS232" s="314"/>
      <c r="AT232" s="314"/>
      <c r="AU232" s="314"/>
      <c r="AV232" s="314"/>
      <c r="AW232" s="314"/>
      <c r="AX232" s="314"/>
      <c r="AY232" s="314"/>
      <c r="AZ232" s="314"/>
      <c r="BA232" s="314"/>
      <c r="BB232" s="314"/>
      <c r="BC232" s="314"/>
      <c r="BD232" s="314"/>
      <c r="BE232" s="314"/>
      <c r="BF232" s="205">
        <f t="shared" si="82"/>
        <v>0</v>
      </c>
      <c r="BG232" s="786">
        <f t="shared" si="76"/>
        <v>0</v>
      </c>
      <c r="BH232" s="786">
        <f t="shared" si="77"/>
        <v>0</v>
      </c>
    </row>
    <row r="233" spans="1:60">
      <c r="A233" s="287">
        <v>116</v>
      </c>
      <c r="B233" s="234" t="s">
        <v>391</v>
      </c>
      <c r="C233" s="234" t="s">
        <v>64</v>
      </c>
      <c r="D233" s="337" t="s">
        <v>66</v>
      </c>
      <c r="E233" s="316"/>
      <c r="F233" s="230">
        <f>SUMIF(data!$D:$D,INTGRATE!$B233&amp;INTGRATE!$D233,data!$K:$K)</f>
        <v>0</v>
      </c>
      <c r="G233" s="1185"/>
      <c r="H233" s="314">
        <f>SUMIF(CBIN!$A:$A,INTGRATE!$Y:$Y,CBIN!$G:$G)</f>
        <v>0</v>
      </c>
      <c r="I233" s="230">
        <f>SUMIF(data!$D:$D,INTGRATE!$B233&amp;INTGRATE!$D233,data!$J:$J)</f>
        <v>0</v>
      </c>
      <c r="J233" s="230"/>
      <c r="K233" s="230"/>
      <c r="L233" s="230">
        <f>SUMIF(data!$D:$D,INTGRATE!$B233&amp;INTGRATE!$D233,data!$K:$K)</f>
        <v>0</v>
      </c>
      <c r="M233" s="314">
        <v>0</v>
      </c>
      <c r="N233" s="100"/>
      <c r="O233" s="482"/>
      <c r="P233" s="230">
        <f t="shared" ref="P233:P238" si="84">F233-L233</f>
        <v>0</v>
      </c>
      <c r="Q233" s="350">
        <f t="shared" si="74"/>
        <v>239870</v>
      </c>
      <c r="R233" s="205"/>
      <c r="S233" s="205"/>
      <c r="T233" s="345">
        <f t="shared" si="83"/>
        <v>26652.222222222223</v>
      </c>
      <c r="U233" s="875">
        <f t="shared" si="80"/>
        <v>0</v>
      </c>
      <c r="V233" s="876"/>
      <c r="W233" s="235"/>
      <c r="X233" s="235"/>
      <c r="Y233" s="863" t="str">
        <f t="shared" si="81"/>
        <v>552FS90SILO</v>
      </c>
      <c r="Z233" s="818">
        <v>32110890</v>
      </c>
      <c r="AA233" s="230"/>
      <c r="AB233" s="314">
        <v>166990</v>
      </c>
      <c r="AC233" s="314">
        <v>72880</v>
      </c>
      <c r="AD233" s="314">
        <v>0</v>
      </c>
      <c r="AE233" s="314">
        <v>0</v>
      </c>
      <c r="AF233" s="314">
        <v>0</v>
      </c>
      <c r="AG233" s="314">
        <v>0</v>
      </c>
      <c r="AH233" s="314">
        <v>0</v>
      </c>
      <c r="AI233" s="314">
        <v>0</v>
      </c>
      <c r="AJ233" s="314"/>
      <c r="AK233" s="314"/>
      <c r="AL233" s="314"/>
      <c r="AM233" s="314"/>
      <c r="AN233" s="230"/>
      <c r="AO233" s="314"/>
      <c r="AP233" s="314"/>
      <c r="AQ233" s="230"/>
      <c r="AR233" s="314"/>
      <c r="AS233" s="314"/>
      <c r="AT233" s="314"/>
      <c r="AU233" s="314"/>
      <c r="AV233" s="314"/>
      <c r="AW233" s="314"/>
      <c r="AX233" s="314"/>
      <c r="AY233" s="314"/>
      <c r="AZ233" s="314"/>
      <c r="BA233" s="314"/>
      <c r="BB233" s="314"/>
      <c r="BC233" s="314"/>
      <c r="BD233" s="314"/>
      <c r="BE233" s="314"/>
      <c r="BF233" s="205">
        <f t="shared" si="82"/>
        <v>239870</v>
      </c>
      <c r="BG233" s="786">
        <f t="shared" si="76"/>
        <v>2</v>
      </c>
      <c r="BH233" s="786">
        <f t="shared" si="77"/>
        <v>119935</v>
      </c>
    </row>
    <row r="234" spans="1:60">
      <c r="A234" s="287">
        <v>117</v>
      </c>
      <c r="B234" s="234" t="s">
        <v>401</v>
      </c>
      <c r="C234" s="234" t="s">
        <v>64</v>
      </c>
      <c r="D234" s="337" t="s">
        <v>66</v>
      </c>
      <c r="E234" s="316">
        <v>0</v>
      </c>
      <c r="F234" s="230">
        <f>SUMIF(data!$D:$D,INTGRATE!$B234&amp;INTGRATE!$D234,data!$K:$K)</f>
        <v>0</v>
      </c>
      <c r="G234" s="1185"/>
      <c r="H234" s="314">
        <f>SUMIF(CBIN!$A:$A,INTGRATE!$Y:$Y,CBIN!$G:$G)</f>
        <v>0</v>
      </c>
      <c r="I234" s="230">
        <f>SUMIF(data!$D:$D,INTGRATE!$B234&amp;INTGRATE!$D234,data!$J:$J)</f>
        <v>0</v>
      </c>
      <c r="J234" s="230"/>
      <c r="K234" s="230"/>
      <c r="L234" s="230">
        <f>SUMIF(data!$D:$D,INTGRATE!$B234&amp;INTGRATE!$D234,data!$K:$K)</f>
        <v>0</v>
      </c>
      <c r="M234" s="314">
        <f>SUMIF(AJOUT!$A:$A,INTGRATE!$Y:$Y,AJOUT!$L:$L)</f>
        <v>0</v>
      </c>
      <c r="N234" s="100">
        <f>SUMIF(CBOUT!$A:$A,INTGRATE!$Y:$Y,CBOUT!$G:$G)</f>
        <v>0</v>
      </c>
      <c r="O234" s="482">
        <v>0</v>
      </c>
      <c r="P234" s="230">
        <f t="shared" si="84"/>
        <v>0</v>
      </c>
      <c r="Q234" s="350">
        <f t="shared" si="74"/>
        <v>0</v>
      </c>
      <c r="R234" s="205"/>
      <c r="S234" s="205"/>
      <c r="T234" s="345">
        <f t="shared" si="83"/>
        <v>0</v>
      </c>
      <c r="U234" s="875">
        <f t="shared" si="80"/>
        <v>0</v>
      </c>
      <c r="V234" s="876"/>
      <c r="W234" s="235"/>
      <c r="X234" s="235"/>
      <c r="Y234" s="863" t="str">
        <f t="shared" si="81"/>
        <v>553BFSILO</v>
      </c>
      <c r="Z234" s="818" t="s">
        <v>402</v>
      </c>
      <c r="AA234" s="230"/>
      <c r="AB234" s="314">
        <v>0</v>
      </c>
      <c r="AC234" s="314">
        <v>0</v>
      </c>
      <c r="AD234" s="314">
        <v>0</v>
      </c>
      <c r="AE234" s="314">
        <v>0</v>
      </c>
      <c r="AF234" s="314">
        <v>0</v>
      </c>
      <c r="AG234" s="314">
        <v>0</v>
      </c>
      <c r="AH234" s="314">
        <v>0</v>
      </c>
      <c r="AI234" s="314">
        <v>0</v>
      </c>
      <c r="AJ234" s="314"/>
      <c r="AK234" s="314"/>
      <c r="AL234" s="314"/>
      <c r="AM234" s="314"/>
      <c r="AN234" s="230"/>
      <c r="AO234" s="314"/>
      <c r="AP234" s="314"/>
      <c r="AQ234" s="230"/>
      <c r="AR234" s="314"/>
      <c r="AS234" s="314"/>
      <c r="AT234" s="314"/>
      <c r="AU234" s="314"/>
      <c r="AV234" s="314"/>
      <c r="AW234" s="314"/>
      <c r="AX234" s="314"/>
      <c r="AY234" s="314"/>
      <c r="AZ234" s="314"/>
      <c r="BA234" s="314"/>
      <c r="BB234" s="314"/>
      <c r="BC234" s="314"/>
      <c r="BD234" s="314"/>
      <c r="BE234" s="314"/>
      <c r="BF234" s="205">
        <f t="shared" si="82"/>
        <v>0</v>
      </c>
      <c r="BG234" s="786">
        <f t="shared" si="76"/>
        <v>0</v>
      </c>
      <c r="BH234" s="786">
        <f t="shared" si="77"/>
        <v>0</v>
      </c>
    </row>
    <row r="235" spans="1:60">
      <c r="A235" s="287">
        <v>118</v>
      </c>
      <c r="B235" s="234" t="s">
        <v>408</v>
      </c>
      <c r="C235" s="435" t="s">
        <v>64</v>
      </c>
      <c r="D235" s="553" t="s">
        <v>437</v>
      </c>
      <c r="E235" s="316"/>
      <c r="F235" s="230">
        <f>SUMIF(data!$D:$D,INTGRATE!$B235&amp;INTGRATE!$D235,data!$K:$K)</f>
        <v>0</v>
      </c>
      <c r="G235" s="1185"/>
      <c r="H235" s="314"/>
      <c r="I235" s="230">
        <f>SUMIF(data!$D:$D,INTGRATE!$B235&amp;INTGRATE!$D235,data!$J:$J)</f>
        <v>0</v>
      </c>
      <c r="J235" s="230"/>
      <c r="K235" s="230"/>
      <c r="L235" s="230">
        <f>SUMIF(data!$D:$D,INTGRATE!$B235&amp;INTGRATE!$D235,data!$K:$K)</f>
        <v>0</v>
      </c>
      <c r="M235" s="314">
        <f>SUMIF(AJOUT!$A:$A,INTGRATE!$Y:$Y,AJOUT!$L:$L)</f>
        <v>0</v>
      </c>
      <c r="N235" s="100">
        <f>SUMIF(CBOUT!$A:$A,INTGRATE!$Y:$Y,CBOUT!$G:$G)</f>
        <v>0</v>
      </c>
      <c r="O235" s="482"/>
      <c r="P235" s="230">
        <f t="shared" si="84"/>
        <v>0</v>
      </c>
      <c r="Q235" s="350">
        <f t="shared" si="74"/>
        <v>0</v>
      </c>
      <c r="R235" s="205"/>
      <c r="S235" s="205"/>
      <c r="T235" s="345">
        <f t="shared" si="83"/>
        <v>0</v>
      </c>
      <c r="U235" s="875">
        <f t="shared" si="80"/>
        <v>0</v>
      </c>
      <c r="V235" s="876"/>
      <c r="W235" s="235"/>
      <c r="X235" s="235"/>
      <c r="Y235" s="863" t="str">
        <f t="shared" si="81"/>
        <v>553SFBigbag</v>
      </c>
      <c r="Z235" s="818">
        <v>332101</v>
      </c>
      <c r="AA235" s="230"/>
      <c r="AB235" s="314">
        <v>0</v>
      </c>
      <c r="AC235" s="314">
        <v>0</v>
      </c>
      <c r="AD235" s="314">
        <v>0</v>
      </c>
      <c r="AE235" s="314">
        <v>0</v>
      </c>
      <c r="AF235" s="314">
        <v>0</v>
      </c>
      <c r="AG235" s="314">
        <v>0</v>
      </c>
      <c r="AH235" s="314">
        <v>0</v>
      </c>
      <c r="AI235" s="314">
        <v>0</v>
      </c>
      <c r="AJ235" s="314"/>
      <c r="AK235" s="314"/>
      <c r="AL235" s="314"/>
      <c r="AM235" s="314"/>
      <c r="AN235" s="230"/>
      <c r="AO235" s="314"/>
      <c r="AP235" s="314"/>
      <c r="AQ235" s="230"/>
      <c r="AR235" s="314"/>
      <c r="AS235" s="314"/>
      <c r="AT235" s="314"/>
      <c r="AU235" s="314"/>
      <c r="AV235" s="314"/>
      <c r="AW235" s="314"/>
      <c r="AX235" s="314"/>
      <c r="AY235" s="314"/>
      <c r="AZ235" s="314"/>
      <c r="BA235" s="314"/>
      <c r="BB235" s="314"/>
      <c r="BC235" s="314"/>
      <c r="BD235" s="314"/>
      <c r="BE235" s="314"/>
      <c r="BF235" s="205">
        <f t="shared" si="82"/>
        <v>0</v>
      </c>
      <c r="BG235" s="786">
        <f t="shared" si="76"/>
        <v>0</v>
      </c>
      <c r="BH235" s="786">
        <f t="shared" si="77"/>
        <v>0</v>
      </c>
    </row>
    <row r="236" spans="1:60">
      <c r="A236" s="287">
        <v>119</v>
      </c>
      <c r="B236" s="234" t="s">
        <v>403</v>
      </c>
      <c r="C236" s="435" t="s">
        <v>64</v>
      </c>
      <c r="D236" s="337" t="s">
        <v>66</v>
      </c>
      <c r="E236" s="316">
        <v>0</v>
      </c>
      <c r="F236" s="230">
        <f>SUMIF(data!$D:$D,INTGRATE!$B236&amp;INTGRATE!$D236,data!$K:$K)</f>
        <v>0</v>
      </c>
      <c r="G236" s="1185"/>
      <c r="H236" s="314">
        <f>SUMIF(CBIN!$A:$A,INTGRATE!$Y:$Y,CBIN!$G:$G)</f>
        <v>0</v>
      </c>
      <c r="I236" s="230">
        <f>SUMIF(data!$D:$D,INTGRATE!$B236&amp;INTGRATE!$D236,data!$J:$J)</f>
        <v>0</v>
      </c>
      <c r="J236" s="230"/>
      <c r="K236" s="230"/>
      <c r="L236" s="230">
        <f>SUMIF(data!$D:$D,INTGRATE!$B236&amp;INTGRATE!$D236,data!$K:$K)</f>
        <v>0</v>
      </c>
      <c r="M236" s="314">
        <f>SUMIF(AJOUT!$A:$A,INTGRATE!$Y:$Y,AJOUT!$L:$L)</f>
        <v>0</v>
      </c>
      <c r="N236" s="100">
        <f>SUMIF(CBOUT!$A:$A,INTGRATE!$Y:$Y,CBOUT!$G:$G)</f>
        <v>0</v>
      </c>
      <c r="O236" s="482">
        <v>0</v>
      </c>
      <c r="P236" s="230">
        <f t="shared" si="84"/>
        <v>0</v>
      </c>
      <c r="Q236" s="350">
        <f t="shared" si="74"/>
        <v>54010</v>
      </c>
      <c r="R236" s="205"/>
      <c r="S236" s="205"/>
      <c r="T236" s="345">
        <f t="shared" si="83"/>
        <v>6001.1111111111113</v>
      </c>
      <c r="U236" s="875">
        <f t="shared" si="80"/>
        <v>0</v>
      </c>
      <c r="V236" s="876"/>
      <c r="W236" s="235"/>
      <c r="X236" s="235"/>
      <c r="Y236" s="863" t="str">
        <f t="shared" si="81"/>
        <v>553MFSILO</v>
      </c>
      <c r="Z236" s="818" t="s">
        <v>404</v>
      </c>
      <c r="AA236" s="230"/>
      <c r="AB236" s="314">
        <v>11770</v>
      </c>
      <c r="AC236" s="314">
        <v>14370</v>
      </c>
      <c r="AD236" s="314">
        <v>4070</v>
      </c>
      <c r="AE236" s="314">
        <v>0</v>
      </c>
      <c r="AF236" s="314">
        <v>0</v>
      </c>
      <c r="AG236" s="314">
        <v>23800</v>
      </c>
      <c r="AH236" s="314">
        <v>0</v>
      </c>
      <c r="AI236" s="314">
        <v>0</v>
      </c>
      <c r="AJ236" s="314"/>
      <c r="AK236" s="314"/>
      <c r="AL236" s="314"/>
      <c r="AM236" s="314"/>
      <c r="AN236" s="230"/>
      <c r="AO236" s="314"/>
      <c r="AP236" s="314"/>
      <c r="AQ236" s="230"/>
      <c r="AR236" s="314"/>
      <c r="AS236" s="314"/>
      <c r="AT236" s="314"/>
      <c r="AU236" s="314"/>
      <c r="AV236" s="314"/>
      <c r="AW236" s="314"/>
      <c r="AX236" s="314"/>
      <c r="AY236" s="314"/>
      <c r="AZ236" s="314"/>
      <c r="BA236" s="314"/>
      <c r="BB236" s="314"/>
      <c r="BC236" s="314"/>
      <c r="BD236" s="314"/>
      <c r="BE236" s="314"/>
      <c r="BF236" s="205">
        <f t="shared" si="82"/>
        <v>54010</v>
      </c>
      <c r="BG236" s="786">
        <f t="shared" si="76"/>
        <v>4</v>
      </c>
      <c r="BH236" s="786">
        <f t="shared" si="77"/>
        <v>13502.5</v>
      </c>
    </row>
    <row r="237" spans="1:60">
      <c r="A237" s="287">
        <v>120</v>
      </c>
      <c r="B237" s="234" t="s">
        <v>405</v>
      </c>
      <c r="C237" s="435" t="s">
        <v>64</v>
      </c>
      <c r="D237" s="337" t="s">
        <v>66</v>
      </c>
      <c r="E237" s="316">
        <v>0</v>
      </c>
      <c r="F237" s="230">
        <f>SUMIF(data!$D:$D,INTGRATE!$B237&amp;INTGRATE!$D237,data!$K:$K)</f>
        <v>0</v>
      </c>
      <c r="G237" s="1185"/>
      <c r="H237" s="314">
        <f>SUMIF(CBIN!$A:$A,INTGRATE!$Y:$Y,CBIN!$G:$G)</f>
        <v>0</v>
      </c>
      <c r="I237" s="230">
        <f>SUMIF(data!$D:$D,INTGRATE!$B237&amp;INTGRATE!$D237,data!$J:$J)</f>
        <v>0</v>
      </c>
      <c r="J237" s="230"/>
      <c r="K237" s="230"/>
      <c r="L237" s="230">
        <f>SUMIF(data!$D:$D,INTGRATE!$B237&amp;INTGRATE!$D237,data!$K:$K)</f>
        <v>0</v>
      </c>
      <c r="M237" s="314">
        <f>SUMIF(AJOUT!$A:$A,INTGRATE!$Y:$Y,AJOUT!$L:$L)</f>
        <v>0</v>
      </c>
      <c r="N237" s="100">
        <f>SUMIF(CBOUT!$A:$A,INTGRATE!$Y:$Y,CBOUT!$G:$G)</f>
        <v>0</v>
      </c>
      <c r="O237" s="482">
        <v>0</v>
      </c>
      <c r="P237" s="230">
        <f t="shared" si="84"/>
        <v>0</v>
      </c>
      <c r="Q237" s="350">
        <f t="shared" si="74"/>
        <v>0</v>
      </c>
      <c r="R237" s="205"/>
      <c r="S237" s="205"/>
      <c r="T237" s="345">
        <f t="shared" si="83"/>
        <v>0</v>
      </c>
      <c r="U237" s="875">
        <f t="shared" si="80"/>
        <v>0</v>
      </c>
      <c r="V237" s="876"/>
      <c r="W237" s="235"/>
      <c r="X237" s="235"/>
      <c r="Y237" s="863" t="str">
        <f t="shared" si="81"/>
        <v>553MFS34SILO</v>
      </c>
      <c r="Z237" s="818">
        <v>33221834</v>
      </c>
      <c r="AA237" s="230"/>
      <c r="AB237" s="314">
        <v>0</v>
      </c>
      <c r="AC237" s="314">
        <v>0</v>
      </c>
      <c r="AD237" s="314">
        <v>0</v>
      </c>
      <c r="AE237" s="314">
        <v>0</v>
      </c>
      <c r="AF237" s="314">
        <v>0</v>
      </c>
      <c r="AG237" s="314">
        <v>0</v>
      </c>
      <c r="AH237" s="314">
        <v>0</v>
      </c>
      <c r="AI237" s="314">
        <v>0</v>
      </c>
      <c r="AJ237" s="314"/>
      <c r="AK237" s="314"/>
      <c r="AL237" s="314"/>
      <c r="AM237" s="314"/>
      <c r="AN237" s="230"/>
      <c r="AO237" s="314"/>
      <c r="AP237" s="314"/>
      <c r="AQ237" s="230"/>
      <c r="AR237" s="314"/>
      <c r="AS237" s="314"/>
      <c r="AT237" s="314"/>
      <c r="AU237" s="314"/>
      <c r="AV237" s="314"/>
      <c r="AW237" s="314"/>
      <c r="AX237" s="314"/>
      <c r="AY237" s="314"/>
      <c r="AZ237" s="314"/>
      <c r="BA237" s="314"/>
      <c r="BB237" s="314"/>
      <c r="BC237" s="314"/>
      <c r="BD237" s="314"/>
      <c r="BE237" s="314"/>
      <c r="BF237" s="205">
        <f t="shared" si="82"/>
        <v>0</v>
      </c>
      <c r="BG237" s="786">
        <f t="shared" si="76"/>
        <v>0</v>
      </c>
      <c r="BH237" s="786">
        <f t="shared" si="77"/>
        <v>0</v>
      </c>
    </row>
    <row r="238" spans="1:60">
      <c r="A238" s="287">
        <v>121</v>
      </c>
      <c r="B238" s="234" t="s">
        <v>406</v>
      </c>
      <c r="C238" s="435" t="s">
        <v>64</v>
      </c>
      <c r="D238" s="337" t="s">
        <v>66</v>
      </c>
      <c r="E238" s="316">
        <v>0</v>
      </c>
      <c r="F238" s="230">
        <f>SUMIF(data!$D:$D,INTGRATE!$B238&amp;INTGRATE!$D238,data!$K:$K)</f>
        <v>0</v>
      </c>
      <c r="G238" s="1185"/>
      <c r="H238" s="314"/>
      <c r="I238" s="230">
        <f>SUMIF(data!$D:$D,INTGRATE!$B238&amp;INTGRATE!$D238,data!$J:$J)</f>
        <v>0</v>
      </c>
      <c r="J238" s="230"/>
      <c r="K238" s="230"/>
      <c r="L238" s="230">
        <f>SUMIF(data!$D:$D,INTGRATE!$B238&amp;INTGRATE!$D238,data!$K:$K)</f>
        <v>0</v>
      </c>
      <c r="M238" s="314">
        <f>SUMIF(AJOUT!$A:$A,INTGRATE!$Y:$Y,AJOUT!$L:$L)</f>
        <v>0</v>
      </c>
      <c r="N238" s="100">
        <f>SUMIF(CBOUT!$A:$A,INTGRATE!$Y:$Y,CBOUT!$G:$G)</f>
        <v>0</v>
      </c>
      <c r="O238" s="482">
        <v>0</v>
      </c>
      <c r="P238" s="230">
        <f t="shared" si="84"/>
        <v>0</v>
      </c>
      <c r="Q238" s="350">
        <f t="shared" si="74"/>
        <v>0</v>
      </c>
      <c r="R238" s="205"/>
      <c r="S238" s="205"/>
      <c r="T238" s="345">
        <f t="shared" si="83"/>
        <v>0</v>
      </c>
      <c r="U238" s="875">
        <f t="shared" si="80"/>
        <v>0</v>
      </c>
      <c r="V238" s="876"/>
      <c r="W238" s="235"/>
      <c r="X238" s="235"/>
      <c r="Y238" s="863" t="str">
        <f t="shared" si="81"/>
        <v>553MFS73SILO</v>
      </c>
      <c r="Z238" s="818">
        <v>33221873</v>
      </c>
      <c r="AA238" s="230"/>
      <c r="AB238" s="314">
        <v>0</v>
      </c>
      <c r="AC238" s="314">
        <v>0</v>
      </c>
      <c r="AD238" s="314">
        <v>0</v>
      </c>
      <c r="AE238" s="314">
        <v>0</v>
      </c>
      <c r="AF238" s="314">
        <v>0</v>
      </c>
      <c r="AG238" s="314">
        <v>0</v>
      </c>
      <c r="AH238" s="314">
        <v>0</v>
      </c>
      <c r="AI238" s="314">
        <v>0</v>
      </c>
      <c r="AJ238" s="314"/>
      <c r="AK238" s="314"/>
      <c r="AL238" s="314"/>
      <c r="AM238" s="314"/>
      <c r="AN238" s="230"/>
      <c r="AO238" s="314"/>
      <c r="AP238" s="314"/>
      <c r="AQ238" s="230"/>
      <c r="AR238" s="314"/>
      <c r="AS238" s="314"/>
      <c r="AT238" s="314"/>
      <c r="AU238" s="314"/>
      <c r="AV238" s="314"/>
      <c r="AW238" s="314"/>
      <c r="AX238" s="314"/>
      <c r="AY238" s="314"/>
      <c r="AZ238" s="314"/>
      <c r="BA238" s="314"/>
      <c r="BB238" s="314"/>
      <c r="BC238" s="314"/>
      <c r="BD238" s="314"/>
      <c r="BE238" s="314"/>
      <c r="BF238" s="205">
        <f t="shared" si="82"/>
        <v>0</v>
      </c>
      <c r="BG238" s="786">
        <f t="shared" si="76"/>
        <v>0</v>
      </c>
      <c r="BH238" s="786">
        <f t="shared" si="77"/>
        <v>0</v>
      </c>
    </row>
    <row r="239" spans="1:60">
      <c r="A239" s="287">
        <v>122</v>
      </c>
      <c r="B239" s="234" t="s">
        <v>407</v>
      </c>
      <c r="C239" s="435" t="s">
        <v>64</v>
      </c>
      <c r="D239" s="337" t="s">
        <v>66</v>
      </c>
      <c r="E239" s="316"/>
      <c r="F239" s="230">
        <f>SUMIF(data!$D:$D,INTGRATE!$B239&amp;INTGRATE!$D239,data!$K:$K)</f>
        <v>0</v>
      </c>
      <c r="G239" s="1185"/>
      <c r="H239" s="314"/>
      <c r="I239" s="230">
        <f>SUMIF(data!$D:$D,INTGRATE!$B239&amp;INTGRATE!$D239,data!$J:$J)</f>
        <v>0</v>
      </c>
      <c r="J239" s="230"/>
      <c r="K239" s="230"/>
      <c r="L239" s="230">
        <f>SUMIF(data!$D:$D,INTGRATE!$B239&amp;INTGRATE!$D239,data!$K:$K)</f>
        <v>0</v>
      </c>
      <c r="M239" s="314"/>
      <c r="N239" s="100"/>
      <c r="O239" s="482"/>
      <c r="P239" s="230"/>
      <c r="Q239" s="350">
        <f t="shared" si="74"/>
        <v>0</v>
      </c>
      <c r="R239" s="205"/>
      <c r="S239" s="205"/>
      <c r="T239" s="345">
        <f t="shared" si="83"/>
        <v>0</v>
      </c>
      <c r="U239" s="875">
        <f t="shared" si="80"/>
        <v>0</v>
      </c>
      <c r="V239" s="876"/>
      <c r="W239" s="235"/>
      <c r="X239" s="235"/>
      <c r="Y239" s="863" t="str">
        <f t="shared" si="81"/>
        <v>553MFS90SILO</v>
      </c>
      <c r="Z239" s="818">
        <v>33221890</v>
      </c>
      <c r="AA239" s="230"/>
      <c r="AB239" s="314">
        <v>0</v>
      </c>
      <c r="AC239" s="314">
        <v>0</v>
      </c>
      <c r="AD239" s="314">
        <v>0</v>
      </c>
      <c r="AE239" s="314">
        <v>0</v>
      </c>
      <c r="AF239" s="314">
        <v>0</v>
      </c>
      <c r="AG239" s="314">
        <v>0</v>
      </c>
      <c r="AH239" s="314">
        <v>0</v>
      </c>
      <c r="AI239" s="314">
        <v>0</v>
      </c>
      <c r="AJ239" s="314"/>
      <c r="AK239" s="314"/>
      <c r="AL239" s="314"/>
      <c r="AM239" s="314"/>
      <c r="AN239" s="230"/>
      <c r="AO239" s="314"/>
      <c r="AP239" s="314"/>
      <c r="AQ239" s="230"/>
      <c r="AR239" s="314"/>
      <c r="AS239" s="314"/>
      <c r="AT239" s="314"/>
      <c r="AU239" s="314"/>
      <c r="AV239" s="314"/>
      <c r="AW239" s="314"/>
      <c r="AX239" s="314"/>
      <c r="AY239" s="314"/>
      <c r="AZ239" s="314"/>
      <c r="BA239" s="314"/>
      <c r="BB239" s="314"/>
      <c r="BC239" s="314"/>
      <c r="BD239" s="314"/>
      <c r="BE239" s="314"/>
      <c r="BF239" s="205">
        <f t="shared" si="82"/>
        <v>0</v>
      </c>
      <c r="BG239" s="786">
        <f t="shared" si="76"/>
        <v>0</v>
      </c>
      <c r="BH239" s="786">
        <f t="shared" si="77"/>
        <v>0</v>
      </c>
    </row>
    <row r="240" spans="1:60">
      <c r="A240" s="287">
        <v>123</v>
      </c>
      <c r="B240" s="234" t="s">
        <v>409</v>
      </c>
      <c r="C240" s="435" t="s">
        <v>64</v>
      </c>
      <c r="D240" s="337" t="s">
        <v>66</v>
      </c>
      <c r="E240" s="316">
        <v>0</v>
      </c>
      <c r="F240" s="230">
        <f>SUMIF(data!$D:$D,INTGRATE!$B240&amp;INTGRATE!$D240,data!$K:$K)</f>
        <v>0</v>
      </c>
      <c r="G240" s="1185"/>
      <c r="H240" s="314">
        <f>SUMIF(CBIN!$A:$A,INTGRATE!$Y:$Y,CBIN!$G:$G)</f>
        <v>0</v>
      </c>
      <c r="I240" s="230">
        <f>SUMIF(data!$D:$D,INTGRATE!$B240&amp;INTGRATE!$D240,data!$J:$J)</f>
        <v>0</v>
      </c>
      <c r="J240" s="230"/>
      <c r="K240" s="230"/>
      <c r="L240" s="230">
        <f>SUMIF(data!$D:$D,INTGRATE!$B240&amp;INTGRATE!$D240,data!$K:$K)</f>
        <v>0</v>
      </c>
      <c r="M240" s="314">
        <f>SUMIF(AJOUT!$A:$A,INTGRATE!$Y:$Y,AJOUT!$L:$L)</f>
        <v>0</v>
      </c>
      <c r="N240" s="100">
        <f>SUMIF(CBOUT!$A:$A,INTGRATE!$Y:$Y,CBOUT!$G:$G)</f>
        <v>0</v>
      </c>
      <c r="O240" s="482">
        <v>0</v>
      </c>
      <c r="P240" s="230">
        <f t="shared" ref="P240:P251" si="85">F240-L240</f>
        <v>0</v>
      </c>
      <c r="Q240" s="350">
        <f t="shared" si="74"/>
        <v>0</v>
      </c>
      <c r="R240" s="205"/>
      <c r="S240" s="205"/>
      <c r="T240" s="345">
        <f t="shared" si="83"/>
        <v>0</v>
      </c>
      <c r="U240" s="875">
        <f t="shared" si="80"/>
        <v>0</v>
      </c>
      <c r="V240" s="876"/>
      <c r="W240" s="235"/>
      <c r="X240" s="235"/>
      <c r="Y240" s="863" t="str">
        <f t="shared" si="81"/>
        <v>553WDFSILO</v>
      </c>
      <c r="Z240" s="818">
        <v>332481</v>
      </c>
      <c r="AA240" s="230"/>
      <c r="AB240" s="314">
        <v>0</v>
      </c>
      <c r="AC240" s="314">
        <v>0</v>
      </c>
      <c r="AD240" s="314">
        <v>0</v>
      </c>
      <c r="AE240" s="314">
        <v>0</v>
      </c>
      <c r="AF240" s="314">
        <v>0</v>
      </c>
      <c r="AG240" s="314">
        <v>0</v>
      </c>
      <c r="AH240" s="314">
        <v>0</v>
      </c>
      <c r="AI240" s="314">
        <v>0</v>
      </c>
      <c r="AJ240" s="314"/>
      <c r="AK240" s="314"/>
      <c r="AL240" s="314"/>
      <c r="AM240" s="314"/>
      <c r="AN240" s="230"/>
      <c r="AO240" s="314"/>
      <c r="AP240" s="314"/>
      <c r="AQ240" s="230"/>
      <c r="AR240" s="314"/>
      <c r="AS240" s="314"/>
      <c r="AT240" s="314"/>
      <c r="AU240" s="314"/>
      <c r="AV240" s="314"/>
      <c r="AW240" s="314"/>
      <c r="AX240" s="314"/>
      <c r="AY240" s="314"/>
      <c r="AZ240" s="314"/>
      <c r="BA240" s="314"/>
      <c r="BB240" s="314"/>
      <c r="BC240" s="314"/>
      <c r="BD240" s="314"/>
      <c r="BE240" s="314"/>
      <c r="BF240" s="205">
        <f t="shared" si="82"/>
        <v>0</v>
      </c>
      <c r="BG240" s="786">
        <f t="shared" si="76"/>
        <v>0</v>
      </c>
      <c r="BH240" s="786">
        <f t="shared" si="77"/>
        <v>0</v>
      </c>
    </row>
    <row r="241" spans="1:60" s="295" customFormat="1">
      <c r="A241" s="287">
        <v>124</v>
      </c>
      <c r="B241" s="300" t="s">
        <v>410</v>
      </c>
      <c r="C241" s="301" t="s">
        <v>64</v>
      </c>
      <c r="D241" s="338" t="s">
        <v>66</v>
      </c>
      <c r="E241" s="316">
        <v>0</v>
      </c>
      <c r="F241" s="230">
        <f>SUMIF(data!$D:$D,INTGRATE!$B241&amp;INTGRATE!$D241,data!$K:$K)</f>
        <v>0</v>
      </c>
      <c r="G241" s="1185"/>
      <c r="H241" s="314">
        <f>SUMIF(CBIN!$A:$A,INTGRATE!$Y:$Y,CBIN!$G:$G)</f>
        <v>0</v>
      </c>
      <c r="I241" s="230">
        <f>SUMIF(data!$D:$D,INTGRATE!$B241&amp;INTGRATE!$D241,data!$J:$J)</f>
        <v>0</v>
      </c>
      <c r="J241" s="230"/>
      <c r="K241" s="230"/>
      <c r="L241" s="230">
        <f>SUMIF(data!$D:$D,INTGRATE!$B241&amp;INTGRATE!$D241,data!$K:$K)</f>
        <v>0</v>
      </c>
      <c r="M241" s="314">
        <f>SUMIF(AJOUT!$A:$A,INTGRATE!$Y:$Y,AJOUT!$L:$L)</f>
        <v>0</v>
      </c>
      <c r="N241" s="100">
        <f>SUMIF(CBOUT!$A:$A,INTGRATE!$Y:$Y,CBOUT!$G:$G)</f>
        <v>0</v>
      </c>
      <c r="O241" s="482">
        <v>0</v>
      </c>
      <c r="P241" s="230">
        <f t="shared" si="85"/>
        <v>0</v>
      </c>
      <c r="Q241" s="350">
        <f t="shared" si="74"/>
        <v>0</v>
      </c>
      <c r="R241" s="205"/>
      <c r="S241" s="205"/>
      <c r="T241" s="345">
        <f t="shared" si="83"/>
        <v>0</v>
      </c>
      <c r="U241" s="875">
        <f t="shared" si="80"/>
        <v>0</v>
      </c>
      <c r="V241" s="876"/>
      <c r="W241" s="1186"/>
      <c r="X241" s="1186"/>
      <c r="Y241" s="863" t="str">
        <f t="shared" si="81"/>
        <v>562FSILO</v>
      </c>
      <c r="Z241" s="818" t="s">
        <v>441</v>
      </c>
      <c r="AA241" s="350"/>
      <c r="AB241" s="314">
        <v>0</v>
      </c>
      <c r="AC241" s="314">
        <v>0</v>
      </c>
      <c r="AD241" s="314">
        <v>0</v>
      </c>
      <c r="AE241" s="314">
        <v>0</v>
      </c>
      <c r="AF241" s="314">
        <v>0</v>
      </c>
      <c r="AG241" s="314">
        <v>0</v>
      </c>
      <c r="AH241" s="314">
        <v>0</v>
      </c>
      <c r="AI241" s="314">
        <v>0</v>
      </c>
      <c r="AJ241" s="314"/>
      <c r="AK241" s="314"/>
      <c r="AL241" s="314"/>
      <c r="AM241" s="314"/>
      <c r="AN241" s="230"/>
      <c r="AO241" s="314"/>
      <c r="AP241" s="314"/>
      <c r="AQ241" s="230"/>
      <c r="AR241" s="314"/>
      <c r="AS241" s="314"/>
      <c r="AT241" s="314"/>
      <c r="AU241" s="314"/>
      <c r="AV241" s="314"/>
      <c r="AW241" s="314"/>
      <c r="AX241" s="314"/>
      <c r="AY241" s="314"/>
      <c r="AZ241" s="314"/>
      <c r="BA241" s="314"/>
      <c r="BB241" s="314"/>
      <c r="BC241" s="314"/>
      <c r="BD241" s="314"/>
      <c r="BE241" s="314"/>
      <c r="BF241" s="205">
        <f t="shared" si="82"/>
        <v>0</v>
      </c>
      <c r="BG241" s="786">
        <f t="shared" si="76"/>
        <v>0</v>
      </c>
      <c r="BH241" s="786">
        <f t="shared" si="77"/>
        <v>0</v>
      </c>
    </row>
    <row r="242" spans="1:60" s="295" customFormat="1">
      <c r="A242" s="287">
        <v>125</v>
      </c>
      <c r="B242" s="300" t="s">
        <v>413</v>
      </c>
      <c r="C242" s="301" t="s">
        <v>64</v>
      </c>
      <c r="D242" s="338" t="s">
        <v>66</v>
      </c>
      <c r="E242" s="316">
        <v>0</v>
      </c>
      <c r="F242" s="230">
        <f>SUMIF(data!$D:$D,INTGRATE!$B242&amp;INTGRATE!$D242,data!$K:$K)</f>
        <v>0</v>
      </c>
      <c r="G242" s="1185"/>
      <c r="H242" s="314">
        <f>SUMIF(CBIN!$A:$A,INTGRATE!$Y:$Y,CBIN!$G:$G)</f>
        <v>0</v>
      </c>
      <c r="I242" s="230">
        <f>SUMIF(data!$D:$D,INTGRATE!$B242&amp;INTGRATE!$D242,data!$J:$J)</f>
        <v>0</v>
      </c>
      <c r="J242" s="230"/>
      <c r="K242" s="230"/>
      <c r="L242" s="230">
        <f>SUMIF(data!$D:$D,INTGRATE!$B242&amp;INTGRATE!$D242,data!$K:$K)</f>
        <v>0</v>
      </c>
      <c r="M242" s="314">
        <f>SUMIF(AJOUT!$A:$A,INTGRATE!$Y:$Y,AJOUT!$L:$L)</f>
        <v>0</v>
      </c>
      <c r="N242" s="100">
        <f>SUMIF(CBOUT!$A:$A,INTGRATE!$Y:$Y,CBOUT!$G:$G)</f>
        <v>0</v>
      </c>
      <c r="O242" s="482">
        <v>0</v>
      </c>
      <c r="P242" s="230">
        <f t="shared" si="85"/>
        <v>0</v>
      </c>
      <c r="Q242" s="350">
        <f t="shared" si="74"/>
        <v>0</v>
      </c>
      <c r="R242" s="205"/>
      <c r="S242" s="205"/>
      <c r="T242" s="345">
        <f t="shared" si="83"/>
        <v>0</v>
      </c>
      <c r="U242" s="875">
        <f t="shared" si="80"/>
        <v>0</v>
      </c>
      <c r="V242" s="876"/>
      <c r="W242" s="1186"/>
      <c r="X242" s="1186"/>
      <c r="Y242" s="863" t="str">
        <f t="shared" si="81"/>
        <v>562PFSILO</v>
      </c>
      <c r="Z242" s="818" t="s">
        <v>414</v>
      </c>
      <c r="AA242" s="350"/>
      <c r="AB242" s="314">
        <v>0</v>
      </c>
      <c r="AC242" s="314">
        <v>0</v>
      </c>
      <c r="AD242" s="314">
        <v>0</v>
      </c>
      <c r="AE242" s="314">
        <v>0</v>
      </c>
      <c r="AF242" s="314">
        <v>0</v>
      </c>
      <c r="AG242" s="314">
        <v>0</v>
      </c>
      <c r="AH242" s="314">
        <v>0</v>
      </c>
      <c r="AI242" s="314">
        <v>0</v>
      </c>
      <c r="AJ242" s="314"/>
      <c r="AK242" s="314"/>
      <c r="AL242" s="314"/>
      <c r="AM242" s="314"/>
      <c r="AN242" s="230"/>
      <c r="AO242" s="314"/>
      <c r="AP242" s="314"/>
      <c r="AQ242" s="230"/>
      <c r="AR242" s="314"/>
      <c r="AS242" s="314"/>
      <c r="AT242" s="314"/>
      <c r="AU242" s="314"/>
      <c r="AV242" s="314"/>
      <c r="AW242" s="314"/>
      <c r="AX242" s="314"/>
      <c r="AY242" s="314"/>
      <c r="AZ242" s="314"/>
      <c r="BA242" s="314"/>
      <c r="BB242" s="314"/>
      <c r="BC242" s="314"/>
      <c r="BD242" s="314"/>
      <c r="BE242" s="314"/>
      <c r="BF242" s="205">
        <f t="shared" si="82"/>
        <v>0</v>
      </c>
      <c r="BG242" s="786">
        <f t="shared" si="76"/>
        <v>0</v>
      </c>
      <c r="BH242" s="786">
        <f t="shared" si="77"/>
        <v>0</v>
      </c>
    </row>
    <row r="243" spans="1:60" s="295" customFormat="1">
      <c r="A243" s="287">
        <v>126</v>
      </c>
      <c r="B243" s="300" t="s">
        <v>418</v>
      </c>
      <c r="C243" s="301" t="s">
        <v>64</v>
      </c>
      <c r="D243" s="338" t="s">
        <v>66</v>
      </c>
      <c r="E243" s="316"/>
      <c r="F243" s="230">
        <f>SUMIF(data!$D:$D,INTGRATE!$B243&amp;INTGRATE!$D243,data!$K:$K)</f>
        <v>0</v>
      </c>
      <c r="G243" s="1185"/>
      <c r="H243" s="314"/>
      <c r="I243" s="230"/>
      <c r="J243" s="230"/>
      <c r="K243" s="230"/>
      <c r="L243" s="230">
        <f>SUMIF(data!$D:$D,INTGRATE!$B243&amp;INTGRATE!$D243,data!$K:$K)</f>
        <v>0</v>
      </c>
      <c r="M243" s="314"/>
      <c r="N243" s="100"/>
      <c r="O243" s="482"/>
      <c r="P243" s="230">
        <f>F243-L243</f>
        <v>0</v>
      </c>
      <c r="Q243" s="350">
        <f t="shared" si="74"/>
        <v>0</v>
      </c>
      <c r="R243" s="205"/>
      <c r="S243" s="205"/>
      <c r="T243" s="345">
        <f t="shared" si="83"/>
        <v>0</v>
      </c>
      <c r="U243" s="875">
        <f t="shared" si="80"/>
        <v>0</v>
      </c>
      <c r="V243" s="876"/>
      <c r="W243" s="1186"/>
      <c r="X243" s="1186"/>
      <c r="Y243" s="863" t="str">
        <f t="shared" si="81"/>
        <v>562PFS90SILO</v>
      </c>
      <c r="Z243" s="818">
        <v>36430837</v>
      </c>
      <c r="AA243" s="350"/>
      <c r="AB243" s="314">
        <v>0</v>
      </c>
      <c r="AC243" s="314">
        <v>0</v>
      </c>
      <c r="AD243" s="314">
        <v>0</v>
      </c>
      <c r="AE243" s="314">
        <v>0</v>
      </c>
      <c r="AF243" s="314">
        <v>0</v>
      </c>
      <c r="AG243" s="314">
        <v>0</v>
      </c>
      <c r="AH243" s="314">
        <v>0</v>
      </c>
      <c r="AI243" s="314">
        <v>0</v>
      </c>
      <c r="AJ243" s="314"/>
      <c r="AK243" s="314"/>
      <c r="AL243" s="314"/>
      <c r="AM243" s="314"/>
      <c r="AN243" s="230"/>
      <c r="AO243" s="314"/>
      <c r="AP243" s="314"/>
      <c r="AQ243" s="230"/>
      <c r="AR243" s="314"/>
      <c r="AS243" s="314"/>
      <c r="AT243" s="314"/>
      <c r="AU243" s="314"/>
      <c r="AV243" s="314"/>
      <c r="AW243" s="314"/>
      <c r="AX243" s="314"/>
      <c r="AY243" s="314"/>
      <c r="AZ243" s="314"/>
      <c r="BA243" s="314"/>
      <c r="BB243" s="314"/>
      <c r="BC243" s="314"/>
      <c r="BD243" s="314"/>
      <c r="BE243" s="314"/>
      <c r="BF243" s="205">
        <f t="shared" si="82"/>
        <v>0</v>
      </c>
      <c r="BG243" s="786">
        <f t="shared" si="76"/>
        <v>0</v>
      </c>
      <c r="BH243" s="786">
        <f t="shared" si="77"/>
        <v>0</v>
      </c>
    </row>
    <row r="244" spans="1:60" s="295" customFormat="1">
      <c r="A244" s="287">
        <v>127</v>
      </c>
      <c r="B244" s="300" t="s">
        <v>419</v>
      </c>
      <c r="C244" s="301" t="s">
        <v>64</v>
      </c>
      <c r="D244" s="338" t="s">
        <v>66</v>
      </c>
      <c r="E244" s="316">
        <v>0</v>
      </c>
      <c r="F244" s="230">
        <f>SUMIF(data!$D:$D,INTGRATE!$B244&amp;INTGRATE!$D244,data!$K:$K)</f>
        <v>0</v>
      </c>
      <c r="G244" s="1185"/>
      <c r="H244" s="314">
        <f>SUMIF(CBIN!$A:$A,INTGRATE!$Y:$Y,CBIN!$G:$G)</f>
        <v>0</v>
      </c>
      <c r="I244" s="230">
        <f>SUMIF(data!$D:$D,INTGRATE!$B244&amp;INTGRATE!$D244,data!$J:$J)</f>
        <v>0</v>
      </c>
      <c r="J244" s="230"/>
      <c r="K244" s="230"/>
      <c r="L244" s="230">
        <f>SUMIF(data!$D:$D,INTGRATE!$B244&amp;INTGRATE!$D244,data!$K:$K)</f>
        <v>0</v>
      </c>
      <c r="M244" s="314">
        <f>SUMIF(AJOUT!$A:$A,INTGRATE!$Y:$Y,AJOUT!$L:$L)</f>
        <v>0</v>
      </c>
      <c r="N244" s="100">
        <f>SUMIF(CBOUT!$A:$A,INTGRATE!$Y:$Y,CBOUT!$G:$G)</f>
        <v>0</v>
      </c>
      <c r="O244" s="482">
        <v>0</v>
      </c>
      <c r="P244" s="230">
        <f t="shared" si="85"/>
        <v>0</v>
      </c>
      <c r="Q244" s="350">
        <f t="shared" si="74"/>
        <v>389040</v>
      </c>
      <c r="R244" s="205"/>
      <c r="S244" s="205"/>
      <c r="T244" s="345">
        <f t="shared" si="83"/>
        <v>43226.666666666664</v>
      </c>
      <c r="U244" s="875">
        <f t="shared" si="80"/>
        <v>0</v>
      </c>
      <c r="V244" s="876"/>
      <c r="W244" s="1186"/>
      <c r="X244" s="1186"/>
      <c r="Y244" s="863" t="str">
        <f t="shared" si="81"/>
        <v>566FSILO</v>
      </c>
      <c r="Z244" s="818" t="s">
        <v>442</v>
      </c>
      <c r="AA244" s="350"/>
      <c r="AB244" s="314">
        <v>0</v>
      </c>
      <c r="AC244" s="314">
        <v>0</v>
      </c>
      <c r="AD244" s="314">
        <v>113400</v>
      </c>
      <c r="AE244" s="314">
        <v>85770</v>
      </c>
      <c r="AF244" s="314">
        <v>85810</v>
      </c>
      <c r="AG244" s="314">
        <v>43240</v>
      </c>
      <c r="AH244" s="314">
        <v>46080</v>
      </c>
      <c r="AI244" s="314">
        <v>14740</v>
      </c>
      <c r="AJ244" s="314"/>
      <c r="AK244" s="314"/>
      <c r="AL244" s="314"/>
      <c r="AM244" s="314"/>
      <c r="AN244" s="230"/>
      <c r="AO244" s="314"/>
      <c r="AP244" s="314"/>
      <c r="AQ244" s="230"/>
      <c r="AR244" s="314"/>
      <c r="AS244" s="314"/>
      <c r="AT244" s="314"/>
      <c r="AU244" s="314"/>
      <c r="AV244" s="314"/>
      <c r="AW244" s="314"/>
      <c r="AX244" s="314"/>
      <c r="AY244" s="314"/>
      <c r="AZ244" s="314"/>
      <c r="BA244" s="314"/>
      <c r="BB244" s="314"/>
      <c r="BC244" s="314"/>
      <c r="BD244" s="314"/>
      <c r="BE244" s="314"/>
      <c r="BF244" s="205">
        <f t="shared" si="82"/>
        <v>389040</v>
      </c>
      <c r="BG244" s="786">
        <f t="shared" si="76"/>
        <v>6</v>
      </c>
      <c r="BH244" s="786">
        <f t="shared" si="77"/>
        <v>64840</v>
      </c>
    </row>
    <row r="245" spans="1:60" s="295" customFormat="1">
      <c r="A245" s="287">
        <v>128</v>
      </c>
      <c r="B245" s="300" t="s">
        <v>419</v>
      </c>
      <c r="C245" s="301" t="s">
        <v>64</v>
      </c>
      <c r="D245" s="643" t="s">
        <v>437</v>
      </c>
      <c r="E245" s="316"/>
      <c r="F245" s="230">
        <f>SUMIF(data!$D:$D,INTGRATE!$B245&amp;INTGRATE!$D245,data!$K:$K)</f>
        <v>0</v>
      </c>
      <c r="G245" s="1185"/>
      <c r="H245" s="314"/>
      <c r="I245" s="230"/>
      <c r="J245" s="230"/>
      <c r="K245" s="230"/>
      <c r="L245" s="230">
        <f>SUMIF(data!$D:$D,INTGRATE!$B245&amp;INTGRATE!$D245,data!$K:$K)</f>
        <v>0</v>
      </c>
      <c r="M245" s="314"/>
      <c r="N245" s="100"/>
      <c r="O245" s="482"/>
      <c r="P245" s="230"/>
      <c r="Q245" s="350">
        <f t="shared" si="74"/>
        <v>0</v>
      </c>
      <c r="R245" s="205"/>
      <c r="S245" s="205"/>
      <c r="T245" s="345">
        <f t="shared" si="83"/>
        <v>0</v>
      </c>
      <c r="U245" s="875">
        <f t="shared" si="80"/>
        <v>0</v>
      </c>
      <c r="V245" s="876"/>
      <c r="W245" s="1186"/>
      <c r="X245" s="1186"/>
      <c r="Y245" s="863" t="str">
        <f>B245&amp;D245</f>
        <v>566FBigbag</v>
      </c>
      <c r="Z245" s="818">
        <v>366201</v>
      </c>
      <c r="AA245" s="350"/>
      <c r="AB245" s="314">
        <v>0</v>
      </c>
      <c r="AC245" s="314">
        <v>0</v>
      </c>
      <c r="AD245" s="314">
        <v>0</v>
      </c>
      <c r="AE245" s="314">
        <v>0</v>
      </c>
      <c r="AF245" s="314">
        <v>0</v>
      </c>
      <c r="AG245" s="314">
        <v>0</v>
      </c>
      <c r="AH245" s="314">
        <v>0</v>
      </c>
      <c r="AI245" s="314">
        <v>0</v>
      </c>
      <c r="AJ245" s="314"/>
      <c r="AK245" s="314"/>
      <c r="AL245" s="314"/>
      <c r="AM245" s="314"/>
      <c r="AN245" s="230"/>
      <c r="AO245" s="314"/>
      <c r="AP245" s="314"/>
      <c r="AQ245" s="230"/>
      <c r="AR245" s="314"/>
      <c r="AS245" s="314"/>
      <c r="AT245" s="314"/>
      <c r="AU245" s="314"/>
      <c r="AV245" s="314"/>
      <c r="AW245" s="314"/>
      <c r="AX245" s="314"/>
      <c r="AY245" s="314"/>
      <c r="AZ245" s="314"/>
      <c r="BA245" s="314"/>
      <c r="BB245" s="314"/>
      <c r="BC245" s="314"/>
      <c r="BD245" s="314"/>
      <c r="BE245" s="314"/>
      <c r="BF245" s="205">
        <f t="shared" si="82"/>
        <v>0</v>
      </c>
      <c r="BG245" s="786">
        <f t="shared" si="76"/>
        <v>0</v>
      </c>
      <c r="BH245" s="786">
        <f t="shared" si="77"/>
        <v>0</v>
      </c>
    </row>
    <row r="246" spans="1:60" s="295" customFormat="1">
      <c r="A246" s="287">
        <v>129</v>
      </c>
      <c r="B246" s="300" t="s">
        <v>443</v>
      </c>
      <c r="C246" s="301" t="s">
        <v>64</v>
      </c>
      <c r="D246" s="338" t="s">
        <v>66</v>
      </c>
      <c r="E246" s="316">
        <v>0</v>
      </c>
      <c r="F246" s="230">
        <f>SUMIF(data!$D:$D,INTGRATE!$B246&amp;INTGRATE!$D246,data!$K:$K)</f>
        <v>0</v>
      </c>
      <c r="G246" s="1185"/>
      <c r="H246" s="314"/>
      <c r="I246" s="230">
        <f>SUMIF(data!$D:$D,INTGRATE!$B246&amp;INTGRATE!$D246,data!$J:$J)</f>
        <v>0</v>
      </c>
      <c r="J246" s="230"/>
      <c r="K246" s="230"/>
      <c r="L246" s="230">
        <f>SUMIF(data!$D:$D,INTGRATE!$B246&amp;INTGRATE!$D246,data!$K:$K)</f>
        <v>0</v>
      </c>
      <c r="M246" s="314">
        <f>SUMIF(AJOUT!$A:$A,INTGRATE!$Y:$Y,AJOUT!$L:$L)</f>
        <v>0</v>
      </c>
      <c r="N246" s="100"/>
      <c r="O246" s="482">
        <v>0</v>
      </c>
      <c r="P246" s="230">
        <f t="shared" si="85"/>
        <v>0</v>
      </c>
      <c r="Q246" s="350">
        <f t="shared" si="74"/>
        <v>0</v>
      </c>
      <c r="R246" s="205"/>
      <c r="S246" s="205"/>
      <c r="T246" s="345">
        <f t="shared" si="83"/>
        <v>0</v>
      </c>
      <c r="U246" s="875">
        <f t="shared" si="80"/>
        <v>0</v>
      </c>
      <c r="V246" s="876"/>
      <c r="W246" s="1186"/>
      <c r="X246" s="1186"/>
      <c r="Y246" s="863" t="str">
        <f t="shared" si="81"/>
        <v>566FS34SILO</v>
      </c>
      <c r="Z246" s="818">
        <v>36630834</v>
      </c>
      <c r="AA246" s="350"/>
      <c r="AB246" s="314">
        <v>0</v>
      </c>
      <c r="AC246" s="314">
        <v>0</v>
      </c>
      <c r="AD246" s="314">
        <v>0</v>
      </c>
      <c r="AE246" s="314">
        <v>0</v>
      </c>
      <c r="AF246" s="314">
        <v>0</v>
      </c>
      <c r="AG246" s="314">
        <v>0</v>
      </c>
      <c r="AH246" s="314">
        <v>0</v>
      </c>
      <c r="AI246" s="314">
        <v>0</v>
      </c>
      <c r="AJ246" s="314"/>
      <c r="AK246" s="314"/>
      <c r="AL246" s="314"/>
      <c r="AM246" s="314"/>
      <c r="AN246" s="230"/>
      <c r="AO246" s="314"/>
      <c r="AP246" s="314"/>
      <c r="AQ246" s="230"/>
      <c r="AR246" s="314"/>
      <c r="AS246" s="314"/>
      <c r="AT246" s="314"/>
      <c r="AU246" s="314"/>
      <c r="AV246" s="314"/>
      <c r="AW246" s="314"/>
      <c r="AX246" s="314"/>
      <c r="AY246" s="314"/>
      <c r="AZ246" s="314"/>
      <c r="BA246" s="314"/>
      <c r="BB246" s="314"/>
      <c r="BC246" s="314"/>
      <c r="BD246" s="314"/>
      <c r="BE246" s="314"/>
      <c r="BF246" s="205">
        <f t="shared" si="82"/>
        <v>0</v>
      </c>
      <c r="BG246" s="786">
        <f t="shared" si="76"/>
        <v>0</v>
      </c>
      <c r="BH246" s="786">
        <f t="shared" si="77"/>
        <v>0</v>
      </c>
    </row>
    <row r="247" spans="1:60" s="295" customFormat="1">
      <c r="A247" s="287">
        <v>130</v>
      </c>
      <c r="B247" s="300" t="s">
        <v>421</v>
      </c>
      <c r="C247" s="301" t="s">
        <v>64</v>
      </c>
      <c r="D247" s="338" t="s">
        <v>66</v>
      </c>
      <c r="E247" s="316"/>
      <c r="F247" s="230">
        <f>SUMIF(data!$D:$D,INTGRATE!$B247&amp;INTGRATE!$D247,data!$K:$K)</f>
        <v>0</v>
      </c>
      <c r="G247" s="1185"/>
      <c r="H247" s="314"/>
      <c r="I247" s="230"/>
      <c r="J247" s="230"/>
      <c r="K247" s="230"/>
      <c r="L247" s="230">
        <f>SUMIF(data!$D:$D,INTGRATE!$B247&amp;INTGRATE!$D247,data!$K:$K)</f>
        <v>0</v>
      </c>
      <c r="M247" s="314"/>
      <c r="N247" s="100"/>
      <c r="O247" s="482"/>
      <c r="P247" s="230"/>
      <c r="Q247" s="350">
        <f t="shared" si="74"/>
        <v>0</v>
      </c>
      <c r="R247" s="205"/>
      <c r="S247" s="205"/>
      <c r="T247" s="345">
        <f t="shared" si="83"/>
        <v>0</v>
      </c>
      <c r="U247" s="875">
        <f t="shared" si="80"/>
        <v>0</v>
      </c>
      <c r="V247" s="876"/>
      <c r="W247" s="1186"/>
      <c r="X247" s="1186"/>
      <c r="Y247" s="863" t="str">
        <f t="shared" si="81"/>
        <v>566FS25SILO</v>
      </c>
      <c r="Z247" s="818">
        <v>36630825</v>
      </c>
      <c r="AA247" s="350"/>
      <c r="AB247" s="314">
        <v>0</v>
      </c>
      <c r="AC247" s="314">
        <v>0</v>
      </c>
      <c r="AD247" s="314">
        <v>0</v>
      </c>
      <c r="AE247" s="314">
        <v>0</v>
      </c>
      <c r="AF247" s="314">
        <v>0</v>
      </c>
      <c r="AG247" s="314">
        <v>0</v>
      </c>
      <c r="AH247" s="314">
        <v>0</v>
      </c>
      <c r="AI247" s="314">
        <v>0</v>
      </c>
      <c r="AJ247" s="314"/>
      <c r="AK247" s="314"/>
      <c r="AL247" s="314"/>
      <c r="AM247" s="314"/>
      <c r="AN247" s="230"/>
      <c r="AO247" s="314"/>
      <c r="AP247" s="314"/>
      <c r="AQ247" s="230"/>
      <c r="AR247" s="314"/>
      <c r="AS247" s="314"/>
      <c r="AT247" s="314"/>
      <c r="AU247" s="314"/>
      <c r="AV247" s="314"/>
      <c r="AW247" s="314"/>
      <c r="AX247" s="314"/>
      <c r="AY247" s="314"/>
      <c r="AZ247" s="314"/>
      <c r="BA247" s="314"/>
      <c r="BB247" s="314"/>
      <c r="BC247" s="314"/>
      <c r="BD247" s="314"/>
      <c r="BE247" s="314"/>
      <c r="BF247" s="205">
        <f t="shared" si="82"/>
        <v>0</v>
      </c>
      <c r="BG247" s="786">
        <f t="shared" si="76"/>
        <v>0</v>
      </c>
      <c r="BH247" s="786">
        <f t="shared" si="77"/>
        <v>0</v>
      </c>
    </row>
    <row r="248" spans="1:60" s="295" customFormat="1">
      <c r="A248" s="287">
        <v>131</v>
      </c>
      <c r="B248" s="300" t="s">
        <v>422</v>
      </c>
      <c r="C248" s="301" t="s">
        <v>64</v>
      </c>
      <c r="D248" s="338" t="s">
        <v>66</v>
      </c>
      <c r="E248" s="316"/>
      <c r="F248" s="230">
        <f>SUMIF(data!$D:$D,INTGRATE!$B248&amp;INTGRATE!$D248,data!$K:$K)</f>
        <v>0</v>
      </c>
      <c r="G248" s="1185"/>
      <c r="H248" s="314"/>
      <c r="I248" s="230">
        <f>SUMIF(data!$D:$D,INTGRATE!$B248&amp;INTGRATE!$D248,data!$J:$J)</f>
        <v>0</v>
      </c>
      <c r="J248" s="230"/>
      <c r="K248" s="230"/>
      <c r="L248" s="230">
        <f>SUMIF(data!$D:$D,INTGRATE!$B248&amp;INTGRATE!$D248,data!$K:$K)</f>
        <v>0</v>
      </c>
      <c r="M248" s="314">
        <f>SUMIF(AJOUT!$A:$A,INTGRATE!$Y:$Y,AJOUT!$L:$L)</f>
        <v>0</v>
      </c>
      <c r="N248" s="100"/>
      <c r="O248" s="482"/>
      <c r="P248" s="230">
        <f t="shared" si="85"/>
        <v>0</v>
      </c>
      <c r="Q248" s="350">
        <f t="shared" ref="Q248:Q260" si="86">SUM(AA248:BE248)</f>
        <v>57340</v>
      </c>
      <c r="R248" s="205"/>
      <c r="S248" s="205"/>
      <c r="T248" s="345">
        <f t="shared" ref="T248:T260" si="87">Q248/$N$293</f>
        <v>6371.1111111111113</v>
      </c>
      <c r="U248" s="875">
        <f t="shared" si="80"/>
        <v>0</v>
      </c>
      <c r="V248" s="876"/>
      <c r="W248" s="1186"/>
      <c r="X248" s="1186"/>
      <c r="Y248" s="863" t="str">
        <f t="shared" si="81"/>
        <v>566FS31SILO</v>
      </c>
      <c r="Z248" s="818">
        <v>36630831</v>
      </c>
      <c r="AA248" s="350"/>
      <c r="AB248" s="314">
        <v>57340</v>
      </c>
      <c r="AC248" s="314">
        <v>0</v>
      </c>
      <c r="AD248" s="314">
        <v>0</v>
      </c>
      <c r="AE248" s="314">
        <v>0</v>
      </c>
      <c r="AF248" s="314">
        <v>0</v>
      </c>
      <c r="AG248" s="314">
        <v>0</v>
      </c>
      <c r="AH248" s="314">
        <v>0</v>
      </c>
      <c r="AI248" s="314">
        <v>0</v>
      </c>
      <c r="AJ248" s="314"/>
      <c r="AK248" s="314"/>
      <c r="AL248" s="314"/>
      <c r="AM248" s="314"/>
      <c r="AN248" s="230"/>
      <c r="AO248" s="314"/>
      <c r="AP248" s="314"/>
      <c r="AQ248" s="230"/>
      <c r="AR248" s="314"/>
      <c r="AS248" s="314"/>
      <c r="AT248" s="314"/>
      <c r="AU248" s="314"/>
      <c r="AV248" s="314"/>
      <c r="AW248" s="314"/>
      <c r="AX248" s="314"/>
      <c r="AY248" s="314"/>
      <c r="AZ248" s="314"/>
      <c r="BA248" s="314"/>
      <c r="BB248" s="314"/>
      <c r="BC248" s="314"/>
      <c r="BD248" s="314"/>
      <c r="BE248" s="314"/>
      <c r="BF248" s="205">
        <f t="shared" si="82"/>
        <v>57340</v>
      </c>
      <c r="BG248" s="786">
        <f t="shared" si="76"/>
        <v>1</v>
      </c>
      <c r="BH248" s="786">
        <f t="shared" si="77"/>
        <v>57340</v>
      </c>
    </row>
    <row r="249" spans="1:60" s="295" customFormat="1">
      <c r="A249" s="287">
        <v>132</v>
      </c>
      <c r="B249" s="300" t="s">
        <v>425</v>
      </c>
      <c r="C249" s="301" t="s">
        <v>64</v>
      </c>
      <c r="D249" s="338" t="s">
        <v>66</v>
      </c>
      <c r="E249" s="316"/>
      <c r="F249" s="230">
        <f>SUMIF(data!$D:$D,INTGRATE!$B249&amp;INTGRATE!$D249,data!$K:$K)</f>
        <v>0</v>
      </c>
      <c r="G249" s="1185"/>
      <c r="H249" s="314"/>
      <c r="I249" s="230">
        <f>SUMIF(data!$D:$D,INTGRATE!$B249&amp;INTGRATE!$D249,data!$J:$J)</f>
        <v>0</v>
      </c>
      <c r="J249" s="230"/>
      <c r="K249" s="230"/>
      <c r="L249" s="230">
        <f>SUMIF(data!$D:$D,INTGRATE!$B249&amp;INTGRATE!$D249,data!$K:$K)</f>
        <v>0</v>
      </c>
      <c r="M249" s="314">
        <f>SUMIF(AJOUT!$A:$A,INTGRATE!$Y:$Y,AJOUT!$L:$L)</f>
        <v>0</v>
      </c>
      <c r="N249" s="100"/>
      <c r="O249" s="482"/>
      <c r="P249" s="230"/>
      <c r="Q249" s="350">
        <f t="shared" si="86"/>
        <v>0</v>
      </c>
      <c r="R249" s="205"/>
      <c r="S249" s="205"/>
      <c r="T249" s="345">
        <f t="shared" si="87"/>
        <v>0</v>
      </c>
      <c r="U249" s="875">
        <f t="shared" si="80"/>
        <v>0</v>
      </c>
      <c r="V249" s="876"/>
      <c r="W249" s="1186"/>
      <c r="X249" s="1186"/>
      <c r="Y249" s="863" t="str">
        <f>B249&amp;D249</f>
        <v>566FS90SILO</v>
      </c>
      <c r="Z249" s="818">
        <v>36630890</v>
      </c>
      <c r="AA249" s="350"/>
      <c r="AB249" s="314">
        <v>0</v>
      </c>
      <c r="AC249" s="314">
        <v>0</v>
      </c>
      <c r="AD249" s="314">
        <v>0</v>
      </c>
      <c r="AE249" s="314">
        <v>0</v>
      </c>
      <c r="AF249" s="314">
        <v>0</v>
      </c>
      <c r="AG249" s="314">
        <v>0</v>
      </c>
      <c r="AH249" s="314">
        <v>0</v>
      </c>
      <c r="AI249" s="314">
        <v>0</v>
      </c>
      <c r="AJ249" s="314"/>
      <c r="AK249" s="314"/>
      <c r="AL249" s="314"/>
      <c r="AM249" s="314"/>
      <c r="AN249" s="230"/>
      <c r="AO249" s="314"/>
      <c r="AP249" s="314"/>
      <c r="AQ249" s="230"/>
      <c r="AR249" s="314"/>
      <c r="AS249" s="314"/>
      <c r="AT249" s="314"/>
      <c r="AU249" s="314"/>
      <c r="AV249" s="314"/>
      <c r="AW249" s="314"/>
      <c r="AX249" s="314"/>
      <c r="AY249" s="314"/>
      <c r="AZ249" s="314"/>
      <c r="BA249" s="314"/>
      <c r="BB249" s="314"/>
      <c r="BC249" s="314"/>
      <c r="BD249" s="314"/>
      <c r="BE249" s="314"/>
      <c r="BF249" s="205">
        <f t="shared" si="82"/>
        <v>0</v>
      </c>
      <c r="BG249" s="786">
        <f t="shared" ref="BG249:BG261" si="88">COUNTIF(AA249:BE249,"&gt;0")</f>
        <v>0</v>
      </c>
      <c r="BH249" s="786">
        <f t="shared" ref="BH249:BH261" si="89">IFERROR(BF249/BG249,0)</f>
        <v>0</v>
      </c>
    </row>
    <row r="250" spans="1:60" s="295" customFormat="1">
      <c r="A250" s="287">
        <v>133</v>
      </c>
      <c r="B250" s="300" t="s">
        <v>424</v>
      </c>
      <c r="C250" s="301" t="s">
        <v>64</v>
      </c>
      <c r="D250" s="338" t="s">
        <v>66</v>
      </c>
      <c r="E250" s="316">
        <v>0</v>
      </c>
      <c r="F250" s="230">
        <f>SUMIF(data!$D:$D,INTGRATE!$B250&amp;INTGRATE!$D250,data!$K:$K)</f>
        <v>0</v>
      </c>
      <c r="G250" s="1185"/>
      <c r="H250" s="314">
        <f>SUMIF(CBIN!$A:$A,INTGRATE!$Y:$Y,CBIN!$G:$G)</f>
        <v>0</v>
      </c>
      <c r="I250" s="230">
        <f>SUMIF(data!$D:$D,INTGRATE!$B250&amp;INTGRATE!$D250,data!$J:$J)</f>
        <v>0</v>
      </c>
      <c r="J250" s="230"/>
      <c r="K250" s="230"/>
      <c r="L250" s="230">
        <f>SUMIF(data!$D:$D,INTGRATE!$B250&amp;INTGRATE!$D250,data!$K:$K)</f>
        <v>0</v>
      </c>
      <c r="M250" s="314">
        <f>SUMIF(AJOUT!$A:$A,INTGRATE!$Y:$Y,AJOUT!$L:$L)</f>
        <v>0</v>
      </c>
      <c r="N250" s="100">
        <f>SUMIF(CBOUT!$A:$A,INTGRATE!$Y:$Y,CBOUT!$G:$G)</f>
        <v>0</v>
      </c>
      <c r="O250" s="482">
        <v>0</v>
      </c>
      <c r="P250" s="230">
        <f t="shared" si="85"/>
        <v>0</v>
      </c>
      <c r="Q250" s="350">
        <f t="shared" si="86"/>
        <v>0</v>
      </c>
      <c r="R250" s="205"/>
      <c r="S250" s="205"/>
      <c r="T250" s="345">
        <f t="shared" si="87"/>
        <v>0</v>
      </c>
      <c r="U250" s="875">
        <f t="shared" si="80"/>
        <v>0</v>
      </c>
      <c r="V250" s="876"/>
      <c r="W250" s="1186"/>
      <c r="X250" s="1186"/>
      <c r="Y250" s="863" t="str">
        <f t="shared" si="81"/>
        <v>566FS72SILO</v>
      </c>
      <c r="Z250" s="818">
        <v>36630172</v>
      </c>
      <c r="AA250" s="350"/>
      <c r="AB250" s="314">
        <v>0</v>
      </c>
      <c r="AC250" s="314">
        <v>0</v>
      </c>
      <c r="AD250" s="314">
        <v>0</v>
      </c>
      <c r="AE250" s="314">
        <v>0</v>
      </c>
      <c r="AF250" s="314">
        <v>0</v>
      </c>
      <c r="AG250" s="314">
        <v>0</v>
      </c>
      <c r="AH250" s="314">
        <v>0</v>
      </c>
      <c r="AI250" s="314">
        <v>0</v>
      </c>
      <c r="AJ250" s="314"/>
      <c r="AK250" s="314"/>
      <c r="AL250" s="314"/>
      <c r="AM250" s="314"/>
      <c r="AN250" s="230"/>
      <c r="AO250" s="314"/>
      <c r="AP250" s="314"/>
      <c r="AQ250" s="230"/>
      <c r="AR250" s="314"/>
      <c r="AS250" s="314"/>
      <c r="AT250" s="314"/>
      <c r="AU250" s="314"/>
      <c r="AV250" s="314"/>
      <c r="AW250" s="314"/>
      <c r="AX250" s="314"/>
      <c r="AY250" s="314"/>
      <c r="AZ250" s="314"/>
      <c r="BA250" s="314"/>
      <c r="BB250" s="314"/>
      <c r="BC250" s="314"/>
      <c r="BD250" s="314"/>
      <c r="BE250" s="314"/>
      <c r="BF250" s="205">
        <f t="shared" si="82"/>
        <v>0</v>
      </c>
      <c r="BG250" s="786">
        <f t="shared" si="88"/>
        <v>0</v>
      </c>
      <c r="BH250" s="786">
        <f t="shared" si="89"/>
        <v>0</v>
      </c>
    </row>
    <row r="251" spans="1:60" s="295" customFormat="1">
      <c r="A251" s="287">
        <v>134</v>
      </c>
      <c r="B251" s="300" t="s">
        <v>426</v>
      </c>
      <c r="C251" s="301" t="s">
        <v>64</v>
      </c>
      <c r="D251" s="339" t="s">
        <v>66</v>
      </c>
      <c r="E251" s="316">
        <v>0</v>
      </c>
      <c r="F251" s="230">
        <f>SUMIF(data!$D:$D,INTGRATE!$B251&amp;INTGRATE!$D251,data!$K:$K)</f>
        <v>0</v>
      </c>
      <c r="G251" s="1185"/>
      <c r="H251" s="314">
        <f>SUMIF(CBIN!$A:$A,INTGRATE!$Y:$Y,CBIN!$G:$G)</f>
        <v>0</v>
      </c>
      <c r="I251" s="230">
        <f>SUMIF(data!$D:$D,INTGRATE!$B251&amp;INTGRATE!$D251,data!$J:$J)</f>
        <v>0</v>
      </c>
      <c r="J251" s="230"/>
      <c r="K251" s="230"/>
      <c r="L251" s="230">
        <f>SUMIF(data!$D:$D,INTGRATE!$B251&amp;INTGRATE!$D251,data!$K:$K)</f>
        <v>0</v>
      </c>
      <c r="M251" s="314">
        <f>SUMIF(AJOUT!$A:$A,INTGRATE!$Y:$Y,AJOUT!$L:$L)</f>
        <v>0</v>
      </c>
      <c r="N251" s="100">
        <f>SUMIF(CBOUT!$A:$A,INTGRATE!$Y:$Y,CBOUT!$G:$G)</f>
        <v>0</v>
      </c>
      <c r="O251" s="482">
        <v>0</v>
      </c>
      <c r="P251" s="230">
        <f t="shared" si="85"/>
        <v>0</v>
      </c>
      <c r="Q251" s="350">
        <f t="shared" si="86"/>
        <v>475000</v>
      </c>
      <c r="R251" s="205"/>
      <c r="S251" s="205"/>
      <c r="T251" s="345">
        <f t="shared" si="87"/>
        <v>52777.777777777781</v>
      </c>
      <c r="U251" s="875">
        <f t="shared" si="80"/>
        <v>0</v>
      </c>
      <c r="V251" s="876"/>
      <c r="W251" s="1186"/>
      <c r="X251" s="1186"/>
      <c r="Y251" s="863" t="str">
        <f t="shared" si="81"/>
        <v>567SFSILO</v>
      </c>
      <c r="Z251" s="818" t="s">
        <v>444</v>
      </c>
      <c r="AA251" s="350"/>
      <c r="AB251" s="314">
        <v>0</v>
      </c>
      <c r="AC251" s="314">
        <v>0</v>
      </c>
      <c r="AD251" s="314">
        <v>60960</v>
      </c>
      <c r="AE251" s="314">
        <v>72570</v>
      </c>
      <c r="AF251" s="314">
        <v>88220</v>
      </c>
      <c r="AG251" s="314">
        <v>145140</v>
      </c>
      <c r="AH251" s="314">
        <v>50630</v>
      </c>
      <c r="AI251" s="314">
        <v>57480</v>
      </c>
      <c r="AJ251" s="314"/>
      <c r="AK251" s="314"/>
      <c r="AL251" s="314"/>
      <c r="AM251" s="314"/>
      <c r="AN251" s="230"/>
      <c r="AO251" s="314"/>
      <c r="AP251" s="314"/>
      <c r="AQ251" s="230"/>
      <c r="AR251" s="314"/>
      <c r="AS251" s="314"/>
      <c r="AT251" s="314"/>
      <c r="AU251" s="314"/>
      <c r="AV251" s="314"/>
      <c r="AW251" s="314"/>
      <c r="AX251" s="314"/>
      <c r="AY251" s="314"/>
      <c r="AZ251" s="314"/>
      <c r="BA251" s="314"/>
      <c r="BB251" s="314"/>
      <c r="BC251" s="314"/>
      <c r="BD251" s="314"/>
      <c r="BE251" s="314"/>
      <c r="BF251" s="205">
        <f t="shared" si="82"/>
        <v>475000</v>
      </c>
      <c r="BG251" s="786">
        <f t="shared" si="88"/>
        <v>6</v>
      </c>
      <c r="BH251" s="786">
        <f t="shared" si="89"/>
        <v>79166.666666666672</v>
      </c>
    </row>
    <row r="252" spans="1:60" s="295" customFormat="1">
      <c r="A252" s="287">
        <v>135</v>
      </c>
      <c r="B252" s="300" t="s">
        <v>426</v>
      </c>
      <c r="C252" s="301" t="s">
        <v>64</v>
      </c>
      <c r="D252" s="643" t="s">
        <v>437</v>
      </c>
      <c r="E252" s="316"/>
      <c r="F252" s="230">
        <f>SUMIF(data!$D:$D,INTGRATE!$B252&amp;INTGRATE!$D252,data!$K:$K)</f>
        <v>0</v>
      </c>
      <c r="G252" s="1185"/>
      <c r="H252" s="314">
        <f>SUMIF(CBIN!$A:$A,INTGRATE!$Y:$Y,CBIN!$G:$G)</f>
        <v>0</v>
      </c>
      <c r="I252" s="230">
        <f>SUMIF(data!$D:$D,INTGRATE!$B252&amp;INTGRATE!$D252,data!$J:$J)</f>
        <v>0</v>
      </c>
      <c r="J252" s="230"/>
      <c r="K252" s="230"/>
      <c r="L252" s="230">
        <f>SUMIF(data!$D:$D,INTGRATE!$B252&amp;INTGRATE!$D252,data!$K:$K)</f>
        <v>0</v>
      </c>
      <c r="M252" s="314">
        <f>SUMIF(AJOUT!$A:$A,INTGRATE!$Y:$Y,AJOUT!$L:$L)</f>
        <v>0</v>
      </c>
      <c r="N252" s="100">
        <f>SUMIF(CBOUT!$A:$A,INTGRATE!$Y:$Y,CBOUT!$G:$G)</f>
        <v>0</v>
      </c>
      <c r="O252" s="482"/>
      <c r="P252" s="230"/>
      <c r="Q252" s="350">
        <f t="shared" si="86"/>
        <v>0</v>
      </c>
      <c r="R252" s="205"/>
      <c r="S252" s="205"/>
      <c r="T252" s="345">
        <f t="shared" si="87"/>
        <v>0</v>
      </c>
      <c r="U252" s="875">
        <f t="shared" si="80"/>
        <v>0</v>
      </c>
      <c r="V252" s="876"/>
      <c r="W252" s="1186"/>
      <c r="X252" s="1186"/>
      <c r="Y252" s="863" t="str">
        <f>B252&amp;D252</f>
        <v>567SFBigbag</v>
      </c>
      <c r="Z252" s="818">
        <v>367101</v>
      </c>
      <c r="AA252" s="350"/>
      <c r="AB252" s="314">
        <v>0</v>
      </c>
      <c r="AC252" s="314">
        <v>0</v>
      </c>
      <c r="AD252" s="314">
        <v>0</v>
      </c>
      <c r="AE252" s="314">
        <v>0</v>
      </c>
      <c r="AF252" s="314">
        <v>0</v>
      </c>
      <c r="AG252" s="314">
        <v>0</v>
      </c>
      <c r="AH252" s="314">
        <v>0</v>
      </c>
      <c r="AI252" s="314">
        <v>0</v>
      </c>
      <c r="AJ252" s="314"/>
      <c r="AK252" s="314"/>
      <c r="AL252" s="314"/>
      <c r="AM252" s="314"/>
      <c r="AN252" s="230"/>
      <c r="AO252" s="314"/>
      <c r="AP252" s="314"/>
      <c r="AQ252" s="230"/>
      <c r="AR252" s="314"/>
      <c r="AS252" s="314"/>
      <c r="AT252" s="314"/>
      <c r="AU252" s="314"/>
      <c r="AV252" s="314"/>
      <c r="AW252" s="314"/>
      <c r="AX252" s="314"/>
      <c r="AY252" s="314"/>
      <c r="AZ252" s="314"/>
      <c r="BA252" s="314"/>
      <c r="BB252" s="314"/>
      <c r="BC252" s="314"/>
      <c r="BD252" s="314"/>
      <c r="BE252" s="314"/>
      <c r="BF252" s="205">
        <f t="shared" si="82"/>
        <v>0</v>
      </c>
      <c r="BG252" s="786">
        <f t="shared" si="88"/>
        <v>0</v>
      </c>
      <c r="BH252" s="786">
        <f t="shared" si="89"/>
        <v>0</v>
      </c>
    </row>
    <row r="253" spans="1:60" s="295" customFormat="1">
      <c r="A253" s="287">
        <v>136</v>
      </c>
      <c r="B253" s="300" t="s">
        <v>428</v>
      </c>
      <c r="C253" s="301" t="s">
        <v>64</v>
      </c>
      <c r="D253" s="339" t="s">
        <v>66</v>
      </c>
      <c r="E253" s="316"/>
      <c r="F253" s="230">
        <f>SUMIF(data!$D:$D,INTGRATE!$B253&amp;INTGRATE!$D253,data!$K:$K)</f>
        <v>0</v>
      </c>
      <c r="G253" s="1185"/>
      <c r="H253" s="314">
        <f>SUMIF(CBIN!$A:$A,INTGRATE!$Y:$Y,CBIN!$G:$G)</f>
        <v>0</v>
      </c>
      <c r="I253" s="230">
        <f>SUMIF(data!$D:$D,INTGRATE!$B253&amp;INTGRATE!$D253,data!$J:$J)</f>
        <v>0</v>
      </c>
      <c r="J253" s="230"/>
      <c r="K253" s="230"/>
      <c r="L253" s="230">
        <f>SUMIF(data!$D:$D,INTGRATE!$B253&amp;INTGRATE!$D253,data!$K:$K)</f>
        <v>0</v>
      </c>
      <c r="M253" s="314">
        <f>SUMIF(AJOUT!$A:$A,INTGRATE!$Y:$Y,AJOUT!$L:$L)</f>
        <v>0</v>
      </c>
      <c r="N253" s="100">
        <f>SUMIF(CBOUT!$A:$A,INTGRATE!$Y:$Y,CBOUT!$G:$G)</f>
        <v>0</v>
      </c>
      <c r="O253" s="482"/>
      <c r="P253" s="230"/>
      <c r="Q253" s="350">
        <f t="shared" si="86"/>
        <v>115010</v>
      </c>
      <c r="R253" s="205"/>
      <c r="S253" s="205"/>
      <c r="T253" s="345">
        <f t="shared" si="87"/>
        <v>12778.888888888889</v>
      </c>
      <c r="U253" s="875">
        <f t="shared" si="80"/>
        <v>0</v>
      </c>
      <c r="V253" s="876"/>
      <c r="W253" s="1186"/>
      <c r="X253" s="1186"/>
      <c r="Y253" s="863" t="str">
        <f>B253&amp;D253</f>
        <v>567SFS31SILO</v>
      </c>
      <c r="Z253" s="818">
        <v>36730831</v>
      </c>
      <c r="AA253" s="350"/>
      <c r="AB253" s="314">
        <v>71500</v>
      </c>
      <c r="AC253" s="314">
        <v>43510</v>
      </c>
      <c r="AD253" s="314">
        <v>0</v>
      </c>
      <c r="AE253" s="314">
        <v>0</v>
      </c>
      <c r="AF253" s="314">
        <v>0</v>
      </c>
      <c r="AG253" s="314">
        <v>0</v>
      </c>
      <c r="AH253" s="314">
        <v>0</v>
      </c>
      <c r="AI253" s="314">
        <v>0</v>
      </c>
      <c r="AJ253" s="314"/>
      <c r="AK253" s="314"/>
      <c r="AL253" s="314"/>
      <c r="AM253" s="314"/>
      <c r="AN253" s="230"/>
      <c r="AO253" s="314"/>
      <c r="AP253" s="314"/>
      <c r="AQ253" s="230"/>
      <c r="AR253" s="314"/>
      <c r="AS253" s="314"/>
      <c r="AT253" s="314"/>
      <c r="AU253" s="314"/>
      <c r="AV253" s="314"/>
      <c r="AW253" s="314"/>
      <c r="AX253" s="314"/>
      <c r="AY253" s="314"/>
      <c r="AZ253" s="314"/>
      <c r="BA253" s="314"/>
      <c r="BB253" s="314"/>
      <c r="BC253" s="314"/>
      <c r="BD253" s="314"/>
      <c r="BE253" s="314"/>
      <c r="BF253" s="205">
        <f t="shared" si="82"/>
        <v>115010</v>
      </c>
      <c r="BG253" s="786">
        <f t="shared" si="88"/>
        <v>2</v>
      </c>
      <c r="BH253" s="786">
        <f t="shared" si="89"/>
        <v>57505</v>
      </c>
    </row>
    <row r="254" spans="1:60" s="295" customFormat="1">
      <c r="A254" s="287">
        <v>137</v>
      </c>
      <c r="B254" s="300" t="s">
        <v>429</v>
      </c>
      <c r="C254" s="301" t="s">
        <v>64</v>
      </c>
      <c r="D254" s="339" t="s">
        <v>66</v>
      </c>
      <c r="E254" s="316"/>
      <c r="F254" s="230">
        <f>SUMIF(data!$D:$D,INTGRATE!$B254&amp;INTGRATE!$D254,data!$K:$K)</f>
        <v>0</v>
      </c>
      <c r="G254" s="1185"/>
      <c r="H254" s="314"/>
      <c r="I254" s="230"/>
      <c r="J254" s="230"/>
      <c r="K254" s="230"/>
      <c r="L254" s="230">
        <f>SUMIF(data!$D:$D,INTGRATE!$B254&amp;INTGRATE!$D254,data!$K:$K)</f>
        <v>0</v>
      </c>
      <c r="M254" s="314"/>
      <c r="N254" s="100"/>
      <c r="O254" s="482"/>
      <c r="P254" s="230"/>
      <c r="Q254" s="350">
        <f t="shared" si="86"/>
        <v>41020</v>
      </c>
      <c r="R254" s="205"/>
      <c r="S254" s="205"/>
      <c r="T254" s="345">
        <f t="shared" si="87"/>
        <v>4557.7777777777774</v>
      </c>
      <c r="U254" s="875">
        <f t="shared" si="80"/>
        <v>0</v>
      </c>
      <c r="V254" s="876"/>
      <c r="W254" s="1186"/>
      <c r="X254" s="1186"/>
      <c r="Y254" s="863" t="str">
        <f>B254&amp;D254</f>
        <v>567SFS25SILO</v>
      </c>
      <c r="Z254" s="818">
        <v>36730825</v>
      </c>
      <c r="AA254" s="350"/>
      <c r="AB254" s="314">
        <v>27470</v>
      </c>
      <c r="AC254" s="314">
        <v>13550</v>
      </c>
      <c r="AD254" s="314">
        <v>0</v>
      </c>
      <c r="AE254" s="314">
        <v>0</v>
      </c>
      <c r="AF254" s="314">
        <v>0</v>
      </c>
      <c r="AG254" s="314">
        <v>0</v>
      </c>
      <c r="AH254" s="314">
        <v>0</v>
      </c>
      <c r="AI254" s="314">
        <v>0</v>
      </c>
      <c r="AJ254" s="314"/>
      <c r="AK254" s="314"/>
      <c r="AL254" s="314"/>
      <c r="AM254" s="314"/>
      <c r="AN254" s="230"/>
      <c r="AO254" s="314"/>
      <c r="AP254" s="314"/>
      <c r="AQ254" s="230"/>
      <c r="AR254" s="314"/>
      <c r="AS254" s="314"/>
      <c r="AT254" s="314"/>
      <c r="AU254" s="314"/>
      <c r="AV254" s="314"/>
      <c r="AW254" s="314"/>
      <c r="AX254" s="314"/>
      <c r="AY254" s="314"/>
      <c r="AZ254" s="314"/>
      <c r="BA254" s="314"/>
      <c r="BB254" s="314"/>
      <c r="BC254" s="314"/>
      <c r="BD254" s="314"/>
      <c r="BE254" s="314"/>
      <c r="BF254" s="205">
        <f t="shared" si="82"/>
        <v>41020</v>
      </c>
      <c r="BG254" s="786">
        <f t="shared" si="88"/>
        <v>2</v>
      </c>
      <c r="BH254" s="786">
        <f t="shared" si="89"/>
        <v>20510</v>
      </c>
    </row>
    <row r="255" spans="1:60" s="295" customFormat="1">
      <c r="A255" s="287">
        <v>138</v>
      </c>
      <c r="B255" s="300" t="s">
        <v>430</v>
      </c>
      <c r="C255" s="301" t="s">
        <v>64</v>
      </c>
      <c r="D255" s="339" t="s">
        <v>66</v>
      </c>
      <c r="E255" s="316"/>
      <c r="F255" s="230">
        <f>SUMIF(data!$D:$D,INTGRATE!$B255&amp;INTGRATE!$D255,data!$K:$K)</f>
        <v>0</v>
      </c>
      <c r="G255" s="1185"/>
      <c r="H255" s="314">
        <f>SUMIF(CBIN!$A:$A,INTGRATE!$Y:$Y,CBIN!$G:$G)</f>
        <v>0</v>
      </c>
      <c r="I255" s="230">
        <f>SUMIF(data!$D:$D,INTGRATE!$B255&amp;INTGRATE!$D255,data!$J:$J)</f>
        <v>0</v>
      </c>
      <c r="J255" s="230"/>
      <c r="K255" s="230"/>
      <c r="L255" s="230">
        <f>SUMIF(data!$D:$D,INTGRATE!$B255&amp;INTGRATE!$D255,data!$K:$K)</f>
        <v>0</v>
      </c>
      <c r="M255" s="314">
        <f>SUMIF(AJOUT!$A:$A,INTGRATE!$Y:$Y,AJOUT!$L:$L)</f>
        <v>0</v>
      </c>
      <c r="N255" s="100">
        <f>SUMIF(CBOUT!$A:$A,INTGRATE!$Y:$Y,CBOUT!$G:$G)</f>
        <v>0</v>
      </c>
      <c r="O255" s="482"/>
      <c r="P255" s="230"/>
      <c r="Q255" s="350">
        <f t="shared" si="86"/>
        <v>0</v>
      </c>
      <c r="R255" s="205"/>
      <c r="S255" s="205"/>
      <c r="T255" s="345">
        <f t="shared" si="87"/>
        <v>0</v>
      </c>
      <c r="U255" s="875">
        <f t="shared" si="80"/>
        <v>0</v>
      </c>
      <c r="V255" s="876"/>
      <c r="W255" s="1186"/>
      <c r="X255" s="1186"/>
      <c r="Y255" s="863" t="str">
        <f t="shared" si="81"/>
        <v>567SFS49SILO</v>
      </c>
      <c r="Z255" s="818">
        <v>36730849</v>
      </c>
      <c r="AA255" s="350"/>
      <c r="AB255" s="314">
        <v>0</v>
      </c>
      <c r="AC255" s="314">
        <v>0</v>
      </c>
      <c r="AD255" s="314">
        <v>0</v>
      </c>
      <c r="AE255" s="314">
        <v>0</v>
      </c>
      <c r="AF255" s="314">
        <v>0</v>
      </c>
      <c r="AG255" s="314">
        <v>0</v>
      </c>
      <c r="AH255" s="314">
        <v>0</v>
      </c>
      <c r="AI255" s="314">
        <v>0</v>
      </c>
      <c r="AJ255" s="314"/>
      <c r="AK255" s="314"/>
      <c r="AL255" s="314"/>
      <c r="AM255" s="314"/>
      <c r="AN255" s="230"/>
      <c r="AO255" s="314"/>
      <c r="AP255" s="314"/>
      <c r="AQ255" s="230"/>
      <c r="AR255" s="314"/>
      <c r="AS255" s="314"/>
      <c r="AT255" s="314"/>
      <c r="AU255" s="314"/>
      <c r="AV255" s="314"/>
      <c r="AW255" s="314"/>
      <c r="AX255" s="314"/>
      <c r="AY255" s="314"/>
      <c r="AZ255" s="314"/>
      <c r="BA255" s="314"/>
      <c r="BB255" s="314"/>
      <c r="BC255" s="314"/>
      <c r="BD255" s="314"/>
      <c r="BE255" s="314"/>
      <c r="BF255" s="205">
        <f t="shared" si="82"/>
        <v>0</v>
      </c>
      <c r="BG255" s="786">
        <f t="shared" si="88"/>
        <v>0</v>
      </c>
      <c r="BH255" s="786">
        <f t="shared" si="89"/>
        <v>0</v>
      </c>
    </row>
    <row r="256" spans="1:60" s="295" customFormat="1">
      <c r="A256" s="287">
        <v>139</v>
      </c>
      <c r="B256" s="300" t="s">
        <v>431</v>
      </c>
      <c r="C256" s="301" t="s">
        <v>64</v>
      </c>
      <c r="D256" s="339" t="s">
        <v>66</v>
      </c>
      <c r="E256" s="316"/>
      <c r="F256" s="230">
        <f>SUMIF(data!$D:$D,INTGRATE!$B256&amp;INTGRATE!$D256,data!$K:$K)</f>
        <v>0</v>
      </c>
      <c r="G256" s="1185"/>
      <c r="H256" s="314">
        <f>SUMIF(CBIN!$A:$A,INTGRATE!$Y:$Y,CBIN!$G:$G)</f>
        <v>0</v>
      </c>
      <c r="I256" s="230">
        <f>SUMIF(data!$D:$D,INTGRATE!$B256&amp;INTGRATE!$D256,data!$J:$J)</f>
        <v>0</v>
      </c>
      <c r="J256" s="230"/>
      <c r="K256" s="230"/>
      <c r="L256" s="230">
        <f>SUMIF(data!$D:$D,INTGRATE!$B256&amp;INTGRATE!$D256,data!$K:$K)</f>
        <v>0</v>
      </c>
      <c r="M256" s="314">
        <f>SUMIF(AJOUT!$A:$A,INTGRATE!$Y:$Y,AJOUT!$L:$L)</f>
        <v>0</v>
      </c>
      <c r="N256" s="100">
        <f>SUMIF(CBOUT!$A:$A,INTGRATE!$Y:$Y,CBOUT!$G:$G)</f>
        <v>0</v>
      </c>
      <c r="O256" s="482"/>
      <c r="P256" s="230"/>
      <c r="Q256" s="350">
        <f t="shared" si="86"/>
        <v>0</v>
      </c>
      <c r="R256" s="205"/>
      <c r="S256" s="205"/>
      <c r="T256" s="345">
        <f t="shared" si="87"/>
        <v>0</v>
      </c>
      <c r="U256" s="875">
        <f t="shared" si="80"/>
        <v>0</v>
      </c>
      <c r="V256" s="876"/>
      <c r="W256" s="1186"/>
      <c r="X256" s="1186"/>
      <c r="Y256" s="863" t="str">
        <f t="shared" si="81"/>
        <v>567SFS50SILO</v>
      </c>
      <c r="Z256" s="818">
        <v>36730850</v>
      </c>
      <c r="AA256" s="350"/>
      <c r="AB256" s="314">
        <v>0</v>
      </c>
      <c r="AC256" s="314">
        <v>0</v>
      </c>
      <c r="AD256" s="314">
        <v>0</v>
      </c>
      <c r="AE256" s="314">
        <v>0</v>
      </c>
      <c r="AF256" s="314">
        <v>0</v>
      </c>
      <c r="AG256" s="314">
        <v>0</v>
      </c>
      <c r="AH256" s="314">
        <v>0</v>
      </c>
      <c r="AI256" s="314">
        <v>0</v>
      </c>
      <c r="AJ256" s="314"/>
      <c r="AK256" s="314"/>
      <c r="AL256" s="314"/>
      <c r="AM256" s="314"/>
      <c r="AN256" s="230"/>
      <c r="AO256" s="314"/>
      <c r="AP256" s="314"/>
      <c r="AQ256" s="230"/>
      <c r="AR256" s="314"/>
      <c r="AS256" s="314"/>
      <c r="AT256" s="314"/>
      <c r="AU256" s="314"/>
      <c r="AV256" s="314"/>
      <c r="AW256" s="314"/>
      <c r="AX256" s="314"/>
      <c r="AY256" s="314"/>
      <c r="AZ256" s="314"/>
      <c r="BA256" s="314"/>
      <c r="BB256" s="314"/>
      <c r="BC256" s="314"/>
      <c r="BD256" s="314"/>
      <c r="BE256" s="314"/>
      <c r="BF256" s="205">
        <f t="shared" si="82"/>
        <v>0</v>
      </c>
      <c r="BG256" s="786">
        <f t="shared" si="88"/>
        <v>0</v>
      </c>
      <c r="BH256" s="786">
        <f t="shared" si="89"/>
        <v>0</v>
      </c>
    </row>
    <row r="257" spans="1:108" s="295" customFormat="1">
      <c r="A257" s="287">
        <v>140</v>
      </c>
      <c r="B257" s="300" t="s">
        <v>432</v>
      </c>
      <c r="C257" s="301" t="s">
        <v>64</v>
      </c>
      <c r="D257" s="339" t="s">
        <v>66</v>
      </c>
      <c r="E257" s="316"/>
      <c r="F257" s="230">
        <f>SUMIF(data!$D:$D,INTGRATE!$B257&amp;INTGRATE!$D257,data!$K:$K)</f>
        <v>0</v>
      </c>
      <c r="G257" s="1185"/>
      <c r="H257" s="314">
        <f>SUMIF(CBIN!$A:$A,INTGRATE!$Y:$Y,CBIN!$G:$G)</f>
        <v>0</v>
      </c>
      <c r="I257" s="230">
        <f>SUMIF(data!$D:$D,INTGRATE!$B257&amp;INTGRATE!$D257,data!$J:$J)</f>
        <v>0</v>
      </c>
      <c r="J257" s="230"/>
      <c r="K257" s="230"/>
      <c r="L257" s="230">
        <f>SUMIF(data!$D:$D,INTGRATE!$B257&amp;INTGRATE!$D257,data!$K:$K)</f>
        <v>0</v>
      </c>
      <c r="M257" s="314">
        <f>SUMIF(AJOUT!$A:$A,INTGRATE!$Y:$Y,AJOUT!$L:$L)</f>
        <v>0</v>
      </c>
      <c r="N257" s="100">
        <f>SUMIF(CBOUT!$A:$A,INTGRATE!$Y:$Y,CBOUT!$G:$G)</f>
        <v>0</v>
      </c>
      <c r="O257" s="482"/>
      <c r="P257" s="230"/>
      <c r="Q257" s="350">
        <f t="shared" si="86"/>
        <v>0</v>
      </c>
      <c r="R257" s="205"/>
      <c r="S257" s="205"/>
      <c r="T257" s="345">
        <f t="shared" si="87"/>
        <v>0</v>
      </c>
      <c r="U257" s="875">
        <f t="shared" si="80"/>
        <v>0</v>
      </c>
      <c r="V257" s="876"/>
      <c r="W257" s="1186"/>
      <c r="X257" s="1186"/>
      <c r="Y257" s="863" t="str">
        <f>B257&amp;D257</f>
        <v>567SFS53SILO</v>
      </c>
      <c r="Z257" s="818">
        <v>36730853</v>
      </c>
      <c r="AA257" s="350"/>
      <c r="AB257" s="314">
        <v>0</v>
      </c>
      <c r="AC257" s="314">
        <v>0</v>
      </c>
      <c r="AD257" s="314">
        <v>0</v>
      </c>
      <c r="AE257" s="314">
        <v>0</v>
      </c>
      <c r="AF257" s="314">
        <v>0</v>
      </c>
      <c r="AG257" s="314">
        <v>0</v>
      </c>
      <c r="AH257" s="314">
        <v>0</v>
      </c>
      <c r="AI257" s="314">
        <v>0</v>
      </c>
      <c r="AJ257" s="314"/>
      <c r="AK257" s="314"/>
      <c r="AL257" s="314"/>
      <c r="AM257" s="314"/>
      <c r="AN257" s="230"/>
      <c r="AO257" s="314"/>
      <c r="AP257" s="314"/>
      <c r="AQ257" s="230"/>
      <c r="AR257" s="314"/>
      <c r="AS257" s="314"/>
      <c r="AT257" s="314"/>
      <c r="AU257" s="314"/>
      <c r="AV257" s="314"/>
      <c r="AW257" s="314"/>
      <c r="AX257" s="314"/>
      <c r="AY257" s="314"/>
      <c r="AZ257" s="314"/>
      <c r="BA257" s="314"/>
      <c r="BB257" s="314"/>
      <c r="BC257" s="314"/>
      <c r="BD257" s="314"/>
      <c r="BE257" s="314"/>
      <c r="BF257" s="205">
        <f t="shared" si="82"/>
        <v>0</v>
      </c>
      <c r="BG257" s="786">
        <f t="shared" si="88"/>
        <v>0</v>
      </c>
      <c r="BH257" s="786">
        <f t="shared" si="89"/>
        <v>0</v>
      </c>
    </row>
    <row r="258" spans="1:108" s="295" customFormat="1">
      <c r="A258" s="287">
        <v>141</v>
      </c>
      <c r="B258" s="300" t="s">
        <v>445</v>
      </c>
      <c r="C258" s="301" t="s">
        <v>64</v>
      </c>
      <c r="D258" s="339" t="s">
        <v>66</v>
      </c>
      <c r="E258" s="316"/>
      <c r="F258" s="230">
        <f>SUMIF(data!$D:$D,INTGRATE!$B258&amp;INTGRATE!$D258,data!$K:$K)</f>
        <v>0</v>
      </c>
      <c r="G258" s="1185"/>
      <c r="H258" s="314"/>
      <c r="I258" s="230"/>
      <c r="J258" s="230"/>
      <c r="K258" s="230"/>
      <c r="L258" s="230">
        <f>SUMIF(data!$D:$D,INTGRATE!$B258&amp;INTGRATE!$D258,data!$K:$K)</f>
        <v>0</v>
      </c>
      <c r="M258" s="314">
        <v>0</v>
      </c>
      <c r="N258" s="100"/>
      <c r="O258" s="482"/>
      <c r="P258" s="230"/>
      <c r="Q258" s="350">
        <f t="shared" si="86"/>
        <v>0</v>
      </c>
      <c r="R258" s="205"/>
      <c r="S258" s="205"/>
      <c r="T258" s="345">
        <f t="shared" si="87"/>
        <v>0</v>
      </c>
      <c r="U258" s="875">
        <f t="shared" si="80"/>
        <v>0</v>
      </c>
      <c r="V258" s="876"/>
      <c r="W258" s="1186"/>
      <c r="X258" s="1186"/>
      <c r="Y258" s="863" t="str">
        <f>B258&amp;D258</f>
        <v>567SFS72SILO</v>
      </c>
      <c r="Z258" s="818">
        <v>36730872</v>
      </c>
      <c r="AA258" s="350"/>
      <c r="AB258" s="314">
        <v>0</v>
      </c>
      <c r="AC258" s="314">
        <v>0</v>
      </c>
      <c r="AD258" s="314">
        <v>0</v>
      </c>
      <c r="AE258" s="314">
        <v>0</v>
      </c>
      <c r="AF258" s="314">
        <v>0</v>
      </c>
      <c r="AG258" s="314">
        <v>0</v>
      </c>
      <c r="AH258" s="314">
        <v>0</v>
      </c>
      <c r="AI258" s="314">
        <v>0</v>
      </c>
      <c r="AJ258" s="314"/>
      <c r="AK258" s="314"/>
      <c r="AL258" s="314"/>
      <c r="AM258" s="314"/>
      <c r="AN258" s="230"/>
      <c r="AO258" s="314"/>
      <c r="AP258" s="314"/>
      <c r="AQ258" s="230"/>
      <c r="AR258" s="314"/>
      <c r="AS258" s="314"/>
      <c r="AT258" s="314"/>
      <c r="AU258" s="314"/>
      <c r="AV258" s="314"/>
      <c r="AW258" s="314"/>
      <c r="AX258" s="314"/>
      <c r="AY258" s="314"/>
      <c r="AZ258" s="314"/>
      <c r="BA258" s="314"/>
      <c r="BB258" s="314"/>
      <c r="BC258" s="314"/>
      <c r="BD258" s="314"/>
      <c r="BE258" s="314"/>
      <c r="BF258" s="205">
        <f t="shared" si="82"/>
        <v>0</v>
      </c>
      <c r="BG258" s="786">
        <f t="shared" si="88"/>
        <v>0</v>
      </c>
      <c r="BH258" s="786">
        <f t="shared" si="89"/>
        <v>0</v>
      </c>
    </row>
    <row r="259" spans="1:108" s="295" customFormat="1">
      <c r="A259" s="287">
        <v>142</v>
      </c>
      <c r="B259" s="300" t="s">
        <v>433</v>
      </c>
      <c r="C259" s="301" t="s">
        <v>64</v>
      </c>
      <c r="D259" s="339" t="s">
        <v>66</v>
      </c>
      <c r="E259" s="316"/>
      <c r="F259" s="230">
        <f>SUMIF(data!$D:$D,INTGRATE!$B259&amp;INTGRATE!$D259,data!$K:$K)</f>
        <v>0</v>
      </c>
      <c r="G259" s="1185"/>
      <c r="H259" s="314"/>
      <c r="I259" s="230"/>
      <c r="J259" s="230"/>
      <c r="K259" s="230"/>
      <c r="L259" s="230">
        <f>SUMIF(data!$D:$D,INTGRATE!$B259&amp;INTGRATE!$D259,data!$K:$K)</f>
        <v>0</v>
      </c>
      <c r="M259" s="314"/>
      <c r="N259" s="100"/>
      <c r="O259" s="482"/>
      <c r="P259" s="230"/>
      <c r="Q259" s="350">
        <f t="shared" si="86"/>
        <v>0</v>
      </c>
      <c r="R259" s="205"/>
      <c r="S259" s="205"/>
      <c r="T259" s="345">
        <f t="shared" si="87"/>
        <v>0</v>
      </c>
      <c r="U259" s="875">
        <f t="shared" si="80"/>
        <v>0</v>
      </c>
      <c r="V259" s="876"/>
      <c r="W259" s="1186"/>
      <c r="X259" s="1186"/>
      <c r="Y259" s="863" t="str">
        <f>B259&amp;D259</f>
        <v>567SFS90SILO</v>
      </c>
      <c r="Z259" s="818">
        <v>36730890</v>
      </c>
      <c r="AA259" s="350"/>
      <c r="AB259" s="314">
        <v>0</v>
      </c>
      <c r="AC259" s="314">
        <v>0</v>
      </c>
      <c r="AD259" s="314">
        <v>0</v>
      </c>
      <c r="AE259" s="314"/>
      <c r="AF259" s="314">
        <v>0</v>
      </c>
      <c r="AG259" s="314">
        <v>0</v>
      </c>
      <c r="AH259" s="314">
        <v>0</v>
      </c>
      <c r="AI259" s="314">
        <v>0</v>
      </c>
      <c r="AJ259" s="314"/>
      <c r="AK259" s="314"/>
      <c r="AL259" s="314"/>
      <c r="AM259" s="314"/>
      <c r="AN259" s="230"/>
      <c r="AO259" s="314"/>
      <c r="AP259" s="314"/>
      <c r="AQ259" s="230"/>
      <c r="AR259" s="314"/>
      <c r="AS259" s="314"/>
      <c r="AT259" s="314"/>
      <c r="AU259" s="314"/>
      <c r="AV259" s="314"/>
      <c r="AW259" s="314"/>
      <c r="AX259" s="314"/>
      <c r="AY259" s="314"/>
      <c r="AZ259" s="314"/>
      <c r="BA259" s="314"/>
      <c r="BB259" s="314"/>
      <c r="BC259" s="314"/>
      <c r="BD259" s="314"/>
      <c r="BE259" s="314"/>
      <c r="BF259" s="205">
        <f t="shared" si="82"/>
        <v>0</v>
      </c>
      <c r="BG259" s="786">
        <f t="shared" si="88"/>
        <v>0</v>
      </c>
      <c r="BH259" s="786">
        <f t="shared" si="89"/>
        <v>0</v>
      </c>
    </row>
    <row r="260" spans="1:108" s="295" customFormat="1" ht="15" customHeight="1">
      <c r="A260" s="287">
        <v>143</v>
      </c>
      <c r="B260" s="300" t="s">
        <v>435</v>
      </c>
      <c r="C260" s="301" t="s">
        <v>64</v>
      </c>
      <c r="D260" s="339" t="s">
        <v>66</v>
      </c>
      <c r="E260" s="316">
        <v>0</v>
      </c>
      <c r="F260" s="230">
        <f>SUMIF(data!$D:$D,INTGRATE!$B260&amp;INTGRATE!$D260,data!$K:$K)</f>
        <v>0</v>
      </c>
      <c r="G260" s="1185"/>
      <c r="H260" s="314">
        <f>SUMIF(CBIN!$A:$A,INTGRATE!$Y:$Y,CBIN!$G:$G)</f>
        <v>0</v>
      </c>
      <c r="I260" s="230">
        <f>SUMIF(data!$D:$D,INTGRATE!$B260&amp;INTGRATE!$D260,data!$J:$J)</f>
        <v>0</v>
      </c>
      <c r="J260" s="230"/>
      <c r="K260" s="230"/>
      <c r="L260" s="230">
        <f>SUMIF(data!$D:$D,INTGRATE!$B260&amp;INTGRATE!$D260,data!$K:$K)</f>
        <v>0</v>
      </c>
      <c r="M260" s="314">
        <f>SUMIF(AJOUT!$A:$A,INTGRATE!$Y:$Y,AJOUT!$L:$L)</f>
        <v>0</v>
      </c>
      <c r="N260" s="100">
        <f>SUMIF(CBOUT!$A:$A,INTGRATE!$Y:$Y,CBOUT!$G:$G)</f>
        <v>0</v>
      </c>
      <c r="O260" s="482">
        <v>0</v>
      </c>
      <c r="P260" s="230">
        <f>F260-L260</f>
        <v>0</v>
      </c>
      <c r="Q260" s="350">
        <f t="shared" si="86"/>
        <v>0</v>
      </c>
      <c r="R260" s="205"/>
      <c r="S260" s="205"/>
      <c r="T260" s="345">
        <f t="shared" si="87"/>
        <v>0</v>
      </c>
      <c r="U260" s="875">
        <f t="shared" si="80"/>
        <v>0</v>
      </c>
      <c r="V260" s="876"/>
      <c r="W260" s="1186"/>
      <c r="X260" s="1186"/>
      <c r="Y260" s="863" t="str">
        <f t="shared" si="81"/>
        <v>567SFS32SILO</v>
      </c>
      <c r="Z260" s="818">
        <v>36730832</v>
      </c>
      <c r="AA260" s="350"/>
      <c r="AB260" s="314">
        <v>0</v>
      </c>
      <c r="AC260" s="314">
        <v>0</v>
      </c>
      <c r="AD260" s="314">
        <v>0</v>
      </c>
      <c r="AE260" s="314"/>
      <c r="AF260" s="314"/>
      <c r="AG260" s="314">
        <v>0</v>
      </c>
      <c r="AH260" s="314">
        <v>0</v>
      </c>
      <c r="AI260" s="314">
        <v>0</v>
      </c>
      <c r="AJ260" s="314"/>
      <c r="AK260" s="314"/>
      <c r="AL260" s="314"/>
      <c r="AM260" s="314"/>
      <c r="AN260" s="314"/>
      <c r="AO260" s="314"/>
      <c r="AP260" s="314"/>
      <c r="AQ260" s="230"/>
      <c r="AR260" s="314"/>
      <c r="AS260" s="314"/>
      <c r="AT260" s="314"/>
      <c r="AU260" s="314"/>
      <c r="AV260" s="314"/>
      <c r="AW260" s="314"/>
      <c r="AX260" s="314"/>
      <c r="AY260" s="314"/>
      <c r="AZ260" s="314"/>
      <c r="BA260" s="314"/>
      <c r="BB260" s="314"/>
      <c r="BC260" s="314"/>
      <c r="BD260" s="314"/>
      <c r="BE260" s="314"/>
      <c r="BF260" s="205">
        <f t="shared" si="82"/>
        <v>0</v>
      </c>
      <c r="BG260" s="786">
        <f t="shared" si="88"/>
        <v>0</v>
      </c>
      <c r="BH260" s="786">
        <f t="shared" si="89"/>
        <v>0</v>
      </c>
    </row>
    <row r="261" spans="1:108" s="273" customFormat="1" ht="15.75" customHeight="1">
      <c r="A261" s="872" t="s">
        <v>70</v>
      </c>
      <c r="B261" s="873"/>
      <c r="C261" s="873"/>
      <c r="D261" s="874"/>
      <c r="E261" s="214">
        <f>E118+E125+E127+E126</f>
        <v>8849</v>
      </c>
      <c r="F261" s="214">
        <f t="shared" ref="F261:P261" si="90">F118+F125+F127+F126</f>
        <v>0</v>
      </c>
      <c r="G261" s="214">
        <f t="shared" si="90"/>
        <v>0</v>
      </c>
      <c r="H261" s="214">
        <f t="shared" si="90"/>
        <v>0</v>
      </c>
      <c r="I261" s="214">
        <f t="shared" si="90"/>
        <v>0</v>
      </c>
      <c r="J261" s="214">
        <f t="shared" si="90"/>
        <v>0</v>
      </c>
      <c r="K261" s="214">
        <f t="shared" si="90"/>
        <v>0</v>
      </c>
      <c r="L261" s="214">
        <f t="shared" si="90"/>
        <v>0</v>
      </c>
      <c r="M261" s="214">
        <f t="shared" si="90"/>
        <v>0</v>
      </c>
      <c r="N261" s="214">
        <f t="shared" si="90"/>
        <v>0</v>
      </c>
      <c r="O261" s="214">
        <f t="shared" si="90"/>
        <v>8849</v>
      </c>
      <c r="P261" s="214">
        <f t="shared" si="90"/>
        <v>88490</v>
      </c>
      <c r="Q261" s="214">
        <f t="shared" ref="Q261" si="91">Q118+Q125+Q127+Q126</f>
        <v>88900</v>
      </c>
      <c r="R261" s="214"/>
      <c r="S261" s="214"/>
      <c r="T261" s="214">
        <f>T118+T125+T127</f>
        <v>9877.7777777777774</v>
      </c>
      <c r="U261" s="892">
        <f>IF(T261=0,0,P261/T261)</f>
        <v>8.9584926884139477</v>
      </c>
      <c r="V261" s="893"/>
      <c r="W261" s="1187"/>
      <c r="X261" s="867">
        <f>SUM(X118:X118)*10</f>
        <v>0</v>
      </c>
      <c r="Y261" s="863"/>
      <c r="Z261" s="819"/>
      <c r="AA261" s="383"/>
      <c r="AB261" s="314"/>
      <c r="AC261" s="314"/>
      <c r="AD261" s="314"/>
      <c r="AE261" s="314"/>
      <c r="AF261" s="314"/>
      <c r="AG261" s="314"/>
      <c r="AH261" s="314"/>
      <c r="AI261" s="314"/>
      <c r="AJ261" s="314"/>
      <c r="AK261" s="314"/>
      <c r="AL261" s="314"/>
      <c r="AM261" s="314"/>
      <c r="AN261" s="314"/>
      <c r="AO261" s="314"/>
      <c r="AP261" s="314"/>
      <c r="AQ261" s="314"/>
      <c r="AR261" s="314"/>
      <c r="AS261" s="314"/>
      <c r="AT261" s="314"/>
      <c r="AU261" s="314"/>
      <c r="AV261" s="314"/>
      <c r="AW261" s="314"/>
      <c r="AX261" s="314"/>
      <c r="AY261" s="314"/>
      <c r="AZ261" s="314"/>
      <c r="BA261" s="314"/>
      <c r="BB261" s="314"/>
      <c r="BC261" s="314"/>
      <c r="BD261" s="314"/>
      <c r="BE261" s="314"/>
      <c r="BF261" s="205">
        <f>SUM(AA261:BE261)</f>
        <v>0</v>
      </c>
      <c r="BG261" s="786">
        <f t="shared" si="88"/>
        <v>0</v>
      </c>
      <c r="BH261" s="786">
        <f t="shared" si="89"/>
        <v>0</v>
      </c>
      <c r="BI261" s="1188"/>
      <c r="BJ261" s="1188"/>
      <c r="BK261" s="1188"/>
      <c r="BL261" s="1188"/>
      <c r="BM261" s="1188"/>
      <c r="BN261" s="1188"/>
      <c r="BO261" s="1188"/>
      <c r="BP261" s="1188"/>
      <c r="BQ261" s="1188"/>
      <c r="BR261" s="1188"/>
      <c r="BS261" s="1188"/>
      <c r="BT261" s="1188"/>
      <c r="BU261" s="1188"/>
      <c r="BV261" s="1188"/>
      <c r="BW261" s="1188"/>
      <c r="BX261" s="1188"/>
      <c r="BY261" s="1188"/>
      <c r="BZ261" s="1188"/>
      <c r="CA261" s="1188"/>
      <c r="CB261" s="1188"/>
      <c r="CC261" s="1188"/>
      <c r="CD261" s="1188"/>
      <c r="CE261" s="1188"/>
      <c r="CF261" s="1188"/>
      <c r="CG261" s="1188"/>
      <c r="CH261" s="1188"/>
      <c r="CI261" s="1188"/>
      <c r="CJ261" s="1188"/>
      <c r="CK261" s="1188"/>
      <c r="CL261" s="1188"/>
      <c r="CM261" s="1188"/>
      <c r="CN261" s="1188"/>
      <c r="CO261" s="1188"/>
      <c r="CP261" s="1188"/>
      <c r="CQ261" s="1188"/>
      <c r="CR261" s="1188"/>
      <c r="CS261" s="1188"/>
      <c r="CT261" s="1188"/>
      <c r="CU261" s="1188"/>
      <c r="CV261" s="1188"/>
      <c r="CW261" s="1188"/>
      <c r="CX261" s="1188"/>
      <c r="CY261" s="1188"/>
      <c r="CZ261" s="1188"/>
      <c r="DA261" s="1188"/>
      <c r="DB261" s="1188"/>
      <c r="DC261" s="1188"/>
      <c r="DD261" s="1188"/>
    </row>
    <row r="262" spans="1:108" s="217" customFormat="1" ht="15.75" customHeight="1">
      <c r="A262" s="872" t="s">
        <v>72</v>
      </c>
      <c r="B262" s="873"/>
      <c r="C262" s="873"/>
      <c r="D262" s="874"/>
      <c r="E262" s="214">
        <f>+E120+E135+E158+E147+E124+E159+E170+E172</f>
        <v>0</v>
      </c>
      <c r="F262" s="214">
        <f>+F120+F135+F158+F147+F124+F159+F170+F172</f>
        <v>0</v>
      </c>
      <c r="G262" s="214">
        <f t="shared" ref="G262:O262" si="92">+G120+G135+G158+G147+G124+G159+G170+G172</f>
        <v>0</v>
      </c>
      <c r="H262" s="214">
        <f t="shared" si="92"/>
        <v>0</v>
      </c>
      <c r="I262" s="214">
        <f t="shared" si="92"/>
        <v>0</v>
      </c>
      <c r="J262" s="214">
        <f t="shared" si="92"/>
        <v>0</v>
      </c>
      <c r="K262" s="214">
        <f t="shared" si="92"/>
        <v>0</v>
      </c>
      <c r="L262" s="214">
        <f t="shared" si="92"/>
        <v>0</v>
      </c>
      <c r="M262" s="214">
        <f t="shared" si="92"/>
        <v>0</v>
      </c>
      <c r="N262" s="214">
        <f t="shared" si="92"/>
        <v>0</v>
      </c>
      <c r="O262" s="214">
        <f t="shared" si="92"/>
        <v>0</v>
      </c>
      <c r="P262" s="214">
        <f>+P120+P135+P158+P147+P124+P159+P170+P172</f>
        <v>0</v>
      </c>
      <c r="Q262" s="214">
        <f>+Q120+Q135+Q158+Q129+Q147+Q124+Q159+Q121+Q170+Q122+Q172</f>
        <v>809700</v>
      </c>
      <c r="R262" s="214">
        <f>+R120+R135+R158+R129+R147+R124+R159+R121+R170+R122+R172</f>
        <v>0</v>
      </c>
      <c r="S262" s="214">
        <f>+S120+S135+S158+S129+S147+S124+S159+S121+S170+S122+S172</f>
        <v>0</v>
      </c>
      <c r="T262" s="214">
        <f>+T120+T135+T158+T129+T147+T124+T159+T121+T170+T122+T172</f>
        <v>89966.666666666657</v>
      </c>
      <c r="U262" s="892">
        <f>IF(T262=0,0,P262/T262)</f>
        <v>0</v>
      </c>
      <c r="V262" s="893"/>
      <c r="W262" s="1189"/>
      <c r="X262" s="214">
        <f>+SUM(X119:X125)*25</f>
        <v>0</v>
      </c>
      <c r="Y262" s="857"/>
      <c r="Z262" s="819"/>
      <c r="AA262" s="216">
        <f t="shared" ref="AA262:BE262" si="93">SUM(AA118:AA260)</f>
        <v>0</v>
      </c>
      <c r="AB262" s="216">
        <f t="shared" si="93"/>
        <v>1676700</v>
      </c>
      <c r="AC262" s="216">
        <f t="shared" si="93"/>
        <v>1732470</v>
      </c>
      <c r="AD262" s="216">
        <f t="shared" si="93"/>
        <v>1406560</v>
      </c>
      <c r="AE262" s="216">
        <f t="shared" si="93"/>
        <v>1552200</v>
      </c>
      <c r="AF262" s="216">
        <f t="shared" si="93"/>
        <v>1850380</v>
      </c>
      <c r="AG262" s="216">
        <f t="shared" si="93"/>
        <v>1830030</v>
      </c>
      <c r="AH262" s="216">
        <f t="shared" si="93"/>
        <v>1526460</v>
      </c>
      <c r="AI262" s="216">
        <f t="shared" si="93"/>
        <v>1596500</v>
      </c>
      <c r="AJ262" s="216">
        <f t="shared" si="93"/>
        <v>0</v>
      </c>
      <c r="AK262" s="216">
        <f t="shared" si="93"/>
        <v>0</v>
      </c>
      <c r="AL262" s="216">
        <f t="shared" si="93"/>
        <v>0</v>
      </c>
      <c r="AM262" s="216">
        <f t="shared" si="93"/>
        <v>0</v>
      </c>
      <c r="AN262" s="216">
        <f t="shared" si="93"/>
        <v>0</v>
      </c>
      <c r="AO262" s="216">
        <f t="shared" si="93"/>
        <v>0</v>
      </c>
      <c r="AP262" s="216">
        <f t="shared" si="93"/>
        <v>0</v>
      </c>
      <c r="AQ262" s="216">
        <f t="shared" si="93"/>
        <v>0</v>
      </c>
      <c r="AR262" s="216">
        <f t="shared" si="93"/>
        <v>0</v>
      </c>
      <c r="AS262" s="216">
        <f t="shared" si="93"/>
        <v>0</v>
      </c>
      <c r="AT262" s="216">
        <f t="shared" si="93"/>
        <v>0</v>
      </c>
      <c r="AU262" s="216">
        <f>SUM(AU118:AU260)</f>
        <v>0</v>
      </c>
      <c r="AV262" s="216">
        <f t="shared" si="93"/>
        <v>0</v>
      </c>
      <c r="AW262" s="216">
        <f t="shared" si="93"/>
        <v>0</v>
      </c>
      <c r="AX262" s="216">
        <f t="shared" si="93"/>
        <v>0</v>
      </c>
      <c r="AY262" s="216">
        <f t="shared" si="93"/>
        <v>0</v>
      </c>
      <c r="AZ262" s="216">
        <f t="shared" si="93"/>
        <v>0</v>
      </c>
      <c r="BA262" s="216">
        <f t="shared" si="93"/>
        <v>0</v>
      </c>
      <c r="BB262" s="216">
        <f>SUM(BB118:BB260)</f>
        <v>0</v>
      </c>
      <c r="BC262" s="216">
        <f>SUM(BC118:BC260)</f>
        <v>0</v>
      </c>
      <c r="BD262" s="216">
        <f>SUM(BD118:BD260)</f>
        <v>0</v>
      </c>
      <c r="BE262" s="216">
        <f t="shared" si="93"/>
        <v>0</v>
      </c>
      <c r="BF262" s="216">
        <f>SUM(BF118:BF261)</f>
        <v>13171300</v>
      </c>
      <c r="BG262" s="222"/>
      <c r="BH262" s="222"/>
      <c r="BI262" s="449"/>
    </row>
    <row r="263" spans="1:108" s="217" customFormat="1" ht="15.75" customHeight="1">
      <c r="A263" s="872" t="s">
        <v>337</v>
      </c>
      <c r="B263" s="873"/>
      <c r="C263" s="873"/>
      <c r="D263" s="874"/>
      <c r="E263" s="214">
        <f>SUM(E128:E195,E121:E123,E119)-E135-E147-E158-E159-E170-E172</f>
        <v>27804</v>
      </c>
      <c r="F263" s="214">
        <f>SUM(F128:F195,F121:F123,F119)-F135-F147-F158-F159-F170-F172</f>
        <v>24849</v>
      </c>
      <c r="G263" s="214">
        <f t="shared" ref="G263:P263" si="94">SUM(G128:G195,G121:G123,G119)-G135-G147-G158-G159-G170-G172</f>
        <v>0</v>
      </c>
      <c r="H263" s="214">
        <f t="shared" si="94"/>
        <v>0</v>
      </c>
      <c r="I263" s="214">
        <f t="shared" si="94"/>
        <v>0</v>
      </c>
      <c r="J263" s="214">
        <f t="shared" si="94"/>
        <v>0</v>
      </c>
      <c r="K263" s="214">
        <f t="shared" si="94"/>
        <v>0</v>
      </c>
      <c r="L263" s="214">
        <f t="shared" si="94"/>
        <v>0</v>
      </c>
      <c r="M263" s="214">
        <f t="shared" si="94"/>
        <v>0</v>
      </c>
      <c r="N263" s="214">
        <f t="shared" si="94"/>
        <v>0</v>
      </c>
      <c r="O263" s="214">
        <f t="shared" si="94"/>
        <v>52653</v>
      </c>
      <c r="P263" s="214">
        <f t="shared" si="94"/>
        <v>2632650</v>
      </c>
      <c r="Q263" s="214">
        <f>+SUM(Q128:Q195)-Q135-Q129-Q158-Q147-Q170+Q123+Q119</f>
        <v>8600850</v>
      </c>
      <c r="R263" s="214">
        <f>+SUM(R128:R195)-R135-R129-R158-R147-R170+R123+R119</f>
        <v>2721140</v>
      </c>
      <c r="S263" s="214">
        <f>+SUM(S128:S195)-S135-S129-S158-S147-S170+S123+S119</f>
        <v>13171300</v>
      </c>
      <c r="T263" s="214">
        <f>+SUM(T128:T195)-T135-T129-T158-T147-T170+T123+T119</f>
        <v>955649.99999999988</v>
      </c>
      <c r="U263" s="892">
        <f>IF(T263=0,0,P263/T263)</f>
        <v>2.754826557840214</v>
      </c>
      <c r="V263" s="893"/>
      <c r="W263" s="1189"/>
      <c r="X263" s="214">
        <f>+SUM(X128:X195)*50</f>
        <v>0</v>
      </c>
      <c r="Y263" s="857"/>
      <c r="Z263" s="819"/>
      <c r="AA263" s="197">
        <f>+AA262+AA103+BRAN!X150+BRAN!X193+BRAN!X276+BRAN!X300+BRAN!X331</f>
        <v>0</v>
      </c>
      <c r="AB263" s="197">
        <f>+AB262+AB103+BRAN!Y150+BRAN!Y193+BRAN!Y276+BRAN!Y300+BRAN!Y331</f>
        <v>2455620</v>
      </c>
      <c r="AC263" s="197">
        <f>+AC262+AC103+BRAN!Z150+BRAN!Z193+BRAN!Z276+BRAN!Z300+BRAN!Z331</f>
        <v>2025450</v>
      </c>
      <c r="AD263" s="197">
        <f>+AD262+AD103+BRAN!AA150+BRAN!AA193+BRAN!AA276+BRAN!AA300+BRAN!AA331</f>
        <v>2123320</v>
      </c>
      <c r="AE263" s="197">
        <f>+AE262+AE103+BRAN!AB150+BRAN!AB193+BRAN!AB276+BRAN!AB300+BRAN!AB331</f>
        <v>2200995</v>
      </c>
      <c r="AF263" s="197">
        <f>+AF262+AF103+BRAN!AC150+BRAN!AC193+BRAN!AC276+BRAN!AC300+BRAN!AC331</f>
        <v>2452255</v>
      </c>
      <c r="AG263" s="197">
        <f>+AG262+AG103+BRAN!AD150+BRAN!AD193+BRAN!AD276+BRAN!AD300+BRAN!AD331</f>
        <v>2269305</v>
      </c>
      <c r="AH263" s="197">
        <f>+AH262+AH103+BRAN!AE150+BRAN!AE193+BRAN!AE276+BRAN!AE300+BRAN!AE331</f>
        <v>2199000</v>
      </c>
      <c r="AI263" s="197">
        <f>+AI262+AI103+BRAN!AF150+BRAN!AF193+BRAN!AF276+BRAN!AF300+BRAN!AF331</f>
        <v>2007895</v>
      </c>
      <c r="AJ263" s="197">
        <f>+AJ262+AJ103+BRAN!AG150+BRAN!AG193+BRAN!AG276+BRAN!AG300+BRAN!AG331</f>
        <v>0</v>
      </c>
      <c r="AK263" s="197">
        <f>+AK262+AK103+BRAN!AH150+BRAN!AH193+BRAN!AH276+BRAN!AH300+BRAN!AH331</f>
        <v>0</v>
      </c>
      <c r="AL263" s="197">
        <f>+AL262+AL103+BRAN!AI150+BRAN!AI193+BRAN!AI276+BRAN!AI300+BRAN!AI331</f>
        <v>0</v>
      </c>
      <c r="AM263" s="197">
        <f>+AM262+AM103+BRAN!AJ150+BRAN!AJ193+BRAN!AJ276+BRAN!AJ300+BRAN!AJ331</f>
        <v>0</v>
      </c>
      <c r="AN263" s="197">
        <f>+AN262+AN103+BRAN!AK150+BRAN!AK193+BRAN!AK276+BRAN!AK300+BRAN!AK331</f>
        <v>0</v>
      </c>
      <c r="AO263" s="197">
        <f>+AO262+AO103+BRAN!AL150+BRAN!AL193+BRAN!AL276+BRAN!AL300+BRAN!AL331</f>
        <v>0</v>
      </c>
      <c r="AP263" s="197">
        <f>+AP262+AP103+BRAN!AM150+BRAN!AM193+BRAN!AM276+BRAN!AM300+BRAN!AM331</f>
        <v>0</v>
      </c>
      <c r="AQ263" s="197">
        <f>+AQ262+AQ103+BRAN!AN150+BRAN!AN193+BRAN!AN276+BRAN!AN300+BRAN!AN331</f>
        <v>0</v>
      </c>
      <c r="AR263" s="197">
        <f>+AR262+AR103+BRAN!AO150+BRAN!AO193+BRAN!AO276+BRAN!AO300+BRAN!AO331</f>
        <v>0</v>
      </c>
      <c r="AS263" s="197">
        <f>+AS262+AS103+BRAN!AP150+BRAN!AP193+BRAN!AP276+BRAN!AP300+BRAN!AP331</f>
        <v>0</v>
      </c>
      <c r="AT263" s="197">
        <f>+AT262+AT103+BRAN!AQ150+BRAN!AQ193+BRAN!AQ276+BRAN!AQ300+BRAN!AQ331</f>
        <v>0</v>
      </c>
      <c r="AU263" s="197">
        <f>+AU262+AU103+BRAN!AR150+BRAN!AR193+BRAN!AR276+BRAN!AR300+BRAN!AR331</f>
        <v>0</v>
      </c>
      <c r="AV263" s="197">
        <f>+AV262+AV103+BRAN!AS150+BRAN!AS193+BRAN!AS276+BRAN!AS300+BRAN!AS331</f>
        <v>0</v>
      </c>
      <c r="AW263" s="197">
        <f>+AW262+AW103+BRAN!AT150+BRAN!AT193+BRAN!AT276+BRAN!AT300+BRAN!AT331</f>
        <v>0</v>
      </c>
      <c r="AX263" s="197">
        <f>+AX262+AX103+BRAN!AU150+BRAN!AU193+BRAN!AU276+BRAN!AU300+BRAN!AU331</f>
        <v>0</v>
      </c>
      <c r="AY263" s="197">
        <f>+AY262+AY103+BRAN!AV150+BRAN!AV193+BRAN!AV276+BRAN!AV300+BRAN!AV331</f>
        <v>0</v>
      </c>
      <c r="AZ263" s="197">
        <f>+AZ262+AZ103+BRAN!AW150+BRAN!AW193+BRAN!AW276+BRAN!AW300+BRAN!AW331</f>
        <v>0</v>
      </c>
      <c r="BA263" s="197">
        <f>+BA262+BA103+BRAN!AX150+BRAN!AX193+BRAN!AX276+BRAN!AX300+BRAN!AX331</f>
        <v>0</v>
      </c>
      <c r="BB263" s="197">
        <f>+BB262+BB103+BRAN!AY150+BRAN!AY193+BRAN!AY276+BRAN!AY300+BRAN!AY331</f>
        <v>0</v>
      </c>
      <c r="BC263" s="197">
        <f>+BC262+BC103+BRAN!AZ150+BRAN!AZ193+BRAN!AZ276+BRAN!AZ300+BRAN!AZ331</f>
        <v>0</v>
      </c>
      <c r="BD263" s="197">
        <f>+BD262+BD103+BRAN!BA150+BRAN!BA193+BRAN!BA276+BRAN!BA300+BRAN!BA331</f>
        <v>0</v>
      </c>
      <c r="BE263" s="197">
        <f>+BE262+BE103+BRAN!BB150+BRAN!BB193+BRAN!BB276+BRAN!BB300+BRAN!BB331</f>
        <v>0</v>
      </c>
      <c r="BF263" s="197">
        <f>SUM(AA263:BE263)</f>
        <v>17733840</v>
      </c>
      <c r="BG263" s="197"/>
      <c r="BH263" s="197"/>
      <c r="BI263" s="192">
        <f>+BF262+BF103</f>
        <v>14112100</v>
      </c>
    </row>
    <row r="264" spans="1:108" s="217" customFormat="1" ht="15.75" customHeight="1">
      <c r="A264" s="872" t="s">
        <v>74</v>
      </c>
      <c r="B264" s="873"/>
      <c r="C264" s="873"/>
      <c r="D264" s="874"/>
      <c r="E264" s="236"/>
      <c r="F264" s="236">
        <f>SUM(F196:F260)</f>
        <v>0</v>
      </c>
      <c r="G264" s="236">
        <f t="shared" ref="G264:T264" si="95">+SUM(G196:G260)</f>
        <v>0</v>
      </c>
      <c r="H264" s="236">
        <f t="shared" si="95"/>
        <v>0</v>
      </c>
      <c r="I264" s="236">
        <f t="shared" si="95"/>
        <v>0</v>
      </c>
      <c r="J264" s="236">
        <f t="shared" si="95"/>
        <v>0</v>
      </c>
      <c r="K264" s="236">
        <f t="shared" si="95"/>
        <v>0</v>
      </c>
      <c r="L264" s="236">
        <f t="shared" si="95"/>
        <v>0</v>
      </c>
      <c r="M264" s="236">
        <f t="shared" si="95"/>
        <v>0</v>
      </c>
      <c r="N264" s="236">
        <f t="shared" si="95"/>
        <v>0</v>
      </c>
      <c r="O264" s="488">
        <f t="shared" si="95"/>
        <v>0</v>
      </c>
      <c r="P264" s="236">
        <f t="shared" si="95"/>
        <v>0</v>
      </c>
      <c r="Q264" s="236">
        <f>+SUM(Q196:Q260)</f>
        <v>3671850</v>
      </c>
      <c r="R264" s="236">
        <f t="shared" si="95"/>
        <v>0</v>
      </c>
      <c r="S264" s="236">
        <f t="shared" si="95"/>
        <v>0</v>
      </c>
      <c r="T264" s="236">
        <f t="shared" si="95"/>
        <v>407983.33333333337</v>
      </c>
      <c r="U264" s="892"/>
      <c r="V264" s="893"/>
      <c r="W264" s="1189"/>
      <c r="X264" s="214"/>
      <c r="Y264" s="857"/>
      <c r="Z264" s="819"/>
      <c r="AA264" s="566"/>
      <c r="AB264" s="567"/>
      <c r="AC264" s="567"/>
      <c r="AD264" s="568"/>
      <c r="AE264" s="568"/>
      <c r="AF264" s="567"/>
      <c r="AG264" s="225"/>
      <c r="AH264" s="225"/>
      <c r="AI264" s="225"/>
      <c r="AJ264" s="225"/>
      <c r="AK264" s="225"/>
      <c r="AL264" s="225"/>
      <c r="AM264" s="225"/>
      <c r="AN264" s="225"/>
      <c r="AO264" s="225"/>
      <c r="AP264" s="225"/>
      <c r="AQ264" s="225"/>
      <c r="AR264" s="225"/>
      <c r="AS264" s="225"/>
      <c r="AT264" s="451"/>
      <c r="AU264" s="225"/>
      <c r="AV264" s="225"/>
      <c r="AW264" s="225"/>
      <c r="AX264" s="197"/>
      <c r="AY264" s="225"/>
      <c r="AZ264" s="225"/>
      <c r="BA264" s="225"/>
      <c r="BB264" s="225"/>
      <c r="BC264" s="225"/>
      <c r="BD264" s="225"/>
      <c r="BE264" s="225"/>
      <c r="BF264" s="449">
        <f>+BF262+BF103+BRAN!BC332</f>
        <v>17733840</v>
      </c>
      <c r="BG264" s="449"/>
      <c r="BH264" s="449"/>
    </row>
    <row r="265" spans="1:108" s="783" customFormat="1" ht="15.75" customHeight="1">
      <c r="A265" s="869" t="s">
        <v>75</v>
      </c>
      <c r="B265" s="870"/>
      <c r="C265" s="870"/>
      <c r="D265" s="871"/>
      <c r="E265" s="220">
        <f>SUM(E118:E195)</f>
        <v>36653</v>
      </c>
      <c r="F265" s="220">
        <f t="shared" ref="F265:O265" si="96">SUM(F261:F264)</f>
        <v>24849</v>
      </c>
      <c r="G265" s="220">
        <f t="shared" si="96"/>
        <v>0</v>
      </c>
      <c r="H265" s="220">
        <f t="shared" si="96"/>
        <v>0</v>
      </c>
      <c r="I265" s="220">
        <f t="shared" si="96"/>
        <v>0</v>
      </c>
      <c r="J265" s="220">
        <f t="shared" si="96"/>
        <v>0</v>
      </c>
      <c r="K265" s="220">
        <f t="shared" si="96"/>
        <v>0</v>
      </c>
      <c r="L265" s="220">
        <f>+L266-L264</f>
        <v>0</v>
      </c>
      <c r="M265" s="220">
        <f>SUM(M261:M264)</f>
        <v>0</v>
      </c>
      <c r="N265" s="220">
        <f t="shared" si="96"/>
        <v>0</v>
      </c>
      <c r="O265" s="220">
        <f t="shared" si="96"/>
        <v>61502</v>
      </c>
      <c r="P265" s="220">
        <f>SUM(P261:P264)</f>
        <v>2721140</v>
      </c>
      <c r="Q265" s="934">
        <f>SUM(Q261:Q264)</f>
        <v>13171300</v>
      </c>
      <c r="R265" s="218">
        <f>SUM(R119:R260)</f>
        <v>2721140</v>
      </c>
      <c r="S265" s="218"/>
      <c r="T265" s="934">
        <f>Q265/$N$293</f>
        <v>1463477.7777777778</v>
      </c>
      <c r="U265" s="890" t="s">
        <v>338</v>
      </c>
      <c r="V265" s="891"/>
      <c r="W265" s="1189"/>
      <c r="X265" s="220">
        <f>+SUM(X128:X260)*50+X262</f>
        <v>0</v>
      </c>
      <c r="Y265" s="857"/>
      <c r="Z265" s="819"/>
      <c r="AA265" s="450"/>
      <c r="AB265" s="450"/>
      <c r="AC265" s="450"/>
      <c r="AD265" s="450"/>
      <c r="AE265" s="450"/>
      <c r="AF265" s="450"/>
      <c r="AG265" s="450"/>
      <c r="AH265" s="450"/>
      <c r="AI265" s="450"/>
      <c r="AJ265" s="450"/>
      <c r="AK265" s="450"/>
      <c r="AL265" s="450"/>
      <c r="AM265" s="450"/>
      <c r="AN265" s="450"/>
      <c r="AO265" s="450"/>
      <c r="AP265" s="450"/>
      <c r="AQ265" s="450"/>
      <c r="AR265" s="450"/>
      <c r="AS265" s="450"/>
      <c r="AT265" s="450"/>
      <c r="AU265" s="450"/>
      <c r="AV265" s="450"/>
      <c r="AW265" s="450"/>
      <c r="AX265" s="450"/>
      <c r="AY265" s="450"/>
      <c r="AZ265" s="450"/>
      <c r="BA265" s="450"/>
      <c r="BB265" s="450"/>
      <c r="BC265" s="450"/>
      <c r="BD265" s="450"/>
      <c r="BE265" s="217"/>
      <c r="BF265" s="782"/>
      <c r="BG265" s="782"/>
      <c r="BH265" s="782"/>
      <c r="BI265" s="223" t="s">
        <v>446</v>
      </c>
      <c r="BJ265" s="223"/>
      <c r="BK265" s="223"/>
      <c r="BL265" s="223"/>
      <c r="BM265" s="223"/>
      <c r="BN265" s="223"/>
      <c r="BO265" s="223"/>
      <c r="BP265" s="223"/>
      <c r="BQ265" s="223"/>
      <c r="BR265" s="223"/>
      <c r="BS265" s="223"/>
      <c r="BT265" s="223"/>
      <c r="BU265" s="223"/>
      <c r="BV265" s="223"/>
      <c r="BW265" s="223"/>
      <c r="BX265" s="223"/>
      <c r="BY265" s="223"/>
      <c r="BZ265" s="223"/>
      <c r="CA265" s="223"/>
      <c r="CB265" s="223"/>
      <c r="CC265" s="223"/>
      <c r="CD265" s="223"/>
      <c r="CE265" s="223"/>
      <c r="CF265" s="223"/>
      <c r="CG265" s="223"/>
      <c r="CH265" s="223"/>
      <c r="CI265" s="223"/>
      <c r="CJ265" s="223"/>
      <c r="CK265" s="223"/>
      <c r="CL265" s="223"/>
      <c r="CM265" s="223"/>
      <c r="CN265" s="223"/>
      <c r="CO265" s="223"/>
      <c r="CP265" s="223"/>
      <c r="CQ265" s="223"/>
      <c r="CR265" s="223"/>
      <c r="CS265" s="223"/>
      <c r="CT265" s="223"/>
      <c r="CU265" s="223"/>
      <c r="CV265" s="223"/>
      <c r="CW265" s="223"/>
      <c r="CX265" s="223"/>
      <c r="CY265" s="223"/>
      <c r="CZ265" s="223"/>
      <c r="DA265" s="223"/>
      <c r="DB265" s="223"/>
      <c r="DC265" s="223"/>
      <c r="DD265" s="223"/>
    </row>
    <row r="266" spans="1:108" s="217" customFormat="1" ht="15.75" customHeight="1">
      <c r="A266" s="872" t="s">
        <v>77</v>
      </c>
      <c r="B266" s="873"/>
      <c r="C266" s="873"/>
      <c r="D266" s="874"/>
      <c r="E266" s="213">
        <f>+E261*10+E262*25+E263*50</f>
        <v>1478690</v>
      </c>
      <c r="F266" s="213">
        <f t="shared" ref="F266:O266" si="97">+F261*10+F262*25+F263*50</f>
        <v>1242450</v>
      </c>
      <c r="G266" s="213">
        <f>+G261*10+G262*25+G263*50</f>
        <v>0</v>
      </c>
      <c r="H266" s="213">
        <f>+H261*10+H262*25+H263*50</f>
        <v>0</v>
      </c>
      <c r="I266" s="213">
        <f>+I261*10+I262*25+I263*50</f>
        <v>0</v>
      </c>
      <c r="J266" s="213">
        <f t="shared" si="97"/>
        <v>0</v>
      </c>
      <c r="K266" s="213">
        <f t="shared" si="97"/>
        <v>0</v>
      </c>
      <c r="L266" s="213">
        <f>SUM(L118:L260)</f>
        <v>0</v>
      </c>
      <c r="M266" s="213">
        <f>+M261*10+M262*25+M263*50</f>
        <v>0</v>
      </c>
      <c r="N266" s="213">
        <f t="shared" si="97"/>
        <v>0</v>
      </c>
      <c r="O266" s="213">
        <f t="shared" si="97"/>
        <v>2721140</v>
      </c>
      <c r="P266" s="213">
        <f>SUM(P261:P264)</f>
        <v>2721140</v>
      </c>
      <c r="Q266" s="935"/>
      <c r="R266" s="224"/>
      <c r="S266" s="224"/>
      <c r="T266" s="935"/>
      <c r="U266" s="890"/>
      <c r="V266" s="891"/>
      <c r="W266" s="1190"/>
      <c r="X266" s="213"/>
      <c r="Y266" s="857"/>
      <c r="Z266" s="819"/>
      <c r="AA266" s="674"/>
      <c r="AB266" s="674"/>
      <c r="AC266" s="674"/>
      <c r="AD266" s="674"/>
      <c r="AE266" s="674"/>
      <c r="AF266" s="674"/>
      <c r="AG266" s="674"/>
      <c r="AH266" s="674"/>
      <c r="AI266" s="674"/>
      <c r="AJ266" s="674"/>
      <c r="AK266" s="674"/>
      <c r="AL266" s="674"/>
      <c r="AM266" s="674"/>
      <c r="AN266" s="674"/>
      <c r="AO266" s="674"/>
      <c r="AP266" s="674"/>
      <c r="AQ266" s="674"/>
      <c r="AR266" s="674"/>
      <c r="AS266" s="674"/>
      <c r="AT266" s="674"/>
      <c r="AU266" s="674"/>
      <c r="AV266" s="674"/>
      <c r="AW266" s="674"/>
      <c r="AX266" s="674"/>
      <c r="AY266" s="674"/>
      <c r="AZ266" s="674"/>
      <c r="BA266" s="674"/>
      <c r="BB266" s="674"/>
      <c r="BC266" s="674"/>
      <c r="BD266" s="674"/>
      <c r="BE266" s="674"/>
      <c r="BF266" s="674"/>
      <c r="BG266" s="674"/>
      <c r="BH266" s="674"/>
    </row>
    <row r="267" spans="1:108" s="223" customFormat="1" ht="15" customHeight="1">
      <c r="A267" s="956" t="s">
        <v>447</v>
      </c>
      <c r="B267" s="957"/>
      <c r="C267" s="948" t="s">
        <v>448</v>
      </c>
      <c r="D267" s="949"/>
      <c r="E267" s="220">
        <f>+E265+E107</f>
        <v>39621</v>
      </c>
      <c r="F267" s="220"/>
      <c r="G267" s="220"/>
      <c r="H267" s="220">
        <f>SUM(H107,H265)</f>
        <v>0</v>
      </c>
      <c r="I267" s="220">
        <f>SUM(I107,I265)</f>
        <v>0</v>
      </c>
      <c r="J267" s="220">
        <f>SUM(J107,J265)</f>
        <v>0</v>
      </c>
      <c r="K267" s="220">
        <f>SUM(K107,K265)</f>
        <v>0</v>
      </c>
      <c r="L267" s="220">
        <f>SUM(L107,L265)</f>
        <v>0</v>
      </c>
      <c r="M267" s="220"/>
      <c r="N267" s="220">
        <f>SUM(N107,N265)</f>
        <v>0</v>
      </c>
      <c r="O267" s="484">
        <f>+SUM(O261:O264)+SUM(O103:O106)</f>
        <v>71173</v>
      </c>
      <c r="P267" s="220">
        <f>SUM(P107,P265)</f>
        <v>3204690</v>
      </c>
      <c r="Q267" s="939" t="s">
        <v>449</v>
      </c>
      <c r="R267" s="940"/>
      <c r="S267" s="940"/>
      <c r="T267" s="940"/>
      <c r="U267" s="940"/>
      <c r="V267" s="940"/>
      <c r="W267" s="941"/>
      <c r="X267" s="220"/>
      <c r="Y267" s="857"/>
      <c r="Z267" s="819"/>
      <c r="AA267" s="675"/>
      <c r="AB267" s="675"/>
      <c r="AC267" s="675"/>
      <c r="AD267" s="675"/>
      <c r="AE267" s="675"/>
      <c r="AF267" s="675"/>
      <c r="AG267" s="675"/>
      <c r="AH267" s="675"/>
      <c r="AI267" s="675"/>
      <c r="AJ267" s="675"/>
      <c r="AK267" s="675"/>
      <c r="AL267" s="675"/>
      <c r="AM267" s="675"/>
      <c r="AN267" s="675"/>
      <c r="AO267" s="675"/>
      <c r="AP267" s="675"/>
      <c r="AQ267" s="675"/>
      <c r="AR267" s="675"/>
      <c r="AS267" s="675"/>
      <c r="AT267" s="675"/>
      <c r="AU267" s="675"/>
      <c r="AV267" s="675"/>
      <c r="AW267" s="675"/>
      <c r="AX267" s="675"/>
      <c r="AY267" s="675"/>
      <c r="AZ267" s="675"/>
      <c r="BA267" s="675"/>
      <c r="BB267" s="675"/>
      <c r="BC267" s="675"/>
      <c r="BD267" s="675"/>
      <c r="BE267" s="675"/>
      <c r="BF267" s="675"/>
      <c r="BG267" s="675"/>
      <c r="BH267" s="675"/>
    </row>
    <row r="268" spans="1:108" s="193" customFormat="1" ht="15" customHeight="1">
      <c r="A268" s="958"/>
      <c r="B268" s="959"/>
      <c r="C268" s="879" t="s">
        <v>450</v>
      </c>
      <c r="D268" s="880"/>
      <c r="E268" s="204">
        <f>+E266+E108</f>
        <v>1627090</v>
      </c>
      <c r="F268" s="204">
        <f>+F266+F108</f>
        <v>1577600</v>
      </c>
      <c r="G268" s="204">
        <f>+G266+G108</f>
        <v>0</v>
      </c>
      <c r="H268" s="204">
        <f>SUM(H108,H266)</f>
        <v>0</v>
      </c>
      <c r="I268" s="204">
        <f>SUM(I108,I266)</f>
        <v>0</v>
      </c>
      <c r="J268" s="320"/>
      <c r="K268" s="320"/>
      <c r="L268" s="204">
        <f>SUM(L108,L266)</f>
        <v>0</v>
      </c>
      <c r="M268" s="204">
        <f>SUM(M108,M266)</f>
        <v>0</v>
      </c>
      <c r="N268" s="204">
        <f>SUM(N108,N266)</f>
        <v>0</v>
      </c>
      <c r="O268" s="584">
        <f>+O261*10+O262*25+O263*50+O103*25+O105*50</f>
        <v>3204690</v>
      </c>
      <c r="P268" s="585">
        <f>+P266+P108</f>
        <v>3204690</v>
      </c>
      <c r="Q268" s="942"/>
      <c r="R268" s="943"/>
      <c r="S268" s="943"/>
      <c r="T268" s="943"/>
      <c r="U268" s="943"/>
      <c r="V268" s="943"/>
      <c r="W268" s="944"/>
      <c r="X268" s="204"/>
      <c r="Y268" s="857"/>
      <c r="Z268" s="819"/>
      <c r="AA268" s="222"/>
      <c r="AB268" s="222"/>
      <c r="AC268" s="222"/>
      <c r="AD268" s="222"/>
      <c r="AE268" s="222"/>
      <c r="AF268" s="222"/>
      <c r="AG268" s="222"/>
      <c r="AH268" s="222"/>
      <c r="AI268" s="222"/>
      <c r="AJ268" s="222"/>
      <c r="AK268" s="222"/>
      <c r="AL268" s="222"/>
      <c r="AM268" s="222"/>
      <c r="AN268" s="222"/>
      <c r="AO268" s="222"/>
      <c r="AP268" s="222"/>
      <c r="AQ268" s="222"/>
      <c r="AR268" s="222"/>
      <c r="AS268" s="222"/>
      <c r="AT268" s="222"/>
      <c r="AU268" s="222"/>
      <c r="AV268" s="222"/>
      <c r="AW268" s="222"/>
      <c r="AX268" s="222"/>
      <c r="AY268" s="222"/>
      <c r="AZ268" s="222"/>
      <c r="BA268" s="222"/>
      <c r="BB268" s="222"/>
      <c r="BC268" s="222"/>
      <c r="BD268" s="222"/>
      <c r="BE268" s="222"/>
      <c r="BF268" s="222"/>
      <c r="BG268" s="222"/>
      <c r="BH268" s="222"/>
    </row>
    <row r="269" spans="1:108" s="193" customFormat="1" ht="15" customHeight="1">
      <c r="A269" s="950" t="s">
        <v>451</v>
      </c>
      <c r="B269" s="951"/>
      <c r="C269" s="877" t="s">
        <v>452</v>
      </c>
      <c r="D269" s="878"/>
      <c r="E269" s="204">
        <f>SUM(BRAN!E152,BRAN!E193,BRAN!E276,BRAN!E300,BRAN!E331)</f>
        <v>40</v>
      </c>
      <c r="F269" s="204">
        <f>SUM(BRAN!F152,BRAN!F193,BRAN!F276,BRAN!F300,BRAN!F331)</f>
        <v>0</v>
      </c>
      <c r="G269" s="204">
        <f>SUM(BRAN!G152,BRAN!G193,BRAN!G276,BRAN!G300,BRAN!G331)</f>
        <v>0</v>
      </c>
      <c r="H269" s="204">
        <f>SUM(BRAN!H152,BRAN!H193,BRAN!H276,BRAN!H300,BRAN!H331)</f>
        <v>0</v>
      </c>
      <c r="I269" s="204">
        <f>SUM(BRAN!I152,BRAN!I193,BRAN!I276,BRAN!I300,BRAN!I331)</f>
        <v>0</v>
      </c>
      <c r="J269" s="204"/>
      <c r="K269" s="204"/>
      <c r="L269" s="204">
        <f>SUM(BRAN!J152,BRAN!J193,BRAN!J276,BRAN!J300,BRAN!J331)</f>
        <v>0</v>
      </c>
      <c r="M269" s="204">
        <f>SUM(BRAN!K152,BRAN!K193,BRAN!K276,BRAN!K300,BRAN!K331)</f>
        <v>0</v>
      </c>
      <c r="N269" s="204">
        <f>SUM(BRAN!L152,BRAN!L193,BRAN!L276,BRAN!L300,BRAN!L331)</f>
        <v>0</v>
      </c>
      <c r="O269" s="584">
        <f>SUM(BRAN!M152,BRAN!M193,BRAN!M276,BRAN!M300,BRAN!M331)</f>
        <v>40</v>
      </c>
      <c r="P269" s="584">
        <f>+O269*25</f>
        <v>1000</v>
      </c>
      <c r="Q269" s="942"/>
      <c r="R269" s="943"/>
      <c r="S269" s="943"/>
      <c r="T269" s="943"/>
      <c r="U269" s="943"/>
      <c r="V269" s="943"/>
      <c r="W269" s="944"/>
      <c r="X269" s="204"/>
      <c r="Y269" s="857"/>
      <c r="Z269" s="819"/>
      <c r="AA269" s="222"/>
      <c r="AB269" s="222"/>
      <c r="AC269" s="222"/>
      <c r="AD269" s="222"/>
      <c r="AE269" s="222"/>
      <c r="AF269" s="222"/>
      <c r="AG269" s="222"/>
      <c r="AH269" s="222"/>
      <c r="AI269" s="222"/>
      <c r="AJ269" s="222"/>
      <c r="AK269" s="222"/>
      <c r="AL269" s="222"/>
      <c r="AM269" s="222"/>
      <c r="AN269" s="222"/>
      <c r="AO269" s="222"/>
      <c r="AP269" s="222"/>
      <c r="AQ269" s="222"/>
      <c r="AR269" s="222"/>
      <c r="AS269" s="222"/>
      <c r="AT269" s="222"/>
      <c r="AU269" s="222"/>
      <c r="AV269" s="222"/>
      <c r="AW269" s="222"/>
      <c r="AX269" s="222"/>
      <c r="AY269" s="222"/>
      <c r="AZ269" s="222"/>
      <c r="BA269" s="222"/>
      <c r="BB269" s="222"/>
      <c r="BC269" s="222"/>
      <c r="BD269" s="222"/>
      <c r="BE269" s="222"/>
      <c r="BF269" s="222"/>
      <c r="BG269" s="222"/>
      <c r="BH269" s="222"/>
    </row>
    <row r="270" spans="1:108" s="193" customFormat="1" ht="15" customHeight="1">
      <c r="A270" s="952"/>
      <c r="B270" s="953"/>
      <c r="C270" s="877" t="s">
        <v>453</v>
      </c>
      <c r="D270" s="878"/>
      <c r="E270" s="204">
        <f>+E261+BRAN!E151</f>
        <v>8965</v>
      </c>
      <c r="F270" s="204">
        <f>+F261</f>
        <v>0</v>
      </c>
      <c r="G270" s="204">
        <f>+G261</f>
        <v>0</v>
      </c>
      <c r="H270" s="204">
        <f>+H261+BRAN!H151</f>
        <v>0</v>
      </c>
      <c r="I270" s="204">
        <f>+I261+BRAN!I151</f>
        <v>0</v>
      </c>
      <c r="J270" s="204"/>
      <c r="K270" s="204"/>
      <c r="L270" s="204">
        <f>+I270*10</f>
        <v>0</v>
      </c>
      <c r="M270" s="204">
        <f>+M261+BRAN!K151</f>
        <v>0</v>
      </c>
      <c r="N270" s="204">
        <f>+N261+BRAN!L151</f>
        <v>0</v>
      </c>
      <c r="O270" s="584">
        <f>+E270+F270+G270+H270-I270-M270-N270</f>
        <v>8965</v>
      </c>
      <c r="P270" s="585">
        <f>+O270*10</f>
        <v>89650</v>
      </c>
      <c r="Q270" s="942"/>
      <c r="R270" s="943"/>
      <c r="S270" s="943"/>
      <c r="T270" s="943"/>
      <c r="U270" s="943"/>
      <c r="V270" s="943"/>
      <c r="W270" s="944"/>
      <c r="X270" s="204"/>
      <c r="Y270" s="857"/>
      <c r="Z270" s="819"/>
      <c r="AA270" s="222"/>
      <c r="AB270" s="222"/>
      <c r="AC270" s="222"/>
      <c r="AD270" s="222"/>
      <c r="AE270" s="222"/>
      <c r="AF270" s="222"/>
      <c r="AG270" s="222"/>
      <c r="AH270" s="222"/>
      <c r="AI270" s="222"/>
      <c r="AJ270" s="222"/>
      <c r="AK270" s="222"/>
      <c r="AL270" s="222"/>
      <c r="AM270" s="222"/>
      <c r="AN270" s="222"/>
      <c r="AO270" s="222"/>
      <c r="AP270" s="222"/>
      <c r="AQ270" s="222"/>
      <c r="AR270" s="222"/>
      <c r="AS270" s="222"/>
      <c r="AT270" s="222"/>
      <c r="AU270" s="222"/>
      <c r="AV270" s="222"/>
      <c r="AW270" s="222"/>
      <c r="AX270" s="222"/>
      <c r="AY270" s="222"/>
      <c r="AZ270" s="222"/>
      <c r="BA270" s="222"/>
      <c r="BB270" s="222"/>
      <c r="BC270" s="222"/>
      <c r="BD270" s="222"/>
      <c r="BE270" s="222"/>
      <c r="BF270" s="222"/>
      <c r="BG270" s="222"/>
      <c r="BH270" s="222"/>
    </row>
    <row r="271" spans="1:108" s="193" customFormat="1" ht="15" customHeight="1">
      <c r="A271" s="954"/>
      <c r="B271" s="955"/>
      <c r="C271" s="877" t="s">
        <v>454</v>
      </c>
      <c r="D271" s="878"/>
      <c r="E271" s="203">
        <f>SUM(BRAN!E153,BRAN!E194,BRAN!E277,BRAN!E301,BRAN!E332)+SUM(INTGRATE!E103,INTGRATE!E262)</f>
        <v>53566</v>
      </c>
      <c r="F271" s="203">
        <f>SUM(BRAN!F153,BRAN!F194,BRAN!F277,BRAN!F301,BRAN!F332)+SUM(INTGRATE!F103,INTGRATE!F262)</f>
        <v>15964</v>
      </c>
      <c r="G271" s="203">
        <f>SUM(BRAN!G153,BRAN!G194,BRAN!G277,BRAN!G301,BRAN!G332)+SUM(INTGRATE!G103,INTGRATE!G262)</f>
        <v>0</v>
      </c>
      <c r="H271" s="203">
        <f>SUM(BRAN!H153,BRAN!H194,BRAN!H277,BRAN!H301,BRAN!H332)+SUM(INTGRATE!H103,INTGRATE!H262)</f>
        <v>0</v>
      </c>
      <c r="I271" s="203">
        <f>SUM(BRAN!I153,BRAN!I194,BRAN!I277,BRAN!I301,BRAN!I332)+SUM(INTGRATE!I103,INTGRATE!I262)+I158</f>
        <v>0</v>
      </c>
      <c r="J271" s="203"/>
      <c r="K271" s="203"/>
      <c r="L271" s="203">
        <f>SUM(BRAN!J153,BRAN!J194,BRAN!J277,BRAN!J301,BRAN!J332)+SUM(INTGRATE!L103,INTGRATE!L262)+L158</f>
        <v>0</v>
      </c>
      <c r="M271" s="489">
        <f>SUM(BRAN!K153,BRAN!K194,BRAN!K277,BRAN!K301,BRAN!K332)+SUM(INTGRATE!M103,INTGRATE!M262)</f>
        <v>0</v>
      </c>
      <c r="N271" s="489">
        <f>SUM(BRAN!L153,BRAN!L194,BRAN!L277,BRAN!L301,BRAN!L332)+SUM(INTGRATE!N103,INTGRATE!N262)</f>
        <v>0</v>
      </c>
      <c r="O271" s="586">
        <f>+O262+O103+BRAN!M153+BRAN!M194+BRAN!M277+BRAN!M332+BRAN!M301</f>
        <v>69530</v>
      </c>
      <c r="P271" s="587">
        <f>+O271*25</f>
        <v>1738250</v>
      </c>
      <c r="Q271" s="942"/>
      <c r="R271" s="943"/>
      <c r="S271" s="943"/>
      <c r="T271" s="943"/>
      <c r="U271" s="943"/>
      <c r="V271" s="943"/>
      <c r="W271" s="944"/>
      <c r="X271" s="203"/>
      <c r="Y271" s="857"/>
      <c r="Z271" s="819"/>
      <c r="AA271" s="222"/>
      <c r="AB271" s="222"/>
      <c r="AC271" s="222"/>
      <c r="AD271" s="222"/>
      <c r="AE271" s="222"/>
      <c r="AF271" s="222"/>
      <c r="AG271" s="222"/>
      <c r="AH271" s="222"/>
      <c r="AI271" s="222"/>
      <c r="AJ271" s="222"/>
      <c r="AK271" s="222"/>
      <c r="AL271" s="222"/>
      <c r="AM271" s="222"/>
      <c r="AN271" s="222"/>
      <c r="AO271" s="222"/>
      <c r="AP271" s="222"/>
      <c r="AQ271" s="222"/>
      <c r="AR271" s="222"/>
      <c r="AS271" s="222"/>
      <c r="AT271" s="222"/>
      <c r="AU271" s="222"/>
      <c r="AV271" s="222"/>
      <c r="AW271" s="222"/>
      <c r="AX271" s="222"/>
      <c r="AY271" s="222"/>
      <c r="AZ271" s="222"/>
      <c r="BA271" s="222"/>
      <c r="BB271" s="222"/>
      <c r="BC271" s="222"/>
      <c r="BD271" s="222"/>
      <c r="BE271" s="222"/>
      <c r="BF271" s="222"/>
      <c r="BG271" s="222"/>
      <c r="BH271" s="222"/>
    </row>
    <row r="272" spans="1:108" s="193" customFormat="1" ht="15" customHeight="1">
      <c r="A272" s="1001" t="s">
        <v>455</v>
      </c>
      <c r="B272" s="1002"/>
      <c r="C272" s="877" t="s">
        <v>456</v>
      </c>
      <c r="D272" s="878"/>
      <c r="E272" s="203">
        <f>SUM(BRAN!E154,BRAN!E195,BRAN!E278,BRAN!E302,BRAN!E333)+E104</f>
        <v>0</v>
      </c>
      <c r="F272" s="203">
        <f>SUM(BRAN!F154,BRAN!F195,BRAN!F278,BRAN!F302,BRAN!F333)+F104</f>
        <v>0</v>
      </c>
      <c r="G272" s="203">
        <f>SUM(BRAN!G154,BRAN!G195,BRAN!G278,BRAN!G302,BRAN!G333)+G104</f>
        <v>0</v>
      </c>
      <c r="H272" s="203">
        <f>SUM(BRAN!H154,BRAN!H195,BRAN!H278,BRAN!H302)+H104</f>
        <v>0</v>
      </c>
      <c r="I272" s="203">
        <f>SUM(BRAN!I154,BRAN!I195,BRAN!I278,BRAN!I302,BRAN!I333)+I104</f>
        <v>0</v>
      </c>
      <c r="J272" s="203">
        <f>SUM(BRAN!J154,BRAN!J195,BRAN!J278,BRAN!J302,BRAN!J333)+J104</f>
        <v>0</v>
      </c>
      <c r="K272" s="203">
        <f>SUM(BRAN!K154,BRAN!K195,BRAN!K278,BRAN!K302,BRAN!K333)+K104</f>
        <v>0</v>
      </c>
      <c r="L272" s="203">
        <f>+I272*40</f>
        <v>0</v>
      </c>
      <c r="M272" s="203">
        <f>+M104+BRAN!K195+BRAN!K154+BRAN!K278+BRAN!K302+BRAN!K333</f>
        <v>0</v>
      </c>
      <c r="N272" s="203">
        <f>+N104+BRAN!L195+BRAN!L154</f>
        <v>0</v>
      </c>
      <c r="O272" s="203">
        <f>+BRAN!M154+BRAN!M195+BRAN!M278+BRAN!M302+BRAN!M333</f>
        <v>0</v>
      </c>
      <c r="P272" s="203">
        <f>+O272*40</f>
        <v>0</v>
      </c>
      <c r="Q272" s="942"/>
      <c r="R272" s="943"/>
      <c r="S272" s="943"/>
      <c r="T272" s="943"/>
      <c r="U272" s="943"/>
      <c r="V272" s="943"/>
      <c r="W272" s="944"/>
      <c r="X272" s="203"/>
      <c r="Y272" s="857"/>
      <c r="Z272" s="819"/>
      <c r="AA272" s="222"/>
      <c r="AB272" s="222"/>
      <c r="AC272" s="222"/>
      <c r="AD272" s="222"/>
      <c r="AE272" s="222"/>
      <c r="AF272" s="222"/>
      <c r="AG272" s="222"/>
      <c r="AH272" s="222"/>
      <c r="AI272" s="222"/>
      <c r="AJ272" s="222"/>
      <c r="AK272" s="222"/>
      <c r="AL272" s="222"/>
      <c r="AM272" s="222"/>
      <c r="AN272" s="222"/>
      <c r="AO272" s="449"/>
      <c r="AP272" s="222"/>
      <c r="AQ272" s="222"/>
      <c r="AR272" s="222"/>
      <c r="AS272" s="222"/>
      <c r="AT272" s="327"/>
      <c r="AU272" s="222"/>
      <c r="AV272" s="222"/>
      <c r="AW272" s="222"/>
      <c r="AX272" s="222"/>
      <c r="AY272" s="222"/>
      <c r="AZ272" s="222"/>
      <c r="BA272" s="222"/>
      <c r="BB272" s="222"/>
      <c r="BC272" s="222"/>
      <c r="BD272" s="222"/>
      <c r="BE272" s="222"/>
      <c r="BF272" s="222"/>
      <c r="BG272" s="222"/>
      <c r="BH272" s="222"/>
    </row>
    <row r="273" spans="1:60" s="193" customFormat="1" ht="15" customHeight="1">
      <c r="A273" s="1003"/>
      <c r="B273" s="1004"/>
      <c r="C273" s="877" t="s">
        <v>457</v>
      </c>
      <c r="D273" s="878"/>
      <c r="E273" s="203">
        <f>SUM(E105,E263)</f>
        <v>30772</v>
      </c>
      <c r="F273" s="203">
        <f>SUM(F105,F263)</f>
        <v>31552</v>
      </c>
      <c r="G273" s="203">
        <f>SUM(G105,G263)</f>
        <v>0</v>
      </c>
      <c r="H273" s="203">
        <f>SUM(H105,H106,H263,H264)</f>
        <v>0</v>
      </c>
      <c r="I273" s="203">
        <f>SUM(I105,I263)-I158</f>
        <v>0</v>
      </c>
      <c r="J273" s="203">
        <f>SUM(J105,J263)-J158</f>
        <v>0</v>
      </c>
      <c r="K273" s="203">
        <f>SUM(K105,K263)-K158</f>
        <v>0</v>
      </c>
      <c r="L273" s="203">
        <f>SUM(L105,L263)-L158</f>
        <v>0</v>
      </c>
      <c r="M273" s="203">
        <f>SUM(M105,M106,M263,M264)</f>
        <v>0</v>
      </c>
      <c r="N273" s="203">
        <f>SUM(N105,N106,N263,N264)</f>
        <v>0</v>
      </c>
      <c r="O273" s="586">
        <f>SUM(O105,O106,O263)</f>
        <v>62324</v>
      </c>
      <c r="P273" s="587">
        <f>+O273*50</f>
        <v>3116200</v>
      </c>
      <c r="Q273" s="942"/>
      <c r="R273" s="943"/>
      <c r="S273" s="943"/>
      <c r="T273" s="943"/>
      <c r="U273" s="943"/>
      <c r="V273" s="943"/>
      <c r="W273" s="944"/>
      <c r="X273" s="203"/>
      <c r="Y273" s="857"/>
      <c r="Z273" s="819"/>
      <c r="AA273" s="222"/>
      <c r="AB273" s="222"/>
      <c r="AC273" s="222"/>
      <c r="AD273" s="222"/>
      <c r="AE273" s="222"/>
      <c r="AF273" s="222"/>
      <c r="AG273" s="222"/>
      <c r="AH273" s="222"/>
      <c r="AI273" s="222"/>
      <c r="AK273" s="222"/>
      <c r="AL273" s="222"/>
      <c r="AM273" s="222"/>
      <c r="AN273" s="222"/>
      <c r="AO273" s="222"/>
      <c r="AP273" s="222"/>
      <c r="AQ273" s="222"/>
      <c r="AR273" s="222"/>
      <c r="AS273" s="222"/>
      <c r="AT273" s="327"/>
      <c r="AU273" s="222"/>
      <c r="AV273" s="222"/>
      <c r="AW273" s="222"/>
      <c r="AX273" s="222"/>
      <c r="AY273" s="222"/>
      <c r="AZ273" s="222"/>
      <c r="BA273" s="222"/>
      <c r="BB273" s="222"/>
      <c r="BC273" s="222"/>
      <c r="BD273" s="222"/>
      <c r="BE273" s="222"/>
      <c r="BF273" s="222"/>
      <c r="BG273" s="222"/>
      <c r="BH273" s="222"/>
    </row>
    <row r="274" spans="1:60" s="193" customFormat="1" ht="15" customHeight="1">
      <c r="A274" s="1005"/>
      <c r="B274" s="1006"/>
      <c r="C274" s="879" t="s">
        <v>458</v>
      </c>
      <c r="D274" s="880"/>
      <c r="E274" s="203">
        <f>+E269*25+E270*10+E271*25+E272*40+E273*50</f>
        <v>2968400</v>
      </c>
      <c r="F274" s="348">
        <f>+F271*25+F269*25+F270*10+F272*40+F273*50+F264+F106+BRAN!F155+BRAN!F280+BRAN!F334+BRAN!F304</f>
        <v>1976700</v>
      </c>
      <c r="G274" s="348">
        <f>SUM(BRAN!G157,BRAN!G197,BRAN!G281,BRAN!G305,BRAN!G336)+SUM(G266,G108)</f>
        <v>0</v>
      </c>
      <c r="H274" s="348">
        <f>SUM(BRAN!H157,BRAN!H197,BRAN!H281,BRAN!H305,BRAN!H336)+SUM(H266,H108)</f>
        <v>0</v>
      </c>
      <c r="I274" s="348">
        <f>+L274</f>
        <v>0</v>
      </c>
      <c r="J274" s="348"/>
      <c r="K274" s="348"/>
      <c r="L274" s="348">
        <f>+L266+L108+BRAN!J336+BRAN!J305+BRAN!J281+BRAN!J197+BRAN!J157</f>
        <v>0</v>
      </c>
      <c r="M274" s="348">
        <f>+M269*25+M270*10+M271*25+M272*40+M273*50</f>
        <v>0</v>
      </c>
      <c r="N274" s="545">
        <f>+N273*50+N272*40+N271*25+N270*10+N269*25</f>
        <v>0</v>
      </c>
      <c r="O274" s="582">
        <f>+P274</f>
        <v>4945100</v>
      </c>
      <c r="P274" s="582">
        <f>SUM(P269:P273)</f>
        <v>4945100</v>
      </c>
      <c r="Q274" s="945"/>
      <c r="R274" s="946"/>
      <c r="S274" s="946"/>
      <c r="T274" s="946"/>
      <c r="U274" s="946"/>
      <c r="V274" s="946"/>
      <c r="W274" s="947"/>
      <c r="X274" s="397">
        <f>+X265+X108+BRAN!U157+BRAN!U197+BRAN!U281+BRAN!U305+BRAN!U336</f>
        <v>0</v>
      </c>
      <c r="Y274" s="857"/>
      <c r="Z274" s="819"/>
      <c r="AA274" s="222"/>
      <c r="AB274" s="222"/>
      <c r="AC274" s="222"/>
      <c r="AD274" s="222"/>
      <c r="AE274" s="222"/>
      <c r="AF274" s="222"/>
      <c r="AG274" s="222"/>
      <c r="AH274" s="222"/>
      <c r="AI274" s="222"/>
      <c r="AJ274" s="222"/>
      <c r="AK274" s="222"/>
      <c r="AL274" s="222"/>
      <c r="AM274" s="222"/>
      <c r="AN274" s="222"/>
      <c r="AO274" s="222"/>
      <c r="AP274" s="222"/>
      <c r="AQ274" s="222"/>
      <c r="AR274" s="222"/>
      <c r="AS274" s="222"/>
      <c r="AT274" s="222"/>
      <c r="AU274" s="222"/>
      <c r="AY274" s="222"/>
      <c r="AZ274" s="222"/>
      <c r="BA274" s="222"/>
      <c r="BB274" s="222"/>
      <c r="BC274" s="222"/>
      <c r="BD274" s="222"/>
      <c r="BE274" s="222"/>
      <c r="BF274" s="222"/>
      <c r="BG274" s="222"/>
      <c r="BH274" s="222"/>
    </row>
    <row r="275" spans="1:60" s="225" customFormat="1" ht="15" customHeight="1">
      <c r="A275" s="286"/>
      <c r="E275" s="449"/>
      <c r="F275" s="449"/>
      <c r="G275" s="237"/>
      <c r="H275" s="201"/>
      <c r="I275" s="396"/>
      <c r="J275" s="237"/>
      <c r="K275" s="237"/>
      <c r="L275" s="201"/>
      <c r="M275" s="201"/>
      <c r="N275" s="237"/>
      <c r="O275" s="661">
        <f>+E274+F274+H274-I274-N274-M274</f>
        <v>4945100</v>
      </c>
      <c r="P275" s="590">
        <f>+E274+F274+H274-I274-M274-N274</f>
        <v>4945100</v>
      </c>
      <c r="Q275" s="237">
        <f>SUM(Q119:Q260)</f>
        <v>13082400</v>
      </c>
      <c r="R275" s="202"/>
      <c r="S275" s="202"/>
      <c r="T275" s="237"/>
      <c r="U275" s="238"/>
      <c r="V275" s="238"/>
      <c r="W275" s="238"/>
      <c r="X275" s="196"/>
      <c r="Y275" s="853"/>
      <c r="Z275" s="816"/>
    </row>
    <row r="276" spans="1:60" s="193" customFormat="1" ht="15" customHeight="1">
      <c r="A276" s="286"/>
      <c r="B276" s="191"/>
      <c r="C276" s="195"/>
      <c r="D276" s="793"/>
      <c r="E276" s="239"/>
      <c r="F276" s="239"/>
      <c r="G276" s="239"/>
      <c r="H276" s="239"/>
      <c r="I276" s="197"/>
      <c r="J276" s="239"/>
      <c r="K276" s="239"/>
      <c r="L276" s="239"/>
      <c r="M276" s="239"/>
      <c r="N276" s="424"/>
      <c r="O276" s="424"/>
      <c r="P276" s="424"/>
      <c r="Q276" s="424"/>
      <c r="R276" s="241"/>
      <c r="S276" s="241"/>
      <c r="T276" s="886"/>
      <c r="U276" s="886"/>
      <c r="V276" s="240"/>
      <c r="W276" s="240"/>
      <c r="X276" s="240"/>
      <c r="Y276" s="864"/>
      <c r="Z276" s="824"/>
      <c r="AV276" s="222"/>
      <c r="AW276" s="222"/>
      <c r="AX276" s="222"/>
    </row>
    <row r="277" spans="1:60" ht="15" customHeight="1">
      <c r="C277" s="720"/>
      <c r="D277" s="793"/>
      <c r="E277" s="195"/>
      <c r="F277" s="197"/>
      <c r="G277" s="239"/>
      <c r="H277" s="197"/>
      <c r="I277" s="197"/>
      <c r="J277" s="197"/>
      <c r="K277" s="197"/>
      <c r="L277" s="242"/>
      <c r="M277" s="239"/>
      <c r="N277" s="424"/>
      <c r="O277" s="424"/>
      <c r="P277" s="583"/>
      <c r="Q277" s="424"/>
      <c r="T277" s="1191"/>
      <c r="U277" s="1192"/>
      <c r="V277" s="1193"/>
      <c r="W277" s="1194"/>
      <c r="AE277" s="197"/>
      <c r="AV277" s="225"/>
      <c r="AW277" s="225"/>
      <c r="AX277" s="225"/>
    </row>
    <row r="278" spans="1:60" ht="15" customHeight="1">
      <c r="C278" s="642"/>
      <c r="D278" s="793"/>
      <c r="E278" s="197"/>
      <c r="F278" s="638"/>
      <c r="G278" s="239"/>
      <c r="H278" s="197"/>
      <c r="I278" s="197"/>
      <c r="J278" s="347"/>
      <c r="K278" s="347"/>
      <c r="L278" s="197"/>
      <c r="M278" s="197"/>
      <c r="N278" s="424"/>
      <c r="O278" s="424"/>
      <c r="P278" s="424"/>
      <c r="Q278" s="424"/>
      <c r="T278" s="1191"/>
      <c r="U278" s="1191"/>
      <c r="V278" s="1195"/>
      <c r="W278" s="1194"/>
      <c r="AD278" s="197"/>
      <c r="AG278" s="197"/>
      <c r="AL278" s="197"/>
      <c r="AV278" s="193"/>
      <c r="AW278" s="193"/>
      <c r="AX278" s="193"/>
    </row>
    <row r="279" spans="1:60" ht="15" customHeight="1">
      <c r="A279" s="424"/>
      <c r="B279" s="424"/>
      <c r="C279" s="636"/>
      <c r="D279" s="793"/>
      <c r="E279" s="197"/>
      <c r="F279" s="636"/>
      <c r="G279" s="239"/>
      <c r="H279" s="424"/>
      <c r="I279" s="197"/>
      <c r="J279" s="424"/>
      <c r="K279" s="424"/>
      <c r="L279" s="424"/>
      <c r="M279" s="424"/>
      <c r="N279" s="424"/>
      <c r="O279" s="239"/>
      <c r="Q279" s="424"/>
      <c r="R279" s="424"/>
      <c r="S279" s="424"/>
      <c r="T279" s="424"/>
      <c r="U279" s="424"/>
      <c r="V279" s="192"/>
      <c r="W279" s="196"/>
      <c r="AB279" s="197"/>
    </row>
    <row r="280" spans="1:60" ht="15" customHeight="1" thickBot="1">
      <c r="A280" s="424"/>
      <c r="B280" s="424"/>
      <c r="C280" s="636"/>
      <c r="D280" s="793"/>
      <c r="E280" s="197"/>
      <c r="F280" s="636"/>
      <c r="G280" s="239"/>
      <c r="H280" s="636"/>
      <c r="I280" s="197"/>
      <c r="J280" s="424"/>
      <c r="K280" s="424"/>
      <c r="L280" s="636"/>
      <c r="M280" s="424"/>
      <c r="N280" s="424"/>
      <c r="O280" s="487"/>
      <c r="P280" s="424"/>
      <c r="Q280" s="424"/>
      <c r="R280" s="424"/>
      <c r="S280" s="424"/>
      <c r="T280" s="424"/>
      <c r="U280" s="424"/>
      <c r="V280" s="396"/>
      <c r="W280" s="525"/>
      <c r="AR280" s="197"/>
    </row>
    <row r="281" spans="1:60" s="193" customFormat="1" ht="15" customHeight="1">
      <c r="A281" s="288"/>
      <c r="B281" s="239"/>
      <c r="C281" s="637"/>
      <c r="D281" s="793"/>
      <c r="E281" s="197"/>
      <c r="F281" s="639"/>
      <c r="G281" s="637"/>
      <c r="H281" s="637"/>
      <c r="I281" s="197"/>
      <c r="J281" s="239"/>
      <c r="K281" s="239"/>
      <c r="L281" s="637"/>
      <c r="M281" s="239"/>
      <c r="N281" s="243"/>
      <c r="O281" s="491" t="s">
        <v>459</v>
      </c>
      <c r="P281" s="244"/>
      <c r="Q281" s="1085">
        <f>P274+REMIX!O24+X274</f>
        <v>4945100</v>
      </c>
      <c r="R281" s="1086"/>
      <c r="S281" s="1086"/>
      <c r="T281" s="1086"/>
      <c r="U281" s="1087"/>
      <c r="V281" s="396"/>
      <c r="W281" s="201"/>
      <c r="X281" s="201"/>
      <c r="Y281" s="857"/>
      <c r="Z281" s="819"/>
      <c r="AV281" s="191"/>
      <c r="AW281" s="191"/>
      <c r="AX281" s="191"/>
    </row>
    <row r="282" spans="1:60" s="193" customFormat="1">
      <c r="A282" s="288"/>
      <c r="B282" s="239"/>
      <c r="C282" s="637"/>
      <c r="D282" s="793"/>
      <c r="E282" s="197"/>
      <c r="F282" s="637"/>
      <c r="G282" s="637"/>
      <c r="H282" s="637"/>
      <c r="I282" s="197"/>
      <c r="J282" s="239"/>
      <c r="K282" s="239"/>
      <c r="L282" s="637"/>
      <c r="M282" s="239"/>
      <c r="N282" s="243"/>
      <c r="O282" s="912" t="s">
        <v>460</v>
      </c>
      <c r="P282" s="913"/>
      <c r="Q282" s="245">
        <f>+BRAN!P13</f>
        <v>0</v>
      </c>
      <c r="R282" s="215"/>
      <c r="S282" s="215"/>
      <c r="T282" s="245">
        <f>Q282/Q281*100</f>
        <v>0</v>
      </c>
      <c r="U282" s="246" t="s">
        <v>461</v>
      </c>
      <c r="V282" s="330"/>
      <c r="W282" s="201"/>
      <c r="X282" s="247"/>
      <c r="Y282" s="775"/>
      <c r="Z282" s="825"/>
      <c r="AV282" s="191"/>
      <c r="AW282" s="191"/>
      <c r="AX282" s="191"/>
    </row>
    <row r="283" spans="1:60">
      <c r="A283" s="288"/>
      <c r="B283" s="239"/>
      <c r="C283" s="637"/>
      <c r="D283" s="794"/>
      <c r="E283" s="197"/>
      <c r="F283" s="637"/>
      <c r="G283" s="637"/>
      <c r="H283" s="637"/>
      <c r="I283" s="197"/>
      <c r="J283" s="239"/>
      <c r="K283" s="239"/>
      <c r="L283" s="637"/>
      <c r="M283" s="239"/>
      <c r="N283" s="248"/>
      <c r="O283" s="912" t="s">
        <v>462</v>
      </c>
      <c r="P283" s="913"/>
      <c r="Q283" s="245">
        <f>SUM(R128)+BRAN!P14+BRAN!P167+BRAN!P206</f>
        <v>214075</v>
      </c>
      <c r="R283" s="215"/>
      <c r="S283" s="215"/>
      <c r="T283" s="245">
        <f>Q283/Q281*100</f>
        <v>4.3290327799235602</v>
      </c>
      <c r="U283" s="246" t="s">
        <v>461</v>
      </c>
      <c r="V283" s="330"/>
      <c r="W283" s="242"/>
      <c r="X283" s="247"/>
      <c r="Y283" s="775"/>
      <c r="Z283" s="825"/>
    </row>
    <row r="284" spans="1:60">
      <c r="A284" s="288"/>
      <c r="B284" s="239"/>
      <c r="C284" s="637"/>
      <c r="D284" s="637"/>
      <c r="E284" s="197"/>
      <c r="F284" s="637"/>
      <c r="G284" s="637"/>
      <c r="H284" s="637"/>
      <c r="J284" s="239"/>
      <c r="K284" s="239"/>
      <c r="L284" s="637"/>
      <c r="M284" s="239"/>
      <c r="N284" s="248"/>
      <c r="O284" s="912" t="s">
        <v>463</v>
      </c>
      <c r="P284" s="913"/>
      <c r="Q284" s="245">
        <f>+Q281-Q282-Q283</f>
        <v>4731025</v>
      </c>
      <c r="R284" s="215"/>
      <c r="S284" s="215"/>
      <c r="T284" s="245">
        <f>Q284/Q281*100</f>
        <v>95.670967220076449</v>
      </c>
      <c r="U284" s="246" t="s">
        <v>461</v>
      </c>
      <c r="V284" s="299"/>
      <c r="W284" s="242"/>
      <c r="X284" s="247"/>
      <c r="Y284" s="775"/>
      <c r="Z284" s="825"/>
    </row>
    <row r="285" spans="1:60" ht="17.25" customHeight="1">
      <c r="A285" s="288"/>
      <c r="B285" s="239"/>
      <c r="C285" s="637"/>
      <c r="D285" s="637"/>
      <c r="E285" s="197"/>
      <c r="F285" s="637"/>
      <c r="G285" s="637"/>
      <c r="H285" s="637"/>
      <c r="I285" s="635"/>
      <c r="J285" s="635"/>
      <c r="K285" s="239"/>
      <c r="L285" s="637"/>
      <c r="M285" s="239"/>
      <c r="N285" s="195"/>
      <c r="O285" s="995" t="s">
        <v>464</v>
      </c>
      <c r="P285" s="997"/>
      <c r="Q285" s="1082">
        <v>724919</v>
      </c>
      <c r="R285" s="1083"/>
      <c r="S285" s="1083"/>
      <c r="T285" s="1083"/>
      <c r="U285" s="1084"/>
      <c r="V285" s="201"/>
      <c r="W285" s="242"/>
      <c r="X285" s="201"/>
      <c r="Y285" s="775"/>
      <c r="Z285" s="825"/>
    </row>
    <row r="286" spans="1:60" ht="17.25" customHeight="1">
      <c r="A286" s="288"/>
      <c r="B286" s="239"/>
      <c r="C286" s="637"/>
      <c r="D286" s="637"/>
      <c r="E286" s="197"/>
      <c r="F286" s="637"/>
      <c r="G286" s="637"/>
      <c r="H286" s="637"/>
      <c r="I286" s="635"/>
      <c r="J286" s="635"/>
      <c r="K286" s="239"/>
      <c r="L286" s="637"/>
      <c r="M286" s="239"/>
      <c r="N286" s="195"/>
      <c r="O286" s="995" t="s">
        <v>465</v>
      </c>
      <c r="P286" s="996"/>
      <c r="Q286" s="1082"/>
      <c r="R286" s="1083"/>
      <c r="S286" s="1083"/>
      <c r="T286" s="1083"/>
      <c r="U286" s="1084"/>
      <c r="V286" s="201"/>
      <c r="W286" s="242"/>
      <c r="X286" s="201"/>
      <c r="Y286" s="775"/>
      <c r="Z286" s="825"/>
    </row>
    <row r="287" spans="1:60">
      <c r="A287" s="288"/>
      <c r="B287" s="239"/>
      <c r="C287" s="637"/>
      <c r="D287" s="637"/>
      <c r="E287" s="197"/>
      <c r="F287" s="637"/>
      <c r="G287" s="637"/>
      <c r="H287" s="637"/>
      <c r="I287" s="635"/>
      <c r="J287" s="635"/>
      <c r="K287" s="239"/>
      <c r="L287" s="637"/>
      <c r="M287" s="239"/>
      <c r="N287" s="195"/>
      <c r="O287" s="907" t="s">
        <v>466</v>
      </c>
      <c r="P287" s="888"/>
      <c r="Q287" s="887">
        <f>+Q281+Q285+Q286</f>
        <v>5670019</v>
      </c>
      <c r="R287" s="888"/>
      <c r="S287" s="888"/>
      <c r="T287" s="888"/>
      <c r="U287" s="889"/>
      <c r="V287" s="201"/>
      <c r="W287" s="242"/>
      <c r="X287" s="247"/>
      <c r="Y287" s="775"/>
      <c r="Z287" s="825"/>
    </row>
    <row r="288" spans="1:60" s="193" customFormat="1" ht="15" customHeight="1">
      <c r="A288" s="288"/>
      <c r="B288" s="239"/>
      <c r="C288" s="637"/>
      <c r="D288" s="637"/>
      <c r="E288" s="197"/>
      <c r="F288" s="637"/>
      <c r="G288" s="637"/>
      <c r="H288" s="637"/>
      <c r="I288" s="813"/>
      <c r="J288" s="635"/>
      <c r="K288" s="239"/>
      <c r="L288" s="637"/>
      <c r="M288" s="239"/>
      <c r="N288" s="243"/>
      <c r="O288" s="960" t="s">
        <v>467</v>
      </c>
      <c r="P288" s="961"/>
      <c r="Q288" s="962"/>
      <c r="R288" s="249"/>
      <c r="S288" s="250"/>
      <c r="T288" s="1092">
        <f>Q281/O311</f>
        <v>2.5096594984504201</v>
      </c>
      <c r="U288" s="1093"/>
      <c r="V288" s="201"/>
      <c r="W288" s="222"/>
      <c r="X288" s="247"/>
      <c r="Y288" s="775"/>
      <c r="Z288" s="825"/>
    </row>
    <row r="289" spans="1:26">
      <c r="A289" s="288"/>
      <c r="B289" s="239"/>
      <c r="C289" s="637"/>
      <c r="D289" s="637"/>
      <c r="E289" s="197"/>
      <c r="F289" s="637"/>
      <c r="G289" s="637"/>
      <c r="H289" s="637"/>
      <c r="I289" s="812"/>
      <c r="J289" s="635"/>
      <c r="K289" s="239"/>
      <c r="L289" s="637"/>
      <c r="M289" s="239"/>
      <c r="N289" s="195"/>
      <c r="O289" s="910" t="s">
        <v>468</v>
      </c>
      <c r="P289" s="911"/>
      <c r="Q289" s="251">
        <f>+BRAN!N157+BRAN!N197+BRAN!N281+BRAN!N305+BRAN!N336</f>
        <v>1740410</v>
      </c>
      <c r="R289" s="252"/>
      <c r="S289" s="252"/>
      <c r="T289" s="494">
        <f>+Q289/Q287*100</f>
        <v>30.694958870508195</v>
      </c>
      <c r="U289" s="253" t="s">
        <v>461</v>
      </c>
      <c r="V289" s="302"/>
    </row>
    <row r="290" spans="1:26">
      <c r="A290" s="288"/>
      <c r="B290" s="239"/>
      <c r="C290" s="637"/>
      <c r="D290" s="341"/>
      <c r="E290" s="197"/>
      <c r="F290" s="239"/>
      <c r="G290" s="239"/>
      <c r="H290" s="637"/>
      <c r="I290" s="635"/>
      <c r="J290" s="635"/>
      <c r="K290" s="239"/>
      <c r="L290" s="637"/>
      <c r="M290" s="239"/>
      <c r="N290" s="591"/>
      <c r="O290" s="908" t="s">
        <v>469</v>
      </c>
      <c r="P290" s="909"/>
      <c r="Q290" s="251">
        <f>+Q281-Q289</f>
        <v>3204690</v>
      </c>
      <c r="R290" s="249"/>
      <c r="S290" s="249"/>
      <c r="T290" s="495">
        <f>+Q290/$Q$287*100</f>
        <v>56.519916423560488</v>
      </c>
      <c r="U290" s="254" t="s">
        <v>461</v>
      </c>
      <c r="V290" s="302"/>
    </row>
    <row r="291" spans="1:26" ht="15" customHeight="1" thickBot="1">
      <c r="A291" s="288"/>
      <c r="B291" s="239"/>
      <c r="C291" s="637"/>
      <c r="D291" s="341"/>
      <c r="E291" s="197"/>
      <c r="F291" s="239"/>
      <c r="G291" s="239"/>
      <c r="H291" s="637"/>
      <c r="I291" s="635"/>
      <c r="J291" s="635"/>
      <c r="K291" s="239"/>
      <c r="L291" s="637"/>
      <c r="M291" s="239"/>
      <c r="N291" s="195"/>
      <c r="O291" s="905" t="s">
        <v>470</v>
      </c>
      <c r="P291" s="906"/>
      <c r="Q291" s="673">
        <v>422000</v>
      </c>
      <c r="R291" s="446"/>
      <c r="S291" s="446"/>
      <c r="T291" s="495">
        <f>+Q291/$Q$287*100</f>
        <v>7.4426558358975523</v>
      </c>
      <c r="U291" s="447" t="s">
        <v>461</v>
      </c>
      <c r="V291" s="302"/>
    </row>
    <row r="292" spans="1:26">
      <c r="A292" s="288"/>
      <c r="B292" s="239"/>
      <c r="C292" s="641"/>
      <c r="D292" s="341"/>
      <c r="E292" s="197"/>
      <c r="F292" s="239"/>
      <c r="G292" s="239"/>
      <c r="H292" s="635"/>
      <c r="I292" s="635"/>
      <c r="J292" s="635"/>
      <c r="K292" s="239"/>
      <c r="L292" s="239"/>
      <c r="M292" s="239"/>
      <c r="N292" s="195"/>
      <c r="O292" s="1075"/>
      <c r="P292" s="1075"/>
      <c r="Q292" s="1075"/>
      <c r="T292" s="227"/>
      <c r="U292" s="197"/>
      <c r="V292" s="197"/>
    </row>
    <row r="293" spans="1:26" ht="17.25" customHeight="1" thickBot="1">
      <c r="A293" s="938" t="s">
        <v>471</v>
      </c>
      <c r="B293" s="938"/>
      <c r="C293" s="271">
        <v>9</v>
      </c>
      <c r="D293" s="937" t="s">
        <v>472</v>
      </c>
      <c r="E293" s="937"/>
      <c r="F293" s="937"/>
      <c r="G293" s="937"/>
      <c r="H293" s="937"/>
      <c r="I293" s="979"/>
      <c r="J293" s="979"/>
      <c r="L293" s="938" t="s">
        <v>473</v>
      </c>
      <c r="M293" s="938"/>
      <c r="N293" s="272">
        <v>9</v>
      </c>
      <c r="O293" s="1091" t="s">
        <v>474</v>
      </c>
      <c r="P293" s="1091"/>
      <c r="Q293" s="1091"/>
      <c r="R293" s="1091"/>
      <c r="S293" s="1091"/>
      <c r="T293" s="1091"/>
      <c r="U293" s="1091"/>
      <c r="V293" s="193"/>
    </row>
    <row r="294" spans="1:26" ht="21.75" customHeight="1">
      <c r="A294" s="1009" t="s">
        <v>475</v>
      </c>
      <c r="B294" s="998" t="s">
        <v>476</v>
      </c>
      <c r="C294" s="999"/>
      <c r="D294" s="999"/>
      <c r="E294" s="999"/>
      <c r="F294" s="999"/>
      <c r="G294" s="999"/>
      <c r="H294" s="1000"/>
      <c r="I294" s="987"/>
      <c r="J294" s="987"/>
      <c r="K294" s="259"/>
      <c r="L294" s="1066" t="s">
        <v>475</v>
      </c>
      <c r="M294" s="1067"/>
      <c r="N294" s="970" t="s">
        <v>477</v>
      </c>
      <c r="O294" s="971"/>
      <c r="P294" s="971"/>
      <c r="Q294" s="971"/>
      <c r="R294" s="971"/>
      <c r="S294" s="971"/>
      <c r="T294" s="971"/>
      <c r="U294" s="972"/>
      <c r="V294" s="304"/>
      <c r="W294" s="303"/>
      <c r="X294" s="247"/>
      <c r="Y294" s="775"/>
      <c r="Z294" s="825"/>
    </row>
    <row r="295" spans="1:26" ht="25.5" customHeight="1">
      <c r="A295" s="1010"/>
      <c r="B295" s="685" t="s">
        <v>478</v>
      </c>
      <c r="C295" s="685" t="s">
        <v>58</v>
      </c>
      <c r="D295" s="988" t="s">
        <v>479</v>
      </c>
      <c r="E295" s="989"/>
      <c r="F295" s="988" t="s">
        <v>480</v>
      </c>
      <c r="G295" s="1011"/>
      <c r="H295" s="1012"/>
      <c r="I295" s="979"/>
      <c r="J295" s="979"/>
      <c r="K295" s="255"/>
      <c r="L295" s="1068"/>
      <c r="M295" s="1069"/>
      <c r="N295" s="685" t="s">
        <v>58</v>
      </c>
      <c r="O295" s="686" t="s">
        <v>481</v>
      </c>
      <c r="P295" s="963" t="s">
        <v>482</v>
      </c>
      <c r="Q295" s="1070"/>
      <c r="R295" s="687"/>
      <c r="S295" s="687"/>
      <c r="T295" s="963" t="s">
        <v>483</v>
      </c>
      <c r="U295" s="964"/>
      <c r="V295" s="298"/>
      <c r="W295" s="303"/>
      <c r="X295" s="247"/>
      <c r="Y295" s="775"/>
      <c r="Z295" s="825"/>
    </row>
    <row r="296" spans="1:26" s="257" customFormat="1" ht="15" customHeight="1">
      <c r="A296" s="323" t="s">
        <v>484</v>
      </c>
      <c r="B296" s="734">
        <f>BRAN!F152*25+3950</f>
        <v>3950</v>
      </c>
      <c r="C296" s="735">
        <f>+BRAN!F155+441240</f>
        <v>441240</v>
      </c>
      <c r="D296" s="1007">
        <f>BRAN!F153*25+BRAN!F154*40+2629575</f>
        <v>2943350</v>
      </c>
      <c r="E296" s="1008"/>
      <c r="F296" s="981"/>
      <c r="G296" s="982"/>
      <c r="H296" s="983"/>
      <c r="I296" s="986"/>
      <c r="J296" s="987"/>
      <c r="K296" s="256"/>
      <c r="L296" s="688" t="s">
        <v>484</v>
      </c>
      <c r="M296" s="689"/>
      <c r="N296" s="690">
        <f>+C296</f>
        <v>441240</v>
      </c>
      <c r="O296" s="691">
        <f>BRAN!O150+BRAN!O152</f>
        <v>2950</v>
      </c>
      <c r="P296" s="990">
        <f>+BRAN!BC150-INTGRATE!O296-N296</f>
        <v>2312195</v>
      </c>
      <c r="Q296" s="991"/>
      <c r="R296" s="692"/>
      <c r="S296" s="692"/>
      <c r="T296" s="973"/>
      <c r="U296" s="973"/>
      <c r="V296" s="217"/>
      <c r="W296" s="192"/>
      <c r="X296" s="201"/>
      <c r="Y296" s="857"/>
      <c r="Z296" s="819"/>
    </row>
    <row r="297" spans="1:26" s="247" customFormat="1" ht="15" customHeight="1">
      <c r="A297" s="324" t="s">
        <v>461</v>
      </c>
      <c r="B297" s="736">
        <f>IF(B296=0,0,B296/B308*100)</f>
        <v>100</v>
      </c>
      <c r="C297" s="765">
        <f>+C296/C308*100</f>
        <v>9.91991942482273</v>
      </c>
      <c r="D297" s="984">
        <f>D296/D308*100</f>
        <v>78.521789006122532</v>
      </c>
      <c r="E297" s="985"/>
      <c r="F297" s="965"/>
      <c r="G297" s="976"/>
      <c r="H297" s="977"/>
      <c r="I297" s="978"/>
      <c r="J297" s="979"/>
      <c r="K297" s="258"/>
      <c r="L297" s="693" t="s">
        <v>461</v>
      </c>
      <c r="M297" s="694"/>
      <c r="N297" s="695">
        <f>+N296/N308</f>
        <v>9.9199194248227304E-2</v>
      </c>
      <c r="O297" s="696">
        <f>O296/O308*100</f>
        <v>100</v>
      </c>
      <c r="P297" s="980">
        <f>P296/P308*100</f>
        <v>58.696772457491583</v>
      </c>
      <c r="Q297" s="974"/>
      <c r="R297" s="697"/>
      <c r="S297" s="697"/>
      <c r="T297" s="902"/>
      <c r="U297" s="902"/>
      <c r="W297" s="192"/>
      <c r="X297" s="201"/>
      <c r="Y297" s="857"/>
      <c r="Z297" s="819"/>
    </row>
    <row r="298" spans="1:26" s="217" customFormat="1" ht="15.75" customHeight="1">
      <c r="A298" s="324" t="s">
        <v>485</v>
      </c>
      <c r="B298" s="737">
        <f>BRAN!F193*25</f>
        <v>0</v>
      </c>
      <c r="C298" s="738"/>
      <c r="D298" s="967">
        <f>BRAN!F194*25+BRAN!F195*40+187450</f>
        <v>209525</v>
      </c>
      <c r="E298" s="975"/>
      <c r="F298" s="967"/>
      <c r="G298" s="968"/>
      <c r="H298" s="969"/>
      <c r="I298" s="868"/>
      <c r="J298" s="868"/>
      <c r="K298" s="1196"/>
      <c r="L298" s="693" t="s">
        <v>485</v>
      </c>
      <c r="M298" s="694"/>
      <c r="N298" s="698">
        <f>BRAN!O193</f>
        <v>0</v>
      </c>
      <c r="O298" s="699">
        <f>BRAN!O193</f>
        <v>0</v>
      </c>
      <c r="P298" s="903">
        <f>BRAN!O194+BRAN!O195</f>
        <v>182650</v>
      </c>
      <c r="Q298" s="904"/>
      <c r="R298" s="697"/>
      <c r="S298" s="697"/>
      <c r="T298" s="1090"/>
      <c r="U298" s="1090"/>
      <c r="W298" s="192"/>
      <c r="X298" s="201"/>
      <c r="Y298" s="857"/>
      <c r="Z298" s="819"/>
    </row>
    <row r="299" spans="1:26" s="247" customFormat="1" ht="15" customHeight="1">
      <c r="A299" s="324" t="s">
        <v>461</v>
      </c>
      <c r="B299" s="739">
        <f>IF(B298=0,0,B298/B308*100)</f>
        <v>0</v>
      </c>
      <c r="C299" s="740"/>
      <c r="D299" s="965">
        <f>D298/D308*100</f>
        <v>5.5896437194040205</v>
      </c>
      <c r="E299" s="966"/>
      <c r="F299" s="965"/>
      <c r="G299" s="976"/>
      <c r="H299" s="977"/>
      <c r="I299" s="496"/>
      <c r="J299" s="196"/>
      <c r="K299" s="196"/>
      <c r="L299" s="693" t="s">
        <v>461</v>
      </c>
      <c r="M299" s="694"/>
      <c r="N299" s="700"/>
      <c r="O299" s="696">
        <f>N298/O308*100</f>
        <v>0</v>
      </c>
      <c r="P299" s="980">
        <f>P298/P308*100</f>
        <v>4.6367047283472367</v>
      </c>
      <c r="Q299" s="974"/>
      <c r="R299" s="697"/>
      <c r="S299" s="697"/>
      <c r="T299" s="902"/>
      <c r="U299" s="902"/>
      <c r="W299" s="192"/>
      <c r="X299" s="201"/>
      <c r="Y299" s="857"/>
      <c r="Z299" s="819"/>
    </row>
    <row r="300" spans="1:26" s="217" customFormat="1" ht="15" customHeight="1">
      <c r="A300" s="324" t="s">
        <v>486</v>
      </c>
      <c r="B300" s="737">
        <f>BRAN!F276*25</f>
        <v>0</v>
      </c>
      <c r="C300" s="738">
        <f>+BRAN!F280+201330</f>
        <v>201330</v>
      </c>
      <c r="D300" s="967">
        <f>BRAN!F277*25+BRAN!F278*40+390200</f>
        <v>453450</v>
      </c>
      <c r="E300" s="975"/>
      <c r="F300" s="967"/>
      <c r="G300" s="968"/>
      <c r="H300" s="969"/>
      <c r="I300" s="496"/>
      <c r="J300" s="259"/>
      <c r="K300" s="259"/>
      <c r="L300" s="693" t="s">
        <v>486</v>
      </c>
      <c r="M300" s="694"/>
      <c r="N300" s="698">
        <f>C300</f>
        <v>201330</v>
      </c>
      <c r="O300" s="699">
        <f>BRAN!O276</f>
        <v>0</v>
      </c>
      <c r="P300" s="903">
        <f>+BRAN!O277-N300</f>
        <v>396025</v>
      </c>
      <c r="Q300" s="904"/>
      <c r="R300" s="697"/>
      <c r="S300" s="697"/>
      <c r="T300" s="1090"/>
      <c r="U300" s="1090"/>
      <c r="V300" s="192"/>
      <c r="W300" s="192"/>
      <c r="X300" s="201"/>
      <c r="Y300" s="857"/>
      <c r="Z300" s="819"/>
    </row>
    <row r="301" spans="1:26" s="247" customFormat="1" ht="15.75" customHeight="1">
      <c r="A301" s="324" t="s">
        <v>461</v>
      </c>
      <c r="B301" s="739">
        <f>IF(B300=0,0,B300/B308*100)</f>
        <v>0</v>
      </c>
      <c r="C301" s="741">
        <f>+C300/C308*100</f>
        <v>4.5262836048399064</v>
      </c>
      <c r="D301" s="965">
        <f>D300/D308*100</f>
        <v>12.097000093371928</v>
      </c>
      <c r="E301" s="966"/>
      <c r="F301" s="965"/>
      <c r="G301" s="976"/>
      <c r="H301" s="977"/>
      <c r="I301" s="496"/>
      <c r="J301" s="196"/>
      <c r="K301" s="196"/>
      <c r="L301" s="693" t="s">
        <v>461</v>
      </c>
      <c r="M301" s="694"/>
      <c r="N301" s="695">
        <f>+N300/N308</f>
        <v>4.5262836048399063E-2</v>
      </c>
      <c r="O301" s="696">
        <v>0</v>
      </c>
      <c r="P301" s="980">
        <f>P300/P308*100</f>
        <v>10.053386203360056</v>
      </c>
      <c r="Q301" s="974"/>
      <c r="R301" s="697"/>
      <c r="S301" s="697"/>
      <c r="T301" s="902"/>
      <c r="U301" s="902"/>
      <c r="W301" s="192"/>
      <c r="X301" s="201"/>
      <c r="Y301" s="857"/>
      <c r="Z301" s="819"/>
    </row>
    <row r="302" spans="1:26" s="217" customFormat="1" ht="15" customHeight="1">
      <c r="A302" s="324" t="s">
        <v>487</v>
      </c>
      <c r="B302" s="737">
        <f>BRAN!F300*25</f>
        <v>0</v>
      </c>
      <c r="C302" s="738">
        <f>+BRAN!F304</f>
        <v>0</v>
      </c>
      <c r="D302" s="967">
        <f>BRAN!F301*25+BRAN!F302*40</f>
        <v>0</v>
      </c>
      <c r="E302" s="975"/>
      <c r="F302" s="967"/>
      <c r="G302" s="968"/>
      <c r="H302" s="969"/>
      <c r="I302" s="496"/>
      <c r="J302" s="259"/>
      <c r="K302" s="259"/>
      <c r="L302" s="693" t="s">
        <v>487</v>
      </c>
      <c r="M302" s="694"/>
      <c r="N302" s="698">
        <f>C302</f>
        <v>0</v>
      </c>
      <c r="O302" s="699">
        <f>BRAN!O300</f>
        <v>0</v>
      </c>
      <c r="P302" s="903">
        <f>+BRAN!O301+BRAN!O302</f>
        <v>0</v>
      </c>
      <c r="Q302" s="904"/>
      <c r="R302" s="697"/>
      <c r="S302" s="697"/>
      <c r="T302" s="904"/>
      <c r="U302" s="904"/>
      <c r="V302" s="192"/>
      <c r="W302" s="192"/>
      <c r="X302" s="201"/>
      <c r="Y302" s="857"/>
      <c r="Z302" s="819"/>
    </row>
    <row r="303" spans="1:26" s="247" customFormat="1" ht="15" customHeight="1">
      <c r="A303" s="324" t="s">
        <v>461</v>
      </c>
      <c r="B303" s="739">
        <f>IF(B302=0,0,B302/B308*100)</f>
        <v>0</v>
      </c>
      <c r="C303" s="740">
        <f>+C302/C308*100</f>
        <v>0</v>
      </c>
      <c r="D303" s="965">
        <f>D302/D308*100</f>
        <v>0</v>
      </c>
      <c r="E303" s="966"/>
      <c r="F303" s="965"/>
      <c r="G303" s="976"/>
      <c r="H303" s="977"/>
      <c r="I303" s="496"/>
      <c r="J303" s="196"/>
      <c r="K303" s="196"/>
      <c r="L303" s="693" t="s">
        <v>461</v>
      </c>
      <c r="M303" s="694"/>
      <c r="N303" s="695">
        <f>+N302/N308</f>
        <v>0</v>
      </c>
      <c r="O303" s="696">
        <v>0</v>
      </c>
      <c r="P303" s="980">
        <f>P302/P308*100</f>
        <v>0</v>
      </c>
      <c r="Q303" s="974"/>
      <c r="R303" s="697"/>
      <c r="S303" s="697"/>
      <c r="T303" s="974"/>
      <c r="U303" s="974"/>
      <c r="V303" s="201"/>
      <c r="W303" s="192"/>
      <c r="X303" s="201"/>
      <c r="Y303" s="857"/>
      <c r="Z303" s="819"/>
    </row>
    <row r="304" spans="1:26" s="217" customFormat="1" ht="15" customHeight="1">
      <c r="A304" s="324" t="s">
        <v>488</v>
      </c>
      <c r="B304" s="737">
        <f>BRAN!F331*25</f>
        <v>0</v>
      </c>
      <c r="C304" s="738">
        <f>+BRAN!J334</f>
        <v>0</v>
      </c>
      <c r="D304" s="967">
        <f>BRAN!F332*25+BRAN!F333*40+142125</f>
        <v>142125</v>
      </c>
      <c r="E304" s="975"/>
      <c r="F304" s="967"/>
      <c r="G304" s="968"/>
      <c r="H304" s="969"/>
      <c r="I304" s="496"/>
      <c r="J304" s="259"/>
      <c r="K304" s="259"/>
      <c r="L304" s="693" t="s">
        <v>488</v>
      </c>
      <c r="M304" s="694"/>
      <c r="N304" s="698">
        <f>C304</f>
        <v>0</v>
      </c>
      <c r="O304" s="699">
        <f>BRAN!O331</f>
        <v>0</v>
      </c>
      <c r="P304" s="903">
        <f>+BRAN!O332+BRAN!O333</f>
        <v>85350</v>
      </c>
      <c r="Q304" s="904"/>
      <c r="R304" s="697"/>
      <c r="S304" s="697"/>
      <c r="T304" s="904"/>
      <c r="U304" s="904"/>
      <c r="V304" s="192"/>
      <c r="W304" s="192"/>
      <c r="X304" s="201"/>
      <c r="Y304" s="857"/>
      <c r="Z304" s="819"/>
    </row>
    <row r="305" spans="1:34" s="247" customFormat="1" ht="15" customHeight="1">
      <c r="A305" s="324" t="s">
        <v>461</v>
      </c>
      <c r="B305" s="739">
        <f>IF(B304=0,0,B304/B308*100)</f>
        <v>0</v>
      </c>
      <c r="C305" s="740"/>
      <c r="D305" s="965">
        <f>D304/D308*100</f>
        <v>3.7915671811015219</v>
      </c>
      <c r="E305" s="966"/>
      <c r="F305" s="965"/>
      <c r="G305" s="976"/>
      <c r="H305" s="977"/>
      <c r="I305" s="496"/>
      <c r="J305" s="196"/>
      <c r="K305" s="196"/>
      <c r="L305" s="693" t="s">
        <v>461</v>
      </c>
      <c r="M305" s="694"/>
      <c r="N305" s="695">
        <f>+N304/N308</f>
        <v>0</v>
      </c>
      <c r="O305" s="696">
        <v>0</v>
      </c>
      <c r="P305" s="980">
        <f>P304/P308*100</f>
        <v>2.1666725900051276</v>
      </c>
      <c r="Q305" s="974"/>
      <c r="R305" s="697"/>
      <c r="S305" s="697"/>
      <c r="T305" s="974"/>
      <c r="U305" s="974"/>
      <c r="V305" s="201"/>
      <c r="W305" s="192"/>
      <c r="X305" s="201"/>
      <c r="Y305" s="857"/>
      <c r="Z305" s="819"/>
    </row>
    <row r="306" spans="1:34" s="217" customFormat="1" ht="17.25" customHeight="1">
      <c r="A306" s="324" t="s">
        <v>489</v>
      </c>
      <c r="B306" s="742" t="s">
        <v>490</v>
      </c>
      <c r="C306" s="738">
        <f>+F264+F106+3805450</f>
        <v>3805450</v>
      </c>
      <c r="D306" s="967">
        <f>F103*25+F262*25</f>
        <v>0</v>
      </c>
      <c r="E306" s="975"/>
      <c r="F306" s="967">
        <f>F105*50+F263*50+F104*40+8973800</f>
        <v>10551400</v>
      </c>
      <c r="G306" s="968"/>
      <c r="H306" s="969"/>
      <c r="I306" s="497"/>
      <c r="J306" s="259"/>
      <c r="K306" s="259"/>
      <c r="L306" s="693" t="s">
        <v>489</v>
      </c>
      <c r="M306" s="694"/>
      <c r="N306" s="698">
        <f>+Q264+Q106</f>
        <v>3805450</v>
      </c>
      <c r="O306" s="699">
        <v>0</v>
      </c>
      <c r="P306" s="903">
        <f>Q262+Q103+Q261+Q104</f>
        <v>963000</v>
      </c>
      <c r="Q306" s="904"/>
      <c r="R306" s="697"/>
      <c r="S306" s="697"/>
      <c r="T306" s="904">
        <f>Q263+Q105</f>
        <v>9343650</v>
      </c>
      <c r="U306" s="904"/>
      <c r="V306" s="192"/>
      <c r="W306" s="192"/>
      <c r="X306" s="201"/>
      <c r="Y306" s="857"/>
      <c r="Z306" s="819"/>
    </row>
    <row r="307" spans="1:34" s="247" customFormat="1" ht="15" customHeight="1">
      <c r="A307" s="325" t="s">
        <v>461</v>
      </c>
      <c r="B307" s="743"/>
      <c r="C307" s="744">
        <f>+C306/C308*100</f>
        <v>85.553796970337359</v>
      </c>
      <c r="D307" s="1028">
        <f>+D306/D308*100</f>
        <v>0</v>
      </c>
      <c r="E307" s="1029"/>
      <c r="F307" s="1028">
        <f>+F306/F308*100</f>
        <v>100</v>
      </c>
      <c r="G307" s="1063"/>
      <c r="H307" s="1064"/>
      <c r="I307" s="496"/>
      <c r="J307" s="259"/>
      <c r="K307" s="366"/>
      <c r="L307" s="701" t="s">
        <v>461</v>
      </c>
      <c r="M307" s="702"/>
      <c r="N307" s="703">
        <f>+N306/N308</f>
        <v>0.85553796970337359</v>
      </c>
      <c r="O307" s="696"/>
      <c r="P307" s="1030">
        <f>P306/P308*100</f>
        <v>24.446464020795993</v>
      </c>
      <c r="Q307" s="1031"/>
      <c r="R307" s="704"/>
      <c r="S307" s="704"/>
      <c r="T307" s="1031">
        <f>T306/T308*100</f>
        <v>100</v>
      </c>
      <c r="U307" s="1031"/>
      <c r="V307" s="201"/>
      <c r="W307" s="192"/>
      <c r="X307" s="201"/>
      <c r="Y307" s="857"/>
      <c r="Z307" s="819"/>
    </row>
    <row r="308" spans="1:34" s="257" customFormat="1" ht="28.5" customHeight="1">
      <c r="A308" s="326" t="s">
        <v>491</v>
      </c>
      <c r="B308" s="745">
        <f>SUM(B296,B298,B300,B302,B304)</f>
        <v>3950</v>
      </c>
      <c r="C308" s="746">
        <f>+C296+C298+C300+C302+C304+C306</f>
        <v>4448020</v>
      </c>
      <c r="D308" s="1040">
        <f>SUM(D296,D298,D300,D302,D304,D306)</f>
        <v>3748450</v>
      </c>
      <c r="E308" s="1041"/>
      <c r="F308" s="1040">
        <f>+F306</f>
        <v>10551400</v>
      </c>
      <c r="G308" s="1042"/>
      <c r="H308" s="1043"/>
      <c r="I308" s="497"/>
      <c r="J308" s="497"/>
      <c r="K308" s="497"/>
      <c r="L308" s="1021" t="s">
        <v>491</v>
      </c>
      <c r="M308" s="1022"/>
      <c r="N308" s="705">
        <f>SUM(N296,N298,N300,N302,N304,N306)</f>
        <v>4448020</v>
      </c>
      <c r="O308" s="706">
        <f>SUM(O296,O298,O300,O302,O304,O306)</f>
        <v>2950</v>
      </c>
      <c r="P308" s="1047">
        <f>SUM(P296,P298,P300,P302,P304,P306)</f>
        <v>3939220</v>
      </c>
      <c r="Q308" s="1048"/>
      <c r="R308" s="707"/>
      <c r="S308" s="707"/>
      <c r="T308" s="1048">
        <f>SUM(T306)</f>
        <v>9343650</v>
      </c>
      <c r="U308" s="1048"/>
      <c r="V308" s="192"/>
      <c r="W308" s="192"/>
      <c r="X308" s="201"/>
      <c r="Y308" s="857"/>
      <c r="Z308" s="819"/>
    </row>
    <row r="309" spans="1:34" s="247" customFormat="1" ht="28.5" customHeight="1">
      <c r="A309" s="326" t="s">
        <v>492</v>
      </c>
      <c r="B309" s="1044">
        <f>+C308/D310*100</f>
        <v>23.72047086629458</v>
      </c>
      <c r="C309" s="1065"/>
      <c r="D309" s="1044">
        <f>D308/D310*100</f>
        <v>19.989792990760364</v>
      </c>
      <c r="E309" s="1065"/>
      <c r="F309" s="1044">
        <f>F308/D310*100</f>
        <v>56.268671520951031</v>
      </c>
      <c r="G309" s="1045"/>
      <c r="H309" s="1046"/>
      <c r="I309" s="498"/>
      <c r="J309" s="365"/>
      <c r="K309" s="365"/>
      <c r="L309" s="708" t="s">
        <v>492</v>
      </c>
      <c r="M309" s="709"/>
      <c r="N309" s="710">
        <f>N308/O310*100</f>
        <v>25.082102917360256</v>
      </c>
      <c r="O309" s="711">
        <f>+O308/O310*100</f>
        <v>1.6634863064062831E-2</v>
      </c>
      <c r="P309" s="1019">
        <f>P308/O310*100</f>
        <v>22.213011959056807</v>
      </c>
      <c r="Q309" s="1020"/>
      <c r="R309" s="707"/>
      <c r="S309" s="707"/>
      <c r="T309" s="1020">
        <f>T308/O310*100</f>
        <v>52.688250260518878</v>
      </c>
      <c r="U309" s="1020"/>
      <c r="V309" s="201"/>
      <c r="W309" s="192"/>
      <c r="X309" s="201"/>
      <c r="Y309" s="857"/>
      <c r="Z309" s="819"/>
      <c r="AF309" s="771"/>
    </row>
    <row r="310" spans="1:34" s="261" customFormat="1" ht="19.5" customHeight="1">
      <c r="A310" s="1037" t="s">
        <v>493</v>
      </c>
      <c r="B310" s="1038"/>
      <c r="C310" s="1039"/>
      <c r="D310" s="1057">
        <f>SUM(B308:F308)</f>
        <v>18751820</v>
      </c>
      <c r="E310" s="1058"/>
      <c r="F310" s="1058"/>
      <c r="G310" s="1058"/>
      <c r="H310" s="1059"/>
      <c r="I310" s="277"/>
      <c r="J310" s="277"/>
      <c r="K310" s="277"/>
      <c r="L310" s="992" t="s">
        <v>493</v>
      </c>
      <c r="M310" s="993"/>
      <c r="N310" s="994"/>
      <c r="O310" s="897">
        <f>+N308+O308+P308+T308</f>
        <v>17733840</v>
      </c>
      <c r="P310" s="897"/>
      <c r="Q310" s="897"/>
      <c r="R310" s="897"/>
      <c r="S310" s="897"/>
      <c r="T310" s="897"/>
      <c r="U310" s="898"/>
      <c r="V310" s="712"/>
      <c r="W310" s="262"/>
      <c r="X310" s="201"/>
      <c r="Y310" s="857"/>
      <c r="Z310" s="819"/>
    </row>
    <row r="311" spans="1:34" s="261" customFormat="1" ht="19.5" customHeight="1" thickBot="1">
      <c r="A311" s="1054" t="s">
        <v>494</v>
      </c>
      <c r="B311" s="1055"/>
      <c r="C311" s="1056"/>
      <c r="D311" s="1060">
        <f>D310/C293</f>
        <v>2083535.5555555555</v>
      </c>
      <c r="E311" s="1061"/>
      <c r="F311" s="1061"/>
      <c r="G311" s="1061"/>
      <c r="H311" s="1062"/>
      <c r="I311" s="260"/>
      <c r="J311" s="357"/>
      <c r="K311" s="357"/>
      <c r="L311" s="1013" t="s">
        <v>495</v>
      </c>
      <c r="M311" s="1014"/>
      <c r="N311" s="1015"/>
      <c r="O311" s="894">
        <f>O310/N293</f>
        <v>1970426.6666666667</v>
      </c>
      <c r="P311" s="895"/>
      <c r="Q311" s="895"/>
      <c r="R311" s="895"/>
      <c r="S311" s="895"/>
      <c r="T311" s="895"/>
      <c r="U311" s="896"/>
      <c r="V311" s="712"/>
      <c r="W311" s="262"/>
      <c r="X311" s="247"/>
      <c r="Y311" s="775"/>
      <c r="Z311" s="825"/>
    </row>
    <row r="312" spans="1:34" ht="15" customHeight="1" thickBot="1">
      <c r="Q312" s="197"/>
      <c r="T312" s="193"/>
      <c r="AF312" s="605"/>
      <c r="AG312" s="605"/>
      <c r="AH312" s="605"/>
    </row>
    <row r="313" spans="1:34" s="247" customFormat="1" ht="15" customHeight="1">
      <c r="A313" s="1032" t="s">
        <v>496</v>
      </c>
      <c r="B313" s="1018" t="s">
        <v>497</v>
      </c>
      <c r="C313" s="1018"/>
      <c r="D313" s="1018"/>
      <c r="E313" s="1025" t="s">
        <v>498</v>
      </c>
      <c r="F313" s="1025"/>
      <c r="G313" s="1016" t="s">
        <v>499</v>
      </c>
      <c r="H313" s="1026" t="s">
        <v>500</v>
      </c>
      <c r="I313" s="1023" t="s">
        <v>501</v>
      </c>
      <c r="J313" s="358"/>
      <c r="K313" s="358"/>
      <c r="M313" s="1016" t="s">
        <v>499</v>
      </c>
      <c r="N313" s="1032" t="s">
        <v>496</v>
      </c>
      <c r="O313" s="1018" t="s">
        <v>497</v>
      </c>
      <c r="P313" s="1018"/>
      <c r="Q313" s="1018"/>
      <c r="R313" s="1079" t="s">
        <v>498</v>
      </c>
      <c r="S313" s="1080"/>
      <c r="T313" s="1080"/>
      <c r="U313" s="1080"/>
      <c r="V313" s="1081"/>
      <c r="W313" s="1088" t="s">
        <v>500</v>
      </c>
      <c r="X313" s="1077" t="s">
        <v>502</v>
      </c>
      <c r="Y313" s="901" t="s">
        <v>503</v>
      </c>
      <c r="Z313" s="899" t="s">
        <v>504</v>
      </c>
      <c r="AA313" s="914" t="s">
        <v>505</v>
      </c>
      <c r="AB313" s="883" t="s">
        <v>506</v>
      </c>
      <c r="AC313" s="884"/>
      <c r="AD313" s="884"/>
      <c r="AE313" s="885"/>
      <c r="AF313" s="815"/>
      <c r="AG313" s="815"/>
      <c r="AH313" s="815"/>
    </row>
    <row r="314" spans="1:34" s="247" customFormat="1" ht="27.75" customHeight="1">
      <c r="A314" s="1033"/>
      <c r="B314" s="716" t="s">
        <v>507</v>
      </c>
      <c r="C314" s="713" t="s">
        <v>508</v>
      </c>
      <c r="D314" s="714" t="s">
        <v>509</v>
      </c>
      <c r="E314" s="715" t="s">
        <v>510</v>
      </c>
      <c r="F314" s="731" t="s">
        <v>511</v>
      </c>
      <c r="G314" s="1017"/>
      <c r="H314" s="1027"/>
      <c r="I314" s="1024"/>
      <c r="J314" s="358"/>
      <c r="K314" s="358"/>
      <c r="L314" s="775"/>
      <c r="M314" s="1017"/>
      <c r="N314" s="1033"/>
      <c r="O314" s="716" t="s">
        <v>507</v>
      </c>
      <c r="P314" s="713" t="s">
        <v>508</v>
      </c>
      <c r="Q314" s="714" t="s">
        <v>509</v>
      </c>
      <c r="R314" s="263"/>
      <c r="S314" s="263"/>
      <c r="T314" s="715" t="s">
        <v>510</v>
      </c>
      <c r="U314" s="731" t="s">
        <v>511</v>
      </c>
      <c r="V314" s="733" t="s">
        <v>512</v>
      </c>
      <c r="W314" s="1089"/>
      <c r="X314" s="1078"/>
      <c r="Y314" s="901"/>
      <c r="Z314" s="900"/>
      <c r="AA314" s="915"/>
      <c r="AB314" s="355" t="s">
        <v>55</v>
      </c>
      <c r="AC314" s="355" t="s">
        <v>61</v>
      </c>
      <c r="AD314" s="355" t="s">
        <v>51</v>
      </c>
      <c r="AE314" s="355" t="s">
        <v>64</v>
      </c>
      <c r="AF314" s="847"/>
      <c r="AG314" s="848">
        <f>+AG315-AF315</f>
        <v>0</v>
      </c>
      <c r="AH314" s="847"/>
    </row>
    <row r="315" spans="1:34" s="193" customFormat="1" ht="15" customHeight="1">
      <c r="A315" s="289">
        <f>SUM(BRAN!N21,BRAN!N40:N41,BRAN!N144:N149,BRAN!N166:N167,BRAN!N187:N189,BRAN!N192)+BRAN!N233+BRAN!N234+BRAN!N235+BRAN!N236+BRAN!M244+BRAN!N329+BRAN!N326+BRAN!N327+BRAN!N328</f>
        <v>167750</v>
      </c>
      <c r="B315" s="265">
        <f>+SUM(P118:P145)+SUM(BRAN!N294,BRAN!N250:N254,BRAN!N176,BRAN!N88:N108,BRAN!N36:N38,BRAN!N16,BRAN!N18:N20)+SUM(X136:X145)*50+BRAN!N260+BRAN!N179+BRAN!N181+BRAN!N122+BRAN!N117</f>
        <v>922475</v>
      </c>
      <c r="C315" s="265">
        <f>SUM(P146:P173)+SUM(BRAN!N23:N24,BRAN!N39,BRAN!N109:N131,BRAN!N177:N183,BRAN!N255:N264,BRAN!N295:N297,BRAN!N323:N325)-BRAN!N122-BRAN!N117-BRAN!N179-BRAN!N181-BRAN!N260</f>
        <v>2211475</v>
      </c>
      <c r="D315" s="265">
        <f>SUM(P174:P195)+SUM(BRAN!N298:N299,BRAN!N265:N273,BRAN!N184:N186,BRAN!N132:N143,BRAN!N25)+SUM(X174:X195)*50+BRAN!N13</f>
        <v>475375</v>
      </c>
      <c r="E315" s="265">
        <f>SUM(P10:P45,P62:P68)+SUM(BRAN!N42:N59,BRAN!N168,BRAN!N316,BRAN!N17)+SUM(BRAN!U42:U60)*25+BRAN!N169+BRAN!N217+BRAN!N228+BRAN!N223+BRAN!N221</f>
        <v>640525</v>
      </c>
      <c r="F315" s="265">
        <f>SUM(P46:P55)+SUM(BRAN!N206:N216,BRAN!N63:N74,BRAN!N30:N35)+BRAN!N314+BRAN!N317+BRAN!N293</f>
        <v>91400</v>
      </c>
      <c r="G315" s="265">
        <f>+SUM(BRAN!N190:N191)+BRAN!N330</f>
        <v>2125</v>
      </c>
      <c r="H315" s="265">
        <f>SUM(BRAN!N26:N29,BRAN!N232)+BRAN!N61</f>
        <v>58100</v>
      </c>
      <c r="I315" s="632">
        <f>SUM(BRAN!N75:N87,BRAN!N170:N175,BRAN!N245:N249,BRAN!N274:N275,BRAN!N319:N320)+SUM(P69:P73,P55:P61)</f>
        <v>328250</v>
      </c>
      <c r="J315" s="222"/>
      <c r="K315" s="222"/>
      <c r="L315" s="811">
        <f>SUM(A315:I315)</f>
        <v>4897475</v>
      </c>
      <c r="M315" s="264">
        <f>+BRAN!BF26</f>
        <v>7725</v>
      </c>
      <c r="N315" s="264">
        <f>+BRAN!BF25</f>
        <v>262545</v>
      </c>
      <c r="O315" s="493">
        <f>BRAN!BF15+BI135</f>
        <v>2888995</v>
      </c>
      <c r="P315" s="265">
        <f>+BI136+BRAN!BF16</f>
        <v>10351310</v>
      </c>
      <c r="Q315" s="265">
        <f>BI145+BRAN!BF17</f>
        <v>2112725</v>
      </c>
      <c r="R315" s="265"/>
      <c r="S315" s="265"/>
      <c r="T315" s="265">
        <f>BRAN!BF21+BRAN!BF18+BI10</f>
        <v>1075670</v>
      </c>
      <c r="U315" s="265">
        <f>+BRAN!BF20+BI11</f>
        <v>200025</v>
      </c>
      <c r="V315" s="732">
        <f>+BI12</f>
        <v>0</v>
      </c>
      <c r="W315" s="265">
        <f>+BRAN!BF24</f>
        <v>92420</v>
      </c>
      <c r="X315" s="434">
        <f>BK20+BRAN!BI22</f>
        <v>742425</v>
      </c>
      <c r="Y315" s="826">
        <f>SUM(S119)+SUM(BRAN!Q13)</f>
        <v>0</v>
      </c>
      <c r="Z315" s="826">
        <f>+BRAN!BF29</f>
        <v>0</v>
      </c>
      <c r="AA315" s="384">
        <f>+BRAN!Q206+BRAN!Q14+BRAN!Q167+BRAN!Q324</f>
        <v>250885</v>
      </c>
      <c r="AB315" s="356">
        <f>+BRAN!Q319+BRAN!Q295+BRAN!Q216+BRAN!Q217+BRAN!Q168+BRAN!Q169+BRAN!Q19+BRAN!Q15+INTGRATE!S128+INTGRATE!S13</f>
        <v>804235</v>
      </c>
      <c r="AC315" s="356">
        <f>S131+BRAN!Q323+BRAN!Q296+BRAN!Q232+BRAN!Q170+BRAN!Q17</f>
        <v>1946775</v>
      </c>
      <c r="AD315" s="356">
        <f>BRAN!Q18+BRAN!Q325+BRAN!Q233+BRAN!Q298+S16</f>
        <v>448600</v>
      </c>
      <c r="AE315" s="356">
        <f>S144+S19+BRAN!Q16+BRAN!Q171+BRAN!Q245+BRAN!Q297+BRAN!Q320</f>
        <v>14283345</v>
      </c>
      <c r="AF315" s="590">
        <f>SUM(M315:X315)</f>
        <v>17733840</v>
      </c>
      <c r="AG315" s="848">
        <f>SUM(Y315:AE315)</f>
        <v>17733840</v>
      </c>
      <c r="AH315" s="848">
        <f>AG315-AF315</f>
        <v>0</v>
      </c>
    </row>
    <row r="316" spans="1:34" s="726" customFormat="1" ht="15" customHeight="1" thickBot="1">
      <c r="A316" s="723">
        <f>A315/$L$315</f>
        <v>3.4252344320287495E-2</v>
      </c>
      <c r="B316" s="723">
        <f t="shared" ref="B316:I316" si="98">B315/$L$315</f>
        <v>0.18835726573387307</v>
      </c>
      <c r="C316" s="723">
        <f t="shared" si="98"/>
        <v>0.45155411717262467</v>
      </c>
      <c r="D316" s="723">
        <f t="shared" si="98"/>
        <v>9.7065324478430207E-2</v>
      </c>
      <c r="E316" s="723">
        <f t="shared" si="98"/>
        <v>0.13078678298510968</v>
      </c>
      <c r="F316" s="723">
        <f t="shared" si="98"/>
        <v>1.8662678216836228E-2</v>
      </c>
      <c r="G316" s="723">
        <f t="shared" si="98"/>
        <v>4.3389705919887289E-4</v>
      </c>
      <c r="H316" s="723">
        <f t="shared" si="98"/>
        <v>1.1863256065625653E-2</v>
      </c>
      <c r="I316" s="723">
        <f t="shared" si="98"/>
        <v>6.7024333968014133E-2</v>
      </c>
      <c r="J316" s="724"/>
      <c r="K316" s="724"/>
      <c r="L316" s="776"/>
      <c r="M316" s="723">
        <f>M315/$O$310</f>
        <v>4.3560785481317073E-4</v>
      </c>
      <c r="N316" s="723">
        <f t="shared" ref="N316:X316" si="99">N315/$O$310</f>
        <v>1.4804746180184326E-2</v>
      </c>
      <c r="O316" s="723">
        <f t="shared" si="99"/>
        <v>0.16290859734834645</v>
      </c>
      <c r="P316" s="723">
        <f t="shared" si="99"/>
        <v>0.58370381147004824</v>
      </c>
      <c r="Q316" s="723">
        <f t="shared" si="99"/>
        <v>0.11913522395600727</v>
      </c>
      <c r="R316" s="723">
        <f t="shared" si="99"/>
        <v>0</v>
      </c>
      <c r="S316" s="723">
        <f t="shared" si="99"/>
        <v>0</v>
      </c>
      <c r="T316" s="723">
        <f t="shared" si="99"/>
        <v>6.0656349668204969E-2</v>
      </c>
      <c r="U316" s="723">
        <f t="shared" si="99"/>
        <v>1.1279282997929383E-2</v>
      </c>
      <c r="V316" s="723">
        <f t="shared" si="99"/>
        <v>0</v>
      </c>
      <c r="W316" s="723">
        <f t="shared" si="99"/>
        <v>5.2115052351887695E-3</v>
      </c>
      <c r="X316" s="764">
        <f t="shared" si="99"/>
        <v>4.1864875289277452E-2</v>
      </c>
      <c r="Y316" s="827">
        <f t="shared" ref="Y316:AE316" si="100">+Y315/$O$310</f>
        <v>0</v>
      </c>
      <c r="Z316" s="827">
        <f t="shared" si="100"/>
        <v>0</v>
      </c>
      <c r="AA316" s="725">
        <f t="shared" si="100"/>
        <v>1.4147246168906452E-2</v>
      </c>
      <c r="AB316" s="725">
        <f t="shared" si="100"/>
        <v>4.5350302021446007E-2</v>
      </c>
      <c r="AC316" s="725">
        <f t="shared" si="100"/>
        <v>0.10977740861539294</v>
      </c>
      <c r="AD316" s="725">
        <f t="shared" si="100"/>
        <v>2.5296269730639274E-2</v>
      </c>
      <c r="AE316" s="725">
        <f t="shared" si="100"/>
        <v>0.8054287734636153</v>
      </c>
      <c r="AF316" s="849"/>
      <c r="AG316" s="849"/>
      <c r="AH316" s="849"/>
    </row>
    <row r="317" spans="1:34" ht="15" customHeight="1">
      <c r="A317" s="286" t="s">
        <v>174</v>
      </c>
      <c r="F317" s="605"/>
      <c r="G317" s="605"/>
      <c r="H317" s="605"/>
      <c r="I317" s="195"/>
      <c r="J317" s="195"/>
      <c r="K317" s="195"/>
      <c r="L317" s="886"/>
      <c r="M317" s="886"/>
      <c r="N317" s="886"/>
      <c r="O317" s="886"/>
      <c r="P317" s="195"/>
      <c r="Q317" s="195"/>
      <c r="AF317" s="850"/>
      <c r="AG317" s="851"/>
      <c r="AH317" s="851"/>
    </row>
    <row r="318" spans="1:34" ht="15" customHeight="1">
      <c r="A318" s="286" t="s">
        <v>175</v>
      </c>
      <c r="B318" s="243"/>
      <c r="C318" s="243"/>
      <c r="D318" s="342"/>
      <c r="E318" s="243"/>
      <c r="F318" s="606"/>
      <c r="G318" s="606"/>
      <c r="H318" s="605" t="s">
        <v>17</v>
      </c>
      <c r="I318" s="197"/>
      <c r="J318" s="197"/>
      <c r="K318" s="197"/>
      <c r="L318" s="197"/>
      <c r="M318" s="195"/>
      <c r="N318" s="728" t="s">
        <v>513</v>
      </c>
      <c r="O318" s="729"/>
      <c r="P318" s="727"/>
      <c r="Q318" s="727"/>
      <c r="R318" s="730"/>
      <c r="S318" s="730"/>
      <c r="T318" s="222"/>
      <c r="U318" s="727"/>
      <c r="V318" s="727" t="s">
        <v>514</v>
      </c>
      <c r="W318" s="727"/>
      <c r="X318" s="727"/>
      <c r="Y318" s="865"/>
      <c r="Z318" s="828"/>
      <c r="AA318" s="602"/>
      <c r="AB318" s="602"/>
      <c r="AC318" s="602"/>
      <c r="AD318" s="602"/>
      <c r="AE318" s="602"/>
      <c r="AF318" s="566"/>
      <c r="AG318" s="605"/>
      <c r="AH318" s="605"/>
    </row>
    <row r="319" spans="1:34" ht="15" customHeight="1">
      <c r="A319" s="286" t="s">
        <v>176</v>
      </c>
      <c r="D319" s="343"/>
      <c r="E319" s="195"/>
      <c r="F319" s="607"/>
      <c r="G319" s="566"/>
      <c r="H319" s="607"/>
      <c r="I319" s="197"/>
      <c r="J319" s="197"/>
      <c r="K319" s="197"/>
      <c r="M319" s="197"/>
      <c r="N319" s="193"/>
      <c r="O319" s="222"/>
      <c r="P319" s="222"/>
      <c r="Q319" s="243"/>
      <c r="R319" s="730"/>
      <c r="S319" s="730"/>
      <c r="T319" s="243"/>
      <c r="U319" s="243"/>
      <c r="V319" s="727"/>
      <c r="W319" s="243"/>
      <c r="AA319" s="197"/>
      <c r="AB319" s="197"/>
      <c r="AC319" s="197"/>
      <c r="AD319" s="197"/>
      <c r="AE319" s="197"/>
    </row>
    <row r="320" spans="1:34">
      <c r="A320" s="191"/>
      <c r="C320" s="195"/>
      <c r="D320" s="343"/>
      <c r="F320" s="607"/>
      <c r="G320" s="608"/>
      <c r="H320" s="608"/>
      <c r="I320" s="672"/>
      <c r="J320" s="195"/>
      <c r="L320" s="197"/>
      <c r="N320" s="197"/>
      <c r="O320" s="191"/>
      <c r="Q320" s="197"/>
      <c r="T320" s="197"/>
      <c r="U320" s="550"/>
      <c r="AA320" s="195"/>
      <c r="AC320" s="197"/>
    </row>
    <row r="321" spans="1:30">
      <c r="A321" s="191"/>
      <c r="F321" s="605"/>
      <c r="G321" s="605"/>
      <c r="H321" s="605"/>
      <c r="I321" s="672"/>
      <c r="J321" s="195"/>
      <c r="O321" s="191"/>
      <c r="P321" s="197"/>
      <c r="U321" s="550"/>
      <c r="AA321" s="195"/>
      <c r="AB321" s="195"/>
      <c r="AC321" s="197"/>
    </row>
    <row r="322" spans="1:30">
      <c r="A322" s="197"/>
      <c r="E322" s="197"/>
      <c r="F322" s="605"/>
      <c r="G322" s="605"/>
      <c r="H322" s="608"/>
      <c r="I322" s="672"/>
      <c r="J322" s="195"/>
      <c r="O322" s="191"/>
      <c r="AA322" s="195"/>
    </row>
    <row r="323" spans="1:30">
      <c r="A323" s="191"/>
      <c r="E323" s="195"/>
      <c r="I323" s="672"/>
      <c r="J323" s="195"/>
      <c r="O323" s="191"/>
      <c r="T323" s="197"/>
      <c r="AC323" s="195"/>
      <c r="AD323" s="197"/>
    </row>
    <row r="324" spans="1:30">
      <c r="A324" s="191"/>
      <c r="F324" s="197"/>
      <c r="I324" s="672"/>
      <c r="J324" s="195"/>
      <c r="O324" s="490"/>
    </row>
    <row r="325" spans="1:30">
      <c r="F325" s="197"/>
      <c r="I325" s="672"/>
      <c r="J325" s="195"/>
    </row>
    <row r="326" spans="1:30">
      <c r="I326" s="672"/>
      <c r="J326" s="195"/>
    </row>
    <row r="327" spans="1:30">
      <c r="I327" s="672"/>
      <c r="J327" s="195"/>
    </row>
    <row r="328" spans="1:30">
      <c r="A328" s="191"/>
      <c r="I328" s="672"/>
      <c r="J328" s="195"/>
      <c r="T328" s="197"/>
      <c r="AB328" s="80"/>
    </row>
    <row r="329" spans="1:30">
      <c r="I329" s="672"/>
      <c r="J329" s="195"/>
    </row>
    <row r="330" spans="1:30">
      <c r="I330" s="672"/>
      <c r="J330" s="195"/>
    </row>
    <row r="331" spans="1:30">
      <c r="I331" s="672"/>
      <c r="J331" s="195"/>
    </row>
    <row r="332" spans="1:30">
      <c r="I332" s="672"/>
      <c r="J332" s="195"/>
    </row>
    <row r="333" spans="1:30">
      <c r="A333" s="191"/>
      <c r="I333" s="672"/>
      <c r="J333" s="195"/>
      <c r="L333" s="197"/>
      <c r="M333" s="197"/>
      <c r="R333" s="191"/>
      <c r="S333" s="191"/>
      <c r="U333" s="191"/>
      <c r="V333" s="191"/>
      <c r="W333" s="191"/>
      <c r="X333" s="191"/>
      <c r="Y333" s="866"/>
      <c r="Z333" s="818"/>
    </row>
    <row r="414" spans="1:26">
      <c r="A414" s="191"/>
      <c r="B414" s="197">
        <f>D318+B416</f>
        <v>1976700</v>
      </c>
      <c r="R414" s="191"/>
      <c r="S414" s="191"/>
      <c r="U414" s="191"/>
      <c r="V414" s="191"/>
      <c r="W414" s="191"/>
      <c r="X414" s="191"/>
      <c r="Y414" s="866"/>
      <c r="Z414" s="818"/>
    </row>
    <row r="416" spans="1:26">
      <c r="A416" s="191"/>
      <c r="B416" s="197">
        <f>F108+F266+BRAN!F157+BRAN!F197+BRAN!F281+BRAN!F305+BRAN!F336</f>
        <v>1976700</v>
      </c>
      <c r="R416" s="191"/>
      <c r="S416" s="191"/>
      <c r="U416" s="191"/>
      <c r="V416" s="191"/>
      <c r="W416" s="191"/>
      <c r="X416" s="191"/>
      <c r="Y416" s="866"/>
      <c r="Z416" s="818"/>
    </row>
  </sheetData>
  <mergeCells count="424">
    <mergeCell ref="U87:V87"/>
    <mergeCell ref="U79:V79"/>
    <mergeCell ref="U142:V142"/>
    <mergeCell ref="U140:V140"/>
    <mergeCell ref="U134:V134"/>
    <mergeCell ref="U160:V160"/>
    <mergeCell ref="U138:V138"/>
    <mergeCell ref="U135:V135"/>
    <mergeCell ref="U124:V124"/>
    <mergeCell ref="U130:V130"/>
    <mergeCell ref="U147:V147"/>
    <mergeCell ref="U156:V156"/>
    <mergeCell ref="U71:V71"/>
    <mergeCell ref="U94:V94"/>
    <mergeCell ref="U80:V80"/>
    <mergeCell ref="U84:V84"/>
    <mergeCell ref="U82:V82"/>
    <mergeCell ref="U196:V196"/>
    <mergeCell ref="U187:V187"/>
    <mergeCell ref="U183:V183"/>
    <mergeCell ref="U166:V166"/>
    <mergeCell ref="U158:V158"/>
    <mergeCell ref="U133:V133"/>
    <mergeCell ref="U165:V165"/>
    <mergeCell ref="U185:V185"/>
    <mergeCell ref="U144:V144"/>
    <mergeCell ref="U149:V149"/>
    <mergeCell ref="U139:V139"/>
    <mergeCell ref="U152:V152"/>
    <mergeCell ref="U159:V159"/>
    <mergeCell ref="U157:V157"/>
    <mergeCell ref="U145:V145"/>
    <mergeCell ref="U170:V170"/>
    <mergeCell ref="U189:V189"/>
    <mergeCell ref="U137:V137"/>
    <mergeCell ref="U190:V190"/>
    <mergeCell ref="W313:W314"/>
    <mergeCell ref="U238:V238"/>
    <mergeCell ref="U254:V254"/>
    <mergeCell ref="T298:U298"/>
    <mergeCell ref="T299:U299"/>
    <mergeCell ref="T300:U300"/>
    <mergeCell ref="T309:U309"/>
    <mergeCell ref="Q285:U285"/>
    <mergeCell ref="O293:U293"/>
    <mergeCell ref="U263:V263"/>
    <mergeCell ref="U243:V243"/>
    <mergeCell ref="T303:U303"/>
    <mergeCell ref="T304:U304"/>
    <mergeCell ref="T308:U308"/>
    <mergeCell ref="T307:U307"/>
    <mergeCell ref="T302:U302"/>
    <mergeCell ref="T288:U288"/>
    <mergeCell ref="U260:V260"/>
    <mergeCell ref="U264:V264"/>
    <mergeCell ref="U259:V259"/>
    <mergeCell ref="U258:V258"/>
    <mergeCell ref="U250:V250"/>
    <mergeCell ref="U255:V255"/>
    <mergeCell ref="U257:V257"/>
    <mergeCell ref="X313:X314"/>
    <mergeCell ref="R313:V313"/>
    <mergeCell ref="U252:V252"/>
    <mergeCell ref="T265:T266"/>
    <mergeCell ref="Q286:U286"/>
    <mergeCell ref="Q281:U281"/>
    <mergeCell ref="U128:V128"/>
    <mergeCell ref="U19:V19"/>
    <mergeCell ref="U20:V20"/>
    <mergeCell ref="U39:V39"/>
    <mergeCell ref="U40:V40"/>
    <mergeCell ref="U43:V43"/>
    <mergeCell ref="U30:V30"/>
    <mergeCell ref="U33:V33"/>
    <mergeCell ref="U42:V42"/>
    <mergeCell ref="U203:V203"/>
    <mergeCell ref="U209:V209"/>
    <mergeCell ref="O292:Q292"/>
    <mergeCell ref="U256:V256"/>
    <mergeCell ref="U235:V235"/>
    <mergeCell ref="U237:V237"/>
    <mergeCell ref="Q265:Q266"/>
    <mergeCell ref="U212:V212"/>
    <mergeCell ref="U245:V245"/>
    <mergeCell ref="A2:E2"/>
    <mergeCell ref="U222:V222"/>
    <mergeCell ref="U219:V219"/>
    <mergeCell ref="U214:V214"/>
    <mergeCell ref="A3:E3"/>
    <mergeCell ref="U35:V35"/>
    <mergeCell ref="U68:V68"/>
    <mergeCell ref="U132:V132"/>
    <mergeCell ref="U11:V11"/>
    <mergeCell ref="P5:Q5"/>
    <mergeCell ref="F2:O3"/>
    <mergeCell ref="U10:V10"/>
    <mergeCell ref="C7:C9"/>
    <mergeCell ref="F7:H7"/>
    <mergeCell ref="D7:D9"/>
    <mergeCell ref="O7:P7"/>
    <mergeCell ref="U136:V136"/>
    <mergeCell ref="A7:A9"/>
    <mergeCell ref="U7:V9"/>
    <mergeCell ref="U31:V31"/>
    <mergeCell ref="U41:V41"/>
    <mergeCell ref="U28:V28"/>
    <mergeCell ref="U47:V47"/>
    <mergeCell ref="U46:V46"/>
    <mergeCell ref="U44:V44"/>
    <mergeCell ref="U143:V143"/>
    <mergeCell ref="U172:V172"/>
    <mergeCell ref="U155:V155"/>
    <mergeCell ref="U153:V153"/>
    <mergeCell ref="U131:V131"/>
    <mergeCell ref="U89:V89"/>
    <mergeCell ref="W7:W9"/>
    <mergeCell ref="B7:B9"/>
    <mergeCell ref="U48:V48"/>
    <mergeCell ref="U52:V52"/>
    <mergeCell ref="U53:V53"/>
    <mergeCell ref="U54:V54"/>
    <mergeCell ref="U57:V57"/>
    <mergeCell ref="U61:V61"/>
    <mergeCell ref="U126:V126"/>
    <mergeCell ref="U121:V121"/>
    <mergeCell ref="U123:V123"/>
    <mergeCell ref="U118:V118"/>
    <mergeCell ref="U105:V105"/>
    <mergeCell ref="U93:V93"/>
    <mergeCell ref="U81:V81"/>
    <mergeCell ref="U67:V67"/>
    <mergeCell ref="U85:V85"/>
    <mergeCell ref="I7:N7"/>
    <mergeCell ref="U29:V29"/>
    <mergeCell ref="U34:V34"/>
    <mergeCell ref="U17:V17"/>
    <mergeCell ref="I8:L8"/>
    <mergeCell ref="O8:P8"/>
    <mergeCell ref="U15:V15"/>
    <mergeCell ref="U16:V16"/>
    <mergeCell ref="U12:V12"/>
    <mergeCell ref="U18:V18"/>
    <mergeCell ref="U21:V21"/>
    <mergeCell ref="U23:V23"/>
    <mergeCell ref="U32:V32"/>
    <mergeCell ref="U22:V22"/>
    <mergeCell ref="U26:V26"/>
    <mergeCell ref="U27:V27"/>
    <mergeCell ref="U13:V13"/>
    <mergeCell ref="U38:V38"/>
    <mergeCell ref="U25:V25"/>
    <mergeCell ref="U37:V37"/>
    <mergeCell ref="U24:V24"/>
    <mergeCell ref="U50:V50"/>
    <mergeCell ref="U51:V51"/>
    <mergeCell ref="U56:V56"/>
    <mergeCell ref="U36:V36"/>
    <mergeCell ref="W103:W108"/>
    <mergeCell ref="U69:V69"/>
    <mergeCell ref="U83:V83"/>
    <mergeCell ref="U86:V86"/>
    <mergeCell ref="U74:V74"/>
    <mergeCell ref="U75:V75"/>
    <mergeCell ref="U76:V76"/>
    <mergeCell ref="U92:V92"/>
    <mergeCell ref="U55:V55"/>
    <mergeCell ref="U59:V59"/>
    <mergeCell ref="U65:V65"/>
    <mergeCell ref="U77:V77"/>
    <mergeCell ref="U72:V72"/>
    <mergeCell ref="U78:V78"/>
    <mergeCell ref="U95:V95"/>
    <mergeCell ref="U64:V64"/>
    <mergeCell ref="W115:W117"/>
    <mergeCell ref="I115:N115"/>
    <mergeCell ref="U103:V103"/>
    <mergeCell ref="U107:V108"/>
    <mergeCell ref="O116:P116"/>
    <mergeCell ref="A313:A314"/>
    <mergeCell ref="A311:C311"/>
    <mergeCell ref="D310:H310"/>
    <mergeCell ref="D311:H311"/>
    <mergeCell ref="F307:H307"/>
    <mergeCell ref="B309:C309"/>
    <mergeCell ref="D309:E309"/>
    <mergeCell ref="D304:E304"/>
    <mergeCell ref="F305:H305"/>
    <mergeCell ref="D303:E303"/>
    <mergeCell ref="L294:M295"/>
    <mergeCell ref="I294:J294"/>
    <mergeCell ref="P295:Q295"/>
    <mergeCell ref="P297:Q297"/>
    <mergeCell ref="F303:H303"/>
    <mergeCell ref="D302:E302"/>
    <mergeCell ref="U207:V207"/>
    <mergeCell ref="U249:V249"/>
    <mergeCell ref="U248:V248"/>
    <mergeCell ref="Q3:V3"/>
    <mergeCell ref="F4:O4"/>
    <mergeCell ref="F5:O5"/>
    <mergeCell ref="C114:P114"/>
    <mergeCell ref="C113:P113"/>
    <mergeCell ref="D300:E300"/>
    <mergeCell ref="A310:C310"/>
    <mergeCell ref="D306:E306"/>
    <mergeCell ref="D308:E308"/>
    <mergeCell ref="F308:H308"/>
    <mergeCell ref="F309:H309"/>
    <mergeCell ref="P308:Q308"/>
    <mergeCell ref="U120:V120"/>
    <mergeCell ref="U173:V173"/>
    <mergeCell ref="U146:V146"/>
    <mergeCell ref="U193:V193"/>
    <mergeCell ref="U199:V199"/>
    <mergeCell ref="U150:V150"/>
    <mergeCell ref="U198:V198"/>
    <mergeCell ref="U181:V181"/>
    <mergeCell ref="U191:V191"/>
    <mergeCell ref="U197:V197"/>
    <mergeCell ref="U125:V125"/>
    <mergeCell ref="U129:V129"/>
    <mergeCell ref="L317:M317"/>
    <mergeCell ref="N317:O317"/>
    <mergeCell ref="F306:H306"/>
    <mergeCell ref="L311:N311"/>
    <mergeCell ref="G313:G314"/>
    <mergeCell ref="O313:Q313"/>
    <mergeCell ref="P309:Q309"/>
    <mergeCell ref="L308:M308"/>
    <mergeCell ref="I313:I314"/>
    <mergeCell ref="E313:F313"/>
    <mergeCell ref="H313:H314"/>
    <mergeCell ref="D307:E307"/>
    <mergeCell ref="P307:Q307"/>
    <mergeCell ref="B313:D313"/>
    <mergeCell ref="N313:N314"/>
    <mergeCell ref="M313:M314"/>
    <mergeCell ref="P296:Q296"/>
    <mergeCell ref="C268:D268"/>
    <mergeCell ref="C269:D269"/>
    <mergeCell ref="P301:Q301"/>
    <mergeCell ref="L310:N310"/>
    <mergeCell ref="P305:Q305"/>
    <mergeCell ref="F300:H300"/>
    <mergeCell ref="F299:H299"/>
    <mergeCell ref="P303:Q303"/>
    <mergeCell ref="P302:Q302"/>
    <mergeCell ref="F301:H301"/>
    <mergeCell ref="P306:Q306"/>
    <mergeCell ref="P304:Q304"/>
    <mergeCell ref="F302:H302"/>
    <mergeCell ref="O283:P283"/>
    <mergeCell ref="O286:P286"/>
    <mergeCell ref="O284:P284"/>
    <mergeCell ref="O285:P285"/>
    <mergeCell ref="C272:D272"/>
    <mergeCell ref="B294:H294"/>
    <mergeCell ref="A272:B274"/>
    <mergeCell ref="D296:E296"/>
    <mergeCell ref="A294:A295"/>
    <mergeCell ref="F295:H295"/>
    <mergeCell ref="T297:U297"/>
    <mergeCell ref="O288:Q288"/>
    <mergeCell ref="T295:U295"/>
    <mergeCell ref="D305:E305"/>
    <mergeCell ref="F304:H304"/>
    <mergeCell ref="N294:U294"/>
    <mergeCell ref="T296:U296"/>
    <mergeCell ref="T306:U306"/>
    <mergeCell ref="T305:U305"/>
    <mergeCell ref="D298:E298"/>
    <mergeCell ref="D299:E299"/>
    <mergeCell ref="F297:H297"/>
    <mergeCell ref="I297:J297"/>
    <mergeCell ref="P299:Q299"/>
    <mergeCell ref="F298:H298"/>
    <mergeCell ref="P298:Q298"/>
    <mergeCell ref="D301:E301"/>
    <mergeCell ref="I293:J293"/>
    <mergeCell ref="F296:H296"/>
    <mergeCell ref="L293:M293"/>
    <mergeCell ref="D297:E297"/>
    <mergeCell ref="I296:J296"/>
    <mergeCell ref="I295:J295"/>
    <mergeCell ref="D295:E295"/>
    <mergeCell ref="D293:H293"/>
    <mergeCell ref="A293:B293"/>
    <mergeCell ref="U226:V226"/>
    <mergeCell ref="U208:V208"/>
    <mergeCell ref="U174:V174"/>
    <mergeCell ref="U195:V195"/>
    <mergeCell ref="U171:V171"/>
    <mergeCell ref="U261:V261"/>
    <mergeCell ref="A264:D264"/>
    <mergeCell ref="Q267:W274"/>
    <mergeCell ref="W261:W266"/>
    <mergeCell ref="C267:D267"/>
    <mergeCell ref="C271:D271"/>
    <mergeCell ref="C270:D270"/>
    <mergeCell ref="A269:B271"/>
    <mergeCell ref="A267:B268"/>
    <mergeCell ref="U213:V213"/>
    <mergeCell ref="U247:V247"/>
    <mergeCell ref="U232:V232"/>
    <mergeCell ref="U221:V221"/>
    <mergeCell ref="U231:V231"/>
    <mergeCell ref="U211:V211"/>
    <mergeCell ref="U216:V216"/>
    <mergeCell ref="U210:V210"/>
    <mergeCell ref="A103:D103"/>
    <mergeCell ref="C115:C117"/>
    <mergeCell ref="A105:D105"/>
    <mergeCell ref="A107:D107"/>
    <mergeCell ref="A108:D108"/>
    <mergeCell ref="U96:V96"/>
    <mergeCell ref="A104:D104"/>
    <mergeCell ref="U102:V102"/>
    <mergeCell ref="U99:V99"/>
    <mergeCell ref="U115:V117"/>
    <mergeCell ref="B115:B117"/>
    <mergeCell ref="A115:A117"/>
    <mergeCell ref="D115:D117"/>
    <mergeCell ref="O115:P115"/>
    <mergeCell ref="C112:P112"/>
    <mergeCell ref="U101:V101"/>
    <mergeCell ref="U97:V97"/>
    <mergeCell ref="U98:V98"/>
    <mergeCell ref="U106:V106"/>
    <mergeCell ref="T107:T108"/>
    <mergeCell ref="F115:H115"/>
    <mergeCell ref="I116:L116"/>
    <mergeCell ref="AB313:AE313"/>
    <mergeCell ref="U227:V227"/>
    <mergeCell ref="T276:U276"/>
    <mergeCell ref="U246:V246"/>
    <mergeCell ref="Q287:U287"/>
    <mergeCell ref="U265:V266"/>
    <mergeCell ref="U262:V262"/>
    <mergeCell ref="O311:U311"/>
    <mergeCell ref="U236:V236"/>
    <mergeCell ref="O310:U310"/>
    <mergeCell ref="Z313:Z314"/>
    <mergeCell ref="U251:V251"/>
    <mergeCell ref="Y313:Y314"/>
    <mergeCell ref="U253:V253"/>
    <mergeCell ref="U244:V244"/>
    <mergeCell ref="T301:U301"/>
    <mergeCell ref="P300:Q300"/>
    <mergeCell ref="O291:P291"/>
    <mergeCell ref="O287:P287"/>
    <mergeCell ref="O290:P290"/>
    <mergeCell ref="U230:V230"/>
    <mergeCell ref="O289:P289"/>
    <mergeCell ref="O282:P282"/>
    <mergeCell ref="AA313:AA314"/>
    <mergeCell ref="U188:V188"/>
    <mergeCell ref="U177:V177"/>
    <mergeCell ref="U186:V186"/>
    <mergeCell ref="U184:V184"/>
    <mergeCell ref="U141:V141"/>
    <mergeCell ref="U127:V127"/>
    <mergeCell ref="U151:V151"/>
    <mergeCell ref="U154:V154"/>
    <mergeCell ref="U163:V163"/>
    <mergeCell ref="U164:V164"/>
    <mergeCell ref="U162:V162"/>
    <mergeCell ref="U148:V148"/>
    <mergeCell ref="U168:V168"/>
    <mergeCell ref="U179:V179"/>
    <mergeCell ref="U178:V178"/>
    <mergeCell ref="U176:V176"/>
    <mergeCell ref="U180:V180"/>
    <mergeCell ref="U169:V169"/>
    <mergeCell ref="U161:V161"/>
    <mergeCell ref="U167:V167"/>
    <mergeCell ref="U175:V175"/>
    <mergeCell ref="U202:V202"/>
    <mergeCell ref="U217:V217"/>
    <mergeCell ref="U225:V225"/>
    <mergeCell ref="U205:V205"/>
    <mergeCell ref="U206:V206"/>
    <mergeCell ref="A261:D261"/>
    <mergeCell ref="U201:V201"/>
    <mergeCell ref="U192:V192"/>
    <mergeCell ref="U223:V223"/>
    <mergeCell ref="U228:V228"/>
    <mergeCell ref="U240:V240"/>
    <mergeCell ref="U241:V241"/>
    <mergeCell ref="U239:V239"/>
    <mergeCell ref="U229:V229"/>
    <mergeCell ref="U224:V224"/>
    <mergeCell ref="U233:V233"/>
    <mergeCell ref="U234:V234"/>
    <mergeCell ref="U220:V220"/>
    <mergeCell ref="U204:V204"/>
    <mergeCell ref="U200:V200"/>
    <mergeCell ref="U194:V194"/>
    <mergeCell ref="U242:V242"/>
    <mergeCell ref="U218:V218"/>
    <mergeCell ref="U215:V215"/>
    <mergeCell ref="A265:D265"/>
    <mergeCell ref="A266:D266"/>
    <mergeCell ref="A262:D262"/>
    <mergeCell ref="A263:D263"/>
    <mergeCell ref="U182:V182"/>
    <mergeCell ref="C273:D273"/>
    <mergeCell ref="C274:D274"/>
    <mergeCell ref="U122:V122"/>
    <mergeCell ref="X7:X8"/>
    <mergeCell ref="X115:X116"/>
    <mergeCell ref="U14:V14"/>
    <mergeCell ref="U119:V119"/>
    <mergeCell ref="U49:V49"/>
    <mergeCell ref="U45:V45"/>
    <mergeCell ref="U66:V66"/>
    <mergeCell ref="U90:V90"/>
    <mergeCell ref="U70:V70"/>
    <mergeCell ref="U73:V73"/>
    <mergeCell ref="U58:V58"/>
    <mergeCell ref="U62:V62"/>
    <mergeCell ref="U63:V63"/>
    <mergeCell ref="U88:V88"/>
    <mergeCell ref="U91:V91"/>
    <mergeCell ref="U100:V100"/>
  </mergeCells>
  <phoneticPr fontId="6" type="noConversion"/>
  <conditionalFormatting sqref="U10:V102 U118:V260">
    <cfRule type="cellIs" dxfId="1" priority="4" stopIfTrue="1" operator="lessThan">
      <formula>1</formula>
    </cfRule>
  </conditionalFormatting>
  <conditionalFormatting sqref="U184:V186">
    <cfRule type="cellIs" dxfId="0" priority="1" stopIfTrue="1" operator="lessThan">
      <formula>1</formula>
    </cfRule>
  </conditionalFormatting>
  <pageMargins left="0.2" right="0.2" top="0.17" bottom="0.17" header="0.17" footer="0.17"/>
  <pageSetup paperSize="9" scale="68" orientation="landscape" blackAndWhite="1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795E8-591F-42AC-A52C-A10A9D0FEF56}">
  <sheetPr codeName="Sheet7"/>
  <dimension ref="A1:IT28"/>
  <sheetViews>
    <sheetView topLeftCell="A7" zoomScale="80" zoomScaleNormal="80" workbookViewId="0">
      <pane xSplit="5" ySplit="11" topLeftCell="F18" activePane="bottomRight" state="frozen"/>
      <selection pane="bottomRight" activeCell="P36" sqref="P36"/>
      <selection pane="bottomLeft" activeCell="A18" sqref="A18"/>
      <selection pane="topRight" activeCell="F7" sqref="F7"/>
    </sheetView>
  </sheetViews>
  <sheetFormatPr defaultRowHeight="15"/>
  <cols>
    <col min="1" max="1" width="6.5703125" style="296" customWidth="1"/>
    <col min="2" max="2" width="14" style="291" customWidth="1"/>
    <col min="3" max="3" width="8.140625" style="18" customWidth="1"/>
    <col min="4" max="4" width="7" style="18" customWidth="1"/>
    <col min="5" max="5" width="9.7109375" style="18" customWidth="1"/>
    <col min="6" max="6" width="17.7109375" style="57" customWidth="1"/>
    <col min="7" max="7" width="9.85546875" style="18" customWidth="1"/>
    <col min="8" max="8" width="13.42578125" style="18" customWidth="1"/>
    <col min="9" max="9" width="9.5703125" style="18" customWidth="1"/>
    <col min="10" max="10" width="11" style="18" customWidth="1"/>
    <col min="11" max="11" width="7.85546875" style="18" hidden="1" customWidth="1"/>
    <col min="12" max="12" width="1.7109375" style="18" hidden="1" customWidth="1"/>
    <col min="13" max="13" width="8.7109375" style="18" hidden="1" customWidth="1"/>
    <col min="14" max="14" width="10.7109375" style="18" customWidth="1"/>
    <col min="15" max="15" width="11.7109375" style="18" customWidth="1"/>
    <col min="16" max="16" width="26.28515625" style="42" customWidth="1"/>
    <col min="17" max="17" width="12.28515625" style="25" customWidth="1"/>
    <col min="18" max="18" width="30.5703125" style="19" customWidth="1"/>
    <col min="19" max="19" width="6.85546875" style="18" customWidth="1"/>
    <col min="20" max="50" width="10.42578125" style="18" customWidth="1"/>
    <col min="51" max="51" width="11.85546875" style="18" bestFit="1" customWidth="1"/>
    <col min="52" max="16384" width="9.140625" style="18"/>
  </cols>
  <sheetData>
    <row r="1" spans="1:19">
      <c r="A1" s="296" t="s">
        <v>515</v>
      </c>
      <c r="B1" s="293"/>
      <c r="C1" s="24"/>
      <c r="D1" s="34"/>
      <c r="E1" s="34"/>
      <c r="F1" s="39"/>
      <c r="G1" s="24"/>
      <c r="H1" s="40"/>
      <c r="I1" s="40"/>
      <c r="M1" s="22"/>
      <c r="N1" s="41"/>
      <c r="O1" s="20"/>
    </row>
    <row r="2" spans="1:19">
      <c r="A2" s="296" t="s">
        <v>516</v>
      </c>
      <c r="B2" s="293"/>
      <c r="C2" s="24"/>
      <c r="D2" s="34"/>
      <c r="E2" s="34"/>
      <c r="F2" s="39"/>
      <c r="G2" s="24"/>
      <c r="H2" s="24"/>
      <c r="I2" s="24"/>
      <c r="J2" s="24"/>
      <c r="K2" s="24"/>
      <c r="L2" s="24"/>
      <c r="M2" s="24"/>
      <c r="N2" s="23"/>
      <c r="O2" s="24"/>
      <c r="S2" s="43"/>
    </row>
    <row r="3" spans="1:19">
      <c r="A3" s="296" t="s">
        <v>517</v>
      </c>
      <c r="B3" s="293"/>
      <c r="C3" s="24"/>
      <c r="D3" s="34"/>
      <c r="E3" s="34"/>
      <c r="F3" s="39"/>
      <c r="G3" s="24"/>
      <c r="H3" s="24"/>
      <c r="I3" s="24"/>
      <c r="J3" s="24"/>
      <c r="K3" s="24"/>
      <c r="L3" s="24"/>
      <c r="M3" s="23"/>
      <c r="N3" s="44" t="str">
        <f>[1]INTGRATE!N3</f>
        <v>Date:</v>
      </c>
      <c r="O3" s="1151">
        <f>[2]BRAN!N3</f>
        <v>41756</v>
      </c>
      <c r="P3" s="1151"/>
      <c r="Q3" s="45"/>
      <c r="R3" s="46"/>
    </row>
    <row r="4" spans="1:19">
      <c r="A4" s="296" t="s">
        <v>518</v>
      </c>
      <c r="B4" s="293"/>
      <c r="C4" s="24"/>
      <c r="D4" s="34"/>
      <c r="E4" s="34"/>
      <c r="F4" s="39"/>
      <c r="G4" s="24"/>
      <c r="H4" s="24"/>
      <c r="I4" s="24"/>
      <c r="J4" s="24"/>
      <c r="K4" s="24"/>
      <c r="L4" s="24"/>
      <c r="M4" s="23"/>
      <c r="N4" s="43"/>
      <c r="O4" s="47"/>
      <c r="P4" s="21"/>
      <c r="Q4" s="48"/>
      <c r="R4" s="46"/>
    </row>
    <row r="5" spans="1:19">
      <c r="A5" s="296" t="s">
        <v>519</v>
      </c>
      <c r="B5" s="293"/>
      <c r="C5" s="24"/>
      <c r="D5" s="34"/>
      <c r="E5" s="34"/>
      <c r="F5" s="39"/>
      <c r="G5" s="24"/>
      <c r="H5" s="24"/>
      <c r="I5" s="24"/>
      <c r="J5" s="24"/>
      <c r="K5" s="24"/>
      <c r="L5" s="24"/>
      <c r="M5" s="23"/>
      <c r="N5" s="43"/>
      <c r="O5" s="47"/>
      <c r="P5" s="21"/>
      <c r="Q5" s="48"/>
      <c r="R5" s="46"/>
    </row>
    <row r="6" spans="1:19" ht="16.5">
      <c r="A6" s="297" t="s">
        <v>520</v>
      </c>
      <c r="B6" s="293"/>
      <c r="C6" s="292"/>
      <c r="D6" s="292"/>
      <c r="E6" s="292"/>
      <c r="F6" s="39"/>
      <c r="G6" s="24"/>
      <c r="H6" s="24"/>
      <c r="I6" s="24"/>
      <c r="J6" s="24"/>
      <c r="K6" s="24"/>
      <c r="L6" s="24"/>
      <c r="M6" s="23"/>
      <c r="N6" s="43"/>
      <c r="O6" s="47"/>
      <c r="P6" s="21"/>
      <c r="Q6" s="123"/>
      <c r="R6" s="46"/>
      <c r="S6" s="49"/>
    </row>
    <row r="7" spans="1:19" ht="16.5">
      <c r="A7" s="1156" t="s">
        <v>13</v>
      </c>
      <c r="B7" s="1156"/>
      <c r="C7" s="1156"/>
      <c r="D7" s="1156"/>
      <c r="E7" s="1156"/>
      <c r="F7" s="1156"/>
      <c r="G7" s="24"/>
      <c r="H7" s="24"/>
      <c r="I7" s="24"/>
      <c r="J7" s="24"/>
      <c r="K7" s="24"/>
      <c r="L7" s="24"/>
      <c r="M7" s="23"/>
      <c r="N7" s="43"/>
      <c r="O7" s="47"/>
      <c r="P7" s="21"/>
      <c r="Q7" s="123"/>
      <c r="R7" s="46"/>
      <c r="S7" s="49"/>
    </row>
    <row r="8" spans="1:19" ht="16.5">
      <c r="A8" s="1156" t="s">
        <v>14</v>
      </c>
      <c r="B8" s="1156"/>
      <c r="C8" s="1156"/>
      <c r="D8" s="1156"/>
      <c r="E8" s="1156"/>
      <c r="F8" s="1156"/>
      <c r="G8" s="24"/>
      <c r="H8" s="24"/>
      <c r="I8" s="24"/>
      <c r="J8" s="24"/>
      <c r="K8" s="24"/>
      <c r="L8" s="24"/>
      <c r="M8" s="23"/>
      <c r="N8" s="43"/>
      <c r="O8" s="47"/>
      <c r="P8" s="21"/>
      <c r="Q8" s="48"/>
      <c r="R8" s="46"/>
      <c r="S8" s="49"/>
    </row>
    <row r="9" spans="1:19" ht="16.5">
      <c r="A9" s="1156" t="s">
        <v>252</v>
      </c>
      <c r="B9" s="1156"/>
      <c r="C9" s="1156"/>
      <c r="D9" s="1156"/>
      <c r="E9" s="1156"/>
      <c r="F9" s="1156"/>
      <c r="G9" s="24"/>
      <c r="H9" s="24"/>
      <c r="I9" s="24"/>
      <c r="J9" s="24"/>
      <c r="K9" s="24"/>
      <c r="L9" s="24"/>
      <c r="M9" s="23"/>
      <c r="N9" s="43"/>
      <c r="O9" s="718" t="s">
        <v>521</v>
      </c>
      <c r="P9" s="1034">
        <f>+BRAN!O3</f>
        <v>46152</v>
      </c>
      <c r="Q9" s="1034"/>
      <c r="R9" s="1034"/>
      <c r="S9" s="49"/>
    </row>
    <row r="10" spans="1:19" ht="16.5">
      <c r="A10" s="38" t="s">
        <v>522</v>
      </c>
      <c r="B10" s="31"/>
      <c r="C10" s="31"/>
      <c r="D10" s="31"/>
      <c r="E10" s="31"/>
      <c r="F10" s="31"/>
      <c r="G10" s="24"/>
      <c r="H10" s="24"/>
      <c r="I10" s="24"/>
      <c r="J10" s="24"/>
      <c r="K10" s="24"/>
      <c r="L10" s="24"/>
      <c r="M10" s="23"/>
      <c r="N10" s="43"/>
      <c r="O10" s="47"/>
      <c r="P10" s="21"/>
      <c r="Q10" s="48"/>
      <c r="R10" s="46"/>
      <c r="S10" s="49"/>
    </row>
    <row r="11" spans="1:19" ht="16.5">
      <c r="A11" s="38" t="s">
        <v>523</v>
      </c>
      <c r="B11" s="31"/>
      <c r="C11" s="31"/>
      <c r="D11" s="31"/>
      <c r="E11" s="31"/>
      <c r="F11" s="32"/>
      <c r="G11" s="24"/>
      <c r="H11" s="24"/>
      <c r="I11" s="24"/>
      <c r="J11" s="24"/>
      <c r="K11" s="24"/>
      <c r="L11" s="24"/>
      <c r="M11" s="23"/>
      <c r="N11" s="43"/>
      <c r="O11" s="47"/>
      <c r="P11" s="21"/>
      <c r="Q11" s="48"/>
      <c r="R11" s="46"/>
      <c r="S11" s="49"/>
    </row>
    <row r="12" spans="1:19" ht="16.5">
      <c r="A12" s="38" t="s">
        <v>19</v>
      </c>
      <c r="B12" s="31"/>
      <c r="C12" s="31"/>
      <c r="D12" s="31"/>
      <c r="E12" s="31"/>
      <c r="F12" s="33"/>
      <c r="G12" s="24"/>
      <c r="H12" s="24"/>
      <c r="I12" s="24"/>
      <c r="J12" s="24"/>
      <c r="K12" s="24"/>
      <c r="L12" s="24"/>
      <c r="M12" s="23"/>
      <c r="N12" s="43"/>
      <c r="O12" s="47"/>
      <c r="P12" s="21"/>
      <c r="Q12" s="48"/>
      <c r="R12" s="46"/>
      <c r="S12" s="49"/>
    </row>
    <row r="13" spans="1:19" s="50" customFormat="1" ht="21.95" customHeight="1">
      <c r="A13" s="1152" t="s">
        <v>524</v>
      </c>
      <c r="B13" s="1152"/>
      <c r="C13" s="1152"/>
      <c r="D13" s="1152"/>
      <c r="E13" s="1152"/>
      <c r="F13" s="1152"/>
      <c r="G13" s="1152"/>
      <c r="H13" s="1152"/>
      <c r="I13" s="1152"/>
      <c r="J13" s="1152"/>
      <c r="K13" s="1152"/>
      <c r="L13" s="1152"/>
      <c r="M13" s="1152"/>
      <c r="N13" s="1152"/>
      <c r="O13" s="1152"/>
      <c r="P13" s="1152"/>
      <c r="Q13" s="1152"/>
      <c r="R13" s="1152"/>
    </row>
    <row r="14" spans="1:19" ht="17.25" customHeight="1">
      <c r="A14" s="1153" t="s">
        <v>525</v>
      </c>
      <c r="B14" s="1153"/>
      <c r="C14" s="1153"/>
      <c r="D14" s="1153"/>
      <c r="E14" s="1153"/>
      <c r="F14" s="1153"/>
      <c r="G14" s="1153"/>
      <c r="H14" s="1153"/>
      <c r="I14" s="1153"/>
      <c r="J14" s="1153"/>
      <c r="K14" s="1153"/>
      <c r="L14" s="1153"/>
      <c r="M14" s="1153"/>
      <c r="N14" s="1153"/>
      <c r="O14" s="1153"/>
      <c r="P14" s="1153"/>
      <c r="Q14" s="1153"/>
      <c r="R14" s="1153"/>
    </row>
    <row r="15" spans="1:19" ht="13.7" customHeight="1">
      <c r="A15" s="279"/>
      <c r="B15" s="1154"/>
      <c r="C15" s="1154"/>
      <c r="D15" s="1154"/>
      <c r="E15" s="1154"/>
      <c r="F15" s="1154"/>
      <c r="G15" s="1155"/>
      <c r="H15" s="1155"/>
      <c r="I15" s="1155"/>
      <c r="J15" s="1155"/>
      <c r="K15" s="1155"/>
      <c r="L15" s="1155"/>
      <c r="M15" s="1155"/>
      <c r="N15" s="1155"/>
      <c r="O15" s="1155"/>
      <c r="P15" s="1154"/>
      <c r="Q15" s="1154"/>
      <c r="R15" s="1154"/>
    </row>
    <row r="16" spans="1:19" s="28" customFormat="1" ht="30.75" customHeight="1">
      <c r="A16" s="1146" t="s">
        <v>22</v>
      </c>
      <c r="B16" s="1134" t="s">
        <v>23</v>
      </c>
      <c r="C16" s="1134" t="s">
        <v>24</v>
      </c>
      <c r="D16" s="1131" t="s">
        <v>25</v>
      </c>
      <c r="E16" s="751" t="s">
        <v>26</v>
      </c>
      <c r="F16" s="1149" t="s">
        <v>526</v>
      </c>
      <c r="G16" s="1144" t="s">
        <v>527</v>
      </c>
      <c r="H16" s="1145"/>
      <c r="I16" s="753" t="s">
        <v>528</v>
      </c>
      <c r="J16" s="753"/>
      <c r="K16" s="753"/>
      <c r="L16" s="753"/>
      <c r="M16" s="753"/>
      <c r="N16" s="757" t="s">
        <v>529</v>
      </c>
      <c r="O16" s="754"/>
      <c r="P16" s="758" t="s">
        <v>530</v>
      </c>
      <c r="Q16" s="1142" t="s">
        <v>531</v>
      </c>
      <c r="R16" s="1140" t="s">
        <v>532</v>
      </c>
    </row>
    <row r="17" spans="1:254" s="28" customFormat="1" ht="30.75" customHeight="1">
      <c r="A17" s="1147"/>
      <c r="B17" s="1135"/>
      <c r="C17" s="1135"/>
      <c r="D17" s="1132" t="s">
        <v>35</v>
      </c>
      <c r="E17" s="752" t="s">
        <v>36</v>
      </c>
      <c r="F17" s="1150"/>
      <c r="G17" s="1137" t="s">
        <v>533</v>
      </c>
      <c r="H17" s="1138"/>
      <c r="I17" s="755" t="s">
        <v>534</v>
      </c>
      <c r="J17" s="755"/>
      <c r="K17" s="755"/>
      <c r="L17" s="755"/>
      <c r="M17" s="756" t="s">
        <v>535</v>
      </c>
      <c r="N17" s="1137" t="s">
        <v>536</v>
      </c>
      <c r="O17" s="1138"/>
      <c r="P17" s="759" t="s">
        <v>537</v>
      </c>
      <c r="Q17" s="1143"/>
      <c r="R17" s="1141"/>
    </row>
    <row r="18" spans="1:254" s="28" customFormat="1" ht="30.75" customHeight="1">
      <c r="A18" s="1148"/>
      <c r="B18" s="1136"/>
      <c r="C18" s="1136"/>
      <c r="D18" s="1133" t="s">
        <v>46</v>
      </c>
      <c r="E18" s="752" t="s">
        <v>47</v>
      </c>
      <c r="F18" s="27"/>
      <c r="G18" s="29" t="s">
        <v>538</v>
      </c>
      <c r="H18" s="749" t="s">
        <v>539</v>
      </c>
      <c r="I18" s="29" t="s">
        <v>538</v>
      </c>
      <c r="J18" s="749" t="s">
        <v>539</v>
      </c>
      <c r="K18" s="29"/>
      <c r="L18" s="29" t="s">
        <v>540</v>
      </c>
      <c r="M18" s="29" t="s">
        <v>541</v>
      </c>
      <c r="N18" s="29" t="s">
        <v>538</v>
      </c>
      <c r="O18" s="749" t="s">
        <v>539</v>
      </c>
      <c r="P18" s="749" t="s">
        <v>539</v>
      </c>
      <c r="Q18" s="760" t="s">
        <v>542</v>
      </c>
      <c r="R18" s="749" t="s">
        <v>543</v>
      </c>
      <c r="T18" s="30">
        <v>1</v>
      </c>
      <c r="U18" s="30">
        <v>2</v>
      </c>
      <c r="V18" s="30">
        <v>3</v>
      </c>
      <c r="W18" s="30">
        <v>4</v>
      </c>
      <c r="X18" s="30">
        <v>5</v>
      </c>
      <c r="Y18" s="30">
        <v>6</v>
      </c>
      <c r="Z18" s="30">
        <v>7</v>
      </c>
      <c r="AA18" s="30">
        <v>8</v>
      </c>
      <c r="AB18" s="30">
        <v>9</v>
      </c>
      <c r="AC18" s="30">
        <v>10</v>
      </c>
      <c r="AD18" s="30">
        <v>11</v>
      </c>
      <c r="AE18" s="30">
        <v>12</v>
      </c>
      <c r="AF18" s="30">
        <v>13</v>
      </c>
      <c r="AG18" s="30">
        <v>14</v>
      </c>
      <c r="AH18" s="30">
        <v>15</v>
      </c>
      <c r="AI18" s="30">
        <v>16</v>
      </c>
      <c r="AJ18" s="30">
        <v>17</v>
      </c>
      <c r="AK18" s="30">
        <v>18</v>
      </c>
      <c r="AL18" s="30">
        <v>19</v>
      </c>
      <c r="AM18" s="30">
        <v>20</v>
      </c>
      <c r="AN18" s="30">
        <v>21</v>
      </c>
      <c r="AO18" s="30">
        <v>22</v>
      </c>
      <c r="AP18" s="30">
        <v>23</v>
      </c>
      <c r="AQ18" s="30">
        <v>24</v>
      </c>
      <c r="AR18" s="30">
        <v>25</v>
      </c>
      <c r="AS18" s="30">
        <v>26</v>
      </c>
      <c r="AT18" s="30">
        <v>27</v>
      </c>
      <c r="AU18" s="30">
        <v>28</v>
      </c>
      <c r="AV18" s="30">
        <v>29</v>
      </c>
      <c r="AW18" s="30">
        <v>30</v>
      </c>
      <c r="AX18" s="30">
        <v>31</v>
      </c>
    </row>
    <row r="19" spans="1:254" s="524" customFormat="1" ht="21.75" customHeight="1">
      <c r="A19" s="515"/>
      <c r="B19" s="516"/>
      <c r="C19" s="517"/>
      <c r="D19" s="455"/>
      <c r="E19" s="455"/>
      <c r="F19" s="814"/>
      <c r="G19" s="455"/>
      <c r="H19" s="455">
        <f>+G19*D19</f>
        <v>0</v>
      </c>
      <c r="I19" s="455"/>
      <c r="J19" s="455">
        <f t="shared" ref="J19:J22" si="0">+I19*D19</f>
        <v>0</v>
      </c>
      <c r="K19" s="455"/>
      <c r="L19" s="455"/>
      <c r="M19" s="455"/>
      <c r="N19" s="499">
        <f>+E19-I19</f>
        <v>0</v>
      </c>
      <c r="O19" s="499">
        <f t="shared" ref="O19:O21" si="1">+N19*D19</f>
        <v>0</v>
      </c>
      <c r="P19" s="500">
        <f t="shared" ref="P19:P22" si="2">+SUM(T19:AX19)</f>
        <v>0</v>
      </c>
      <c r="Q19" s="501"/>
      <c r="R19" s="518"/>
      <c r="S19" s="519"/>
      <c r="T19" s="520"/>
      <c r="U19" s="521"/>
      <c r="V19" s="521"/>
      <c r="W19" s="521"/>
      <c r="X19" s="521"/>
      <c r="Y19" s="521"/>
      <c r="Z19" s="521"/>
      <c r="AA19" s="521"/>
      <c r="AB19" s="521"/>
      <c r="AC19" s="521"/>
      <c r="AD19" s="521"/>
      <c r="AE19" s="521"/>
      <c r="AF19" s="521"/>
      <c r="AG19" s="521"/>
      <c r="AH19" s="521"/>
      <c r="AI19" s="521"/>
      <c r="AJ19" s="521"/>
      <c r="AK19" s="520"/>
      <c r="AL19" s="521"/>
      <c r="AM19" s="521"/>
      <c r="AN19" s="521"/>
      <c r="AO19" s="521"/>
      <c r="AP19" s="521"/>
      <c r="AQ19" s="522"/>
      <c r="AR19" s="522"/>
      <c r="AS19" s="522"/>
      <c r="AT19" s="523"/>
      <c r="AU19" s="522"/>
      <c r="AV19" s="521"/>
      <c r="AW19" s="521"/>
      <c r="AX19" s="521"/>
    </row>
    <row r="20" spans="1:254" s="524" customFormat="1" ht="21.75" customHeight="1">
      <c r="A20" s="515"/>
      <c r="B20" s="516"/>
      <c r="C20" s="517"/>
      <c r="D20" s="455"/>
      <c r="E20" s="455"/>
      <c r="F20" s="814"/>
      <c r="G20" s="455"/>
      <c r="H20" s="455">
        <f t="shared" ref="H20:H21" si="3">+G20*D20</f>
        <v>0</v>
      </c>
      <c r="I20" s="455"/>
      <c r="J20" s="455">
        <f t="shared" si="0"/>
        <v>0</v>
      </c>
      <c r="K20" s="455"/>
      <c r="L20" s="455"/>
      <c r="M20" s="455"/>
      <c r="N20" s="499">
        <f>+E20-I20</f>
        <v>0</v>
      </c>
      <c r="O20" s="499">
        <f t="shared" si="1"/>
        <v>0</v>
      </c>
      <c r="P20" s="500">
        <f t="shared" si="2"/>
        <v>0</v>
      </c>
      <c r="Q20" s="501"/>
      <c r="R20" s="518"/>
      <c r="S20" s="519"/>
      <c r="T20" s="520"/>
      <c r="U20" s="521"/>
      <c r="V20" s="521"/>
      <c r="W20" s="521"/>
      <c r="X20" s="521"/>
      <c r="Y20" s="521"/>
      <c r="Z20" s="521"/>
      <c r="AA20" s="521"/>
      <c r="AB20" s="521"/>
      <c r="AC20" s="521"/>
      <c r="AD20" s="521"/>
      <c r="AE20" s="521"/>
      <c r="AF20" s="521"/>
      <c r="AG20" s="521"/>
      <c r="AH20" s="521"/>
      <c r="AI20" s="521"/>
      <c r="AJ20" s="521"/>
      <c r="AK20" s="520"/>
      <c r="AL20" s="521"/>
      <c r="AM20" s="521"/>
      <c r="AN20" s="521"/>
      <c r="AO20" s="521"/>
      <c r="AP20" s="521"/>
      <c r="AQ20" s="522"/>
      <c r="AR20" s="522"/>
      <c r="AS20" s="522"/>
      <c r="AT20" s="523"/>
      <c r="AU20" s="522"/>
      <c r="AV20" s="521"/>
      <c r="AW20" s="521"/>
      <c r="AX20" s="521"/>
    </row>
    <row r="21" spans="1:254" s="524" customFormat="1" ht="21.75" customHeight="1">
      <c r="A21" s="515"/>
      <c r="B21" s="516"/>
      <c r="C21" s="517"/>
      <c r="D21" s="455"/>
      <c r="E21" s="455"/>
      <c r="F21" s="814"/>
      <c r="G21" s="455"/>
      <c r="H21" s="455">
        <f t="shared" si="3"/>
        <v>0</v>
      </c>
      <c r="I21" s="455"/>
      <c r="J21" s="455">
        <f t="shared" si="0"/>
        <v>0</v>
      </c>
      <c r="K21" s="455"/>
      <c r="L21" s="455"/>
      <c r="M21" s="455"/>
      <c r="N21" s="499">
        <f>+E21-I21</f>
        <v>0</v>
      </c>
      <c r="O21" s="499">
        <f t="shared" si="1"/>
        <v>0</v>
      </c>
      <c r="P21" s="500">
        <f t="shared" si="2"/>
        <v>0</v>
      </c>
      <c r="Q21" s="501"/>
      <c r="R21" s="518"/>
      <c r="S21" s="519"/>
      <c r="T21" s="520"/>
      <c r="U21" s="521"/>
      <c r="V21" s="521"/>
      <c r="W21" s="521"/>
      <c r="X21" s="521"/>
      <c r="Y21" s="521"/>
      <c r="Z21" s="521"/>
      <c r="AA21" s="521"/>
      <c r="AB21" s="521"/>
      <c r="AC21" s="521"/>
      <c r="AD21" s="521"/>
      <c r="AE21" s="521"/>
      <c r="AF21" s="521"/>
      <c r="AG21" s="521"/>
      <c r="AH21" s="521"/>
      <c r="AI21" s="521"/>
      <c r="AJ21" s="521"/>
      <c r="AK21" s="520"/>
      <c r="AL21" s="521"/>
      <c r="AM21" s="521"/>
      <c r="AN21" s="521"/>
      <c r="AO21" s="521"/>
      <c r="AP21" s="521"/>
      <c r="AQ21" s="522"/>
      <c r="AR21" s="522"/>
      <c r="AS21" s="522"/>
      <c r="AT21" s="523"/>
      <c r="AU21" s="522"/>
      <c r="AV21" s="521"/>
      <c r="AW21" s="521"/>
      <c r="AX21" s="521"/>
    </row>
    <row r="22" spans="1:254" s="524" customFormat="1" ht="21.75" customHeight="1">
      <c r="A22" s="515"/>
      <c r="B22" s="806"/>
      <c r="C22" s="517"/>
      <c r="D22" s="520"/>
      <c r="E22" s="455"/>
      <c r="F22" s="814"/>
      <c r="G22" s="455"/>
      <c r="H22" s="455"/>
      <c r="I22" s="455"/>
      <c r="J22" s="455">
        <f t="shared" si="0"/>
        <v>0</v>
      </c>
      <c r="K22" s="455"/>
      <c r="L22" s="455"/>
      <c r="M22" s="455"/>
      <c r="N22" s="499"/>
      <c r="O22" s="499"/>
      <c r="P22" s="500">
        <f t="shared" si="2"/>
        <v>0</v>
      </c>
      <c r="Q22" s="501"/>
      <c r="R22" s="518"/>
      <c r="S22" s="519"/>
      <c r="T22" s="520"/>
      <c r="U22" s="521"/>
      <c r="V22" s="521"/>
      <c r="W22" s="521"/>
      <c r="X22" s="521"/>
      <c r="Y22" s="521"/>
      <c r="Z22" s="521"/>
      <c r="AA22" s="521"/>
      <c r="AB22" s="521"/>
      <c r="AC22" s="521"/>
      <c r="AD22" s="521"/>
      <c r="AE22" s="521"/>
      <c r="AF22" s="521"/>
      <c r="AG22" s="521"/>
      <c r="AH22" s="521"/>
      <c r="AI22" s="521"/>
      <c r="AJ22" s="521"/>
      <c r="AK22" s="520"/>
      <c r="AL22" s="521"/>
      <c r="AM22" s="521"/>
      <c r="AN22" s="521"/>
      <c r="AO22" s="521"/>
      <c r="AP22" s="521"/>
      <c r="AQ22" s="522"/>
      <c r="AR22" s="522"/>
      <c r="AS22" s="522"/>
      <c r="AT22" s="523"/>
      <c r="AU22" s="522"/>
      <c r="AV22" s="521"/>
      <c r="AW22" s="521"/>
      <c r="AX22" s="521"/>
    </row>
    <row r="23" spans="1:254" s="119" customFormat="1" ht="20.25" customHeight="1">
      <c r="A23" s="1139" t="s">
        <v>544</v>
      </c>
      <c r="B23" s="1139"/>
      <c r="C23" s="1139"/>
      <c r="D23" s="1139"/>
      <c r="E23" s="283">
        <f>SUM(E19:E21)</f>
        <v>0</v>
      </c>
      <c r="F23" s="283"/>
      <c r="G23" s="283"/>
      <c r="H23" s="283"/>
      <c r="I23" s="283">
        <f>SUM(I19:I22)</f>
        <v>0</v>
      </c>
      <c r="J23" s="283">
        <f>SUM(J19:J22)</f>
        <v>0</v>
      </c>
      <c r="K23" s="283" t="e">
        <f>SUM(#REF!)</f>
        <v>#REF!</v>
      </c>
      <c r="L23" s="283" t="e">
        <f>SUM(#REF!)</f>
        <v>#REF!</v>
      </c>
      <c r="M23" s="283" t="e">
        <f>SUM(#REF!)</f>
        <v>#REF!</v>
      </c>
      <c r="N23" s="283">
        <f>SUM(N19:N21)</f>
        <v>0</v>
      </c>
      <c r="O23" s="283">
        <f>SUM(O19:O21)</f>
        <v>0</v>
      </c>
      <c r="P23" s="283">
        <f>SUM(P19:P21)</f>
        <v>0</v>
      </c>
      <c r="Q23" s="284"/>
      <c r="R23" s="284"/>
      <c r="S23" s="118"/>
      <c r="T23" s="1128">
        <f t="shared" ref="T23:AX23" si="4">SUM(T19:T21)</f>
        <v>0</v>
      </c>
      <c r="U23" s="1128">
        <f t="shared" si="4"/>
        <v>0</v>
      </c>
      <c r="V23" s="1128">
        <f t="shared" si="4"/>
        <v>0</v>
      </c>
      <c r="W23" s="1128">
        <f t="shared" si="4"/>
        <v>0</v>
      </c>
      <c r="X23" s="1128">
        <f t="shared" si="4"/>
        <v>0</v>
      </c>
      <c r="Y23" s="1128">
        <f t="shared" si="4"/>
        <v>0</v>
      </c>
      <c r="Z23" s="1128">
        <f t="shared" si="4"/>
        <v>0</v>
      </c>
      <c r="AA23" s="1128">
        <f t="shared" si="4"/>
        <v>0</v>
      </c>
      <c r="AB23" s="1128">
        <f t="shared" si="4"/>
        <v>0</v>
      </c>
      <c r="AC23" s="1128">
        <f t="shared" si="4"/>
        <v>0</v>
      </c>
      <c r="AD23" s="1128">
        <f t="shared" si="4"/>
        <v>0</v>
      </c>
      <c r="AE23" s="1128">
        <f t="shared" si="4"/>
        <v>0</v>
      </c>
      <c r="AF23" s="1128">
        <f t="shared" si="4"/>
        <v>0</v>
      </c>
      <c r="AG23" s="1128">
        <f t="shared" si="4"/>
        <v>0</v>
      </c>
      <c r="AH23" s="1128">
        <f t="shared" si="4"/>
        <v>0</v>
      </c>
      <c r="AI23" s="1128">
        <f t="shared" si="4"/>
        <v>0</v>
      </c>
      <c r="AJ23" s="1128">
        <f t="shared" si="4"/>
        <v>0</v>
      </c>
      <c r="AK23" s="1128">
        <f t="shared" si="4"/>
        <v>0</v>
      </c>
      <c r="AL23" s="1128">
        <f t="shared" si="4"/>
        <v>0</v>
      </c>
      <c r="AM23" s="1128">
        <f t="shared" si="4"/>
        <v>0</v>
      </c>
      <c r="AN23" s="1128">
        <f t="shared" si="4"/>
        <v>0</v>
      </c>
      <c r="AO23" s="1128">
        <f t="shared" si="4"/>
        <v>0</v>
      </c>
      <c r="AP23" s="1128">
        <f t="shared" si="4"/>
        <v>0</v>
      </c>
      <c r="AQ23" s="1128">
        <f t="shared" si="4"/>
        <v>0</v>
      </c>
      <c r="AR23" s="1128">
        <f t="shared" si="4"/>
        <v>0</v>
      </c>
      <c r="AS23" s="1128">
        <f t="shared" si="4"/>
        <v>0</v>
      </c>
      <c r="AT23" s="1128">
        <f t="shared" si="4"/>
        <v>0</v>
      </c>
      <c r="AU23" s="1128">
        <f t="shared" si="4"/>
        <v>0</v>
      </c>
      <c r="AV23" s="1128">
        <f t="shared" si="4"/>
        <v>0</v>
      </c>
      <c r="AW23" s="1128">
        <f t="shared" si="4"/>
        <v>0</v>
      </c>
      <c r="AX23" s="1128">
        <f t="shared" si="4"/>
        <v>0</v>
      </c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22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8"/>
      <c r="FG23" s="18"/>
      <c r="FH23" s="18"/>
      <c r="FI23" s="18"/>
      <c r="FJ23" s="18"/>
      <c r="FK23" s="18"/>
      <c r="FL23" s="18"/>
      <c r="FM23" s="18"/>
      <c r="FN23" s="18"/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22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8"/>
      <c r="IP23" s="18"/>
      <c r="IQ23" s="18"/>
      <c r="IR23" s="18"/>
      <c r="IS23" s="18"/>
      <c r="IT23" s="18"/>
    </row>
    <row r="24" spans="1:254" s="319" customFormat="1" ht="20.100000000000001" customHeight="1">
      <c r="A24" s="1130" t="s">
        <v>545</v>
      </c>
      <c r="B24" s="1130"/>
      <c r="C24" s="1130"/>
      <c r="D24" s="1130"/>
      <c r="E24" s="317">
        <f>+E23*D19</f>
        <v>0</v>
      </c>
      <c r="F24" s="317"/>
      <c r="G24" s="317"/>
      <c r="H24" s="317"/>
      <c r="I24" s="317">
        <f>+I23</f>
        <v>0</v>
      </c>
      <c r="J24" s="317">
        <f>+J23</f>
        <v>0</v>
      </c>
      <c r="K24" s="317" t="e">
        <f>+SUM(#REF!)</f>
        <v>#REF!</v>
      </c>
      <c r="L24" s="317" t="e">
        <f>+SUM(#REF!)</f>
        <v>#REF!</v>
      </c>
      <c r="M24" s="317" t="e">
        <f>+SUM(#REF!)</f>
        <v>#REF!</v>
      </c>
      <c r="N24" s="317">
        <f>+SUM(N19:N21)</f>
        <v>0</v>
      </c>
      <c r="O24" s="317">
        <f>+SUM(O19:O21)</f>
        <v>0</v>
      </c>
      <c r="P24" s="283">
        <f>SUM(P19:P21)</f>
        <v>0</v>
      </c>
      <c r="Q24" s="317"/>
      <c r="R24" s="317"/>
      <c r="S24" s="19"/>
      <c r="T24" s="1129"/>
      <c r="U24" s="1129"/>
      <c r="V24" s="1129"/>
      <c r="W24" s="1129"/>
      <c r="X24" s="1129"/>
      <c r="Y24" s="1129"/>
      <c r="Z24" s="1129"/>
      <c r="AA24" s="1129"/>
      <c r="AB24" s="1129"/>
      <c r="AC24" s="1129"/>
      <c r="AD24" s="1129"/>
      <c r="AE24" s="1129"/>
      <c r="AF24" s="1129"/>
      <c r="AG24" s="1129"/>
      <c r="AH24" s="1129"/>
      <c r="AI24" s="1129"/>
      <c r="AJ24" s="1129"/>
      <c r="AK24" s="1129"/>
      <c r="AL24" s="1129"/>
      <c r="AM24" s="1129"/>
      <c r="AN24" s="1129"/>
      <c r="AO24" s="1129"/>
      <c r="AP24" s="1129"/>
      <c r="AQ24" s="1129"/>
      <c r="AR24" s="1129"/>
      <c r="AS24" s="1129"/>
      <c r="AT24" s="1129"/>
      <c r="AU24" s="1129"/>
      <c r="AV24" s="1129"/>
      <c r="AW24" s="1129"/>
      <c r="AX24" s="1129"/>
      <c r="AY24" s="318">
        <f>SUM(T24:AX24)</f>
        <v>0</v>
      </c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22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22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8"/>
      <c r="IP24" s="18"/>
      <c r="IQ24" s="18"/>
      <c r="IR24" s="18"/>
      <c r="IS24" s="18"/>
      <c r="IT24" s="18"/>
    </row>
    <row r="25" spans="1:254" ht="15.75" customHeight="1">
      <c r="A25" s="286" t="s">
        <v>174</v>
      </c>
      <c r="B25" s="294"/>
      <c r="C25" s="42"/>
      <c r="D25" s="42"/>
      <c r="E25" s="35"/>
      <c r="F25" s="53"/>
      <c r="G25" s="26"/>
      <c r="H25" s="26"/>
      <c r="I25" s="26"/>
      <c r="J25" s="35"/>
      <c r="K25" s="35"/>
      <c r="L25" s="35"/>
      <c r="M25" s="35"/>
      <c r="N25" s="54"/>
      <c r="O25" s="35"/>
      <c r="P25" s="51"/>
      <c r="Q25" s="52"/>
      <c r="R25" s="26"/>
      <c r="S25" s="19"/>
      <c r="CG25" s="122"/>
      <c r="GB25" s="122"/>
    </row>
    <row r="26" spans="1:254" ht="15.75" customHeight="1">
      <c r="A26" s="286" t="s">
        <v>175</v>
      </c>
      <c r="B26" s="294"/>
      <c r="C26" s="19"/>
      <c r="D26" s="19"/>
      <c r="E26" s="35"/>
      <c r="F26" s="53"/>
      <c r="G26" s="26"/>
      <c r="H26" s="26"/>
      <c r="I26" s="26"/>
      <c r="J26" s="35"/>
      <c r="K26" s="35"/>
      <c r="L26" s="35"/>
      <c r="M26" s="35"/>
      <c r="N26" s="54"/>
      <c r="O26" s="35"/>
      <c r="P26" s="51"/>
      <c r="Q26" s="52"/>
      <c r="R26" s="26"/>
      <c r="AE26" s="23"/>
      <c r="CG26" s="122"/>
      <c r="GB26" s="122"/>
    </row>
    <row r="27" spans="1:254" ht="15.75" customHeight="1">
      <c r="A27" s="286" t="s">
        <v>176</v>
      </c>
      <c r="B27" s="294"/>
      <c r="C27" s="19"/>
      <c r="D27" s="19"/>
      <c r="E27" s="36"/>
      <c r="F27" s="39"/>
      <c r="G27" s="34"/>
      <c r="H27" s="34"/>
      <c r="I27" s="34"/>
      <c r="J27" s="36"/>
      <c r="K27" s="36"/>
      <c r="L27" s="36"/>
      <c r="M27" s="24"/>
      <c r="N27" s="55"/>
      <c r="O27" s="55"/>
      <c r="P27" s="21"/>
      <c r="Q27" s="48"/>
      <c r="R27" s="56"/>
      <c r="AL27" s="158"/>
    </row>
    <row r="28" spans="1:254" ht="14.25">
      <c r="A28" s="280"/>
      <c r="B28" s="294"/>
      <c r="C28" s="19"/>
      <c r="D28" s="19"/>
    </row>
  </sheetData>
  <mergeCells count="51">
    <mergeCell ref="G16:H16"/>
    <mergeCell ref="A16:A18"/>
    <mergeCell ref="G17:H17"/>
    <mergeCell ref="F16:F17"/>
    <mergeCell ref="O3:P3"/>
    <mergeCell ref="A13:R13"/>
    <mergeCell ref="A14:R14"/>
    <mergeCell ref="B15:R15"/>
    <mergeCell ref="A7:F7"/>
    <mergeCell ref="A8:F8"/>
    <mergeCell ref="A9:F9"/>
    <mergeCell ref="P9:R9"/>
    <mergeCell ref="A24:D24"/>
    <mergeCell ref="AC23:AC24"/>
    <mergeCell ref="D16:D18"/>
    <mergeCell ref="C16:C18"/>
    <mergeCell ref="N17:O17"/>
    <mergeCell ref="W23:W24"/>
    <mergeCell ref="T23:T24"/>
    <mergeCell ref="V23:V24"/>
    <mergeCell ref="X23:X24"/>
    <mergeCell ref="AB23:AB24"/>
    <mergeCell ref="Z23:Z24"/>
    <mergeCell ref="A23:D23"/>
    <mergeCell ref="U23:U24"/>
    <mergeCell ref="R16:R17"/>
    <mergeCell ref="Q16:Q17"/>
    <mergeCell ref="B16:B18"/>
    <mergeCell ref="AM23:AM24"/>
    <mergeCell ref="AK23:AK24"/>
    <mergeCell ref="AN23:AN24"/>
    <mergeCell ref="Y23:Y24"/>
    <mergeCell ref="AA23:AA24"/>
    <mergeCell ref="AL23:AL24"/>
    <mergeCell ref="AF23:AF24"/>
    <mergeCell ref="AH23:AH24"/>
    <mergeCell ref="AI23:AI24"/>
    <mergeCell ref="AE23:AE24"/>
    <mergeCell ref="AJ23:AJ24"/>
    <mergeCell ref="AG23:AG24"/>
    <mergeCell ref="AD23:AD24"/>
    <mergeCell ref="AW23:AW24"/>
    <mergeCell ref="AU23:AU24"/>
    <mergeCell ref="AS23:AS24"/>
    <mergeCell ref="AO23:AO24"/>
    <mergeCell ref="AX23:AX24"/>
    <mergeCell ref="AV23:AV24"/>
    <mergeCell ref="AR23:AR24"/>
    <mergeCell ref="AT23:AT24"/>
    <mergeCell ref="AQ23:AQ24"/>
    <mergeCell ref="AP23:AP24"/>
  </mergeCells>
  <phoneticPr fontId="6" type="noConversion"/>
  <pageMargins left="0.75" right="0.75" top="1" bottom="1" header="0.5" footer="0.5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CACA5-D2AC-44F3-9A29-76BE84F04774}">
  <sheetPr codeName="Sheet10"/>
  <dimension ref="B1:J767"/>
  <sheetViews>
    <sheetView topLeftCell="A738" workbookViewId="0">
      <selection activeCell="F768" sqref="F768"/>
    </sheetView>
  </sheetViews>
  <sheetFormatPr defaultRowHeight="12.75"/>
  <cols>
    <col min="2" max="2" width="26.85546875" style="370" customWidth="1"/>
    <col min="3" max="3" width="19.28515625" style="370" customWidth="1"/>
    <col min="4" max="4" width="37.7109375" style="369" bestFit="1" customWidth="1"/>
    <col min="5" max="5" width="22.85546875" style="378" bestFit="1" customWidth="1"/>
    <col min="6" max="6" width="9.140625" style="17"/>
    <col min="9" max="9" width="9.140625" style="375"/>
    <col min="10" max="10" width="9.140625" style="17"/>
  </cols>
  <sheetData>
    <row r="1" spans="2:10">
      <c r="B1" s="370" t="s">
        <v>546</v>
      </c>
      <c r="C1" s="370" t="s">
        <v>546</v>
      </c>
      <c r="D1" s="369" t="s">
        <v>547</v>
      </c>
      <c r="E1" s="379">
        <v>126</v>
      </c>
      <c r="F1" s="17">
        <f t="shared" ref="F1:F32" si="0">VLOOKUP(RIGHT(C1,3),$I:$J,2,0)</f>
        <v>25</v>
      </c>
      <c r="I1" s="376" t="s">
        <v>548</v>
      </c>
      <c r="J1" s="17">
        <v>25</v>
      </c>
    </row>
    <row r="2" spans="2:10">
      <c r="B2" s="370" t="s">
        <v>549</v>
      </c>
      <c r="C2" s="370" t="s">
        <v>549</v>
      </c>
      <c r="D2" s="369" t="s">
        <v>550</v>
      </c>
      <c r="E2" s="379" t="s">
        <v>109</v>
      </c>
      <c r="F2" s="17" t="str">
        <f t="shared" si="0"/>
        <v>5*5</v>
      </c>
      <c r="I2" s="376" t="s">
        <v>551</v>
      </c>
      <c r="J2" s="17">
        <v>50</v>
      </c>
    </row>
    <row r="3" spans="2:10">
      <c r="B3" s="370" t="s">
        <v>552</v>
      </c>
      <c r="C3" s="370" t="s">
        <v>552</v>
      </c>
      <c r="D3" s="369" t="s">
        <v>553</v>
      </c>
      <c r="E3" s="378" t="s">
        <v>109</v>
      </c>
      <c r="F3" s="17">
        <f t="shared" si="0"/>
        <v>25</v>
      </c>
      <c r="I3" s="376" t="s">
        <v>554</v>
      </c>
      <c r="J3" s="16" t="s">
        <v>56</v>
      </c>
    </row>
    <row r="4" spans="2:10">
      <c r="B4" s="370" t="s">
        <v>555</v>
      </c>
      <c r="C4" s="370" t="s">
        <v>555</v>
      </c>
      <c r="D4" s="369" t="s">
        <v>556</v>
      </c>
      <c r="E4" s="378">
        <v>151</v>
      </c>
      <c r="F4" s="17">
        <f t="shared" si="0"/>
        <v>25</v>
      </c>
      <c r="I4" s="376" t="s">
        <v>557</v>
      </c>
      <c r="J4" s="16" t="s">
        <v>558</v>
      </c>
    </row>
    <row r="5" spans="2:10">
      <c r="B5" s="370" t="s">
        <v>559</v>
      </c>
      <c r="C5" s="370" t="s">
        <v>559</v>
      </c>
      <c r="D5" s="369" t="s">
        <v>560</v>
      </c>
      <c r="E5" s="378">
        <v>151</v>
      </c>
      <c r="F5" s="17" t="str">
        <f t="shared" si="0"/>
        <v>5*5</v>
      </c>
      <c r="I5" s="376" t="s">
        <v>561</v>
      </c>
      <c r="J5" s="17">
        <v>10</v>
      </c>
    </row>
    <row r="6" spans="2:10">
      <c r="B6" s="370" t="s">
        <v>562</v>
      </c>
      <c r="C6" s="370" t="s">
        <v>562</v>
      </c>
      <c r="D6" s="369" t="s">
        <v>563</v>
      </c>
      <c r="E6" s="378" t="s">
        <v>115</v>
      </c>
      <c r="F6" s="17" t="str">
        <f t="shared" si="0"/>
        <v>5*5</v>
      </c>
      <c r="I6" s="376" t="s">
        <v>564</v>
      </c>
      <c r="J6" s="17">
        <v>40</v>
      </c>
    </row>
    <row r="7" spans="2:10">
      <c r="B7" s="370" t="s">
        <v>565</v>
      </c>
      <c r="C7" s="370" t="s">
        <v>565</v>
      </c>
      <c r="D7" s="369" t="s">
        <v>566</v>
      </c>
      <c r="E7" s="378" t="s">
        <v>115</v>
      </c>
      <c r="F7" s="17">
        <f t="shared" si="0"/>
        <v>25</v>
      </c>
      <c r="I7" s="376" t="s">
        <v>567</v>
      </c>
      <c r="J7" s="16" t="s">
        <v>568</v>
      </c>
    </row>
    <row r="8" spans="2:10">
      <c r="B8" s="370" t="s">
        <v>569</v>
      </c>
      <c r="C8" s="370" t="s">
        <v>569</v>
      </c>
      <c r="D8" s="369" t="s">
        <v>570</v>
      </c>
      <c r="E8" s="378">
        <v>301</v>
      </c>
      <c r="F8" s="17">
        <f t="shared" si="0"/>
        <v>25</v>
      </c>
    </row>
    <row r="9" spans="2:10">
      <c r="B9" s="370" t="s">
        <v>571</v>
      </c>
      <c r="C9" s="370" t="s">
        <v>571</v>
      </c>
      <c r="D9" s="369" t="s">
        <v>572</v>
      </c>
      <c r="E9" s="378">
        <v>302</v>
      </c>
      <c r="F9" s="17">
        <f t="shared" si="0"/>
        <v>25</v>
      </c>
    </row>
    <row r="10" spans="2:10">
      <c r="B10" s="370" t="s">
        <v>573</v>
      </c>
      <c r="C10" s="370" t="s">
        <v>573</v>
      </c>
      <c r="D10" s="369" t="s">
        <v>574</v>
      </c>
      <c r="E10" s="378">
        <v>322</v>
      </c>
      <c r="F10" s="17">
        <f t="shared" si="0"/>
        <v>25</v>
      </c>
    </row>
    <row r="11" spans="2:10">
      <c r="B11" s="370" t="s">
        <v>575</v>
      </c>
      <c r="C11" s="370" t="s">
        <v>575</v>
      </c>
      <c r="D11" s="369" t="s">
        <v>576</v>
      </c>
      <c r="E11" s="378">
        <v>324</v>
      </c>
      <c r="F11" s="17">
        <f t="shared" si="0"/>
        <v>25</v>
      </c>
    </row>
    <row r="12" spans="2:10">
      <c r="B12" s="370" t="s">
        <v>577</v>
      </c>
      <c r="C12" s="370" t="s">
        <v>577</v>
      </c>
      <c r="D12" s="369" t="s">
        <v>578</v>
      </c>
      <c r="E12" s="379" t="s">
        <v>579</v>
      </c>
      <c r="F12" s="17" t="str">
        <f t="shared" si="0"/>
        <v>Silo</v>
      </c>
    </row>
    <row r="13" spans="2:10">
      <c r="B13" s="370" t="s">
        <v>580</v>
      </c>
      <c r="C13" s="370" t="s">
        <v>580</v>
      </c>
      <c r="D13" s="369" t="s">
        <v>581</v>
      </c>
      <c r="E13" s="378" t="s">
        <v>125</v>
      </c>
      <c r="F13" s="17">
        <f t="shared" si="0"/>
        <v>25</v>
      </c>
    </row>
    <row r="14" spans="2:10">
      <c r="B14" s="370" t="s">
        <v>582</v>
      </c>
      <c r="C14" s="370" t="s">
        <v>582</v>
      </c>
      <c r="D14" s="369" t="s">
        <v>583</v>
      </c>
      <c r="E14" s="379" t="s">
        <v>584</v>
      </c>
      <c r="F14" s="17">
        <f t="shared" si="0"/>
        <v>50</v>
      </c>
    </row>
    <row r="15" spans="2:10">
      <c r="B15" s="370" t="s">
        <v>585</v>
      </c>
      <c r="C15" s="370" t="s">
        <v>585</v>
      </c>
      <c r="D15" s="369" t="s">
        <v>586</v>
      </c>
      <c r="E15" s="378">
        <v>351</v>
      </c>
      <c r="F15" s="17">
        <f t="shared" si="0"/>
        <v>25</v>
      </c>
    </row>
    <row r="16" spans="2:10">
      <c r="B16" s="370" t="s">
        <v>587</v>
      </c>
      <c r="C16" s="370" t="s">
        <v>587</v>
      </c>
      <c r="D16" s="369" t="s">
        <v>588</v>
      </c>
      <c r="E16" s="378">
        <v>352</v>
      </c>
      <c r="F16" s="17">
        <f t="shared" si="0"/>
        <v>25</v>
      </c>
    </row>
    <row r="17" spans="2:6">
      <c r="B17" s="370" t="s">
        <v>589</v>
      </c>
      <c r="C17" s="370" t="s">
        <v>589</v>
      </c>
      <c r="D17" s="369" t="s">
        <v>590</v>
      </c>
      <c r="E17" s="378">
        <v>353</v>
      </c>
      <c r="F17" s="17">
        <f t="shared" si="0"/>
        <v>25</v>
      </c>
    </row>
    <row r="18" spans="2:6">
      <c r="B18" s="370" t="s">
        <v>591</v>
      </c>
      <c r="C18" s="370" t="s">
        <v>591</v>
      </c>
      <c r="D18" s="369" t="s">
        <v>592</v>
      </c>
      <c r="E18" s="378">
        <v>366</v>
      </c>
      <c r="F18" s="17">
        <f t="shared" si="0"/>
        <v>25</v>
      </c>
    </row>
    <row r="19" spans="2:6">
      <c r="B19" s="370" t="s">
        <v>593</v>
      </c>
      <c r="C19" s="370" t="s">
        <v>593</v>
      </c>
      <c r="D19" s="369" t="s">
        <v>594</v>
      </c>
      <c r="E19" s="378">
        <v>367</v>
      </c>
      <c r="F19" s="17">
        <f t="shared" si="0"/>
        <v>25</v>
      </c>
    </row>
    <row r="20" spans="2:6">
      <c r="B20" s="370" t="s">
        <v>595</v>
      </c>
      <c r="C20" s="370" t="s">
        <v>595</v>
      </c>
      <c r="D20" s="369" t="s">
        <v>596</v>
      </c>
      <c r="E20" s="379">
        <v>384</v>
      </c>
      <c r="F20" s="17">
        <f t="shared" si="0"/>
        <v>25</v>
      </c>
    </row>
    <row r="21" spans="2:6">
      <c r="B21" s="370" t="s">
        <v>597</v>
      </c>
      <c r="C21" s="370" t="s">
        <v>597</v>
      </c>
      <c r="D21" s="369" t="s">
        <v>598</v>
      </c>
      <c r="E21" s="378">
        <v>510</v>
      </c>
      <c r="F21" s="17">
        <f t="shared" si="0"/>
        <v>25</v>
      </c>
    </row>
    <row r="22" spans="2:6">
      <c r="B22" s="370" t="s">
        <v>599</v>
      </c>
      <c r="C22" s="370" t="s">
        <v>600</v>
      </c>
      <c r="D22" s="369" t="s">
        <v>601</v>
      </c>
      <c r="E22" s="379" t="s">
        <v>602</v>
      </c>
      <c r="F22" s="17" t="str">
        <f t="shared" si="0"/>
        <v>Silo</v>
      </c>
    </row>
    <row r="23" spans="2:6">
      <c r="B23" s="370" t="s">
        <v>603</v>
      </c>
      <c r="C23" s="370" t="s">
        <v>603</v>
      </c>
      <c r="D23" s="369" t="s">
        <v>604</v>
      </c>
      <c r="E23" s="378" t="s">
        <v>258</v>
      </c>
      <c r="F23" s="17">
        <f t="shared" si="0"/>
        <v>50</v>
      </c>
    </row>
    <row r="24" spans="2:6">
      <c r="B24" s="370" t="s">
        <v>605</v>
      </c>
      <c r="C24" s="370" t="s">
        <v>605</v>
      </c>
      <c r="D24" s="369" t="s">
        <v>606</v>
      </c>
      <c r="E24" s="378" t="s">
        <v>258</v>
      </c>
      <c r="F24" s="17" t="str">
        <f t="shared" si="0"/>
        <v>Silo</v>
      </c>
    </row>
    <row r="25" spans="2:6">
      <c r="B25" s="370" t="s">
        <v>607</v>
      </c>
      <c r="C25" s="370" t="s">
        <v>607</v>
      </c>
      <c r="D25" s="369" t="s">
        <v>608</v>
      </c>
      <c r="E25" s="378" t="s">
        <v>133</v>
      </c>
      <c r="F25" s="17">
        <f t="shared" si="0"/>
        <v>25</v>
      </c>
    </row>
    <row r="26" spans="2:6">
      <c r="B26" s="370" t="s">
        <v>609</v>
      </c>
      <c r="C26" s="370" t="s">
        <v>609</v>
      </c>
      <c r="D26" s="369" t="s">
        <v>610</v>
      </c>
      <c r="E26" s="378" t="s">
        <v>134</v>
      </c>
      <c r="F26" s="17">
        <f t="shared" si="0"/>
        <v>25</v>
      </c>
    </row>
    <row r="27" spans="2:6">
      <c r="B27" s="370" t="s">
        <v>611</v>
      </c>
      <c r="C27" s="370" t="s">
        <v>611</v>
      </c>
      <c r="D27" s="369" t="s">
        <v>612</v>
      </c>
      <c r="E27" s="378" t="s">
        <v>263</v>
      </c>
      <c r="F27" s="17">
        <f t="shared" si="0"/>
        <v>50</v>
      </c>
    </row>
    <row r="28" spans="2:6">
      <c r="B28" s="370" t="s">
        <v>613</v>
      </c>
      <c r="C28" s="370" t="s">
        <v>613</v>
      </c>
      <c r="D28" s="369" t="s">
        <v>614</v>
      </c>
      <c r="E28" s="378" t="s">
        <v>263</v>
      </c>
      <c r="F28" s="17" t="str">
        <f t="shared" si="0"/>
        <v>Silo</v>
      </c>
    </row>
    <row r="29" spans="2:6">
      <c r="B29" s="370" t="s">
        <v>615</v>
      </c>
      <c r="C29" s="370" t="s">
        <v>616</v>
      </c>
      <c r="D29" s="369" t="s">
        <v>617</v>
      </c>
      <c r="E29" s="379" t="s">
        <v>618</v>
      </c>
      <c r="F29" s="17" t="str">
        <f t="shared" si="0"/>
        <v>Silo</v>
      </c>
    </row>
    <row r="30" spans="2:6">
      <c r="B30" s="370" t="s">
        <v>619</v>
      </c>
      <c r="C30" s="370" t="s">
        <v>616</v>
      </c>
      <c r="D30" s="369" t="s">
        <v>620</v>
      </c>
      <c r="E30" s="378" t="s">
        <v>621</v>
      </c>
      <c r="F30" s="17" t="str">
        <f t="shared" si="0"/>
        <v>Silo</v>
      </c>
    </row>
    <row r="31" spans="2:6">
      <c r="B31" s="370" t="s">
        <v>622</v>
      </c>
      <c r="C31" s="370" t="s">
        <v>622</v>
      </c>
      <c r="D31" s="369" t="s">
        <v>623</v>
      </c>
      <c r="E31" s="378">
        <v>511</v>
      </c>
      <c r="F31" s="17">
        <f t="shared" si="0"/>
        <v>25</v>
      </c>
    </row>
    <row r="32" spans="2:6">
      <c r="B32" s="370" t="s">
        <v>624</v>
      </c>
      <c r="C32" s="370" t="s">
        <v>625</v>
      </c>
      <c r="D32" s="369" t="s">
        <v>626</v>
      </c>
      <c r="E32" s="378" t="s">
        <v>627</v>
      </c>
      <c r="F32" s="17" t="str">
        <f t="shared" si="0"/>
        <v>Silo</v>
      </c>
    </row>
    <row r="33" spans="2:6">
      <c r="B33" s="370" t="s">
        <v>628</v>
      </c>
      <c r="C33" s="370" t="s">
        <v>628</v>
      </c>
      <c r="D33" s="369" t="s">
        <v>629</v>
      </c>
      <c r="E33" s="378" t="s">
        <v>137</v>
      </c>
      <c r="F33" s="17">
        <f t="shared" ref="F33:F52" si="1">VLOOKUP(RIGHT(C33,3),$I:$J,2,0)</f>
        <v>25</v>
      </c>
    </row>
    <row r="34" spans="2:6">
      <c r="B34" s="370" t="s">
        <v>630</v>
      </c>
      <c r="C34" s="370" t="s">
        <v>631</v>
      </c>
      <c r="D34" s="369" t="s">
        <v>632</v>
      </c>
      <c r="E34" s="378" t="s">
        <v>633</v>
      </c>
      <c r="F34" s="17" t="str">
        <f t="shared" si="1"/>
        <v>Silo</v>
      </c>
    </row>
    <row r="35" spans="2:6">
      <c r="B35" s="370" t="s">
        <v>634</v>
      </c>
      <c r="C35" s="370" t="s">
        <v>634</v>
      </c>
      <c r="D35" s="369" t="s">
        <v>635</v>
      </c>
      <c r="E35" s="378" t="s">
        <v>280</v>
      </c>
      <c r="F35" s="17">
        <f t="shared" si="1"/>
        <v>50</v>
      </c>
    </row>
    <row r="36" spans="2:6">
      <c r="B36" s="370" t="s">
        <v>636</v>
      </c>
      <c r="C36" s="370" t="s">
        <v>636</v>
      </c>
      <c r="D36" s="369" t="s">
        <v>637</v>
      </c>
      <c r="E36" s="378" t="s">
        <v>280</v>
      </c>
      <c r="F36" s="17" t="str">
        <f t="shared" si="1"/>
        <v>Silo</v>
      </c>
    </row>
    <row r="37" spans="2:6">
      <c r="B37" s="370" t="s">
        <v>638</v>
      </c>
      <c r="C37" s="370" t="s">
        <v>638</v>
      </c>
      <c r="D37" s="369" t="s">
        <v>639</v>
      </c>
      <c r="E37" s="378" t="s">
        <v>282</v>
      </c>
      <c r="F37" s="17">
        <f t="shared" si="1"/>
        <v>50</v>
      </c>
    </row>
    <row r="38" spans="2:6">
      <c r="B38" s="370" t="s">
        <v>640</v>
      </c>
      <c r="C38" s="370" t="s">
        <v>641</v>
      </c>
      <c r="D38" s="369" t="s">
        <v>642</v>
      </c>
      <c r="E38" s="378" t="s">
        <v>643</v>
      </c>
      <c r="F38" s="17">
        <f t="shared" si="1"/>
        <v>50</v>
      </c>
    </row>
    <row r="39" spans="2:6">
      <c r="B39" s="370" t="s">
        <v>644</v>
      </c>
      <c r="C39" s="370" t="s">
        <v>644</v>
      </c>
      <c r="D39" s="369" t="s">
        <v>645</v>
      </c>
      <c r="E39" s="378" t="s">
        <v>282</v>
      </c>
      <c r="F39" s="17" t="str">
        <f t="shared" si="1"/>
        <v>Silo</v>
      </c>
    </row>
    <row r="40" spans="2:6">
      <c r="B40" s="370" t="s">
        <v>646</v>
      </c>
      <c r="C40" s="370" t="s">
        <v>647</v>
      </c>
      <c r="D40" s="369" t="s">
        <v>648</v>
      </c>
      <c r="E40" s="378" t="s">
        <v>649</v>
      </c>
      <c r="F40" s="17" t="str">
        <f t="shared" si="1"/>
        <v>Silo</v>
      </c>
    </row>
    <row r="41" spans="2:6">
      <c r="B41" s="370" t="s">
        <v>650</v>
      </c>
      <c r="C41" s="370" t="s">
        <v>647</v>
      </c>
      <c r="D41" s="369" t="s">
        <v>651</v>
      </c>
      <c r="E41" s="378" t="s">
        <v>652</v>
      </c>
      <c r="F41" s="17" t="str">
        <f t="shared" si="1"/>
        <v>Silo</v>
      </c>
    </row>
    <row r="42" spans="2:6">
      <c r="B42" s="370" t="s">
        <v>653</v>
      </c>
      <c r="C42" s="370" t="s">
        <v>653</v>
      </c>
      <c r="D42" s="369" t="s">
        <v>654</v>
      </c>
      <c r="E42" s="378" t="s">
        <v>139</v>
      </c>
      <c r="F42" s="17">
        <f t="shared" si="1"/>
        <v>25</v>
      </c>
    </row>
    <row r="43" spans="2:6">
      <c r="B43" s="370" t="s">
        <v>655</v>
      </c>
      <c r="C43" s="370" t="s">
        <v>655</v>
      </c>
      <c r="D43" s="369" t="s">
        <v>656</v>
      </c>
      <c r="E43" s="378" t="s">
        <v>297</v>
      </c>
      <c r="F43" s="17" t="str">
        <f t="shared" si="1"/>
        <v>Silo</v>
      </c>
    </row>
    <row r="44" spans="2:6">
      <c r="B44" s="370" t="s">
        <v>657</v>
      </c>
      <c r="C44" s="370" t="s">
        <v>657</v>
      </c>
      <c r="D44" s="369" t="s">
        <v>658</v>
      </c>
      <c r="E44" s="378" t="s">
        <v>142</v>
      </c>
      <c r="F44" s="17">
        <f t="shared" si="1"/>
        <v>25</v>
      </c>
    </row>
    <row r="45" spans="2:6">
      <c r="B45" s="370" t="s">
        <v>659</v>
      </c>
      <c r="C45" s="370" t="s">
        <v>659</v>
      </c>
      <c r="D45" s="369" t="s">
        <v>660</v>
      </c>
      <c r="E45" s="378" t="s">
        <v>143</v>
      </c>
      <c r="F45" s="17">
        <f t="shared" si="1"/>
        <v>25</v>
      </c>
    </row>
    <row r="46" spans="2:6">
      <c r="B46" s="370" t="s">
        <v>661</v>
      </c>
      <c r="C46" s="370" t="s">
        <v>661</v>
      </c>
      <c r="D46" s="369" t="s">
        <v>662</v>
      </c>
      <c r="E46" s="378" t="s">
        <v>299</v>
      </c>
      <c r="F46" s="17">
        <f t="shared" si="1"/>
        <v>25</v>
      </c>
    </row>
    <row r="47" spans="2:6">
      <c r="B47" s="370" t="s">
        <v>663</v>
      </c>
      <c r="C47" s="370" t="s">
        <v>663</v>
      </c>
      <c r="D47" s="369" t="s">
        <v>664</v>
      </c>
      <c r="E47" s="378" t="s">
        <v>299</v>
      </c>
      <c r="F47" s="17">
        <f t="shared" si="1"/>
        <v>50</v>
      </c>
    </row>
    <row r="48" spans="2:6">
      <c r="B48" s="370" t="s">
        <v>665</v>
      </c>
      <c r="C48" s="370" t="s">
        <v>665</v>
      </c>
      <c r="D48" s="369" t="s">
        <v>666</v>
      </c>
      <c r="E48" s="378" t="s">
        <v>299</v>
      </c>
      <c r="F48" s="17" t="str">
        <f t="shared" si="1"/>
        <v>Silo</v>
      </c>
    </row>
    <row r="49" spans="2:6">
      <c r="B49" s="370" t="s">
        <v>667</v>
      </c>
      <c r="C49" s="370" t="s">
        <v>668</v>
      </c>
      <c r="D49" s="369" t="s">
        <v>669</v>
      </c>
      <c r="E49" s="378" t="s">
        <v>670</v>
      </c>
      <c r="F49" s="17" t="str">
        <f t="shared" si="1"/>
        <v>Silo</v>
      </c>
    </row>
    <row r="50" spans="2:6">
      <c r="B50" s="370" t="s">
        <v>671</v>
      </c>
      <c r="C50" s="370" t="s">
        <v>668</v>
      </c>
      <c r="D50" s="369" t="s">
        <v>672</v>
      </c>
      <c r="E50" s="378" t="s">
        <v>673</v>
      </c>
      <c r="F50" s="17" t="str">
        <f t="shared" si="1"/>
        <v>Silo</v>
      </c>
    </row>
    <row r="51" spans="2:6">
      <c r="B51" s="370" t="s">
        <v>674</v>
      </c>
      <c r="C51" s="370" t="s">
        <v>674</v>
      </c>
      <c r="D51" s="369" t="s">
        <v>675</v>
      </c>
      <c r="E51" s="378" t="s">
        <v>144</v>
      </c>
      <c r="F51" s="17">
        <f t="shared" si="1"/>
        <v>25</v>
      </c>
    </row>
    <row r="52" spans="2:6">
      <c r="B52" s="370" t="s">
        <v>676</v>
      </c>
      <c r="C52" s="370" t="s">
        <v>676</v>
      </c>
      <c r="D52" s="369" t="s">
        <v>677</v>
      </c>
      <c r="E52" s="378">
        <v>513</v>
      </c>
      <c r="F52" s="17">
        <f t="shared" si="1"/>
        <v>25</v>
      </c>
    </row>
    <row r="53" spans="2:6">
      <c r="B53" s="370" t="s">
        <v>676</v>
      </c>
      <c r="C53" s="370" t="s">
        <v>676</v>
      </c>
      <c r="D53" s="369" t="s">
        <v>678</v>
      </c>
      <c r="E53" s="378" t="s">
        <v>309</v>
      </c>
      <c r="F53" s="17">
        <v>25</v>
      </c>
    </row>
    <row r="54" spans="2:6">
      <c r="B54" s="370" t="s">
        <v>679</v>
      </c>
      <c r="C54" s="370" t="s">
        <v>679</v>
      </c>
      <c r="D54" s="369" t="s">
        <v>678</v>
      </c>
      <c r="E54" s="378" t="s">
        <v>309</v>
      </c>
      <c r="F54" s="17">
        <f t="shared" ref="F54:F84" si="2">VLOOKUP(RIGHT(C54,3),$I:$J,2,0)</f>
        <v>50</v>
      </c>
    </row>
    <row r="55" spans="2:6">
      <c r="B55" s="370" t="s">
        <v>680</v>
      </c>
      <c r="C55" s="370" t="s">
        <v>680</v>
      </c>
      <c r="D55" s="369" t="s">
        <v>681</v>
      </c>
      <c r="E55" s="378" t="s">
        <v>336</v>
      </c>
      <c r="F55" s="17" t="str">
        <f t="shared" si="2"/>
        <v>Silo</v>
      </c>
    </row>
    <row r="56" spans="2:6">
      <c r="B56" s="370" t="s">
        <v>682</v>
      </c>
      <c r="C56" s="370" t="s">
        <v>682</v>
      </c>
      <c r="D56" s="369" t="s">
        <v>683</v>
      </c>
      <c r="E56" s="378">
        <v>521</v>
      </c>
      <c r="F56" s="17">
        <f t="shared" si="2"/>
        <v>25</v>
      </c>
    </row>
    <row r="57" spans="2:6">
      <c r="B57" s="370" t="s">
        <v>684</v>
      </c>
      <c r="C57" s="370" t="s">
        <v>684</v>
      </c>
      <c r="D57" s="369" t="s">
        <v>685</v>
      </c>
      <c r="E57" s="378">
        <v>521</v>
      </c>
      <c r="F57" s="17" t="str">
        <f t="shared" si="2"/>
        <v>Silo</v>
      </c>
    </row>
    <row r="58" spans="2:6">
      <c r="B58" s="370" t="s">
        <v>686</v>
      </c>
      <c r="C58" s="370" t="s">
        <v>686</v>
      </c>
      <c r="D58" s="369" t="s">
        <v>687</v>
      </c>
      <c r="E58" s="378" t="s">
        <v>688</v>
      </c>
      <c r="F58" s="17" t="str">
        <f t="shared" si="2"/>
        <v>Silo</v>
      </c>
    </row>
    <row r="59" spans="2:6">
      <c r="B59" s="370" t="s">
        <v>689</v>
      </c>
      <c r="C59" s="370" t="s">
        <v>689</v>
      </c>
      <c r="D59" s="369" t="s">
        <v>690</v>
      </c>
      <c r="E59" s="378" t="s">
        <v>691</v>
      </c>
      <c r="F59" s="17" t="str">
        <f t="shared" si="2"/>
        <v>Silo</v>
      </c>
    </row>
    <row r="60" spans="2:6">
      <c r="B60" s="370" t="s">
        <v>692</v>
      </c>
      <c r="C60" s="370" t="s">
        <v>693</v>
      </c>
      <c r="D60" s="369" t="s">
        <v>694</v>
      </c>
      <c r="E60" s="378" t="s">
        <v>695</v>
      </c>
      <c r="F60" s="17" t="str">
        <f t="shared" si="2"/>
        <v>Silo</v>
      </c>
    </row>
    <row r="61" spans="2:6">
      <c r="B61" s="370" t="s">
        <v>696</v>
      </c>
      <c r="C61" s="370" t="s">
        <v>693</v>
      </c>
      <c r="D61" s="369" t="s">
        <v>697</v>
      </c>
      <c r="E61" s="378" t="s">
        <v>698</v>
      </c>
      <c r="F61" s="17" t="str">
        <f t="shared" si="2"/>
        <v>Silo</v>
      </c>
    </row>
    <row r="62" spans="2:6">
      <c r="B62" s="370" t="s">
        <v>699</v>
      </c>
      <c r="C62" s="370" t="s">
        <v>699</v>
      </c>
      <c r="D62" s="369" t="s">
        <v>700</v>
      </c>
      <c r="E62" s="378" t="s">
        <v>145</v>
      </c>
      <c r="F62" s="17" t="str">
        <f t="shared" si="2"/>
        <v>Silo</v>
      </c>
    </row>
    <row r="63" spans="2:6">
      <c r="B63" s="370" t="s">
        <v>701</v>
      </c>
      <c r="C63" s="370" t="s">
        <v>701</v>
      </c>
      <c r="D63" s="369" t="s">
        <v>702</v>
      </c>
      <c r="E63" s="378" t="s">
        <v>703</v>
      </c>
      <c r="F63" s="17" t="str">
        <f t="shared" si="2"/>
        <v>Silo</v>
      </c>
    </row>
    <row r="64" spans="2:6">
      <c r="B64" s="370" t="s">
        <v>704</v>
      </c>
      <c r="C64" s="370" t="s">
        <v>705</v>
      </c>
      <c r="D64" s="369" t="s">
        <v>706</v>
      </c>
      <c r="E64" s="378" t="s">
        <v>707</v>
      </c>
      <c r="F64" s="17" t="str">
        <f t="shared" si="2"/>
        <v>Silo</v>
      </c>
    </row>
    <row r="65" spans="2:6">
      <c r="B65" s="370" t="s">
        <v>708</v>
      </c>
      <c r="C65" s="370" t="s">
        <v>705</v>
      </c>
      <c r="D65" s="369" t="s">
        <v>709</v>
      </c>
      <c r="E65" s="378" t="s">
        <v>710</v>
      </c>
      <c r="F65" s="17" t="str">
        <f t="shared" si="2"/>
        <v>Silo</v>
      </c>
    </row>
    <row r="66" spans="2:6">
      <c r="B66" s="370" t="s">
        <v>711</v>
      </c>
      <c r="C66" s="370" t="s">
        <v>711</v>
      </c>
      <c r="D66" s="369" t="s">
        <v>712</v>
      </c>
      <c r="E66" s="378">
        <v>524</v>
      </c>
      <c r="F66" s="17">
        <f t="shared" si="2"/>
        <v>25</v>
      </c>
    </row>
    <row r="67" spans="2:6">
      <c r="B67" s="370" t="s">
        <v>713</v>
      </c>
      <c r="C67" s="370" t="s">
        <v>713</v>
      </c>
      <c r="D67" s="369" t="s">
        <v>714</v>
      </c>
      <c r="E67" s="378" t="s">
        <v>148</v>
      </c>
      <c r="F67" s="17" t="str">
        <f t="shared" si="2"/>
        <v>Silo</v>
      </c>
    </row>
    <row r="68" spans="2:6">
      <c r="B68" s="370" t="s">
        <v>715</v>
      </c>
      <c r="C68" s="370" t="s">
        <v>715</v>
      </c>
      <c r="D68" s="369" t="s">
        <v>716</v>
      </c>
      <c r="E68" s="378" t="s">
        <v>149</v>
      </c>
      <c r="F68" s="17">
        <f t="shared" si="2"/>
        <v>25</v>
      </c>
    </row>
    <row r="69" spans="2:6">
      <c r="B69" s="370" t="s">
        <v>717</v>
      </c>
      <c r="C69" s="370" t="s">
        <v>717</v>
      </c>
      <c r="D69" s="369" t="s">
        <v>718</v>
      </c>
      <c r="E69" s="378" t="s">
        <v>320</v>
      </c>
      <c r="F69" s="17" t="str">
        <f t="shared" si="2"/>
        <v>Silo</v>
      </c>
    </row>
    <row r="70" spans="2:6">
      <c r="B70" s="370" t="s">
        <v>719</v>
      </c>
      <c r="C70" s="370" t="s">
        <v>719</v>
      </c>
      <c r="D70" s="369" t="s">
        <v>720</v>
      </c>
      <c r="E70" s="378" t="s">
        <v>721</v>
      </c>
      <c r="F70" s="17" t="str">
        <f t="shared" si="2"/>
        <v>Silo</v>
      </c>
    </row>
    <row r="71" spans="2:6">
      <c r="B71" s="370" t="s">
        <v>722</v>
      </c>
      <c r="C71" s="370" t="s">
        <v>723</v>
      </c>
      <c r="D71" s="369" t="s">
        <v>724</v>
      </c>
      <c r="E71" s="378" t="s">
        <v>725</v>
      </c>
      <c r="F71" s="17" t="str">
        <f t="shared" si="2"/>
        <v>Silo</v>
      </c>
    </row>
    <row r="72" spans="2:6">
      <c r="B72" s="370" t="s">
        <v>726</v>
      </c>
      <c r="C72" s="370" t="s">
        <v>726</v>
      </c>
      <c r="D72" s="369" t="s">
        <v>727</v>
      </c>
      <c r="E72" s="378">
        <v>540</v>
      </c>
      <c r="F72" s="17">
        <f t="shared" si="2"/>
        <v>25</v>
      </c>
    </row>
    <row r="73" spans="2:6">
      <c r="B73" s="370" t="s">
        <v>728</v>
      </c>
      <c r="C73" s="370" t="s">
        <v>728</v>
      </c>
      <c r="D73" s="369" t="s">
        <v>729</v>
      </c>
      <c r="E73" s="378" t="s">
        <v>322</v>
      </c>
      <c r="F73" s="17" t="str">
        <f t="shared" si="2"/>
        <v>Silo</v>
      </c>
    </row>
    <row r="74" spans="2:6">
      <c r="B74" s="370" t="s">
        <v>730</v>
      </c>
      <c r="C74" s="370" t="s">
        <v>730</v>
      </c>
      <c r="D74" s="369" t="s">
        <v>731</v>
      </c>
      <c r="E74" s="378">
        <v>543</v>
      </c>
      <c r="F74" s="17">
        <f t="shared" si="2"/>
        <v>25</v>
      </c>
    </row>
    <row r="75" spans="2:6">
      <c r="B75" s="370" t="s">
        <v>732</v>
      </c>
      <c r="C75" s="370" t="s">
        <v>732</v>
      </c>
      <c r="D75" s="369" t="s">
        <v>733</v>
      </c>
      <c r="E75" s="378">
        <v>544</v>
      </c>
      <c r="F75" s="17">
        <f t="shared" si="2"/>
        <v>40</v>
      </c>
    </row>
    <row r="76" spans="2:6">
      <c r="B76" s="370" t="s">
        <v>734</v>
      </c>
      <c r="C76" s="370" t="s">
        <v>734</v>
      </c>
      <c r="D76" s="369" t="s">
        <v>735</v>
      </c>
      <c r="E76" s="378">
        <v>545</v>
      </c>
      <c r="F76" s="17">
        <f t="shared" si="2"/>
        <v>40</v>
      </c>
    </row>
    <row r="77" spans="2:6">
      <c r="B77" s="370" t="s">
        <v>736</v>
      </c>
      <c r="C77" s="370" t="s">
        <v>736</v>
      </c>
      <c r="D77" s="369" t="s">
        <v>737</v>
      </c>
      <c r="E77" s="378">
        <v>548</v>
      </c>
      <c r="F77" s="17">
        <f t="shared" si="2"/>
        <v>25</v>
      </c>
    </row>
    <row r="78" spans="2:6">
      <c r="B78" s="370" t="s">
        <v>738</v>
      </c>
      <c r="C78" s="370" t="s">
        <v>738</v>
      </c>
      <c r="D78" s="369" t="s">
        <v>739</v>
      </c>
      <c r="E78" s="378" t="s">
        <v>324</v>
      </c>
      <c r="F78" s="17" t="str">
        <f t="shared" si="2"/>
        <v>Silo</v>
      </c>
    </row>
    <row r="79" spans="2:6">
      <c r="B79" s="370" t="s">
        <v>740</v>
      </c>
      <c r="C79" s="370" t="s">
        <v>740</v>
      </c>
      <c r="D79" s="369" t="s">
        <v>741</v>
      </c>
      <c r="E79" s="378" t="s">
        <v>324</v>
      </c>
      <c r="F79" s="17">
        <f t="shared" si="2"/>
        <v>50</v>
      </c>
    </row>
    <row r="80" spans="2:6">
      <c r="B80" s="370" t="s">
        <v>742</v>
      </c>
      <c r="C80" s="370" t="s">
        <v>742</v>
      </c>
      <c r="D80" s="369" t="s">
        <v>743</v>
      </c>
      <c r="E80" s="378">
        <v>549</v>
      </c>
      <c r="F80" s="17">
        <f t="shared" si="2"/>
        <v>25</v>
      </c>
    </row>
    <row r="81" spans="2:6">
      <c r="B81" s="370" t="s">
        <v>744</v>
      </c>
      <c r="C81" s="370" t="s">
        <v>744</v>
      </c>
      <c r="D81" s="369" t="s">
        <v>745</v>
      </c>
      <c r="E81" s="378" t="s">
        <v>329</v>
      </c>
      <c r="F81" s="17">
        <f t="shared" si="2"/>
        <v>50</v>
      </c>
    </row>
    <row r="82" spans="2:6">
      <c r="B82" s="370" t="s">
        <v>746</v>
      </c>
      <c r="C82" s="370" t="s">
        <v>746</v>
      </c>
      <c r="D82" s="369" t="s">
        <v>747</v>
      </c>
      <c r="E82" s="378" t="s">
        <v>329</v>
      </c>
      <c r="F82" s="17" t="str">
        <f t="shared" si="2"/>
        <v>Silo</v>
      </c>
    </row>
    <row r="83" spans="2:6">
      <c r="B83" s="370" t="s">
        <v>748</v>
      </c>
      <c r="C83" s="370" t="s">
        <v>748</v>
      </c>
      <c r="D83" s="369" t="s">
        <v>749</v>
      </c>
      <c r="E83" s="379" t="s">
        <v>343</v>
      </c>
      <c r="F83" s="17">
        <f t="shared" si="2"/>
        <v>10</v>
      </c>
    </row>
    <row r="84" spans="2:6">
      <c r="B84" s="370" t="s">
        <v>750</v>
      </c>
      <c r="C84" s="370" t="s">
        <v>750</v>
      </c>
      <c r="D84" s="369" t="s">
        <v>751</v>
      </c>
      <c r="E84" s="378" t="s">
        <v>154</v>
      </c>
      <c r="F84" s="17">
        <f t="shared" si="2"/>
        <v>25</v>
      </c>
    </row>
    <row r="85" spans="2:6">
      <c r="B85" s="370" t="s">
        <v>752</v>
      </c>
      <c r="C85" s="370" t="s">
        <v>752</v>
      </c>
      <c r="D85" s="369" t="s">
        <v>753</v>
      </c>
      <c r="E85" s="378" t="s">
        <v>96</v>
      </c>
      <c r="F85" s="17">
        <v>25</v>
      </c>
    </row>
    <row r="86" spans="2:6">
      <c r="B86" s="370" t="s">
        <v>754</v>
      </c>
      <c r="C86" s="370" t="s">
        <v>754</v>
      </c>
      <c r="D86" s="369" t="s">
        <v>755</v>
      </c>
      <c r="E86" s="378" t="s">
        <v>153</v>
      </c>
      <c r="F86" s="17">
        <v>25</v>
      </c>
    </row>
    <row r="87" spans="2:6">
      <c r="B87" s="370" t="s">
        <v>756</v>
      </c>
      <c r="C87" s="370" t="s">
        <v>756</v>
      </c>
      <c r="D87" s="369" t="s">
        <v>757</v>
      </c>
      <c r="E87" s="378" t="s">
        <v>344</v>
      </c>
      <c r="F87" s="17">
        <f t="shared" ref="F87:F118" si="3">VLOOKUP(RIGHT(C87,3),$I:$J,2,0)</f>
        <v>25</v>
      </c>
    </row>
    <row r="88" spans="2:6">
      <c r="B88" s="370" t="s">
        <v>758</v>
      </c>
      <c r="C88" s="370" t="s">
        <v>759</v>
      </c>
      <c r="D88" s="369" t="s">
        <v>760</v>
      </c>
      <c r="E88" s="378" t="s">
        <v>761</v>
      </c>
      <c r="F88" s="17" t="str">
        <f t="shared" si="3"/>
        <v>Silo</v>
      </c>
    </row>
    <row r="89" spans="2:6">
      <c r="B89" s="370" t="s">
        <v>762</v>
      </c>
      <c r="C89" s="370" t="s">
        <v>762</v>
      </c>
      <c r="D89" s="369" t="s">
        <v>763</v>
      </c>
      <c r="E89" s="378">
        <v>551</v>
      </c>
      <c r="F89" s="17">
        <f t="shared" si="3"/>
        <v>25</v>
      </c>
    </row>
    <row r="90" spans="2:6">
      <c r="B90" s="370" t="s">
        <v>764</v>
      </c>
      <c r="C90" s="370" t="s">
        <v>764</v>
      </c>
      <c r="D90" s="369" t="s">
        <v>765</v>
      </c>
      <c r="E90" s="378" t="s">
        <v>99</v>
      </c>
      <c r="F90" s="17">
        <v>25</v>
      </c>
    </row>
    <row r="91" spans="2:6">
      <c r="B91" s="370" t="s">
        <v>766</v>
      </c>
      <c r="C91" s="370" t="s">
        <v>767</v>
      </c>
      <c r="D91" s="369" t="s">
        <v>768</v>
      </c>
      <c r="E91" s="378" t="s">
        <v>769</v>
      </c>
      <c r="F91" s="17">
        <f t="shared" si="3"/>
        <v>50</v>
      </c>
    </row>
    <row r="92" spans="2:6">
      <c r="B92" s="370" t="s">
        <v>770</v>
      </c>
      <c r="C92" s="370" t="s">
        <v>770</v>
      </c>
      <c r="D92" s="369" t="s">
        <v>771</v>
      </c>
      <c r="E92" s="378" t="s">
        <v>356</v>
      </c>
      <c r="F92" s="17" t="str">
        <f t="shared" si="3"/>
        <v>Silo</v>
      </c>
    </row>
    <row r="93" spans="2:6">
      <c r="B93" s="370" t="s">
        <v>772</v>
      </c>
      <c r="C93" s="370" t="s">
        <v>773</v>
      </c>
      <c r="D93" s="369" t="s">
        <v>774</v>
      </c>
      <c r="E93" s="379" t="s">
        <v>775</v>
      </c>
      <c r="F93" s="17">
        <f t="shared" si="3"/>
        <v>25</v>
      </c>
    </row>
    <row r="94" spans="2:6">
      <c r="B94" s="370" t="s">
        <v>776</v>
      </c>
      <c r="C94" s="370" t="s">
        <v>776</v>
      </c>
      <c r="D94" s="369" t="s">
        <v>777</v>
      </c>
      <c r="E94" s="378" t="s">
        <v>356</v>
      </c>
      <c r="F94" s="17">
        <f t="shared" si="3"/>
        <v>50</v>
      </c>
    </row>
    <row r="95" spans="2:6">
      <c r="B95" s="370" t="s">
        <v>778</v>
      </c>
      <c r="C95" s="370" t="s">
        <v>779</v>
      </c>
      <c r="D95" s="369" t="s">
        <v>780</v>
      </c>
      <c r="E95" s="378" t="s">
        <v>769</v>
      </c>
      <c r="F95" s="17" t="str">
        <f t="shared" si="3"/>
        <v>Silo</v>
      </c>
    </row>
    <row r="96" spans="2:6">
      <c r="B96" s="370" t="s">
        <v>781</v>
      </c>
      <c r="C96" s="370" t="s">
        <v>781</v>
      </c>
      <c r="D96" s="369" t="s">
        <v>782</v>
      </c>
      <c r="E96" s="378" t="s">
        <v>159</v>
      </c>
      <c r="F96" s="17">
        <f t="shared" si="3"/>
        <v>25</v>
      </c>
    </row>
    <row r="97" spans="2:6">
      <c r="B97" s="370" t="s">
        <v>783</v>
      </c>
      <c r="C97" s="370" t="s">
        <v>783</v>
      </c>
      <c r="D97" s="369" t="s">
        <v>784</v>
      </c>
      <c r="E97" s="379" t="s">
        <v>368</v>
      </c>
      <c r="F97" s="17">
        <f t="shared" si="3"/>
        <v>50</v>
      </c>
    </row>
    <row r="98" spans="2:6">
      <c r="B98" s="370" t="s">
        <v>785</v>
      </c>
      <c r="C98" s="370" t="s">
        <v>786</v>
      </c>
      <c r="D98" s="369" t="s">
        <v>787</v>
      </c>
      <c r="E98" s="379" t="s">
        <v>788</v>
      </c>
      <c r="F98" s="17">
        <f t="shared" si="3"/>
        <v>50</v>
      </c>
    </row>
    <row r="99" spans="2:6">
      <c r="B99" s="370" t="s">
        <v>789</v>
      </c>
      <c r="C99" s="370" t="s">
        <v>789</v>
      </c>
      <c r="D99" s="369" t="s">
        <v>790</v>
      </c>
      <c r="E99" s="378" t="s">
        <v>368</v>
      </c>
      <c r="F99" s="17" t="str">
        <f t="shared" si="3"/>
        <v>Silo</v>
      </c>
    </row>
    <row r="100" spans="2:6">
      <c r="B100" s="370" t="s">
        <v>791</v>
      </c>
      <c r="C100" s="370" t="s">
        <v>792</v>
      </c>
      <c r="D100" s="369" t="s">
        <v>793</v>
      </c>
      <c r="E100" s="378" t="s">
        <v>788</v>
      </c>
      <c r="F100" s="17" t="str">
        <f t="shared" si="3"/>
        <v>Silo</v>
      </c>
    </row>
    <row r="101" spans="2:6">
      <c r="B101" s="370" t="s">
        <v>794</v>
      </c>
      <c r="C101" s="370" t="s">
        <v>794</v>
      </c>
      <c r="D101" s="369" t="s">
        <v>795</v>
      </c>
      <c r="E101" s="378">
        <v>552</v>
      </c>
      <c r="F101" s="17">
        <f t="shared" si="3"/>
        <v>25</v>
      </c>
    </row>
    <row r="102" spans="2:6">
      <c r="B102" s="370" t="s">
        <v>796</v>
      </c>
      <c r="C102" s="370" t="s">
        <v>797</v>
      </c>
      <c r="D102" s="369" t="s">
        <v>798</v>
      </c>
      <c r="E102" s="378" t="s">
        <v>799</v>
      </c>
      <c r="F102" s="17">
        <f t="shared" si="3"/>
        <v>50</v>
      </c>
    </row>
    <row r="103" spans="2:6">
      <c r="B103" s="370" t="s">
        <v>800</v>
      </c>
      <c r="C103" s="370" t="s">
        <v>797</v>
      </c>
      <c r="D103" s="369" t="s">
        <v>801</v>
      </c>
      <c r="E103" s="378" t="s">
        <v>802</v>
      </c>
      <c r="F103" s="17">
        <f t="shared" si="3"/>
        <v>50</v>
      </c>
    </row>
    <row r="104" spans="2:6">
      <c r="B104" s="370" t="s">
        <v>803</v>
      </c>
      <c r="C104" s="370" t="s">
        <v>797</v>
      </c>
      <c r="D104" s="369" t="s">
        <v>804</v>
      </c>
      <c r="E104" s="378" t="s">
        <v>805</v>
      </c>
      <c r="F104" s="17">
        <f t="shared" si="3"/>
        <v>50</v>
      </c>
    </row>
    <row r="105" spans="2:6">
      <c r="B105" s="370" t="s">
        <v>806</v>
      </c>
      <c r="C105" s="370" t="s">
        <v>806</v>
      </c>
      <c r="D105" s="369" t="s">
        <v>807</v>
      </c>
      <c r="E105" s="378" t="s">
        <v>382</v>
      </c>
      <c r="F105" s="17">
        <f t="shared" si="3"/>
        <v>50</v>
      </c>
    </row>
    <row r="106" spans="2:6">
      <c r="B106" s="370" t="s">
        <v>808</v>
      </c>
      <c r="C106" s="370" t="s">
        <v>808</v>
      </c>
      <c r="D106" s="369" t="s">
        <v>809</v>
      </c>
      <c r="E106" s="378" t="s">
        <v>162</v>
      </c>
      <c r="F106" s="17">
        <f t="shared" si="3"/>
        <v>25</v>
      </c>
    </row>
    <row r="107" spans="2:6">
      <c r="B107" s="370" t="s">
        <v>810</v>
      </c>
      <c r="C107" s="370" t="s">
        <v>810</v>
      </c>
      <c r="D107" s="369" t="s">
        <v>811</v>
      </c>
      <c r="E107" s="378" t="s">
        <v>164</v>
      </c>
      <c r="F107" s="17">
        <f t="shared" si="3"/>
        <v>25</v>
      </c>
    </row>
    <row r="108" spans="2:6">
      <c r="B108" s="370" t="s">
        <v>810</v>
      </c>
      <c r="C108" s="370" t="s">
        <v>810</v>
      </c>
      <c r="D108" s="369" t="s">
        <v>812</v>
      </c>
      <c r="E108" s="378" t="s">
        <v>164</v>
      </c>
      <c r="F108" s="17">
        <f t="shared" si="3"/>
        <v>25</v>
      </c>
    </row>
    <row r="109" spans="2:6">
      <c r="B109" s="370" t="s">
        <v>813</v>
      </c>
      <c r="C109" s="370" t="s">
        <v>813</v>
      </c>
      <c r="D109" s="369" t="s">
        <v>814</v>
      </c>
      <c r="E109" s="378" t="s">
        <v>393</v>
      </c>
      <c r="F109" s="17" t="str">
        <f t="shared" si="3"/>
        <v>Silo</v>
      </c>
    </row>
    <row r="110" spans="2:6">
      <c r="B110" s="370" t="s">
        <v>815</v>
      </c>
      <c r="C110" s="370" t="s">
        <v>815</v>
      </c>
      <c r="D110" s="369" t="s">
        <v>816</v>
      </c>
      <c r="E110" s="378" t="s">
        <v>393</v>
      </c>
      <c r="F110" s="17">
        <f t="shared" si="3"/>
        <v>50</v>
      </c>
    </row>
    <row r="111" spans="2:6">
      <c r="B111" s="370" t="s">
        <v>817</v>
      </c>
      <c r="C111" s="370" t="s">
        <v>818</v>
      </c>
      <c r="D111" s="369" t="s">
        <v>819</v>
      </c>
      <c r="E111" s="379" t="s">
        <v>820</v>
      </c>
      <c r="F111" s="17">
        <f t="shared" si="3"/>
        <v>50</v>
      </c>
    </row>
    <row r="112" spans="2:6">
      <c r="B112" s="370" t="s">
        <v>821</v>
      </c>
      <c r="C112" s="370" t="s">
        <v>818</v>
      </c>
      <c r="D112" s="369" t="s">
        <v>822</v>
      </c>
      <c r="E112" s="378" t="s">
        <v>823</v>
      </c>
      <c r="F112" s="17">
        <f t="shared" si="3"/>
        <v>50</v>
      </c>
    </row>
    <row r="113" spans="2:6">
      <c r="B113" s="370" t="s">
        <v>824</v>
      </c>
      <c r="C113" s="370" t="s">
        <v>818</v>
      </c>
      <c r="D113" s="369" t="s">
        <v>825</v>
      </c>
      <c r="E113" s="379" t="s">
        <v>826</v>
      </c>
      <c r="F113" s="17">
        <f t="shared" si="3"/>
        <v>50</v>
      </c>
    </row>
    <row r="114" spans="2:6">
      <c r="B114" s="370" t="s">
        <v>827</v>
      </c>
      <c r="C114" s="370" t="s">
        <v>828</v>
      </c>
      <c r="D114" s="369" t="s">
        <v>829</v>
      </c>
      <c r="E114" s="378" t="s">
        <v>820</v>
      </c>
      <c r="F114" s="17" t="str">
        <f t="shared" si="3"/>
        <v>Silo</v>
      </c>
    </row>
    <row r="115" spans="2:6">
      <c r="B115" s="370" t="s">
        <v>830</v>
      </c>
      <c r="C115" s="370" t="s">
        <v>828</v>
      </c>
      <c r="D115" s="369" t="s">
        <v>831</v>
      </c>
      <c r="E115" s="378" t="s">
        <v>823</v>
      </c>
      <c r="F115" s="17" t="str">
        <f t="shared" si="3"/>
        <v>Silo</v>
      </c>
    </row>
    <row r="116" spans="2:6">
      <c r="B116" s="370" t="s">
        <v>832</v>
      </c>
      <c r="C116" s="370" t="s">
        <v>832</v>
      </c>
      <c r="D116" s="369" t="s">
        <v>833</v>
      </c>
      <c r="E116" s="378">
        <v>553</v>
      </c>
      <c r="F116" s="17">
        <f t="shared" si="3"/>
        <v>25</v>
      </c>
    </row>
    <row r="117" spans="2:6">
      <c r="B117" s="370" t="s">
        <v>834</v>
      </c>
      <c r="C117" s="370" t="s">
        <v>834</v>
      </c>
      <c r="D117" s="369" t="s">
        <v>835</v>
      </c>
      <c r="E117" s="378" t="s">
        <v>401</v>
      </c>
      <c r="F117" s="17">
        <f t="shared" si="3"/>
        <v>50</v>
      </c>
    </row>
    <row r="118" spans="2:6">
      <c r="B118" s="370" t="s">
        <v>836</v>
      </c>
      <c r="C118" s="370" t="s">
        <v>837</v>
      </c>
      <c r="D118" s="369" t="s">
        <v>838</v>
      </c>
      <c r="E118" s="379" t="s">
        <v>839</v>
      </c>
      <c r="F118" s="17">
        <f t="shared" si="3"/>
        <v>50</v>
      </c>
    </row>
    <row r="119" spans="2:6">
      <c r="B119" s="370" t="s">
        <v>840</v>
      </c>
      <c r="C119" s="370" t="s">
        <v>837</v>
      </c>
      <c r="D119" s="369" t="s">
        <v>841</v>
      </c>
      <c r="E119" s="378" t="s">
        <v>842</v>
      </c>
      <c r="F119" s="17">
        <f t="shared" ref="F119:F150" si="4">VLOOKUP(RIGHT(C119,3),$I:$J,2,0)</f>
        <v>50</v>
      </c>
    </row>
    <row r="120" spans="2:6">
      <c r="B120" s="370" t="s">
        <v>843</v>
      </c>
      <c r="C120" s="370" t="s">
        <v>843</v>
      </c>
      <c r="D120" s="369" t="s">
        <v>844</v>
      </c>
      <c r="E120" s="378" t="s">
        <v>403</v>
      </c>
      <c r="F120" s="17">
        <f t="shared" si="4"/>
        <v>50</v>
      </c>
    </row>
    <row r="121" spans="2:6">
      <c r="B121" s="370" t="s">
        <v>845</v>
      </c>
      <c r="C121" s="370" t="s">
        <v>846</v>
      </c>
      <c r="D121" s="369" t="s">
        <v>847</v>
      </c>
      <c r="E121" s="379" t="s">
        <v>848</v>
      </c>
      <c r="F121" s="17">
        <f t="shared" si="4"/>
        <v>50</v>
      </c>
    </row>
    <row r="122" spans="2:6">
      <c r="B122" s="370" t="s">
        <v>849</v>
      </c>
      <c r="C122" s="370" t="s">
        <v>846</v>
      </c>
      <c r="D122" s="369" t="s">
        <v>850</v>
      </c>
      <c r="E122" s="378" t="s">
        <v>851</v>
      </c>
      <c r="F122" s="17">
        <f t="shared" si="4"/>
        <v>50</v>
      </c>
    </row>
    <row r="123" spans="2:6">
      <c r="B123" s="370" t="s">
        <v>852</v>
      </c>
      <c r="C123" s="370" t="s">
        <v>846</v>
      </c>
      <c r="D123" s="369" t="s">
        <v>853</v>
      </c>
      <c r="E123" s="379" t="s">
        <v>854</v>
      </c>
      <c r="F123" s="17">
        <f t="shared" si="4"/>
        <v>50</v>
      </c>
    </row>
    <row r="124" spans="2:6">
      <c r="B124" s="370" t="s">
        <v>855</v>
      </c>
      <c r="C124" s="370" t="s">
        <v>855</v>
      </c>
      <c r="D124" s="369" t="s">
        <v>856</v>
      </c>
      <c r="E124" s="378" t="s">
        <v>166</v>
      </c>
      <c r="F124" s="17">
        <f t="shared" si="4"/>
        <v>25</v>
      </c>
    </row>
    <row r="125" spans="2:6">
      <c r="B125" s="370" t="s">
        <v>857</v>
      </c>
      <c r="C125" s="370" t="s">
        <v>857</v>
      </c>
      <c r="D125" s="369" t="s">
        <v>858</v>
      </c>
      <c r="E125" s="378" t="s">
        <v>409</v>
      </c>
      <c r="F125" s="17">
        <f t="shared" si="4"/>
        <v>50</v>
      </c>
    </row>
    <row r="126" spans="2:6">
      <c r="B126" s="370" t="s">
        <v>859</v>
      </c>
      <c r="C126" s="370" t="s">
        <v>860</v>
      </c>
      <c r="D126" s="369" t="s">
        <v>861</v>
      </c>
      <c r="E126" s="378" t="s">
        <v>862</v>
      </c>
      <c r="F126" s="17">
        <f t="shared" si="4"/>
        <v>50</v>
      </c>
    </row>
    <row r="127" spans="2:6">
      <c r="B127" s="370" t="s">
        <v>863</v>
      </c>
      <c r="C127" s="370" t="s">
        <v>860</v>
      </c>
      <c r="D127" s="369" t="s">
        <v>864</v>
      </c>
      <c r="E127" s="378" t="s">
        <v>865</v>
      </c>
      <c r="F127" s="17">
        <f t="shared" si="4"/>
        <v>50</v>
      </c>
    </row>
    <row r="128" spans="2:6">
      <c r="B128" s="370" t="s">
        <v>866</v>
      </c>
      <c r="C128" s="370" t="s">
        <v>860</v>
      </c>
      <c r="D128" s="369" t="s">
        <v>867</v>
      </c>
      <c r="E128" s="378" t="s">
        <v>868</v>
      </c>
      <c r="F128" s="17">
        <f t="shared" si="4"/>
        <v>50</v>
      </c>
    </row>
    <row r="129" spans="2:6">
      <c r="B129" s="370" t="s">
        <v>869</v>
      </c>
      <c r="C129" s="370" t="s">
        <v>869</v>
      </c>
      <c r="D129" s="369" t="s">
        <v>870</v>
      </c>
      <c r="E129" s="378" t="s">
        <v>410</v>
      </c>
      <c r="F129" s="17" t="str">
        <f t="shared" si="4"/>
        <v>Silo</v>
      </c>
    </row>
    <row r="130" spans="2:6">
      <c r="B130" s="370" t="s">
        <v>871</v>
      </c>
      <c r="C130" s="370" t="s">
        <v>872</v>
      </c>
      <c r="D130" s="369" t="s">
        <v>873</v>
      </c>
      <c r="E130" s="378" t="s">
        <v>862</v>
      </c>
      <c r="F130" s="17" t="str">
        <f t="shared" si="4"/>
        <v>Silo</v>
      </c>
    </row>
    <row r="131" spans="2:6">
      <c r="B131" s="370" t="s">
        <v>874</v>
      </c>
      <c r="C131" s="370" t="s">
        <v>872</v>
      </c>
      <c r="D131" s="369" t="s">
        <v>875</v>
      </c>
      <c r="E131" s="378" t="s">
        <v>865</v>
      </c>
      <c r="F131" s="17" t="str">
        <f t="shared" si="4"/>
        <v>Silo</v>
      </c>
    </row>
    <row r="132" spans="2:6">
      <c r="B132" s="370" t="s">
        <v>876</v>
      </c>
      <c r="C132" s="370" t="s">
        <v>872</v>
      </c>
      <c r="D132" s="369" t="s">
        <v>877</v>
      </c>
      <c r="E132" s="378" t="s">
        <v>868</v>
      </c>
      <c r="F132" s="17" t="str">
        <f t="shared" si="4"/>
        <v>Silo</v>
      </c>
    </row>
    <row r="133" spans="2:6">
      <c r="B133" s="370" t="s">
        <v>878</v>
      </c>
      <c r="C133" s="370" t="s">
        <v>878</v>
      </c>
      <c r="D133" s="369" t="s">
        <v>879</v>
      </c>
      <c r="E133" s="378" t="s">
        <v>410</v>
      </c>
      <c r="F133" s="17">
        <f t="shared" si="4"/>
        <v>50</v>
      </c>
    </row>
    <row r="134" spans="2:6">
      <c r="B134" s="370" t="s">
        <v>880</v>
      </c>
      <c r="C134" s="370" t="s">
        <v>880</v>
      </c>
      <c r="D134" s="369" t="s">
        <v>881</v>
      </c>
      <c r="E134" s="378" t="s">
        <v>167</v>
      </c>
      <c r="F134" s="17">
        <f t="shared" si="4"/>
        <v>25</v>
      </c>
    </row>
    <row r="135" spans="2:6">
      <c r="B135" s="370" t="s">
        <v>882</v>
      </c>
      <c r="C135" s="370" t="s">
        <v>883</v>
      </c>
      <c r="D135" s="369" t="s">
        <v>884</v>
      </c>
      <c r="E135" s="378" t="s">
        <v>885</v>
      </c>
      <c r="F135" s="17">
        <f t="shared" si="4"/>
        <v>50</v>
      </c>
    </row>
    <row r="136" spans="2:6">
      <c r="B136" s="370" t="s">
        <v>886</v>
      </c>
      <c r="C136" s="370" t="s">
        <v>883</v>
      </c>
      <c r="D136" s="369" t="s">
        <v>887</v>
      </c>
      <c r="E136" s="378" t="s">
        <v>888</v>
      </c>
      <c r="F136" s="17">
        <f t="shared" si="4"/>
        <v>50</v>
      </c>
    </row>
    <row r="137" spans="2:6">
      <c r="B137" s="370" t="s">
        <v>889</v>
      </c>
      <c r="C137" s="370" t="s">
        <v>883</v>
      </c>
      <c r="D137" s="369" t="s">
        <v>890</v>
      </c>
      <c r="E137" s="378" t="s">
        <v>891</v>
      </c>
      <c r="F137" s="17">
        <f t="shared" si="4"/>
        <v>50</v>
      </c>
    </row>
    <row r="138" spans="2:6">
      <c r="B138" s="370" t="s">
        <v>892</v>
      </c>
      <c r="C138" s="370" t="s">
        <v>892</v>
      </c>
      <c r="D138" s="369" t="s">
        <v>893</v>
      </c>
      <c r="E138" s="378" t="s">
        <v>413</v>
      </c>
      <c r="F138" s="17">
        <f t="shared" si="4"/>
        <v>50</v>
      </c>
    </row>
    <row r="139" spans="2:6">
      <c r="B139" s="370" t="s">
        <v>894</v>
      </c>
      <c r="C139" s="370" t="s">
        <v>894</v>
      </c>
      <c r="D139" s="369" t="s">
        <v>895</v>
      </c>
      <c r="E139" s="378" t="s">
        <v>413</v>
      </c>
      <c r="F139" s="17" t="str">
        <f t="shared" si="4"/>
        <v>Silo</v>
      </c>
    </row>
    <row r="140" spans="2:6">
      <c r="B140" s="370" t="s">
        <v>896</v>
      </c>
      <c r="C140" s="370" t="s">
        <v>896</v>
      </c>
      <c r="D140" s="369" t="s">
        <v>897</v>
      </c>
      <c r="E140" s="378" t="s">
        <v>419</v>
      </c>
      <c r="F140" s="17" t="str">
        <f t="shared" si="4"/>
        <v>Silo</v>
      </c>
    </row>
    <row r="141" spans="2:6">
      <c r="B141" s="370" t="s">
        <v>898</v>
      </c>
      <c r="C141" s="370" t="s">
        <v>898</v>
      </c>
      <c r="D141" s="369" t="s">
        <v>899</v>
      </c>
      <c r="E141" s="378">
        <v>566</v>
      </c>
      <c r="F141" s="17">
        <f t="shared" si="4"/>
        <v>25</v>
      </c>
    </row>
    <row r="142" spans="2:6">
      <c r="B142" s="370" t="s">
        <v>900</v>
      </c>
      <c r="C142" s="370" t="s">
        <v>900</v>
      </c>
      <c r="D142" s="369" t="s">
        <v>901</v>
      </c>
      <c r="E142" s="378" t="s">
        <v>419</v>
      </c>
      <c r="F142" s="17">
        <f t="shared" si="4"/>
        <v>50</v>
      </c>
    </row>
    <row r="143" spans="2:6">
      <c r="B143" s="370" t="s">
        <v>902</v>
      </c>
      <c r="C143" s="370" t="s">
        <v>902</v>
      </c>
      <c r="D143" s="369" t="s">
        <v>903</v>
      </c>
      <c r="E143" s="378">
        <v>567</v>
      </c>
      <c r="F143" s="17">
        <f t="shared" si="4"/>
        <v>25</v>
      </c>
    </row>
    <row r="144" spans="2:6">
      <c r="B144" s="370" t="s">
        <v>904</v>
      </c>
      <c r="C144" s="370" t="s">
        <v>904</v>
      </c>
      <c r="D144" s="369" t="s">
        <v>905</v>
      </c>
      <c r="E144" s="378" t="s">
        <v>170</v>
      </c>
      <c r="F144" s="17">
        <f t="shared" si="4"/>
        <v>25</v>
      </c>
    </row>
    <row r="145" spans="2:10">
      <c r="B145" s="370" t="s">
        <v>906</v>
      </c>
      <c r="C145" s="370" t="s">
        <v>907</v>
      </c>
      <c r="D145" s="369" t="s">
        <v>908</v>
      </c>
      <c r="E145" s="378" t="s">
        <v>909</v>
      </c>
      <c r="F145" s="17">
        <f t="shared" si="4"/>
        <v>50</v>
      </c>
    </row>
    <row r="146" spans="2:10">
      <c r="B146" s="370" t="s">
        <v>910</v>
      </c>
      <c r="C146" s="370" t="s">
        <v>907</v>
      </c>
      <c r="D146" s="369" t="s">
        <v>911</v>
      </c>
      <c r="E146" s="378" t="s">
        <v>912</v>
      </c>
      <c r="F146" s="17">
        <f t="shared" si="4"/>
        <v>50</v>
      </c>
    </row>
    <row r="147" spans="2:10">
      <c r="B147" s="370" t="s">
        <v>913</v>
      </c>
      <c r="C147" s="370" t="s">
        <v>913</v>
      </c>
      <c r="D147" s="369" t="s">
        <v>914</v>
      </c>
      <c r="E147" s="378" t="s">
        <v>426</v>
      </c>
      <c r="F147" s="17" t="str">
        <f t="shared" si="4"/>
        <v>Silo</v>
      </c>
    </row>
    <row r="148" spans="2:10">
      <c r="B148" s="370" t="s">
        <v>915</v>
      </c>
      <c r="C148" s="370" t="s">
        <v>915</v>
      </c>
      <c r="D148" s="369" t="s">
        <v>916</v>
      </c>
      <c r="E148" s="378" t="s">
        <v>426</v>
      </c>
      <c r="F148" s="17">
        <f t="shared" si="4"/>
        <v>50</v>
      </c>
    </row>
    <row r="149" spans="2:10">
      <c r="B149" s="370" t="s">
        <v>917</v>
      </c>
      <c r="C149" s="370" t="s">
        <v>917</v>
      </c>
      <c r="D149" s="369" t="s">
        <v>918</v>
      </c>
      <c r="E149" s="378" t="s">
        <v>102</v>
      </c>
      <c r="F149" s="17">
        <v>25</v>
      </c>
    </row>
    <row r="150" spans="2:10">
      <c r="B150" s="370" t="s">
        <v>919</v>
      </c>
      <c r="C150" s="370" t="s">
        <v>919</v>
      </c>
      <c r="D150" s="369" t="s">
        <v>920</v>
      </c>
      <c r="E150" s="378">
        <v>584</v>
      </c>
      <c r="F150" s="17">
        <f t="shared" si="4"/>
        <v>25</v>
      </c>
    </row>
    <row r="151" spans="2:10">
      <c r="B151" s="370" t="s">
        <v>921</v>
      </c>
      <c r="C151" s="370" t="s">
        <v>921</v>
      </c>
      <c r="D151" s="369" t="s">
        <v>922</v>
      </c>
      <c r="E151" s="378">
        <v>585</v>
      </c>
      <c r="F151" s="17">
        <f t="shared" ref="F151:F182" si="5">VLOOKUP(RIGHT(C151,3),$I:$J,2,0)</f>
        <v>25</v>
      </c>
    </row>
    <row r="152" spans="2:10">
      <c r="B152" s="370" t="s">
        <v>923</v>
      </c>
      <c r="C152" s="370" t="s">
        <v>923</v>
      </c>
      <c r="D152" s="369" t="s">
        <v>924</v>
      </c>
      <c r="E152" s="378">
        <v>595</v>
      </c>
      <c r="F152" s="17">
        <f t="shared" si="5"/>
        <v>25</v>
      </c>
    </row>
    <row r="153" spans="2:10">
      <c r="B153" s="370" t="s">
        <v>925</v>
      </c>
      <c r="C153" s="370" t="s">
        <v>925</v>
      </c>
      <c r="D153" s="369" t="s">
        <v>926</v>
      </c>
      <c r="E153" s="378" t="s">
        <v>927</v>
      </c>
      <c r="F153" s="17">
        <f t="shared" si="5"/>
        <v>25</v>
      </c>
      <c r="I153" s="376" t="s">
        <v>928</v>
      </c>
      <c r="J153" s="16" t="s">
        <v>558</v>
      </c>
    </row>
    <row r="154" spans="2:10">
      <c r="B154" s="370" t="s">
        <v>929</v>
      </c>
      <c r="C154" s="370" t="s">
        <v>929</v>
      </c>
      <c r="D154" s="369" t="s">
        <v>930</v>
      </c>
      <c r="E154" s="378">
        <v>8610</v>
      </c>
      <c r="F154" s="17">
        <f t="shared" si="5"/>
        <v>25</v>
      </c>
    </row>
    <row r="155" spans="2:10">
      <c r="B155" s="370" t="s">
        <v>931</v>
      </c>
      <c r="C155" s="370" t="s">
        <v>931</v>
      </c>
      <c r="D155" s="369" t="s">
        <v>932</v>
      </c>
      <c r="E155" s="378">
        <v>8651</v>
      </c>
      <c r="F155" s="17">
        <f t="shared" si="5"/>
        <v>25</v>
      </c>
    </row>
    <row r="156" spans="2:10">
      <c r="B156" s="370" t="s">
        <v>933</v>
      </c>
      <c r="C156" s="370" t="s">
        <v>933</v>
      </c>
      <c r="D156" s="369" t="s">
        <v>934</v>
      </c>
      <c r="E156" s="378">
        <v>8652</v>
      </c>
      <c r="F156" s="17">
        <f t="shared" si="5"/>
        <v>25</v>
      </c>
    </row>
    <row r="157" spans="2:10">
      <c r="B157" s="370" t="s">
        <v>935</v>
      </c>
      <c r="C157" s="370" t="s">
        <v>935</v>
      </c>
      <c r="D157" s="369" t="s">
        <v>936</v>
      </c>
      <c r="E157" s="378" t="s">
        <v>937</v>
      </c>
      <c r="F157" s="17">
        <f t="shared" si="5"/>
        <v>25</v>
      </c>
    </row>
    <row r="158" spans="2:10">
      <c r="B158" s="370" t="s">
        <v>938</v>
      </c>
      <c r="C158" s="370" t="s">
        <v>938</v>
      </c>
      <c r="D158" s="369" t="s">
        <v>939</v>
      </c>
      <c r="E158" s="378">
        <v>8653</v>
      </c>
      <c r="F158" s="17">
        <f t="shared" si="5"/>
        <v>25</v>
      </c>
    </row>
    <row r="159" spans="2:10">
      <c r="B159" s="370" t="s">
        <v>940</v>
      </c>
      <c r="C159" s="370" t="s">
        <v>940</v>
      </c>
      <c r="D159" s="369" t="s">
        <v>941</v>
      </c>
      <c r="E159" s="378" t="s">
        <v>942</v>
      </c>
      <c r="F159" s="17">
        <f t="shared" si="5"/>
        <v>25</v>
      </c>
    </row>
    <row r="160" spans="2:10">
      <c r="B160" s="370" t="s">
        <v>943</v>
      </c>
      <c r="C160" s="370" t="s">
        <v>943</v>
      </c>
      <c r="D160" s="369" t="s">
        <v>944</v>
      </c>
      <c r="E160" s="378">
        <v>8666</v>
      </c>
      <c r="F160" s="17">
        <f t="shared" si="5"/>
        <v>25</v>
      </c>
    </row>
    <row r="161" spans="2:6">
      <c r="B161" s="370" t="s">
        <v>945</v>
      </c>
      <c r="C161" s="370" t="s">
        <v>945</v>
      </c>
      <c r="D161" s="369" t="s">
        <v>946</v>
      </c>
      <c r="E161" s="378">
        <v>8667</v>
      </c>
      <c r="F161" s="17">
        <f t="shared" si="5"/>
        <v>25</v>
      </c>
    </row>
    <row r="162" spans="2:6">
      <c r="B162" s="370" t="s">
        <v>947</v>
      </c>
      <c r="C162" s="370" t="s">
        <v>947</v>
      </c>
      <c r="D162" s="369" t="s">
        <v>948</v>
      </c>
      <c r="E162" s="378">
        <v>884</v>
      </c>
      <c r="F162" s="17">
        <f t="shared" si="5"/>
        <v>25</v>
      </c>
    </row>
    <row r="163" spans="2:6">
      <c r="B163" s="370" t="s">
        <v>949</v>
      </c>
      <c r="C163" s="370" t="s">
        <v>949</v>
      </c>
      <c r="D163" s="369" t="s">
        <v>950</v>
      </c>
      <c r="E163" s="378" t="s">
        <v>179</v>
      </c>
      <c r="F163" s="17">
        <f t="shared" si="5"/>
        <v>25</v>
      </c>
    </row>
    <row r="164" spans="2:6">
      <c r="B164" s="370" t="s">
        <v>951</v>
      </c>
      <c r="C164" s="370" t="s">
        <v>951</v>
      </c>
      <c r="D164" s="369" t="s">
        <v>952</v>
      </c>
      <c r="E164" s="378">
        <v>910</v>
      </c>
      <c r="F164" s="17">
        <f t="shared" si="5"/>
        <v>25</v>
      </c>
    </row>
    <row r="165" spans="2:6">
      <c r="B165" s="370" t="s">
        <v>953</v>
      </c>
      <c r="C165" s="370" t="s">
        <v>953</v>
      </c>
      <c r="D165" s="369" t="s">
        <v>954</v>
      </c>
      <c r="E165" s="378" t="s">
        <v>955</v>
      </c>
      <c r="F165" s="17">
        <f t="shared" si="5"/>
        <v>25</v>
      </c>
    </row>
    <row r="166" spans="2:6">
      <c r="B166" s="370" t="s">
        <v>956</v>
      </c>
      <c r="C166" s="370" t="s">
        <v>956</v>
      </c>
      <c r="D166" s="369" t="s">
        <v>957</v>
      </c>
      <c r="E166" s="378">
        <v>951</v>
      </c>
      <c r="F166" s="17">
        <f t="shared" si="5"/>
        <v>25</v>
      </c>
    </row>
    <row r="167" spans="2:6">
      <c r="B167" s="370" t="s">
        <v>958</v>
      </c>
      <c r="C167" s="370" t="s">
        <v>958</v>
      </c>
      <c r="D167" s="369" t="s">
        <v>959</v>
      </c>
      <c r="E167" s="378">
        <v>952</v>
      </c>
      <c r="F167" s="17">
        <f t="shared" si="5"/>
        <v>25</v>
      </c>
    </row>
    <row r="168" spans="2:6">
      <c r="B168" s="370" t="s">
        <v>960</v>
      </c>
      <c r="C168" s="370" t="s">
        <v>960</v>
      </c>
      <c r="D168" s="369" t="s">
        <v>961</v>
      </c>
      <c r="E168" s="378" t="s">
        <v>182</v>
      </c>
      <c r="F168" s="17">
        <f t="shared" si="5"/>
        <v>25</v>
      </c>
    </row>
    <row r="169" spans="2:6">
      <c r="B169" s="370" t="s">
        <v>962</v>
      </c>
      <c r="C169" s="370" t="s">
        <v>962</v>
      </c>
      <c r="D169" s="369" t="s">
        <v>963</v>
      </c>
      <c r="E169" s="378" t="s">
        <v>184</v>
      </c>
      <c r="F169" s="17">
        <f t="shared" si="5"/>
        <v>25</v>
      </c>
    </row>
    <row r="170" spans="2:6">
      <c r="B170" s="370" t="s">
        <v>964</v>
      </c>
      <c r="C170" s="370" t="s">
        <v>964</v>
      </c>
      <c r="D170" s="369" t="s">
        <v>965</v>
      </c>
      <c r="E170" s="378">
        <v>953</v>
      </c>
      <c r="F170" s="17">
        <f t="shared" si="5"/>
        <v>25</v>
      </c>
    </row>
    <row r="171" spans="2:6">
      <c r="B171" s="370" t="s">
        <v>966</v>
      </c>
      <c r="C171" s="370" t="s">
        <v>966</v>
      </c>
      <c r="D171" s="369" t="s">
        <v>967</v>
      </c>
      <c r="E171" s="378" t="s">
        <v>186</v>
      </c>
      <c r="F171" s="17">
        <f t="shared" si="5"/>
        <v>25</v>
      </c>
    </row>
    <row r="172" spans="2:6">
      <c r="B172" s="370" t="s">
        <v>968</v>
      </c>
      <c r="C172" s="370" t="s">
        <v>968</v>
      </c>
      <c r="D172" s="369" t="s">
        <v>969</v>
      </c>
      <c r="E172" s="378">
        <v>9651</v>
      </c>
      <c r="F172" s="17">
        <f t="shared" si="5"/>
        <v>25</v>
      </c>
    </row>
    <row r="173" spans="2:6">
      <c r="B173" s="370" t="s">
        <v>970</v>
      </c>
      <c r="C173" s="370" t="s">
        <v>970</v>
      </c>
      <c r="D173" s="369" t="s">
        <v>971</v>
      </c>
      <c r="E173" s="378">
        <v>9652</v>
      </c>
      <c r="F173" s="17">
        <f t="shared" si="5"/>
        <v>25</v>
      </c>
    </row>
    <row r="174" spans="2:6">
      <c r="B174" s="370" t="s">
        <v>972</v>
      </c>
      <c r="C174" s="370" t="s">
        <v>972</v>
      </c>
      <c r="D174" s="369" t="s">
        <v>973</v>
      </c>
      <c r="E174" s="378" t="s">
        <v>249</v>
      </c>
      <c r="F174" s="17">
        <f t="shared" si="5"/>
        <v>25</v>
      </c>
    </row>
    <row r="175" spans="2:6">
      <c r="B175" s="370" t="s">
        <v>974</v>
      </c>
      <c r="C175" s="370" t="s">
        <v>974</v>
      </c>
      <c r="D175" s="369" t="s">
        <v>975</v>
      </c>
      <c r="E175" s="378">
        <v>9653</v>
      </c>
      <c r="F175" s="17">
        <f t="shared" si="5"/>
        <v>25</v>
      </c>
    </row>
    <row r="176" spans="2:6">
      <c r="B176" s="370" t="s">
        <v>976</v>
      </c>
      <c r="C176" s="370" t="s">
        <v>976</v>
      </c>
      <c r="D176" s="369" t="s">
        <v>977</v>
      </c>
      <c r="E176" s="378" t="s">
        <v>978</v>
      </c>
      <c r="F176" s="17">
        <f t="shared" si="5"/>
        <v>25</v>
      </c>
    </row>
    <row r="177" spans="2:6">
      <c r="B177" s="370" t="s">
        <v>979</v>
      </c>
      <c r="C177" s="370" t="s">
        <v>979</v>
      </c>
      <c r="D177" s="369" t="s">
        <v>980</v>
      </c>
      <c r="E177" s="378">
        <v>966</v>
      </c>
      <c r="F177" s="17">
        <f t="shared" si="5"/>
        <v>25</v>
      </c>
    </row>
    <row r="178" spans="2:6">
      <c r="B178" s="370" t="s">
        <v>981</v>
      </c>
      <c r="C178" s="370" t="s">
        <v>981</v>
      </c>
      <c r="D178" s="369" t="s">
        <v>982</v>
      </c>
      <c r="E178" s="378">
        <v>9666</v>
      </c>
      <c r="F178" s="17">
        <f t="shared" si="5"/>
        <v>25</v>
      </c>
    </row>
    <row r="179" spans="2:6">
      <c r="B179" s="370" t="s">
        <v>983</v>
      </c>
      <c r="C179" s="370" t="s">
        <v>983</v>
      </c>
      <c r="D179" s="369" t="s">
        <v>984</v>
      </c>
      <c r="E179" s="378">
        <v>9667</v>
      </c>
      <c r="F179" s="17">
        <f t="shared" si="5"/>
        <v>25</v>
      </c>
    </row>
    <row r="180" spans="2:6">
      <c r="B180" s="370" t="s">
        <v>985</v>
      </c>
      <c r="C180" s="370" t="s">
        <v>985</v>
      </c>
      <c r="D180" s="369" t="s">
        <v>986</v>
      </c>
      <c r="E180" s="378">
        <v>967</v>
      </c>
      <c r="F180" s="17">
        <f t="shared" si="5"/>
        <v>25</v>
      </c>
    </row>
    <row r="181" spans="2:6">
      <c r="B181" s="370" t="s">
        <v>987</v>
      </c>
      <c r="C181" s="370" t="s">
        <v>987</v>
      </c>
      <c r="D181" s="369" t="s">
        <v>988</v>
      </c>
      <c r="E181" s="378" t="s">
        <v>187</v>
      </c>
      <c r="F181" s="17">
        <f t="shared" si="5"/>
        <v>25</v>
      </c>
    </row>
    <row r="182" spans="2:6">
      <c r="B182" s="370" t="s">
        <v>989</v>
      </c>
      <c r="C182" s="370" t="s">
        <v>989</v>
      </c>
      <c r="D182" s="369" t="s">
        <v>990</v>
      </c>
      <c r="E182" s="378">
        <v>984</v>
      </c>
      <c r="F182" s="17">
        <f t="shared" si="5"/>
        <v>25</v>
      </c>
    </row>
    <row r="183" spans="2:6">
      <c r="B183" s="370" t="s">
        <v>991</v>
      </c>
      <c r="C183" s="370" t="s">
        <v>991</v>
      </c>
      <c r="D183" s="369" t="s">
        <v>992</v>
      </c>
      <c r="E183" s="378" t="s">
        <v>188</v>
      </c>
      <c r="F183" s="17">
        <f t="shared" ref="F183:F198" si="6">VLOOKUP(RIGHT(C183,3),$I:$J,2,0)</f>
        <v>25</v>
      </c>
    </row>
    <row r="184" spans="2:6">
      <c r="B184" s="370" t="s">
        <v>993</v>
      </c>
      <c r="C184" s="370" t="s">
        <v>993</v>
      </c>
      <c r="D184" s="369" t="s">
        <v>994</v>
      </c>
      <c r="E184" s="378" t="s">
        <v>240</v>
      </c>
      <c r="F184" s="17">
        <f t="shared" si="6"/>
        <v>25</v>
      </c>
    </row>
    <row r="185" spans="2:6">
      <c r="B185" s="370" t="s">
        <v>995</v>
      </c>
      <c r="C185" s="370" t="s">
        <v>995</v>
      </c>
      <c r="D185" s="369" t="s">
        <v>996</v>
      </c>
      <c r="E185" s="378" t="s">
        <v>244</v>
      </c>
      <c r="F185" s="17">
        <f t="shared" si="6"/>
        <v>25</v>
      </c>
    </row>
    <row r="186" spans="2:6">
      <c r="B186" s="370" t="s">
        <v>997</v>
      </c>
      <c r="C186" s="370" t="s">
        <v>997</v>
      </c>
      <c r="D186" s="369" t="s">
        <v>998</v>
      </c>
      <c r="E186" s="379" t="s">
        <v>999</v>
      </c>
      <c r="F186" s="17">
        <f t="shared" si="6"/>
        <v>10</v>
      </c>
    </row>
    <row r="187" spans="2:6">
      <c r="B187" s="370" t="s">
        <v>1000</v>
      </c>
      <c r="C187" s="370" t="s">
        <v>1000</v>
      </c>
      <c r="D187" s="369" t="s">
        <v>1001</v>
      </c>
      <c r="E187" s="378" t="s">
        <v>231</v>
      </c>
      <c r="F187" s="17">
        <f t="shared" si="6"/>
        <v>25</v>
      </c>
    </row>
    <row r="188" spans="2:6">
      <c r="B188" s="370" t="s">
        <v>1002</v>
      </c>
      <c r="C188" s="370" t="s">
        <v>1002</v>
      </c>
      <c r="D188" s="369" t="s">
        <v>1003</v>
      </c>
      <c r="E188" s="378" t="s">
        <v>234</v>
      </c>
      <c r="F188" s="17">
        <f t="shared" si="6"/>
        <v>25</v>
      </c>
    </row>
    <row r="189" spans="2:6">
      <c r="B189" s="370" t="s">
        <v>1004</v>
      </c>
      <c r="C189" s="370" t="s">
        <v>1004</v>
      </c>
      <c r="D189" s="369" t="s">
        <v>1005</v>
      </c>
      <c r="E189" s="378" t="s">
        <v>236</v>
      </c>
      <c r="F189" s="17">
        <f t="shared" si="6"/>
        <v>25</v>
      </c>
    </row>
    <row r="190" spans="2:6">
      <c r="B190" s="370" t="s">
        <v>1006</v>
      </c>
      <c r="C190" s="370" t="s">
        <v>1006</v>
      </c>
      <c r="D190" s="369" t="s">
        <v>1007</v>
      </c>
      <c r="E190" s="378" t="s">
        <v>238</v>
      </c>
      <c r="F190" s="17">
        <f t="shared" si="6"/>
        <v>25</v>
      </c>
    </row>
    <row r="191" spans="2:6">
      <c r="B191" s="370" t="s">
        <v>1008</v>
      </c>
      <c r="C191" s="370" t="s">
        <v>1008</v>
      </c>
      <c r="D191" s="369" t="s">
        <v>1009</v>
      </c>
      <c r="E191" s="378" t="s">
        <v>239</v>
      </c>
      <c r="F191" s="17">
        <f t="shared" si="6"/>
        <v>25</v>
      </c>
    </row>
    <row r="192" spans="2:6">
      <c r="B192" s="370" t="s">
        <v>1010</v>
      </c>
      <c r="C192" s="370" t="s">
        <v>1010</v>
      </c>
      <c r="D192" s="369" t="s">
        <v>1011</v>
      </c>
      <c r="E192" s="378" t="s">
        <v>245</v>
      </c>
      <c r="F192" s="17">
        <f t="shared" si="6"/>
        <v>40</v>
      </c>
    </row>
    <row r="193" spans="2:10">
      <c r="B193" s="370" t="s">
        <v>1012</v>
      </c>
      <c r="C193" s="370" t="s">
        <v>1012</v>
      </c>
      <c r="D193" s="369" t="s">
        <v>1013</v>
      </c>
      <c r="E193" s="378" t="s">
        <v>228</v>
      </c>
      <c r="F193" s="17">
        <f t="shared" si="6"/>
        <v>25</v>
      </c>
    </row>
    <row r="194" spans="2:10">
      <c r="B194" s="370" t="s">
        <v>1014</v>
      </c>
      <c r="C194" s="370" t="s">
        <v>1014</v>
      </c>
      <c r="D194" s="369" t="s">
        <v>1015</v>
      </c>
      <c r="E194" s="378" t="s">
        <v>229</v>
      </c>
      <c r="F194" s="17">
        <f t="shared" si="6"/>
        <v>25</v>
      </c>
    </row>
    <row r="195" spans="2:10">
      <c r="B195" s="370" t="s">
        <v>1016</v>
      </c>
      <c r="C195" s="370" t="s">
        <v>1016</v>
      </c>
      <c r="D195" s="369" t="s">
        <v>1017</v>
      </c>
      <c r="E195" s="378" t="s">
        <v>1018</v>
      </c>
      <c r="F195" s="17">
        <f t="shared" si="6"/>
        <v>25</v>
      </c>
    </row>
    <row r="196" spans="2:10">
      <c r="B196" s="370" t="s">
        <v>1019</v>
      </c>
      <c r="C196" s="370" t="s">
        <v>1019</v>
      </c>
      <c r="D196" s="369" t="s">
        <v>1020</v>
      </c>
      <c r="E196" s="379" t="s">
        <v>311</v>
      </c>
      <c r="F196" s="17">
        <f t="shared" si="6"/>
        <v>50</v>
      </c>
    </row>
    <row r="197" spans="2:10">
      <c r="B197" s="370" t="s">
        <v>1021</v>
      </c>
      <c r="C197" s="370" t="s">
        <v>1021</v>
      </c>
      <c r="D197" s="369" t="s">
        <v>1022</v>
      </c>
      <c r="E197" s="378" t="s">
        <v>297</v>
      </c>
      <c r="F197" s="17">
        <f t="shared" si="6"/>
        <v>50</v>
      </c>
    </row>
    <row r="198" spans="2:10">
      <c r="B198" s="370" t="s">
        <v>1023</v>
      </c>
      <c r="C198" s="370" t="s">
        <v>1023</v>
      </c>
      <c r="D198" s="369" t="s">
        <v>1024</v>
      </c>
      <c r="E198" s="378" t="s">
        <v>322</v>
      </c>
      <c r="F198" s="17">
        <f t="shared" si="6"/>
        <v>50</v>
      </c>
    </row>
    <row r="199" spans="2:10">
      <c r="B199" t="s">
        <v>1025</v>
      </c>
      <c r="C199" s="370" t="s">
        <v>1025</v>
      </c>
      <c r="D199" s="369" t="s">
        <v>1026</v>
      </c>
      <c r="E199" s="379" t="s">
        <v>1027</v>
      </c>
      <c r="F199" s="17">
        <v>25</v>
      </c>
      <c r="I199" s="376" t="s">
        <v>1028</v>
      </c>
      <c r="J199" s="17">
        <v>25</v>
      </c>
    </row>
    <row r="200" spans="2:10">
      <c r="B200" s="370" t="s">
        <v>630</v>
      </c>
      <c r="C200" s="370" t="s">
        <v>630</v>
      </c>
      <c r="D200" s="369" t="s">
        <v>1029</v>
      </c>
      <c r="E200" s="379" t="s">
        <v>633</v>
      </c>
      <c r="F200" s="17" t="s">
        <v>558</v>
      </c>
    </row>
    <row r="201" spans="2:10">
      <c r="B201" s="370" t="s">
        <v>1030</v>
      </c>
      <c r="C201" s="370" t="s">
        <v>1030</v>
      </c>
      <c r="D201" s="369" t="s">
        <v>1031</v>
      </c>
      <c r="E201" s="379" t="s">
        <v>1032</v>
      </c>
      <c r="F201" s="17">
        <v>25</v>
      </c>
    </row>
    <row r="202" spans="2:10">
      <c r="B202" s="370" t="s">
        <v>1033</v>
      </c>
      <c r="C202" s="370" t="s">
        <v>1033</v>
      </c>
      <c r="D202" s="369" t="s">
        <v>1034</v>
      </c>
      <c r="E202" s="379" t="s">
        <v>912</v>
      </c>
      <c r="F202" s="17" t="s">
        <v>558</v>
      </c>
    </row>
    <row r="203" spans="2:10" ht="12" customHeight="1">
      <c r="B203" s="391" t="s">
        <v>655</v>
      </c>
      <c r="C203" s="391" t="s">
        <v>655</v>
      </c>
      <c r="D203" s="392" t="s">
        <v>1035</v>
      </c>
      <c r="E203" s="393" t="s">
        <v>297</v>
      </c>
      <c r="F203" s="16" t="s">
        <v>558</v>
      </c>
    </row>
    <row r="204" spans="2:10">
      <c r="B204" t="str">
        <f>IF(MID(C204,10,2)="99",C204&amp;E204,LEFT(C204,14))</f>
        <v>21115537200250</v>
      </c>
      <c r="C204" s="394">
        <v>21115537200250</v>
      </c>
      <c r="D204" t="s">
        <v>1036</v>
      </c>
      <c r="E204" s="379" t="s">
        <v>1037</v>
      </c>
      <c r="F204" s="17">
        <v>50</v>
      </c>
    </row>
    <row r="205" spans="2:10">
      <c r="B205" s="394" t="s">
        <v>1038</v>
      </c>
      <c r="C205" s="394">
        <v>21115527200250</v>
      </c>
      <c r="D205" t="s">
        <v>1039</v>
      </c>
      <c r="E205" s="379" t="s">
        <v>1040</v>
      </c>
      <c r="F205" s="17">
        <v>50</v>
      </c>
    </row>
    <row r="206" spans="2:10">
      <c r="B206" s="395" t="s">
        <v>1041</v>
      </c>
      <c r="C206" s="394">
        <v>21115221499300</v>
      </c>
      <c r="D206" t="s">
        <v>1042</v>
      </c>
      <c r="E206" s="379" t="s">
        <v>1043</v>
      </c>
      <c r="F206" s="16" t="s">
        <v>558</v>
      </c>
    </row>
    <row r="207" spans="2:10">
      <c r="B207" s="395" t="s">
        <v>1044</v>
      </c>
      <c r="C207" s="394">
        <v>21115501999225</v>
      </c>
      <c r="D207" t="s">
        <v>1045</v>
      </c>
      <c r="E207" s="379" t="s">
        <v>1046</v>
      </c>
      <c r="F207" s="17">
        <v>25</v>
      </c>
    </row>
    <row r="208" spans="2:10">
      <c r="B208" s="370" t="s">
        <v>1047</v>
      </c>
      <c r="C208" s="394">
        <v>21115211499300</v>
      </c>
      <c r="D208" t="s">
        <v>1048</v>
      </c>
      <c r="E208" s="379" t="s">
        <v>1049</v>
      </c>
      <c r="F208" s="16" t="s">
        <v>558</v>
      </c>
    </row>
    <row r="209" spans="2:6">
      <c r="B209" s="391" t="s">
        <v>1050</v>
      </c>
      <c r="C209" s="394">
        <v>21115520000300</v>
      </c>
      <c r="D209" t="s">
        <v>1051</v>
      </c>
      <c r="E209" s="379" t="s">
        <v>382</v>
      </c>
      <c r="F209" s="16" t="s">
        <v>558</v>
      </c>
    </row>
    <row r="210" spans="2:6">
      <c r="B210" s="400" t="s">
        <v>1052</v>
      </c>
      <c r="C210" s="399">
        <v>21115520099300</v>
      </c>
      <c r="D210" s="392" t="s">
        <v>1053</v>
      </c>
      <c r="E210" s="379" t="s">
        <v>802</v>
      </c>
      <c r="F210" s="16" t="s">
        <v>558</v>
      </c>
    </row>
    <row r="211" spans="2:6">
      <c r="B211" s="370" t="s">
        <v>1054</v>
      </c>
      <c r="C211" s="399">
        <v>21115501999300</v>
      </c>
      <c r="D211" s="369" t="s">
        <v>1055</v>
      </c>
      <c r="E211" s="379" t="s">
        <v>1056</v>
      </c>
      <c r="F211" s="16" t="s">
        <v>558</v>
      </c>
    </row>
    <row r="212" spans="2:6">
      <c r="B212" s="370" t="s">
        <v>1057</v>
      </c>
      <c r="C212" s="399">
        <v>21115110199300</v>
      </c>
      <c r="D212" s="369" t="s">
        <v>1058</v>
      </c>
      <c r="E212" s="379" t="s">
        <v>1059</v>
      </c>
      <c r="F212" s="16" t="s">
        <v>558</v>
      </c>
    </row>
    <row r="213" spans="2:6">
      <c r="B213" s="370" t="s">
        <v>1060</v>
      </c>
      <c r="C213" s="399">
        <v>21115100099300</v>
      </c>
      <c r="D213" s="369" t="s">
        <v>1061</v>
      </c>
      <c r="E213" s="379" t="s">
        <v>1062</v>
      </c>
      <c r="F213" s="16" t="s">
        <v>558</v>
      </c>
    </row>
    <row r="214" spans="2:6">
      <c r="B214" s="370" t="s">
        <v>1063</v>
      </c>
      <c r="C214" s="399">
        <v>21115100099250</v>
      </c>
      <c r="D214" s="369" t="s">
        <v>1064</v>
      </c>
      <c r="E214" s="379" t="s">
        <v>1062</v>
      </c>
      <c r="F214" s="17">
        <v>50</v>
      </c>
    </row>
    <row r="215" spans="2:6">
      <c r="B215" s="370" t="s">
        <v>1065</v>
      </c>
      <c r="C215" s="399">
        <v>21115111499300</v>
      </c>
      <c r="D215" s="369" t="s">
        <v>1066</v>
      </c>
      <c r="E215" s="379" t="s">
        <v>1067</v>
      </c>
      <c r="F215" s="16" t="s">
        <v>558</v>
      </c>
    </row>
    <row r="216" spans="2:6">
      <c r="B216" s="370" t="s">
        <v>1068</v>
      </c>
      <c r="C216" s="399">
        <v>21115101499250</v>
      </c>
      <c r="D216" s="369" t="s">
        <v>1069</v>
      </c>
      <c r="E216" s="379" t="s">
        <v>1070</v>
      </c>
      <c r="F216" s="17">
        <v>50</v>
      </c>
    </row>
    <row r="217" spans="2:6">
      <c r="B217" s="370" t="s">
        <v>1071</v>
      </c>
      <c r="C217" s="399">
        <v>21115111499250</v>
      </c>
      <c r="D217" s="369" t="s">
        <v>1072</v>
      </c>
      <c r="E217" s="379" t="s">
        <v>1067</v>
      </c>
      <c r="F217" s="17">
        <v>50</v>
      </c>
    </row>
    <row r="218" spans="2:6">
      <c r="B218" s="370" t="s">
        <v>1073</v>
      </c>
      <c r="C218" s="399">
        <v>21115130000225</v>
      </c>
      <c r="D218" s="369" t="s">
        <v>1074</v>
      </c>
      <c r="E218" s="379" t="s">
        <v>309</v>
      </c>
      <c r="F218" s="17">
        <v>25</v>
      </c>
    </row>
    <row r="219" spans="2:6">
      <c r="B219" s="370" t="s">
        <v>1075</v>
      </c>
      <c r="C219" s="399">
        <v>21115114399250</v>
      </c>
      <c r="D219" s="369" t="s">
        <v>1076</v>
      </c>
      <c r="E219" s="379" t="s">
        <v>1077</v>
      </c>
      <c r="F219" s="17">
        <v>50</v>
      </c>
    </row>
    <row r="220" spans="2:6">
      <c r="B220" s="370" t="s">
        <v>1078</v>
      </c>
      <c r="C220" s="399">
        <v>21115114399300</v>
      </c>
      <c r="D220" s="369" t="s">
        <v>1079</v>
      </c>
      <c r="E220" s="379" t="s">
        <v>1077</v>
      </c>
      <c r="F220" s="16" t="s">
        <v>558</v>
      </c>
    </row>
    <row r="221" spans="2:6">
      <c r="B221" s="370" t="s">
        <v>1080</v>
      </c>
      <c r="C221" s="399">
        <v>21115110199250</v>
      </c>
      <c r="D221" s="369" t="s">
        <v>1081</v>
      </c>
      <c r="E221" s="379" t="s">
        <v>1059</v>
      </c>
      <c r="F221" s="17">
        <v>50</v>
      </c>
    </row>
    <row r="222" spans="2:6">
      <c r="B222" s="370" t="s">
        <v>1082</v>
      </c>
      <c r="C222" s="399">
        <v>21115110099300</v>
      </c>
      <c r="D222" s="369" t="s">
        <v>1083</v>
      </c>
      <c r="E222" s="379" t="s">
        <v>1084</v>
      </c>
      <c r="F222" s="16" t="s">
        <v>558</v>
      </c>
    </row>
    <row r="223" spans="2:6">
      <c r="B223" s="370" t="s">
        <v>1085</v>
      </c>
      <c r="C223" s="399">
        <v>21125950000125</v>
      </c>
      <c r="D223" s="369" t="s">
        <v>1086</v>
      </c>
      <c r="E223" s="378">
        <v>995</v>
      </c>
      <c r="F223" s="17">
        <v>25</v>
      </c>
    </row>
    <row r="224" spans="2:6">
      <c r="B224" s="370" t="s">
        <v>1087</v>
      </c>
      <c r="C224" s="399">
        <v>21115101499300</v>
      </c>
      <c r="D224" s="369" t="s">
        <v>1088</v>
      </c>
      <c r="E224" s="379" t="s">
        <v>1070</v>
      </c>
      <c r="F224" s="16" t="s">
        <v>558</v>
      </c>
    </row>
    <row r="225" spans="2:6">
      <c r="B225" t="s">
        <v>1089</v>
      </c>
      <c r="C225" s="399">
        <v>21115110099250</v>
      </c>
      <c r="D225" s="369" t="s">
        <v>1090</v>
      </c>
      <c r="E225" s="378" t="s">
        <v>1084</v>
      </c>
      <c r="F225" s="17">
        <v>50</v>
      </c>
    </row>
    <row r="226" spans="2:6">
      <c r="B226" s="370" t="s">
        <v>1091</v>
      </c>
      <c r="C226" s="399">
        <v>21115110100100</v>
      </c>
      <c r="D226" s="369" t="s">
        <v>1092</v>
      </c>
      <c r="E226" s="379" t="s">
        <v>137</v>
      </c>
      <c r="F226" s="16" t="s">
        <v>558</v>
      </c>
    </row>
    <row r="227" spans="2:6">
      <c r="B227" s="370" t="s">
        <v>1093</v>
      </c>
      <c r="C227" s="399">
        <v>21125911400125</v>
      </c>
      <c r="D227" s="369" t="s">
        <v>1094</v>
      </c>
      <c r="E227" s="378" t="s">
        <v>189</v>
      </c>
      <c r="F227" s="17">
        <v>25</v>
      </c>
    </row>
    <row r="228" spans="2:6">
      <c r="B228" s="370" t="s">
        <v>1095</v>
      </c>
      <c r="C228" s="399">
        <v>21115110000100</v>
      </c>
      <c r="D228" s="369" t="s">
        <v>1096</v>
      </c>
      <c r="E228" s="378">
        <v>511</v>
      </c>
      <c r="F228" s="16" t="s">
        <v>558</v>
      </c>
    </row>
    <row r="229" spans="2:6">
      <c r="B229" s="370" t="s">
        <v>1097</v>
      </c>
      <c r="C229" s="370" t="s">
        <v>1097</v>
      </c>
      <c r="D229" s="369" t="s">
        <v>1098</v>
      </c>
      <c r="E229" s="378" t="s">
        <v>401</v>
      </c>
      <c r="F229" s="17" t="s">
        <v>558</v>
      </c>
    </row>
    <row r="230" spans="2:6">
      <c r="B230" s="370" t="s">
        <v>1099</v>
      </c>
      <c r="C230" s="399">
        <v>21115539900250</v>
      </c>
      <c r="D230" s="369" t="s">
        <v>1100</v>
      </c>
      <c r="E230" s="379" t="s">
        <v>1101</v>
      </c>
      <c r="F230" s="17">
        <v>50</v>
      </c>
    </row>
    <row r="231" spans="2:6">
      <c r="B231" s="370" t="s">
        <v>1102</v>
      </c>
      <c r="C231" s="399">
        <v>21125121300125</v>
      </c>
      <c r="D231" s="369" t="s">
        <v>1103</v>
      </c>
      <c r="E231" s="378" t="s">
        <v>1104</v>
      </c>
      <c r="F231" s="17">
        <v>25</v>
      </c>
    </row>
    <row r="232" spans="2:6">
      <c r="B232" s="370" t="s">
        <v>1105</v>
      </c>
      <c r="C232" s="370" t="s">
        <v>1106</v>
      </c>
      <c r="D232" s="369" t="s">
        <v>1107</v>
      </c>
      <c r="E232" s="379" t="s">
        <v>799</v>
      </c>
      <c r="F232" s="17" t="s">
        <v>558</v>
      </c>
    </row>
    <row r="233" spans="2:6">
      <c r="B233" s="370" t="s">
        <v>1108</v>
      </c>
      <c r="C233" s="399">
        <v>21115211499250</v>
      </c>
      <c r="D233" s="369" t="s">
        <v>1109</v>
      </c>
      <c r="E233" s="378" t="s">
        <v>1049</v>
      </c>
      <c r="F233" s="17">
        <v>50</v>
      </c>
    </row>
    <row r="234" spans="2:6">
      <c r="B234" s="370" t="s">
        <v>1110</v>
      </c>
      <c r="C234" s="399">
        <v>21115221499250</v>
      </c>
      <c r="D234" s="369" t="s">
        <v>1111</v>
      </c>
      <c r="E234" s="378" t="s">
        <v>1043</v>
      </c>
      <c r="F234" s="17">
        <v>50</v>
      </c>
    </row>
    <row r="235" spans="2:6">
      <c r="B235" s="391" t="s">
        <v>1112</v>
      </c>
      <c r="C235" s="391" t="s">
        <v>668</v>
      </c>
      <c r="D235" s="392" t="s">
        <v>1113</v>
      </c>
      <c r="E235" s="379" t="s">
        <v>1114</v>
      </c>
      <c r="F235" s="16" t="s">
        <v>558</v>
      </c>
    </row>
    <row r="236" spans="2:6">
      <c r="B236" s="391" t="s">
        <v>1115</v>
      </c>
      <c r="C236" s="370" t="s">
        <v>1116</v>
      </c>
      <c r="D236" s="392" t="s">
        <v>1117</v>
      </c>
      <c r="E236" s="379" t="s">
        <v>1114</v>
      </c>
      <c r="F236" s="17">
        <v>50</v>
      </c>
    </row>
    <row r="237" spans="2:6">
      <c r="B237" s="370" t="s">
        <v>1118</v>
      </c>
      <c r="C237" s="399">
        <v>21115100099300</v>
      </c>
      <c r="D237" s="369" t="s">
        <v>1119</v>
      </c>
      <c r="E237" s="378" t="s">
        <v>1120</v>
      </c>
      <c r="F237" s="16" t="s">
        <v>558</v>
      </c>
    </row>
    <row r="238" spans="2:6">
      <c r="B238" s="370" t="s">
        <v>1115</v>
      </c>
      <c r="C238" s="399">
        <v>21115111499250</v>
      </c>
      <c r="D238" s="369" t="s">
        <v>1121</v>
      </c>
      <c r="E238" s="378" t="s">
        <v>1114</v>
      </c>
      <c r="F238" s="17">
        <v>50</v>
      </c>
    </row>
    <row r="239" spans="2:6">
      <c r="B239" s="370" t="s">
        <v>1122</v>
      </c>
      <c r="C239" s="399">
        <v>21115114399250</v>
      </c>
      <c r="D239" s="369" t="s">
        <v>1123</v>
      </c>
      <c r="E239" s="378" t="s">
        <v>1124</v>
      </c>
      <c r="F239" s="17">
        <v>50</v>
      </c>
    </row>
    <row r="240" spans="2:6">
      <c r="B240" s="391" t="s">
        <v>1112</v>
      </c>
      <c r="C240" s="399">
        <v>21115117299300</v>
      </c>
      <c r="D240" s="15" t="s">
        <v>1125</v>
      </c>
      <c r="E240" s="379" t="s">
        <v>1114</v>
      </c>
      <c r="F240" s="16" t="s">
        <v>558</v>
      </c>
    </row>
    <row r="241" spans="2:6">
      <c r="B241" s="391" t="s">
        <v>1126</v>
      </c>
      <c r="C241" s="399">
        <v>21115120199300</v>
      </c>
      <c r="D241" s="15" t="s">
        <v>1127</v>
      </c>
      <c r="E241" s="379" t="s">
        <v>1124</v>
      </c>
      <c r="F241" s="16" t="s">
        <v>558</v>
      </c>
    </row>
    <row r="242" spans="2:6">
      <c r="B242" s="370" t="s">
        <v>1128</v>
      </c>
      <c r="C242" s="399">
        <v>21115110099250</v>
      </c>
      <c r="D242" s="392" t="s">
        <v>1129</v>
      </c>
      <c r="E242" s="379" t="s">
        <v>1130</v>
      </c>
      <c r="F242" s="17">
        <v>50</v>
      </c>
    </row>
    <row r="243" spans="2:6">
      <c r="B243" s="391" t="s">
        <v>1131</v>
      </c>
      <c r="C243" s="399">
        <v>21115110199300</v>
      </c>
      <c r="D243" s="392" t="s">
        <v>1132</v>
      </c>
      <c r="E243" s="379" t="s">
        <v>1133</v>
      </c>
      <c r="F243" s="17" t="s">
        <v>558</v>
      </c>
    </row>
    <row r="244" spans="2:6">
      <c r="B244" s="391" t="s">
        <v>1134</v>
      </c>
      <c r="C244" s="391" t="s">
        <v>1135</v>
      </c>
      <c r="D244" s="392" t="s">
        <v>1136</v>
      </c>
      <c r="E244" s="379" t="s">
        <v>1120</v>
      </c>
      <c r="F244" s="17">
        <v>50</v>
      </c>
    </row>
    <row r="245" spans="2:6">
      <c r="B245" s="391" t="s">
        <v>1137</v>
      </c>
      <c r="C245" s="391" t="s">
        <v>625</v>
      </c>
      <c r="D245" s="392" t="s">
        <v>1138</v>
      </c>
      <c r="E245" s="378" t="s">
        <v>1130</v>
      </c>
      <c r="F245" s="16" t="s">
        <v>558</v>
      </c>
    </row>
    <row r="246" spans="2:6">
      <c r="B246" s="370" t="s">
        <v>1139</v>
      </c>
      <c r="C246" s="399">
        <v>21115110199250</v>
      </c>
      <c r="D246" s="392" t="s">
        <v>1140</v>
      </c>
      <c r="E246" s="379" t="s">
        <v>1133</v>
      </c>
      <c r="F246" s="17">
        <v>50</v>
      </c>
    </row>
    <row r="247" spans="2:6">
      <c r="B247" s="370" t="s">
        <v>1141</v>
      </c>
      <c r="C247" s="370" t="s">
        <v>1142</v>
      </c>
      <c r="D247" s="369" t="s">
        <v>1143</v>
      </c>
      <c r="E247" s="378" t="s">
        <v>1144</v>
      </c>
      <c r="F247" s="17">
        <v>50</v>
      </c>
    </row>
    <row r="248" spans="2:6">
      <c r="B248" s="370" t="s">
        <v>1145</v>
      </c>
      <c r="C248" s="399">
        <v>21115101499300</v>
      </c>
      <c r="D248" s="392" t="s">
        <v>1146</v>
      </c>
      <c r="E248" s="379" t="s">
        <v>1144</v>
      </c>
      <c r="F248" s="16" t="s">
        <v>558</v>
      </c>
    </row>
    <row r="249" spans="2:6">
      <c r="B249" s="370" t="s">
        <v>1147</v>
      </c>
      <c r="C249" s="399">
        <v>21115110099250</v>
      </c>
      <c r="D249" s="392" t="s">
        <v>1148</v>
      </c>
      <c r="E249" s="379" t="s">
        <v>1149</v>
      </c>
      <c r="F249" s="17">
        <v>50</v>
      </c>
    </row>
    <row r="250" spans="2:6">
      <c r="B250" s="370" t="s">
        <v>1150</v>
      </c>
      <c r="C250" s="399">
        <v>21115100099250</v>
      </c>
      <c r="D250" s="392" t="s">
        <v>1151</v>
      </c>
      <c r="E250" s="379" t="s">
        <v>1152</v>
      </c>
      <c r="F250" s="17">
        <v>50</v>
      </c>
    </row>
    <row r="251" spans="2:6">
      <c r="B251" s="370" t="s">
        <v>1153</v>
      </c>
      <c r="C251" s="399">
        <v>21115110199300</v>
      </c>
      <c r="D251" s="369" t="s">
        <v>1154</v>
      </c>
      <c r="E251" s="378" t="s">
        <v>1155</v>
      </c>
      <c r="F251" s="16" t="s">
        <v>558</v>
      </c>
    </row>
    <row r="252" spans="2:6">
      <c r="B252" s="370" t="s">
        <v>1156</v>
      </c>
      <c r="C252" s="399">
        <v>21115110199250</v>
      </c>
      <c r="D252" s="392" t="s">
        <v>1157</v>
      </c>
      <c r="E252" s="378" t="s">
        <v>1155</v>
      </c>
      <c r="F252" s="17">
        <v>50</v>
      </c>
    </row>
    <row r="253" spans="2:6">
      <c r="B253" s="370" t="s">
        <v>1158</v>
      </c>
      <c r="C253" s="399">
        <v>21115221499300</v>
      </c>
      <c r="D253" s="392" t="s">
        <v>1159</v>
      </c>
      <c r="E253" s="379" t="s">
        <v>1160</v>
      </c>
      <c r="F253" s="16" t="s">
        <v>558</v>
      </c>
    </row>
    <row r="254" spans="2:6">
      <c r="B254" s="370" t="s">
        <v>1161</v>
      </c>
      <c r="C254" s="399">
        <v>21115110099300</v>
      </c>
      <c r="D254" s="369" t="s">
        <v>1162</v>
      </c>
      <c r="E254" s="378" t="s">
        <v>1163</v>
      </c>
      <c r="F254" s="17" t="s">
        <v>558</v>
      </c>
    </row>
    <row r="255" spans="2:6">
      <c r="B255" s="370" t="s">
        <v>1164</v>
      </c>
      <c r="C255" s="399">
        <v>21115100099300</v>
      </c>
      <c r="D255" s="369" t="s">
        <v>1165</v>
      </c>
      <c r="E255" s="378" t="s">
        <v>1152</v>
      </c>
      <c r="F255" s="17" t="s">
        <v>558</v>
      </c>
    </row>
    <row r="256" spans="2:6">
      <c r="B256" s="370" t="s">
        <v>1166</v>
      </c>
      <c r="C256" s="399">
        <v>21115211499300</v>
      </c>
      <c r="D256" s="369" t="s">
        <v>1167</v>
      </c>
      <c r="E256" s="378" t="s">
        <v>1168</v>
      </c>
      <c r="F256" s="17" t="s">
        <v>558</v>
      </c>
    </row>
    <row r="257" spans="2:6">
      <c r="B257" s="370" t="s">
        <v>1169</v>
      </c>
      <c r="C257" s="399">
        <v>21115110099250</v>
      </c>
      <c r="D257" s="369" t="s">
        <v>1170</v>
      </c>
      <c r="E257" s="378" t="s">
        <v>1163</v>
      </c>
      <c r="F257" s="17">
        <v>50</v>
      </c>
    </row>
    <row r="258" spans="2:6">
      <c r="B258" s="370" t="s">
        <v>1171</v>
      </c>
      <c r="C258" s="399">
        <v>21125911600125</v>
      </c>
      <c r="D258" s="369" t="s">
        <v>1172</v>
      </c>
      <c r="E258" s="378" t="s">
        <v>1173</v>
      </c>
      <c r="F258" s="17">
        <v>25</v>
      </c>
    </row>
    <row r="259" spans="2:6">
      <c r="B259" s="370" t="s">
        <v>1174</v>
      </c>
      <c r="C259" s="399">
        <v>21115110099300</v>
      </c>
      <c r="D259" s="369" t="s">
        <v>1175</v>
      </c>
      <c r="E259" s="378" t="s">
        <v>1149</v>
      </c>
      <c r="F259" s="17" t="s">
        <v>558</v>
      </c>
    </row>
    <row r="260" spans="2:6">
      <c r="B260" s="370" t="s">
        <v>1176</v>
      </c>
      <c r="C260" s="399">
        <v>21115110199250</v>
      </c>
      <c r="D260" s="392" t="s">
        <v>1177</v>
      </c>
      <c r="E260" s="379" t="s">
        <v>1178</v>
      </c>
      <c r="F260" s="17">
        <v>50</v>
      </c>
    </row>
    <row r="261" spans="2:6">
      <c r="B261" s="370" t="s">
        <v>1179</v>
      </c>
      <c r="C261" s="399">
        <v>21115538400300</v>
      </c>
      <c r="D261" s="369" t="s">
        <v>1180</v>
      </c>
      <c r="E261" s="378" t="s">
        <v>409</v>
      </c>
      <c r="F261" s="17" t="s">
        <v>558</v>
      </c>
    </row>
    <row r="262" spans="2:6">
      <c r="B262" s="370" t="s">
        <v>1181</v>
      </c>
      <c r="C262" s="399">
        <v>21115517599250</v>
      </c>
      <c r="D262" s="369" t="s">
        <v>1182</v>
      </c>
      <c r="E262" s="378" t="s">
        <v>1183</v>
      </c>
      <c r="F262" s="17">
        <v>50</v>
      </c>
    </row>
    <row r="263" spans="2:6">
      <c r="B263" s="370" t="s">
        <v>1184</v>
      </c>
      <c r="C263" s="399">
        <v>21115517599300</v>
      </c>
      <c r="D263" s="392" t="s">
        <v>1185</v>
      </c>
      <c r="E263" s="378" t="s">
        <v>1183</v>
      </c>
      <c r="F263" s="16" t="s">
        <v>558</v>
      </c>
    </row>
    <row r="264" spans="2:6">
      <c r="B264" s="370" t="s">
        <v>1186</v>
      </c>
      <c r="C264" s="399">
        <v>21115531300300</v>
      </c>
      <c r="D264" s="369" t="s">
        <v>1187</v>
      </c>
      <c r="E264" s="378" t="s">
        <v>403</v>
      </c>
      <c r="F264" s="17" t="s">
        <v>558</v>
      </c>
    </row>
    <row r="265" spans="2:6">
      <c r="B265" s="370" t="s">
        <v>1188</v>
      </c>
      <c r="C265" s="370" t="s">
        <v>1189</v>
      </c>
      <c r="D265" s="369" t="s">
        <v>1109</v>
      </c>
      <c r="E265" s="378" t="s">
        <v>1168</v>
      </c>
      <c r="F265" s="17">
        <v>50</v>
      </c>
    </row>
    <row r="266" spans="2:6">
      <c r="B266" s="370" t="s">
        <v>1190</v>
      </c>
      <c r="C266" s="399">
        <v>21115111499250</v>
      </c>
      <c r="D266" s="369" t="s">
        <v>1191</v>
      </c>
      <c r="E266" s="378" t="s">
        <v>1192</v>
      </c>
      <c r="F266" s="17">
        <v>50</v>
      </c>
    </row>
    <row r="267" spans="2:6">
      <c r="B267" s="370" t="s">
        <v>1193</v>
      </c>
      <c r="C267" s="399">
        <v>21115114399250</v>
      </c>
      <c r="D267" s="369" t="s">
        <v>1194</v>
      </c>
      <c r="E267" s="378" t="s">
        <v>1195</v>
      </c>
      <c r="F267" s="17">
        <v>50</v>
      </c>
    </row>
    <row r="268" spans="2:6">
      <c r="B268" s="370" t="s">
        <v>1196</v>
      </c>
      <c r="C268" s="399">
        <v>21115111499300</v>
      </c>
      <c r="D268" s="369" t="s">
        <v>1197</v>
      </c>
      <c r="E268" s="378" t="s">
        <v>1192</v>
      </c>
      <c r="F268" s="17" t="s">
        <v>558</v>
      </c>
    </row>
    <row r="269" spans="2:6">
      <c r="B269" s="370" t="s">
        <v>1198</v>
      </c>
      <c r="C269" s="399">
        <v>21115440000125</v>
      </c>
      <c r="D269" s="369" t="s">
        <v>1199</v>
      </c>
      <c r="E269" s="378">
        <v>544</v>
      </c>
      <c r="F269" s="17">
        <v>25</v>
      </c>
    </row>
    <row r="270" spans="2:6">
      <c r="B270" s="371" t="s">
        <v>1200</v>
      </c>
      <c r="C270" s="399">
        <v>21115114399300</v>
      </c>
      <c r="D270" s="392" t="s">
        <v>1201</v>
      </c>
      <c r="E270" s="379" t="s">
        <v>1195</v>
      </c>
      <c r="F270" s="16" t="s">
        <v>558</v>
      </c>
    </row>
    <row r="271" spans="2:6">
      <c r="B271" s="370" t="s">
        <v>1202</v>
      </c>
      <c r="C271" s="370" t="s">
        <v>1202</v>
      </c>
      <c r="D271" s="369" t="s">
        <v>1203</v>
      </c>
      <c r="E271" s="378" t="s">
        <v>190</v>
      </c>
      <c r="F271" s="17">
        <v>25</v>
      </c>
    </row>
    <row r="272" spans="2:6">
      <c r="B272" s="370" t="s">
        <v>1204</v>
      </c>
      <c r="C272" s="399">
        <v>21115450000125</v>
      </c>
      <c r="D272" s="369" t="s">
        <v>1205</v>
      </c>
      <c r="E272" s="378">
        <v>545</v>
      </c>
      <c r="F272" s="17">
        <v>25</v>
      </c>
    </row>
    <row r="273" spans="2:6">
      <c r="B273" s="370" t="s">
        <v>1206</v>
      </c>
      <c r="C273" s="399">
        <v>21113240000225</v>
      </c>
      <c r="D273" s="369" t="s">
        <v>1207</v>
      </c>
      <c r="E273" s="379" t="s">
        <v>584</v>
      </c>
      <c r="F273" s="17">
        <v>25</v>
      </c>
    </row>
    <row r="274" spans="2:6">
      <c r="B274" s="370" t="s">
        <v>1208</v>
      </c>
      <c r="C274" s="399">
        <v>21115101499300</v>
      </c>
      <c r="D274" s="369" t="s">
        <v>1088</v>
      </c>
      <c r="E274" s="378" t="s">
        <v>1209</v>
      </c>
      <c r="F274" s="16" t="s">
        <v>558</v>
      </c>
    </row>
    <row r="275" spans="2:6">
      <c r="B275" s="370" t="s">
        <v>1210</v>
      </c>
      <c r="C275" s="399">
        <v>21115101499250</v>
      </c>
      <c r="D275" s="369" t="s">
        <v>1211</v>
      </c>
      <c r="E275" s="378" t="s">
        <v>1209</v>
      </c>
      <c r="F275" s="17">
        <v>50</v>
      </c>
    </row>
    <row r="276" spans="2:6">
      <c r="B276" s="370" t="s">
        <v>1212</v>
      </c>
      <c r="C276" s="370" t="s">
        <v>668</v>
      </c>
      <c r="D276" s="369" t="s">
        <v>1197</v>
      </c>
      <c r="E276" s="378" t="s">
        <v>1213</v>
      </c>
      <c r="F276" s="17" t="s">
        <v>558</v>
      </c>
    </row>
    <row r="277" spans="2:6">
      <c r="B277" s="370" t="s">
        <v>1214</v>
      </c>
      <c r="C277" s="370" t="s">
        <v>1116</v>
      </c>
      <c r="D277" s="369" t="s">
        <v>1215</v>
      </c>
      <c r="E277" s="379" t="s">
        <v>1213</v>
      </c>
      <c r="F277" s="17">
        <v>50</v>
      </c>
    </row>
    <row r="278" spans="2:6">
      <c r="B278" s="370" t="s">
        <v>1216</v>
      </c>
      <c r="C278" s="399">
        <v>21115114399300</v>
      </c>
      <c r="D278" s="369" t="s">
        <v>1217</v>
      </c>
      <c r="E278" s="378" t="s">
        <v>1218</v>
      </c>
      <c r="F278" s="17" t="s">
        <v>558</v>
      </c>
    </row>
    <row r="279" spans="2:6">
      <c r="B279" s="370" t="s">
        <v>1219</v>
      </c>
      <c r="C279" s="399">
        <v>21113501600110</v>
      </c>
      <c r="D279" s="369" t="s">
        <v>1220</v>
      </c>
      <c r="E279" s="379" t="s">
        <v>127</v>
      </c>
      <c r="F279" s="17">
        <v>10</v>
      </c>
    </row>
    <row r="280" spans="2:6">
      <c r="B280" s="370" t="s">
        <v>1221</v>
      </c>
      <c r="C280" s="399">
        <v>21115114399250</v>
      </c>
      <c r="D280" s="369" t="s">
        <v>1222</v>
      </c>
      <c r="E280" s="378" t="s">
        <v>1218</v>
      </c>
      <c r="F280" s="17">
        <v>50</v>
      </c>
    </row>
    <row r="281" spans="2:6">
      <c r="B281" s="370" t="s">
        <v>1223</v>
      </c>
      <c r="C281" s="370" t="s">
        <v>1224</v>
      </c>
      <c r="D281" s="369" t="s">
        <v>1225</v>
      </c>
      <c r="E281" s="378" t="s">
        <v>1226</v>
      </c>
      <c r="F281" s="17" t="s">
        <v>558</v>
      </c>
    </row>
    <row r="282" spans="2:6">
      <c r="B282" s="370" t="s">
        <v>1227</v>
      </c>
      <c r="C282" s="370" t="s">
        <v>1228</v>
      </c>
      <c r="D282" s="369" t="s">
        <v>1229</v>
      </c>
      <c r="E282" s="378" t="s">
        <v>1230</v>
      </c>
      <c r="F282" s="17">
        <v>50</v>
      </c>
    </row>
    <row r="283" spans="2:6">
      <c r="B283" s="370" t="s">
        <v>1231</v>
      </c>
      <c r="C283" s="370">
        <v>21115521999125</v>
      </c>
      <c r="D283" s="369" t="s">
        <v>1232</v>
      </c>
      <c r="E283" s="378" t="s">
        <v>1233</v>
      </c>
      <c r="F283" s="17">
        <v>25</v>
      </c>
    </row>
    <row r="284" spans="2:6">
      <c r="B284" s="370" t="s">
        <v>1234</v>
      </c>
      <c r="C284" s="370" t="s">
        <v>723</v>
      </c>
      <c r="D284" s="369" t="s">
        <v>1235</v>
      </c>
      <c r="E284" s="378" t="s">
        <v>1236</v>
      </c>
      <c r="F284" s="17" t="str">
        <f>VLOOKUP(RIGHT(C284,3),$I:$J,2,0)</f>
        <v>Silo</v>
      </c>
    </row>
    <row r="285" spans="2:6">
      <c r="B285" s="370" t="s">
        <v>1237</v>
      </c>
      <c r="C285" s="370" t="s">
        <v>1238</v>
      </c>
      <c r="D285" s="369" t="s">
        <v>1239</v>
      </c>
      <c r="E285" s="378" t="s">
        <v>1240</v>
      </c>
      <c r="F285" s="17" t="str">
        <f>VLOOKUP(RIGHT(C285,3),$I:$J,2,0)</f>
        <v>Silo</v>
      </c>
    </row>
    <row r="286" spans="2:6">
      <c r="B286" s="373" t="s">
        <v>689</v>
      </c>
      <c r="C286" s="399">
        <v>21115211400300</v>
      </c>
      <c r="D286" s="369" t="s">
        <v>1241</v>
      </c>
      <c r="E286" s="378" t="s">
        <v>691</v>
      </c>
      <c r="F286" s="17" t="str">
        <f>VLOOKUP(RIGHT(C286,3),$I:$J,2,0)</f>
        <v>Silo</v>
      </c>
    </row>
    <row r="287" spans="2:6">
      <c r="B287" s="373" t="s">
        <v>1242</v>
      </c>
      <c r="C287" s="399">
        <v>21115211400250</v>
      </c>
      <c r="D287" s="369" t="s">
        <v>1243</v>
      </c>
      <c r="E287" s="378" t="s">
        <v>313</v>
      </c>
      <c r="F287" s="17">
        <v>50</v>
      </c>
    </row>
    <row r="288" spans="2:6">
      <c r="B288" s="373" t="s">
        <v>1244</v>
      </c>
      <c r="C288" s="399">
        <v>21115321499300</v>
      </c>
      <c r="D288" s="369" t="s">
        <v>1245</v>
      </c>
      <c r="E288" s="378" t="s">
        <v>1246</v>
      </c>
      <c r="F288" s="17" t="s">
        <v>558</v>
      </c>
    </row>
    <row r="289" spans="2:6">
      <c r="B289" s="370" t="s">
        <v>1247</v>
      </c>
      <c r="C289" s="399">
        <v>21125521999125</v>
      </c>
      <c r="D289" s="369" t="s">
        <v>1248</v>
      </c>
      <c r="E289" s="379" t="s">
        <v>1249</v>
      </c>
      <c r="F289" s="17">
        <v>25</v>
      </c>
    </row>
    <row r="290" spans="2:6">
      <c r="B290" s="370" t="s">
        <v>1250</v>
      </c>
      <c r="C290" s="399">
        <v>21115660099300</v>
      </c>
      <c r="D290" s="369" t="s">
        <v>1251</v>
      </c>
      <c r="E290" s="378" t="s">
        <v>1252</v>
      </c>
      <c r="F290" s="17" t="s">
        <v>558</v>
      </c>
    </row>
    <row r="291" spans="2:6">
      <c r="B291" s="370" t="s">
        <v>1253</v>
      </c>
      <c r="C291" s="399">
        <v>21115660099250</v>
      </c>
      <c r="D291" s="369" t="s">
        <v>1254</v>
      </c>
      <c r="E291" s="378" t="s">
        <v>424</v>
      </c>
      <c r="F291" s="17">
        <v>50</v>
      </c>
    </row>
    <row r="292" spans="2:6">
      <c r="B292" s="374" t="str">
        <f>IF(MID(C292,10,2)="99",C292&amp;E292,LEFT(C292,14))</f>
        <v>21115507200225</v>
      </c>
      <c r="C292" s="399">
        <v>21115507200225</v>
      </c>
      <c r="D292" t="s">
        <v>1255</v>
      </c>
      <c r="E292" s="378" t="s">
        <v>1256</v>
      </c>
      <c r="F292" s="17">
        <v>25</v>
      </c>
    </row>
    <row r="293" spans="2:6">
      <c r="B293" s="370" t="s">
        <v>1257</v>
      </c>
      <c r="C293" s="399">
        <v>21115620000125</v>
      </c>
      <c r="D293" s="369" t="s">
        <v>1258</v>
      </c>
      <c r="E293" s="378">
        <v>562</v>
      </c>
      <c r="F293" s="17">
        <v>25</v>
      </c>
    </row>
    <row r="294" spans="2:6">
      <c r="B294" s="370" t="s">
        <v>1259</v>
      </c>
      <c r="C294" s="399">
        <v>21115110099300</v>
      </c>
      <c r="D294" s="369" t="s">
        <v>1083</v>
      </c>
      <c r="E294" s="378" t="s">
        <v>1260</v>
      </c>
      <c r="F294" s="17" t="s">
        <v>558</v>
      </c>
    </row>
    <row r="295" spans="2:6">
      <c r="B295" s="370" t="s">
        <v>1261</v>
      </c>
      <c r="C295" s="399">
        <v>21115110099250</v>
      </c>
      <c r="D295" s="369" t="s">
        <v>1090</v>
      </c>
      <c r="E295" s="378" t="s">
        <v>1260</v>
      </c>
      <c r="F295" s="17">
        <v>50</v>
      </c>
    </row>
    <row r="296" spans="2:6">
      <c r="B296" s="370" t="s">
        <v>1262</v>
      </c>
      <c r="C296" s="399">
        <v>21115110199300</v>
      </c>
      <c r="D296" s="369" t="s">
        <v>1263</v>
      </c>
      <c r="E296" s="378" t="s">
        <v>1264</v>
      </c>
      <c r="F296" s="17" t="s">
        <v>558</v>
      </c>
    </row>
    <row r="297" spans="2:6">
      <c r="B297" s="370" t="s">
        <v>1265</v>
      </c>
      <c r="C297" s="399">
        <v>21115100099250</v>
      </c>
      <c r="D297" s="369" t="s">
        <v>1266</v>
      </c>
      <c r="E297" s="378" t="s">
        <v>1267</v>
      </c>
      <c r="F297" s="17">
        <v>50</v>
      </c>
    </row>
    <row r="298" spans="2:6">
      <c r="B298" s="370" t="s">
        <v>1268</v>
      </c>
      <c r="C298" s="399">
        <v>21115110199250</v>
      </c>
      <c r="D298" s="369" t="s">
        <v>1269</v>
      </c>
      <c r="E298" s="378" t="s">
        <v>1264</v>
      </c>
      <c r="F298" s="17">
        <v>50</v>
      </c>
    </row>
    <row r="299" spans="2:6">
      <c r="B299" s="370" t="s">
        <v>1270</v>
      </c>
      <c r="C299" s="399">
        <v>21115517200250</v>
      </c>
      <c r="D299" s="369" t="s">
        <v>1271</v>
      </c>
      <c r="E299" s="378" t="s">
        <v>1272</v>
      </c>
      <c r="F299" s="17">
        <v>50</v>
      </c>
    </row>
    <row r="300" spans="2:6">
      <c r="B300" s="370" t="s">
        <v>1273</v>
      </c>
      <c r="C300" s="399">
        <v>21115517572250</v>
      </c>
      <c r="D300" s="369" t="s">
        <v>1274</v>
      </c>
      <c r="E300" s="378" t="s">
        <v>1275</v>
      </c>
      <c r="F300" s="17">
        <v>50</v>
      </c>
    </row>
    <row r="301" spans="2:6">
      <c r="B301" s="370" t="s">
        <v>1276</v>
      </c>
      <c r="C301" s="399">
        <v>21115101499300</v>
      </c>
      <c r="D301" s="369" t="s">
        <v>1088</v>
      </c>
      <c r="E301" s="378" t="s">
        <v>1277</v>
      </c>
      <c r="F301" s="17" t="s">
        <v>558</v>
      </c>
    </row>
    <row r="302" spans="2:6">
      <c r="B302" s="370" t="s">
        <v>1278</v>
      </c>
      <c r="C302" s="399">
        <v>21115114399250</v>
      </c>
      <c r="D302" s="369" t="s">
        <v>1222</v>
      </c>
      <c r="E302" s="378" t="s">
        <v>1279</v>
      </c>
      <c r="F302" s="17">
        <v>50</v>
      </c>
    </row>
    <row r="303" spans="2:6">
      <c r="B303" s="370" t="s">
        <v>1280</v>
      </c>
      <c r="C303" s="399">
        <v>21115101499250</v>
      </c>
      <c r="D303" s="369" t="s">
        <v>1211</v>
      </c>
      <c r="E303" s="378" t="s">
        <v>1277</v>
      </c>
      <c r="F303" s="17">
        <v>50</v>
      </c>
    </row>
    <row r="304" spans="2:6">
      <c r="B304" s="370" t="s">
        <v>1281</v>
      </c>
      <c r="C304" s="399">
        <v>21115111499300</v>
      </c>
      <c r="D304" s="369" t="s">
        <v>1197</v>
      </c>
      <c r="E304" s="378" t="s">
        <v>1282</v>
      </c>
      <c r="F304" s="17" t="s">
        <v>558</v>
      </c>
    </row>
    <row r="305" spans="2:6">
      <c r="B305" s="370" t="s">
        <v>1283</v>
      </c>
      <c r="C305" s="399">
        <v>21115114399300</v>
      </c>
      <c r="D305" s="369" t="s">
        <v>1217</v>
      </c>
      <c r="E305" s="378" t="s">
        <v>1279</v>
      </c>
      <c r="F305" s="17" t="s">
        <v>558</v>
      </c>
    </row>
    <row r="306" spans="2:6">
      <c r="B306" s="370" t="s">
        <v>1284</v>
      </c>
      <c r="C306" s="399">
        <v>21115111499250</v>
      </c>
      <c r="D306" s="369" t="s">
        <v>1285</v>
      </c>
      <c r="E306" s="378" t="s">
        <v>1282</v>
      </c>
      <c r="F306" s="17">
        <v>50</v>
      </c>
    </row>
    <row r="307" spans="2:6">
      <c r="B307" s="370" t="s">
        <v>1286</v>
      </c>
      <c r="C307" s="399">
        <v>21115110099250</v>
      </c>
      <c r="D307" s="369" t="s">
        <v>1090</v>
      </c>
      <c r="E307" s="378" t="s">
        <v>1287</v>
      </c>
      <c r="F307" s="17">
        <v>50</v>
      </c>
    </row>
    <row r="308" spans="2:6">
      <c r="B308" s="370" t="s">
        <v>1288</v>
      </c>
      <c r="C308" s="399">
        <v>21115101300425</v>
      </c>
      <c r="D308" s="369" t="s">
        <v>1289</v>
      </c>
      <c r="E308" s="378" t="s">
        <v>134</v>
      </c>
      <c r="F308" s="17" t="s">
        <v>56</v>
      </c>
    </row>
    <row r="309" spans="2:6">
      <c r="B309" s="370" t="s">
        <v>1290</v>
      </c>
      <c r="C309" s="399">
        <v>21113220000300</v>
      </c>
      <c r="D309" s="369" t="s">
        <v>1291</v>
      </c>
      <c r="E309" s="378">
        <v>322</v>
      </c>
      <c r="F309" s="17" t="s">
        <v>558</v>
      </c>
    </row>
    <row r="310" spans="2:6">
      <c r="B310" s="370" t="s">
        <v>1292</v>
      </c>
      <c r="C310" s="399" t="s">
        <v>1292</v>
      </c>
      <c r="D310" s="369" t="s">
        <v>1293</v>
      </c>
      <c r="E310" s="378" t="s">
        <v>1294</v>
      </c>
      <c r="F310" s="17">
        <v>25</v>
      </c>
    </row>
    <row r="311" spans="2:6">
      <c r="B311" s="370" t="s">
        <v>1295</v>
      </c>
      <c r="C311" s="399" t="s">
        <v>1295</v>
      </c>
      <c r="D311" s="369" t="s">
        <v>1296</v>
      </c>
      <c r="E311" s="378" t="s">
        <v>317</v>
      </c>
      <c r="F311" s="17" t="s">
        <v>558</v>
      </c>
    </row>
    <row r="312" spans="2:6">
      <c r="B312" s="370" t="s">
        <v>1297</v>
      </c>
      <c r="C312" s="399" t="s">
        <v>723</v>
      </c>
      <c r="D312" s="369" t="s">
        <v>1298</v>
      </c>
      <c r="E312" s="378" t="s">
        <v>1299</v>
      </c>
      <c r="F312" s="17" t="s">
        <v>558</v>
      </c>
    </row>
    <row r="313" spans="2:6">
      <c r="B313" s="370" t="s">
        <v>1300</v>
      </c>
      <c r="C313" s="399">
        <v>21186521999125</v>
      </c>
      <c r="D313" s="369" t="s">
        <v>1301</v>
      </c>
      <c r="E313" s="378" t="s">
        <v>1302</v>
      </c>
      <c r="F313" s="17">
        <v>25</v>
      </c>
    </row>
    <row r="314" spans="2:6">
      <c r="B314" s="370" t="s">
        <v>1303</v>
      </c>
      <c r="C314" s="399">
        <v>21135521999125</v>
      </c>
      <c r="D314" s="369" t="s">
        <v>1304</v>
      </c>
      <c r="E314" s="378" t="s">
        <v>1305</v>
      </c>
      <c r="F314" s="17">
        <v>25</v>
      </c>
    </row>
    <row r="315" spans="2:6">
      <c r="B315" s="370" t="s">
        <v>1306</v>
      </c>
      <c r="C315" s="399">
        <v>21196521999125</v>
      </c>
      <c r="D315" s="369" t="s">
        <v>1307</v>
      </c>
      <c r="E315" s="378" t="s">
        <v>1308</v>
      </c>
      <c r="F315" s="17">
        <v>25</v>
      </c>
    </row>
    <row r="316" spans="2:6">
      <c r="B316" s="370" t="s">
        <v>1309</v>
      </c>
      <c r="C316" s="399" t="s">
        <v>1310</v>
      </c>
      <c r="D316" s="369" t="s">
        <v>1311</v>
      </c>
      <c r="E316" s="378" t="s">
        <v>398</v>
      </c>
      <c r="F316" s="17" t="s">
        <v>558</v>
      </c>
    </row>
    <row r="317" spans="2:6">
      <c r="B317" s="372" t="s">
        <v>1312</v>
      </c>
      <c r="C317" s="399">
        <v>21115521999250</v>
      </c>
      <c r="D317" s="369" t="s">
        <v>1313</v>
      </c>
      <c r="E317" s="378" t="s">
        <v>1314</v>
      </c>
      <c r="F317" s="17">
        <v>50</v>
      </c>
    </row>
    <row r="318" spans="2:6">
      <c r="B318" s="370" t="s">
        <v>1315</v>
      </c>
      <c r="C318" s="399">
        <v>21115671999300</v>
      </c>
      <c r="D318" s="369" t="s">
        <v>1316</v>
      </c>
      <c r="E318" s="379" t="s">
        <v>1317</v>
      </c>
      <c r="F318" s="17" t="s">
        <v>558</v>
      </c>
    </row>
    <row r="319" spans="2:6">
      <c r="B319" s="370" t="s">
        <v>1318</v>
      </c>
      <c r="C319" s="399" t="s">
        <v>1319</v>
      </c>
      <c r="D319" s="369" t="s">
        <v>1320</v>
      </c>
      <c r="E319" s="378" t="s">
        <v>389</v>
      </c>
      <c r="F319" s="17">
        <v>50</v>
      </c>
    </row>
    <row r="320" spans="2:6">
      <c r="B320" s="370" t="s">
        <v>1321</v>
      </c>
      <c r="C320" s="399">
        <v>21115520099300</v>
      </c>
      <c r="D320" s="369" t="s">
        <v>1322</v>
      </c>
      <c r="E320" s="379" t="s">
        <v>389</v>
      </c>
      <c r="F320" s="17" t="s">
        <v>558</v>
      </c>
    </row>
    <row r="321" spans="2:6">
      <c r="B321" s="391" t="s">
        <v>1323</v>
      </c>
      <c r="C321" s="399">
        <v>21115671999250</v>
      </c>
      <c r="D321" s="392" t="s">
        <v>1324</v>
      </c>
      <c r="E321" s="379" t="s">
        <v>1325</v>
      </c>
      <c r="F321" s="17">
        <v>50</v>
      </c>
    </row>
    <row r="322" spans="2:6">
      <c r="B322" s="370" t="s">
        <v>1326</v>
      </c>
      <c r="C322" s="399">
        <v>21115851900125</v>
      </c>
      <c r="D322" s="369" t="s">
        <v>1327</v>
      </c>
      <c r="E322" s="378" t="s">
        <v>173</v>
      </c>
      <c r="F322" s="17">
        <v>25</v>
      </c>
    </row>
    <row r="323" spans="2:6">
      <c r="B323" s="370" t="s">
        <v>1328</v>
      </c>
      <c r="C323" s="399">
        <v>21113851900125</v>
      </c>
      <c r="D323" s="369" t="s">
        <v>1329</v>
      </c>
      <c r="E323" s="378" t="s">
        <v>131</v>
      </c>
      <c r="F323" s="17">
        <v>25</v>
      </c>
    </row>
    <row r="324" spans="2:6">
      <c r="B324" s="370" t="s">
        <v>1330</v>
      </c>
      <c r="C324" s="399">
        <v>21113250000300</v>
      </c>
      <c r="D324" s="369" t="s">
        <v>1331</v>
      </c>
      <c r="E324" s="378" t="s">
        <v>1332</v>
      </c>
      <c r="F324" s="17" t="s">
        <v>558</v>
      </c>
    </row>
    <row r="325" spans="2:6">
      <c r="B325" t="s">
        <v>1333</v>
      </c>
      <c r="C325" s="370" t="s">
        <v>1333</v>
      </c>
      <c r="D325" s="369" t="s">
        <v>1026</v>
      </c>
      <c r="E325" s="379" t="s">
        <v>346</v>
      </c>
      <c r="F325" s="17">
        <v>25</v>
      </c>
    </row>
    <row r="326" spans="2:6">
      <c r="B326" s="370" t="s">
        <v>1334</v>
      </c>
      <c r="C326" s="370" t="s">
        <v>767</v>
      </c>
      <c r="D326" s="369" t="s">
        <v>1335</v>
      </c>
      <c r="E326" s="378" t="s">
        <v>1336</v>
      </c>
      <c r="F326" s="17">
        <f>VLOOKUP(RIGHT(C326,3),$I:$J,2,0)</f>
        <v>50</v>
      </c>
    </row>
    <row r="327" spans="2:6">
      <c r="B327" s="370" t="s">
        <v>1337</v>
      </c>
      <c r="C327" s="370" t="s">
        <v>779</v>
      </c>
      <c r="D327" s="369" t="s">
        <v>1338</v>
      </c>
      <c r="E327" s="378" t="s">
        <v>1336</v>
      </c>
      <c r="F327" s="17" t="str">
        <f>VLOOKUP(RIGHT(C327,3),$I:$J,2,0)</f>
        <v>Silo</v>
      </c>
    </row>
    <row r="328" spans="2:6">
      <c r="B328" s="370" t="s">
        <v>1339</v>
      </c>
      <c r="C328" s="399">
        <v>21115520099300</v>
      </c>
      <c r="D328" s="369" t="s">
        <v>1322</v>
      </c>
      <c r="E328" s="379" t="s">
        <v>387</v>
      </c>
      <c r="F328" s="17" t="s">
        <v>558</v>
      </c>
    </row>
    <row r="329" spans="2:6">
      <c r="B329" s="370" t="s">
        <v>1340</v>
      </c>
      <c r="C329" s="399">
        <v>21115521999300</v>
      </c>
      <c r="D329" s="369" t="s">
        <v>1311</v>
      </c>
      <c r="E329" s="378" t="s">
        <v>396</v>
      </c>
      <c r="F329" s="17" t="s">
        <v>558</v>
      </c>
    </row>
    <row r="330" spans="2:6">
      <c r="B330" s="370" t="s">
        <v>1341</v>
      </c>
      <c r="C330" s="399">
        <v>21115101499300</v>
      </c>
      <c r="D330" s="369" t="s">
        <v>1088</v>
      </c>
      <c r="E330" s="378" t="s">
        <v>1342</v>
      </c>
      <c r="F330" s="17" t="s">
        <v>558</v>
      </c>
    </row>
    <row r="331" spans="2:6">
      <c r="B331" s="370" t="s">
        <v>1343</v>
      </c>
      <c r="C331" s="399">
        <v>21115520099250</v>
      </c>
      <c r="D331" s="369" t="s">
        <v>1320</v>
      </c>
      <c r="E331" s="378" t="s">
        <v>387</v>
      </c>
      <c r="F331" s="17">
        <v>50</v>
      </c>
    </row>
    <row r="332" spans="2:6">
      <c r="B332" s="370" t="s">
        <v>1344</v>
      </c>
      <c r="C332" s="399">
        <v>21115521999250</v>
      </c>
      <c r="D332" s="369" t="s">
        <v>1313</v>
      </c>
      <c r="E332" s="378" t="s">
        <v>396</v>
      </c>
      <c r="F332" s="17">
        <v>50</v>
      </c>
    </row>
    <row r="333" spans="2:6">
      <c r="B333" s="370" t="s">
        <v>1345</v>
      </c>
      <c r="C333" s="399">
        <v>21115517599300</v>
      </c>
      <c r="D333" s="369" t="s">
        <v>1346</v>
      </c>
      <c r="E333" s="378" t="s">
        <v>1347</v>
      </c>
      <c r="F333" s="17" t="s">
        <v>558</v>
      </c>
    </row>
    <row r="334" spans="2:6">
      <c r="B334" s="370" t="s">
        <v>1348</v>
      </c>
      <c r="C334" s="399">
        <v>21115671999300</v>
      </c>
      <c r="D334" s="369" t="s">
        <v>1316</v>
      </c>
      <c r="E334" s="379" t="s">
        <v>428</v>
      </c>
      <c r="F334" s="17" t="s">
        <v>558</v>
      </c>
    </row>
    <row r="335" spans="2:6">
      <c r="B335" s="370" t="s">
        <v>1349</v>
      </c>
      <c r="C335" s="399">
        <v>21115517599250</v>
      </c>
      <c r="D335" s="369" t="s">
        <v>1350</v>
      </c>
      <c r="E335" s="378" t="s">
        <v>1347</v>
      </c>
      <c r="F335" s="17">
        <v>50</v>
      </c>
    </row>
    <row r="336" spans="2:6">
      <c r="B336" s="370" t="s">
        <v>1351</v>
      </c>
      <c r="C336" s="399">
        <v>21115101499250</v>
      </c>
      <c r="D336" s="369" t="s">
        <v>1211</v>
      </c>
      <c r="E336" s="378" t="s">
        <v>1342</v>
      </c>
      <c r="F336" s="17">
        <v>50</v>
      </c>
    </row>
    <row r="337" spans="2:6">
      <c r="B337" s="370" t="s">
        <v>1352</v>
      </c>
      <c r="C337" s="399">
        <v>21115111499250</v>
      </c>
      <c r="D337" s="369" t="s">
        <v>1285</v>
      </c>
      <c r="E337" s="378" t="s">
        <v>303</v>
      </c>
      <c r="F337" s="17">
        <v>50</v>
      </c>
    </row>
    <row r="338" spans="2:6">
      <c r="B338" s="370" t="s">
        <v>1353</v>
      </c>
      <c r="C338" s="370" t="s">
        <v>759</v>
      </c>
      <c r="D338" s="369" t="s">
        <v>1354</v>
      </c>
      <c r="E338" s="378" t="s">
        <v>1355</v>
      </c>
      <c r="F338" s="17" t="s">
        <v>558</v>
      </c>
    </row>
    <row r="339" spans="2:6">
      <c r="B339" s="370" t="s">
        <v>1356</v>
      </c>
      <c r="C339" s="399">
        <v>21115517599300</v>
      </c>
      <c r="D339" s="369" t="s">
        <v>1350</v>
      </c>
      <c r="E339" s="378" t="s">
        <v>439</v>
      </c>
      <c r="F339" s="17" t="s">
        <v>558</v>
      </c>
    </row>
    <row r="340" spans="2:6">
      <c r="B340" s="370" t="s">
        <v>1357</v>
      </c>
      <c r="C340" s="399">
        <v>21115111499300</v>
      </c>
      <c r="D340" s="369" t="s">
        <v>1197</v>
      </c>
      <c r="E340" s="378" t="s">
        <v>303</v>
      </c>
      <c r="F340" s="17" t="s">
        <v>558</v>
      </c>
    </row>
    <row r="341" spans="2:6">
      <c r="B341" s="370" t="s">
        <v>1358</v>
      </c>
      <c r="C341" s="399">
        <v>21115321499300</v>
      </c>
      <c r="D341" s="369" t="s">
        <v>1245</v>
      </c>
      <c r="E341" s="378" t="s">
        <v>1359</v>
      </c>
      <c r="F341" s="17" t="s">
        <v>558</v>
      </c>
    </row>
    <row r="342" spans="2:6">
      <c r="B342" s="370" t="s">
        <v>1360</v>
      </c>
      <c r="C342" s="399">
        <v>21115517599250</v>
      </c>
      <c r="D342" s="369" t="s">
        <v>1350</v>
      </c>
      <c r="E342" s="378" t="s">
        <v>439</v>
      </c>
      <c r="F342" s="17">
        <v>50</v>
      </c>
    </row>
    <row r="343" spans="2:6">
      <c r="B343" s="370" t="s">
        <v>1361</v>
      </c>
      <c r="C343" s="399">
        <v>21115671999250</v>
      </c>
      <c r="D343" s="369" t="s">
        <v>1324</v>
      </c>
      <c r="E343" s="378" t="s">
        <v>428</v>
      </c>
      <c r="F343" s="17">
        <v>50</v>
      </c>
    </row>
    <row r="344" spans="2:6">
      <c r="B344" s="370" t="s">
        <v>1362</v>
      </c>
      <c r="C344" s="399">
        <v>21115114399300</v>
      </c>
      <c r="D344" s="369" t="s">
        <v>1217</v>
      </c>
      <c r="E344" s="378" t="s">
        <v>643</v>
      </c>
      <c r="F344" s="17" t="s">
        <v>558</v>
      </c>
    </row>
    <row r="345" spans="2:6">
      <c r="B345" s="370" t="s">
        <v>1363</v>
      </c>
      <c r="C345" s="399">
        <v>21115521999125</v>
      </c>
      <c r="D345" s="369" t="s">
        <v>1232</v>
      </c>
      <c r="E345" s="378" t="s">
        <v>1364</v>
      </c>
      <c r="F345" s="17">
        <v>25</v>
      </c>
    </row>
    <row r="346" spans="2:6">
      <c r="B346" s="370" t="s">
        <v>1365</v>
      </c>
      <c r="C346" s="399">
        <v>21115211499300</v>
      </c>
      <c r="D346" s="369" t="s">
        <v>1048</v>
      </c>
      <c r="E346" s="378" t="s">
        <v>1366</v>
      </c>
      <c r="F346" s="17" t="s">
        <v>558</v>
      </c>
    </row>
    <row r="347" spans="2:6">
      <c r="B347" s="370" t="s">
        <v>1367</v>
      </c>
      <c r="C347" s="399">
        <v>21115341499300</v>
      </c>
      <c r="D347" s="369" t="s">
        <v>1368</v>
      </c>
      <c r="E347" s="378" t="s">
        <v>1369</v>
      </c>
      <c r="F347" s="17" t="s">
        <v>558</v>
      </c>
    </row>
    <row r="348" spans="2:6">
      <c r="B348" s="370" t="s">
        <v>1370</v>
      </c>
      <c r="C348" s="399">
        <v>21125521999125</v>
      </c>
      <c r="D348" s="369" t="s">
        <v>1248</v>
      </c>
      <c r="E348" s="378" t="s">
        <v>1371</v>
      </c>
      <c r="F348" s="17">
        <v>25</v>
      </c>
    </row>
    <row r="349" spans="2:6">
      <c r="B349" s="370" t="s">
        <v>1372</v>
      </c>
      <c r="C349" s="399">
        <v>21135521999125</v>
      </c>
      <c r="D349" s="369" t="s">
        <v>1304</v>
      </c>
      <c r="E349" s="378" t="s">
        <v>1373</v>
      </c>
      <c r="F349" s="17">
        <v>25</v>
      </c>
    </row>
    <row r="350" spans="2:6">
      <c r="B350" s="370" t="s">
        <v>1374</v>
      </c>
      <c r="C350" s="399">
        <v>21196521999125</v>
      </c>
      <c r="D350" s="369" t="s">
        <v>1307</v>
      </c>
      <c r="E350" s="378" t="s">
        <v>1375</v>
      </c>
      <c r="F350" s="17">
        <v>25</v>
      </c>
    </row>
    <row r="351" spans="2:6">
      <c r="B351" s="370" t="s">
        <v>1376</v>
      </c>
      <c r="C351" s="399">
        <v>21186521999125</v>
      </c>
      <c r="D351" s="369" t="s">
        <v>1301</v>
      </c>
      <c r="E351" s="378" t="s">
        <v>1377</v>
      </c>
      <c r="F351" s="17">
        <v>25</v>
      </c>
    </row>
    <row r="352" spans="2:6">
      <c r="B352" s="370" t="s">
        <v>1378</v>
      </c>
      <c r="C352" s="399">
        <v>21115221499300</v>
      </c>
      <c r="D352" s="369" t="s">
        <v>1379</v>
      </c>
      <c r="E352" s="378" t="s">
        <v>1380</v>
      </c>
      <c r="F352" s="17" t="s">
        <v>558</v>
      </c>
    </row>
    <row r="353" spans="2:6">
      <c r="B353" s="370" t="s">
        <v>1381</v>
      </c>
      <c r="C353" s="399">
        <v>21115400000225</v>
      </c>
      <c r="D353" s="369" t="s">
        <v>1382</v>
      </c>
      <c r="E353" s="378" t="s">
        <v>322</v>
      </c>
      <c r="F353" s="17">
        <v>25</v>
      </c>
    </row>
    <row r="354" spans="2:6">
      <c r="B354" s="370" t="s">
        <v>1383</v>
      </c>
      <c r="C354" s="399">
        <v>21115111499300</v>
      </c>
      <c r="D354" s="369" t="s">
        <v>1197</v>
      </c>
      <c r="E354" s="378" t="s">
        <v>304</v>
      </c>
      <c r="F354" s="17" t="s">
        <v>558</v>
      </c>
    </row>
    <row r="355" spans="2:6">
      <c r="B355" s="370" t="s">
        <v>1384</v>
      </c>
      <c r="C355" s="399">
        <v>21115101499250</v>
      </c>
      <c r="D355" s="369" t="s">
        <v>1385</v>
      </c>
      <c r="E355" s="378" t="s">
        <v>1386</v>
      </c>
      <c r="F355" s="17">
        <v>50</v>
      </c>
    </row>
    <row r="356" spans="2:6">
      <c r="B356" s="370" t="s">
        <v>1387</v>
      </c>
      <c r="C356" s="399">
        <v>21115114399250</v>
      </c>
      <c r="D356" s="369" t="s">
        <v>1222</v>
      </c>
      <c r="E356" s="378" t="s">
        <v>335</v>
      </c>
      <c r="F356" s="17">
        <v>50</v>
      </c>
    </row>
    <row r="357" spans="2:6">
      <c r="B357" s="370" t="s">
        <v>1388</v>
      </c>
      <c r="C357" s="399">
        <v>21115111499250</v>
      </c>
      <c r="D357" s="369" t="s">
        <v>1285</v>
      </c>
      <c r="E357" s="378" t="s">
        <v>304</v>
      </c>
      <c r="F357" s="17">
        <v>50</v>
      </c>
    </row>
    <row r="358" spans="2:6">
      <c r="B358" s="370" t="s">
        <v>1389</v>
      </c>
      <c r="C358" s="399">
        <v>21115114399300</v>
      </c>
      <c r="D358" s="369" t="s">
        <v>1217</v>
      </c>
      <c r="E358" s="378" t="s">
        <v>335</v>
      </c>
      <c r="F358" s="17" t="s">
        <v>558</v>
      </c>
    </row>
    <row r="359" spans="2:6">
      <c r="B359" s="370" t="s">
        <v>1390</v>
      </c>
      <c r="C359" s="399">
        <v>21115101499300</v>
      </c>
      <c r="D359" s="369" t="s">
        <v>1088</v>
      </c>
      <c r="E359" s="378" t="s">
        <v>1386</v>
      </c>
      <c r="F359" s="17" t="s">
        <v>558</v>
      </c>
    </row>
    <row r="360" spans="2:6">
      <c r="B360" s="370" t="s">
        <v>1391</v>
      </c>
      <c r="C360" s="399">
        <v>21115341499300</v>
      </c>
      <c r="D360" s="369" t="s">
        <v>1368</v>
      </c>
      <c r="E360" s="378" t="s">
        <v>1392</v>
      </c>
      <c r="F360" s="17" t="s">
        <v>558</v>
      </c>
    </row>
    <row r="361" spans="2:6">
      <c r="B361" s="370" t="s">
        <v>1310</v>
      </c>
      <c r="C361" s="399">
        <v>21115521999300</v>
      </c>
      <c r="D361" s="369" t="s">
        <v>1311</v>
      </c>
      <c r="E361" s="378" t="s">
        <v>398</v>
      </c>
      <c r="F361" s="17" t="s">
        <v>558</v>
      </c>
    </row>
    <row r="362" spans="2:6">
      <c r="B362" s="370" t="s">
        <v>1319</v>
      </c>
      <c r="C362" s="399">
        <v>21115520099300</v>
      </c>
      <c r="D362" s="369" t="s">
        <v>1322</v>
      </c>
      <c r="E362" s="378" t="s">
        <v>389</v>
      </c>
      <c r="F362" s="17" t="s">
        <v>558</v>
      </c>
    </row>
    <row r="363" spans="2:6">
      <c r="B363" s="370" t="s">
        <v>1393</v>
      </c>
      <c r="C363" s="399">
        <v>21115520099250</v>
      </c>
      <c r="D363" s="369" t="s">
        <v>1320</v>
      </c>
      <c r="E363" s="378" t="s">
        <v>384</v>
      </c>
      <c r="F363" s="17">
        <v>50</v>
      </c>
    </row>
    <row r="364" spans="2:6">
      <c r="B364" s="370" t="s">
        <v>1394</v>
      </c>
      <c r="C364" s="399">
        <v>21115520099300</v>
      </c>
      <c r="D364" s="369" t="s">
        <v>1322</v>
      </c>
      <c r="E364" s="378" t="s">
        <v>384</v>
      </c>
      <c r="F364" s="17" t="s">
        <v>558</v>
      </c>
    </row>
    <row r="365" spans="2:6">
      <c r="B365" s="370" t="s">
        <v>1395</v>
      </c>
      <c r="C365" s="399">
        <v>21115520099250</v>
      </c>
      <c r="D365" s="369" t="s">
        <v>1320</v>
      </c>
      <c r="E365" s="378" t="s">
        <v>389</v>
      </c>
      <c r="F365" s="17">
        <v>50</v>
      </c>
    </row>
    <row r="366" spans="2:6">
      <c r="B366" s="370" t="s">
        <v>1396</v>
      </c>
      <c r="C366" s="399">
        <v>21115521999250</v>
      </c>
      <c r="D366" s="369" t="s">
        <v>1313</v>
      </c>
      <c r="E366" s="378" t="s">
        <v>398</v>
      </c>
      <c r="F366" s="17">
        <v>50</v>
      </c>
    </row>
    <row r="367" spans="2:6">
      <c r="B367" s="370" t="s">
        <v>1397</v>
      </c>
      <c r="C367" s="399">
        <v>21115101900125</v>
      </c>
      <c r="D367" s="369" t="s">
        <v>1398</v>
      </c>
      <c r="E367" s="378" t="s">
        <v>135</v>
      </c>
      <c r="F367" s="17">
        <v>25</v>
      </c>
    </row>
    <row r="368" spans="2:6">
      <c r="B368" s="370" t="s">
        <v>1399</v>
      </c>
      <c r="C368" s="399">
        <v>21115321499300</v>
      </c>
      <c r="D368" s="369" t="s">
        <v>1245</v>
      </c>
      <c r="E368" s="378" t="s">
        <v>1400</v>
      </c>
      <c r="F368" s="17" t="s">
        <v>558</v>
      </c>
    </row>
    <row r="369" spans="2:6">
      <c r="B369" s="370" t="s">
        <v>1401</v>
      </c>
      <c r="C369" s="399">
        <v>21115211499250</v>
      </c>
      <c r="D369" s="369" t="s">
        <v>1109</v>
      </c>
      <c r="E369" s="378" t="s">
        <v>1366</v>
      </c>
      <c r="F369" s="17">
        <v>50</v>
      </c>
    </row>
    <row r="370" spans="2:6">
      <c r="B370" s="370" t="s">
        <v>1402</v>
      </c>
      <c r="C370" s="399">
        <v>21115221499250</v>
      </c>
      <c r="D370" s="369" t="s">
        <v>1111</v>
      </c>
      <c r="E370" s="378" t="s">
        <v>1380</v>
      </c>
      <c r="F370" s="17">
        <v>50</v>
      </c>
    </row>
    <row r="371" spans="2:6">
      <c r="B371" s="370" t="s">
        <v>1403</v>
      </c>
      <c r="C371" s="399">
        <v>21115521999300</v>
      </c>
      <c r="D371" s="369" t="s">
        <v>1311</v>
      </c>
      <c r="E371" s="378" t="s">
        <v>1404</v>
      </c>
      <c r="F371" s="17" t="s">
        <v>558</v>
      </c>
    </row>
    <row r="372" spans="2:6">
      <c r="B372" s="370" t="s">
        <v>1405</v>
      </c>
      <c r="C372" s="399">
        <v>21115520099300</v>
      </c>
      <c r="D372" s="369" t="s">
        <v>1322</v>
      </c>
      <c r="E372" s="378" t="s">
        <v>1406</v>
      </c>
      <c r="F372" s="17" t="s">
        <v>558</v>
      </c>
    </row>
    <row r="373" spans="2:6">
      <c r="B373" s="370" t="s">
        <v>1407</v>
      </c>
      <c r="C373" s="399">
        <v>21115520099250</v>
      </c>
      <c r="D373" s="369" t="s">
        <v>1320</v>
      </c>
      <c r="E373" s="378" t="s">
        <v>1406</v>
      </c>
      <c r="F373" s="17">
        <v>50</v>
      </c>
    </row>
    <row r="374" spans="2:6">
      <c r="B374" s="370" t="s">
        <v>1408</v>
      </c>
      <c r="C374" s="399">
        <v>21115521999250</v>
      </c>
      <c r="D374" s="369" t="s">
        <v>1313</v>
      </c>
      <c r="E374" s="378" t="s">
        <v>1404</v>
      </c>
      <c r="F374" s="17">
        <v>50</v>
      </c>
    </row>
    <row r="375" spans="2:6">
      <c r="B375" s="370" t="s">
        <v>1409</v>
      </c>
      <c r="C375" s="399">
        <v>21115671999300</v>
      </c>
      <c r="D375" s="369" t="s">
        <v>1316</v>
      </c>
      <c r="E375" s="379" t="s">
        <v>1410</v>
      </c>
      <c r="F375" s="17" t="s">
        <v>558</v>
      </c>
    </row>
    <row r="376" spans="2:6">
      <c r="B376" s="370" t="s">
        <v>1411</v>
      </c>
      <c r="C376" s="399">
        <v>21115671999250</v>
      </c>
      <c r="D376" t="s">
        <v>1324</v>
      </c>
      <c r="E376" s="378" t="s">
        <v>1412</v>
      </c>
      <c r="F376" s="17">
        <v>50</v>
      </c>
    </row>
    <row r="377" spans="2:6">
      <c r="B377" s="370" t="s">
        <v>1413</v>
      </c>
      <c r="C377" s="399">
        <v>21115100000225</v>
      </c>
      <c r="D377" s="369" t="s">
        <v>1414</v>
      </c>
      <c r="E377" s="378" t="s">
        <v>258</v>
      </c>
      <c r="F377" s="17">
        <v>25</v>
      </c>
    </row>
    <row r="378" spans="2:6">
      <c r="B378" s="370" t="s">
        <v>1415</v>
      </c>
      <c r="C378" s="399">
        <v>21115361499300</v>
      </c>
      <c r="D378" s="369" t="s">
        <v>1416</v>
      </c>
      <c r="E378" s="378" t="s">
        <v>1417</v>
      </c>
      <c r="F378" s="17" t="s">
        <v>558</v>
      </c>
    </row>
    <row r="379" spans="2:6">
      <c r="B379" s="370" t="s">
        <v>1418</v>
      </c>
      <c r="C379" s="399">
        <v>21115110100225</v>
      </c>
      <c r="D379" s="369" t="s">
        <v>1419</v>
      </c>
      <c r="E379" s="378" t="s">
        <v>280</v>
      </c>
      <c r="F379" s="17">
        <v>25</v>
      </c>
    </row>
    <row r="380" spans="2:6">
      <c r="B380" s="370" t="s">
        <v>1420</v>
      </c>
      <c r="C380" s="399">
        <v>21115341499300</v>
      </c>
      <c r="D380" s="369" t="s">
        <v>1368</v>
      </c>
      <c r="E380" s="378" t="s">
        <v>1421</v>
      </c>
      <c r="F380" s="17" t="s">
        <v>558</v>
      </c>
    </row>
    <row r="381" spans="2:6">
      <c r="B381" s="370" t="s">
        <v>1422</v>
      </c>
      <c r="C381" s="399">
        <v>21123020000125</v>
      </c>
      <c r="D381" s="369" t="s">
        <v>1423</v>
      </c>
      <c r="E381" s="378">
        <v>802</v>
      </c>
      <c r="F381" s="17">
        <v>25</v>
      </c>
    </row>
    <row r="382" spans="2:6">
      <c r="B382" s="370" t="s">
        <v>1424</v>
      </c>
      <c r="C382" s="399">
        <v>21115101499250</v>
      </c>
      <c r="D382" s="369" t="s">
        <v>1385</v>
      </c>
      <c r="E382" s="378" t="s">
        <v>277</v>
      </c>
      <c r="F382" s="17">
        <v>50</v>
      </c>
    </row>
    <row r="383" spans="2:6">
      <c r="B383" s="370" t="s">
        <v>1425</v>
      </c>
      <c r="C383" s="399">
        <v>21115114399300</v>
      </c>
      <c r="D383" s="369" t="s">
        <v>1217</v>
      </c>
      <c r="E383" s="378" t="s">
        <v>296</v>
      </c>
      <c r="F383" s="17" t="s">
        <v>558</v>
      </c>
    </row>
    <row r="384" spans="2:6">
      <c r="B384" s="370" t="s">
        <v>1426</v>
      </c>
      <c r="C384" s="399">
        <v>21115321499300</v>
      </c>
      <c r="D384" s="369" t="s">
        <v>1245</v>
      </c>
      <c r="E384" s="379" t="s">
        <v>1427</v>
      </c>
      <c r="F384" s="17" t="s">
        <v>558</v>
      </c>
    </row>
    <row r="385" spans="2:6">
      <c r="B385" s="370" t="s">
        <v>1428</v>
      </c>
      <c r="C385" s="399">
        <v>21115114399250</v>
      </c>
      <c r="D385" s="369" t="s">
        <v>1222</v>
      </c>
      <c r="E385" s="379" t="s">
        <v>296</v>
      </c>
      <c r="F385" s="17">
        <v>50</v>
      </c>
    </row>
    <row r="386" spans="2:6">
      <c r="B386" s="370" t="s">
        <v>1429</v>
      </c>
      <c r="C386" s="399">
        <v>21115341499300</v>
      </c>
      <c r="D386" s="369" t="s">
        <v>1368</v>
      </c>
      <c r="E386" s="378" t="s">
        <v>1430</v>
      </c>
      <c r="F386" s="17" t="s">
        <v>558</v>
      </c>
    </row>
    <row r="387" spans="2:6">
      <c r="B387" s="370" t="s">
        <v>1431</v>
      </c>
      <c r="C387" s="399">
        <v>21115101499300</v>
      </c>
      <c r="D387" s="369" t="s">
        <v>1385</v>
      </c>
      <c r="E387" s="378" t="s">
        <v>277</v>
      </c>
      <c r="F387" s="17" t="s">
        <v>558</v>
      </c>
    </row>
    <row r="388" spans="2:6">
      <c r="B388" s="370" t="s">
        <v>1432</v>
      </c>
      <c r="C388" s="399">
        <v>21115321499300</v>
      </c>
      <c r="D388" s="369" t="s">
        <v>1245</v>
      </c>
      <c r="E388" s="378" t="s">
        <v>1433</v>
      </c>
      <c r="F388" s="17" t="s">
        <v>558</v>
      </c>
    </row>
    <row r="389" spans="2:6">
      <c r="B389" s="370" t="s">
        <v>1434</v>
      </c>
      <c r="C389" s="399">
        <v>21115110000225</v>
      </c>
      <c r="D389" s="369" t="s">
        <v>1435</v>
      </c>
      <c r="E389" s="378" t="s">
        <v>297</v>
      </c>
      <c r="F389" s="17">
        <v>25</v>
      </c>
    </row>
    <row r="390" spans="2:6">
      <c r="B390" s="370" t="s">
        <v>1436</v>
      </c>
      <c r="C390" s="399">
        <v>21115480099250</v>
      </c>
      <c r="D390" s="369" t="s">
        <v>1437</v>
      </c>
      <c r="E390" s="378" t="s">
        <v>325</v>
      </c>
      <c r="F390" s="17">
        <v>50</v>
      </c>
    </row>
    <row r="391" spans="2:6">
      <c r="B391" s="370" t="s">
        <v>1438</v>
      </c>
      <c r="C391" s="399">
        <v>21115211499300</v>
      </c>
      <c r="D391" s="369" t="s">
        <v>1048</v>
      </c>
      <c r="E391" s="378" t="s">
        <v>314</v>
      </c>
      <c r="F391" s="17" t="s">
        <v>558</v>
      </c>
    </row>
    <row r="392" spans="2:6">
      <c r="B392" s="370" t="s">
        <v>1439</v>
      </c>
      <c r="C392" s="399">
        <v>21113520000300</v>
      </c>
      <c r="D392" s="369" t="s">
        <v>1440</v>
      </c>
      <c r="E392" s="378" t="s">
        <v>1441</v>
      </c>
      <c r="F392" s="17" t="s">
        <v>558</v>
      </c>
    </row>
    <row r="393" spans="2:6">
      <c r="B393" s="370" t="s">
        <v>1442</v>
      </c>
      <c r="C393" s="399">
        <v>21125960000125</v>
      </c>
      <c r="D393" s="369" t="s">
        <v>1443</v>
      </c>
      <c r="E393" s="378">
        <v>996</v>
      </c>
      <c r="F393" s="17">
        <v>25</v>
      </c>
    </row>
    <row r="394" spans="2:6">
      <c r="B394" s="370" t="s">
        <v>1444</v>
      </c>
      <c r="C394" s="399">
        <v>21115960000125</v>
      </c>
      <c r="D394" s="369" t="s">
        <v>1445</v>
      </c>
      <c r="E394" s="378">
        <v>596</v>
      </c>
      <c r="F394" s="17">
        <v>25</v>
      </c>
    </row>
    <row r="395" spans="2:6">
      <c r="B395" s="370" t="s">
        <v>1446</v>
      </c>
      <c r="C395" s="399">
        <v>21115341499300</v>
      </c>
      <c r="D395" s="369" t="s">
        <v>1368</v>
      </c>
      <c r="E395" s="378" t="s">
        <v>1447</v>
      </c>
      <c r="F395" s="17" t="s">
        <v>558</v>
      </c>
    </row>
    <row r="396" spans="2:6">
      <c r="B396" s="370" t="s">
        <v>1448</v>
      </c>
      <c r="C396" s="399">
        <v>21115321499300</v>
      </c>
      <c r="D396" s="369" t="s">
        <v>1245</v>
      </c>
      <c r="E396" s="378" t="s">
        <v>1449</v>
      </c>
      <c r="F396" s="17" t="s">
        <v>558</v>
      </c>
    </row>
    <row r="397" spans="2:6">
      <c r="B397" s="370" t="s">
        <v>1450</v>
      </c>
      <c r="C397" s="399">
        <v>21115211499250</v>
      </c>
      <c r="D397" s="369" t="s">
        <v>1109</v>
      </c>
      <c r="E397" s="378" t="s">
        <v>314</v>
      </c>
      <c r="F397" s="17">
        <v>50</v>
      </c>
    </row>
    <row r="398" spans="2:6">
      <c r="B398" s="370" t="s">
        <v>1451</v>
      </c>
      <c r="C398" s="399">
        <v>21115671900100</v>
      </c>
      <c r="D398" s="369" t="s">
        <v>1452</v>
      </c>
      <c r="E398" s="378" t="s">
        <v>170</v>
      </c>
      <c r="F398" s="17" t="s">
        <v>558</v>
      </c>
    </row>
    <row r="399" spans="2:6">
      <c r="B399" s="370" t="s">
        <v>1453</v>
      </c>
      <c r="C399" s="399">
        <v>21115660000100</v>
      </c>
      <c r="D399" s="369" t="s">
        <v>1454</v>
      </c>
      <c r="E399" s="378">
        <v>566</v>
      </c>
      <c r="F399" s="17" t="s">
        <v>558</v>
      </c>
    </row>
    <row r="400" spans="2:6">
      <c r="B400" s="370" t="s">
        <v>1455</v>
      </c>
      <c r="C400" s="399">
        <v>21115501900100</v>
      </c>
      <c r="D400" s="369" t="s">
        <v>1456</v>
      </c>
      <c r="E400" s="378" t="s">
        <v>154</v>
      </c>
      <c r="F400" s="17" t="s">
        <v>558</v>
      </c>
    </row>
    <row r="401" spans="2:6">
      <c r="B401" s="370" t="s">
        <v>1457</v>
      </c>
      <c r="C401" s="399">
        <v>21115510000100</v>
      </c>
      <c r="D401" s="369" t="s">
        <v>1458</v>
      </c>
      <c r="E401" s="378">
        <v>551</v>
      </c>
      <c r="F401" s="17" t="s">
        <v>558</v>
      </c>
    </row>
    <row r="402" spans="2:6">
      <c r="B402" s="370" t="s">
        <v>1459</v>
      </c>
      <c r="C402" s="399">
        <v>21115501999225</v>
      </c>
      <c r="D402" s="369" t="s">
        <v>1460</v>
      </c>
      <c r="E402" s="379" t="s">
        <v>1461</v>
      </c>
      <c r="F402" s="17">
        <v>25</v>
      </c>
    </row>
    <row r="403" spans="2:6">
      <c r="B403" s="370" t="s">
        <v>1462</v>
      </c>
      <c r="C403" s="399">
        <v>21115671999300</v>
      </c>
      <c r="D403" s="369" t="s">
        <v>1316</v>
      </c>
      <c r="E403" s="378" t="s">
        <v>1463</v>
      </c>
      <c r="F403" s="17" t="s">
        <v>558</v>
      </c>
    </row>
    <row r="404" spans="2:6">
      <c r="B404" s="370" t="s">
        <v>1464</v>
      </c>
      <c r="C404" s="399">
        <v>21115517500100</v>
      </c>
      <c r="D404" s="369" t="s">
        <v>1465</v>
      </c>
      <c r="E404" s="378" t="s">
        <v>159</v>
      </c>
      <c r="F404" s="17" t="s">
        <v>558</v>
      </c>
    </row>
    <row r="405" spans="2:6">
      <c r="B405" s="370" t="s">
        <v>1466</v>
      </c>
      <c r="C405" s="399">
        <v>21115671999250</v>
      </c>
      <c r="D405" s="369" t="s">
        <v>1324</v>
      </c>
      <c r="E405" s="379" t="s">
        <v>435</v>
      </c>
      <c r="F405" s="17">
        <v>50</v>
      </c>
    </row>
    <row r="406" spans="2:6">
      <c r="B406" s="370" t="s">
        <v>1467</v>
      </c>
      <c r="C406" s="399">
        <v>21115521900100</v>
      </c>
      <c r="D406" t="s">
        <v>1468</v>
      </c>
      <c r="E406" s="378" t="s">
        <v>164</v>
      </c>
      <c r="F406" s="17" t="s">
        <v>558</v>
      </c>
    </row>
    <row r="407" spans="2:6">
      <c r="B407" s="370" t="s">
        <v>1469</v>
      </c>
      <c r="C407" s="399">
        <v>21115111499250</v>
      </c>
      <c r="D407" s="369" t="s">
        <v>1285</v>
      </c>
      <c r="E407" s="378" t="s">
        <v>306</v>
      </c>
      <c r="F407" s="17">
        <v>50</v>
      </c>
    </row>
    <row r="408" spans="2:6">
      <c r="B408" s="370" t="s">
        <v>1470</v>
      </c>
      <c r="C408" s="399">
        <v>21115111499300</v>
      </c>
      <c r="D408" s="369" t="s">
        <v>1197</v>
      </c>
      <c r="E408" s="378" t="s">
        <v>306</v>
      </c>
      <c r="F408" s="17" t="s">
        <v>66</v>
      </c>
    </row>
    <row r="409" spans="2:6">
      <c r="B409" s="370" t="s">
        <v>1471</v>
      </c>
      <c r="C409" s="399">
        <v>21115521999100</v>
      </c>
      <c r="D409" s="369" t="s">
        <v>1472</v>
      </c>
      <c r="E409" s="378" t="s">
        <v>1364</v>
      </c>
      <c r="F409" s="17" t="s">
        <v>558</v>
      </c>
    </row>
    <row r="410" spans="2:6">
      <c r="B410" s="370" t="s">
        <v>1473</v>
      </c>
      <c r="C410" s="399">
        <v>21115520000100</v>
      </c>
      <c r="D410" s="369" t="s">
        <v>1474</v>
      </c>
      <c r="E410" s="378">
        <v>552</v>
      </c>
      <c r="F410" s="17" t="s">
        <v>558</v>
      </c>
    </row>
    <row r="411" spans="2:6">
      <c r="B411" s="370" t="s">
        <v>1475</v>
      </c>
      <c r="C411" s="399">
        <v>21115341499300</v>
      </c>
      <c r="D411" s="369" t="s">
        <v>1368</v>
      </c>
      <c r="E411" s="379" t="s">
        <v>1476</v>
      </c>
      <c r="F411" s="17" t="s">
        <v>558</v>
      </c>
    </row>
    <row r="412" spans="2:6">
      <c r="B412" s="370" t="s">
        <v>1477</v>
      </c>
      <c r="C412" s="399">
        <v>21115371499300</v>
      </c>
      <c r="D412" s="369" t="s">
        <v>1478</v>
      </c>
      <c r="E412" s="378" t="s">
        <v>1479</v>
      </c>
      <c r="F412" s="17" t="s">
        <v>558</v>
      </c>
    </row>
    <row r="413" spans="2:6">
      <c r="B413" s="370" t="s">
        <v>1480</v>
      </c>
      <c r="C413" s="399">
        <v>21115321499300</v>
      </c>
      <c r="D413" s="369" t="s">
        <v>1245</v>
      </c>
      <c r="E413" s="378" t="s">
        <v>1481</v>
      </c>
      <c r="F413" s="17" t="s">
        <v>558</v>
      </c>
    </row>
    <row r="414" spans="2:6">
      <c r="B414" s="370" t="s">
        <v>1482</v>
      </c>
      <c r="C414" s="399">
        <v>21115480099250</v>
      </c>
      <c r="D414" s="369" t="s">
        <v>1437</v>
      </c>
      <c r="E414" s="378" t="s">
        <v>326</v>
      </c>
      <c r="F414" s="17">
        <v>50</v>
      </c>
    </row>
    <row r="415" spans="2:6">
      <c r="B415" s="370" t="s">
        <v>1483</v>
      </c>
      <c r="C415" s="399">
        <v>21115940000125</v>
      </c>
      <c r="D415" s="369" t="s">
        <v>1484</v>
      </c>
      <c r="E415" s="378">
        <v>594</v>
      </c>
      <c r="F415" s="17">
        <v>25</v>
      </c>
    </row>
    <row r="416" spans="2:6">
      <c r="B416" s="370" t="s">
        <v>1485</v>
      </c>
      <c r="C416" s="399">
        <v>21115371499300</v>
      </c>
      <c r="D416" s="369" t="s">
        <v>1478</v>
      </c>
      <c r="E416" s="378" t="s">
        <v>1486</v>
      </c>
      <c r="F416" s="17" t="s">
        <v>558</v>
      </c>
    </row>
    <row r="417" spans="2:6">
      <c r="B417" s="370" t="s">
        <v>1487</v>
      </c>
      <c r="C417" s="399">
        <v>21115480000225</v>
      </c>
      <c r="D417" s="369" t="s">
        <v>1488</v>
      </c>
      <c r="E417" s="378" t="s">
        <v>324</v>
      </c>
      <c r="F417" s="17">
        <v>25</v>
      </c>
    </row>
    <row r="418" spans="2:6">
      <c r="B418" s="370" t="s">
        <v>1489</v>
      </c>
      <c r="C418" s="399">
        <v>21115361499300</v>
      </c>
      <c r="D418" s="369" t="s">
        <v>1416</v>
      </c>
      <c r="E418" s="378" t="s">
        <v>1490</v>
      </c>
      <c r="F418" s="17" t="s">
        <v>558</v>
      </c>
    </row>
    <row r="419" spans="2:6">
      <c r="B419" s="370" t="s">
        <v>1491</v>
      </c>
      <c r="C419" s="399">
        <v>21115114399300</v>
      </c>
      <c r="D419" s="369" t="s">
        <v>1217</v>
      </c>
      <c r="E419" s="378" t="s">
        <v>291</v>
      </c>
      <c r="F419" s="17" t="s">
        <v>558</v>
      </c>
    </row>
    <row r="420" spans="2:6">
      <c r="B420" s="370" t="s">
        <v>1492</v>
      </c>
      <c r="C420" s="399">
        <v>21115490000225</v>
      </c>
      <c r="D420" s="369" t="s">
        <v>1493</v>
      </c>
      <c r="E420" s="378" t="s">
        <v>329</v>
      </c>
      <c r="F420" s="17">
        <v>25</v>
      </c>
    </row>
    <row r="421" spans="2:6">
      <c r="B421" s="370" t="s">
        <v>1494</v>
      </c>
      <c r="C421" s="399">
        <v>21115101499250</v>
      </c>
      <c r="D421" s="369" t="s">
        <v>1385</v>
      </c>
      <c r="E421" s="378" t="s">
        <v>269</v>
      </c>
      <c r="F421" s="17">
        <v>50</v>
      </c>
    </row>
    <row r="422" spans="2:6">
      <c r="B422" s="370" t="s">
        <v>1495</v>
      </c>
      <c r="C422" s="399">
        <v>21115114399250</v>
      </c>
      <c r="D422" s="369" t="s">
        <v>1222</v>
      </c>
      <c r="E422" s="378" t="s">
        <v>291</v>
      </c>
      <c r="F422" s="17">
        <v>50</v>
      </c>
    </row>
    <row r="423" spans="2:6">
      <c r="B423" s="370" t="s">
        <v>1496</v>
      </c>
      <c r="C423" s="399">
        <v>21115111499250</v>
      </c>
      <c r="D423" s="369" t="s">
        <v>1285</v>
      </c>
      <c r="E423" s="378" t="s">
        <v>305</v>
      </c>
      <c r="F423" s="17">
        <v>50</v>
      </c>
    </row>
    <row r="424" spans="2:6">
      <c r="B424" s="370" t="s">
        <v>1497</v>
      </c>
      <c r="C424" s="399">
        <v>21115531900100</v>
      </c>
      <c r="D424" s="369" t="s">
        <v>1498</v>
      </c>
      <c r="E424" s="378" t="s">
        <v>166</v>
      </c>
      <c r="F424" s="17" t="s">
        <v>558</v>
      </c>
    </row>
    <row r="425" spans="2:6">
      <c r="B425" s="370" t="s">
        <v>1499</v>
      </c>
      <c r="C425" s="399">
        <v>21115114399250</v>
      </c>
      <c r="D425" s="369" t="s">
        <v>1222</v>
      </c>
      <c r="E425" s="378" t="s">
        <v>289</v>
      </c>
      <c r="F425" s="17">
        <v>50</v>
      </c>
    </row>
    <row r="426" spans="2:6">
      <c r="B426" s="370" t="s">
        <v>1500</v>
      </c>
      <c r="C426" s="399">
        <v>21115114399300</v>
      </c>
      <c r="D426" s="369" t="s">
        <v>1217</v>
      </c>
      <c r="E426" s="378" t="s">
        <v>289</v>
      </c>
      <c r="F426" s="17" t="s">
        <v>558</v>
      </c>
    </row>
    <row r="427" spans="2:6">
      <c r="B427" s="370" t="s">
        <v>1501</v>
      </c>
      <c r="C427" s="399">
        <v>21115111499300</v>
      </c>
      <c r="D427" s="369" t="s">
        <v>1197</v>
      </c>
      <c r="E427" s="378" t="s">
        <v>305</v>
      </c>
      <c r="F427" s="17" t="s">
        <v>558</v>
      </c>
    </row>
    <row r="428" spans="2:6">
      <c r="B428" s="370" t="s">
        <v>1502</v>
      </c>
      <c r="C428" s="399">
        <v>21115101499300</v>
      </c>
      <c r="D428" s="369" t="s">
        <v>1088</v>
      </c>
      <c r="E428" s="378" t="s">
        <v>269</v>
      </c>
      <c r="F428" s="17" t="s">
        <v>558</v>
      </c>
    </row>
    <row r="429" spans="2:6">
      <c r="B429" s="370" t="s">
        <v>1503</v>
      </c>
      <c r="C429" s="399">
        <v>21115510000225</v>
      </c>
      <c r="D429" s="369" t="s">
        <v>1504</v>
      </c>
      <c r="E429" s="379" t="s">
        <v>356</v>
      </c>
      <c r="F429" s="17">
        <v>25</v>
      </c>
    </row>
    <row r="430" spans="2:6">
      <c r="B430" s="370" t="s">
        <v>1505</v>
      </c>
      <c r="C430" s="399">
        <v>21113240000100</v>
      </c>
      <c r="D430" s="369" t="s">
        <v>1506</v>
      </c>
      <c r="E430" s="378">
        <v>324</v>
      </c>
      <c r="F430" s="17" t="s">
        <v>558</v>
      </c>
    </row>
    <row r="431" spans="2:6">
      <c r="B431" s="370" t="s">
        <v>1507</v>
      </c>
      <c r="C431" s="399">
        <v>21115530000100</v>
      </c>
      <c r="D431" s="369" t="s">
        <v>1508</v>
      </c>
      <c r="E431" s="378">
        <v>553</v>
      </c>
      <c r="F431" s="17" t="s">
        <v>558</v>
      </c>
    </row>
    <row r="432" spans="2:6">
      <c r="B432" s="370" t="s">
        <v>1509</v>
      </c>
      <c r="C432" s="399">
        <v>21115517500225</v>
      </c>
      <c r="D432" s="369" t="s">
        <v>1510</v>
      </c>
      <c r="E432" s="379" t="s">
        <v>366</v>
      </c>
      <c r="F432" s="17">
        <v>25</v>
      </c>
    </row>
    <row r="433" spans="2:6">
      <c r="B433" s="370" t="s">
        <v>1511</v>
      </c>
      <c r="C433" s="399">
        <v>21115521900225</v>
      </c>
      <c r="D433" s="369" t="s">
        <v>1512</v>
      </c>
      <c r="E433" s="378" t="s">
        <v>393</v>
      </c>
      <c r="F433" s="17">
        <v>25</v>
      </c>
    </row>
    <row r="434" spans="2:6">
      <c r="B434" s="370" t="s">
        <v>1513</v>
      </c>
      <c r="C434" s="399">
        <v>21115361499300</v>
      </c>
      <c r="D434" s="369" t="s">
        <v>1416</v>
      </c>
      <c r="E434" s="378" t="s">
        <v>1514</v>
      </c>
      <c r="F434" s="17" t="s">
        <v>558</v>
      </c>
    </row>
    <row r="435" spans="2:6">
      <c r="B435" s="370" t="s">
        <v>1515</v>
      </c>
      <c r="C435" s="399">
        <v>21115371499300</v>
      </c>
      <c r="D435" s="369" t="s">
        <v>1478</v>
      </c>
      <c r="E435" s="378" t="s">
        <v>1516</v>
      </c>
      <c r="F435" s="17" t="s">
        <v>558</v>
      </c>
    </row>
    <row r="436" spans="2:6">
      <c r="B436" s="370" t="s">
        <v>699</v>
      </c>
      <c r="C436" s="370" t="s">
        <v>699</v>
      </c>
      <c r="D436" s="369" t="s">
        <v>1517</v>
      </c>
      <c r="E436" s="378" t="s">
        <v>1518</v>
      </c>
      <c r="F436" s="17" t="s">
        <v>558</v>
      </c>
    </row>
    <row r="437" spans="2:6">
      <c r="B437" s="370" t="s">
        <v>1519</v>
      </c>
      <c r="C437" s="399">
        <v>21113240100100</v>
      </c>
      <c r="D437" s="369" t="s">
        <v>1520</v>
      </c>
      <c r="E437" s="378" t="s">
        <v>125</v>
      </c>
      <c r="F437" s="17" t="s">
        <v>558</v>
      </c>
    </row>
    <row r="438" spans="2:6">
      <c r="B438" s="370" t="s">
        <v>1521</v>
      </c>
      <c r="C438" s="399">
        <v>21115321499300</v>
      </c>
      <c r="D438" s="369" t="s">
        <v>1245</v>
      </c>
      <c r="E438" s="378" t="s">
        <v>1522</v>
      </c>
      <c r="F438" s="17" t="s">
        <v>558</v>
      </c>
    </row>
    <row r="439" spans="2:6">
      <c r="B439" s="370" t="s">
        <v>1523</v>
      </c>
      <c r="C439" s="399">
        <v>21115341499300</v>
      </c>
      <c r="D439" s="369" t="s">
        <v>1368</v>
      </c>
      <c r="E439" s="378" t="s">
        <v>1524</v>
      </c>
      <c r="F439" s="17" t="s">
        <v>558</v>
      </c>
    </row>
    <row r="440" spans="2:6">
      <c r="B440" s="370" t="s">
        <v>1525</v>
      </c>
      <c r="C440" s="399">
        <v>21115527800125</v>
      </c>
      <c r="D440" s="369" t="s">
        <v>1526</v>
      </c>
      <c r="E440" s="379" t="s">
        <v>165</v>
      </c>
      <c r="F440" s="17">
        <v>25</v>
      </c>
    </row>
    <row r="441" spans="2:6">
      <c r="B441" s="370" t="s">
        <v>1527</v>
      </c>
      <c r="C441" s="399">
        <v>21115361499300</v>
      </c>
      <c r="D441" s="369" t="s">
        <v>1416</v>
      </c>
      <c r="E441" s="378" t="s">
        <v>1528</v>
      </c>
      <c r="F441" s="17" t="s">
        <v>558</v>
      </c>
    </row>
    <row r="442" spans="2:6">
      <c r="B442" s="502" t="s">
        <v>1529</v>
      </c>
      <c r="C442" s="399">
        <v>21115371499300</v>
      </c>
      <c r="D442" s="369" t="s">
        <v>1478</v>
      </c>
      <c r="E442" s="378" t="s">
        <v>1530</v>
      </c>
      <c r="F442" s="17" t="s">
        <v>558</v>
      </c>
    </row>
    <row r="443" spans="2:6">
      <c r="B443" s="370" t="s">
        <v>1531</v>
      </c>
      <c r="C443" s="399">
        <v>21115660099300</v>
      </c>
      <c r="D443" s="369" t="s">
        <v>1532</v>
      </c>
      <c r="E443" s="378" t="s">
        <v>424</v>
      </c>
      <c r="F443" s="17" t="s">
        <v>558</v>
      </c>
    </row>
    <row r="444" spans="2:6">
      <c r="B444" s="370" t="s">
        <v>1533</v>
      </c>
      <c r="C444" s="399">
        <v>21125527800125</v>
      </c>
      <c r="D444" s="369" t="s">
        <v>1534</v>
      </c>
      <c r="E444" s="379" t="s">
        <v>185</v>
      </c>
      <c r="F444" s="17">
        <v>25</v>
      </c>
    </row>
    <row r="445" spans="2:6">
      <c r="B445" s="370" t="s">
        <v>1535</v>
      </c>
      <c r="C445" s="399">
        <v>21115371499300</v>
      </c>
      <c r="D445" s="369" t="s">
        <v>1478</v>
      </c>
      <c r="E445" s="378" t="s">
        <v>1536</v>
      </c>
      <c r="F445" s="17" t="s">
        <v>558</v>
      </c>
    </row>
    <row r="446" spans="2:6">
      <c r="B446" s="370" t="s">
        <v>1537</v>
      </c>
      <c r="C446" s="399">
        <v>21115361499300</v>
      </c>
      <c r="D446" s="369" t="s">
        <v>1416</v>
      </c>
      <c r="E446" s="378" t="s">
        <v>1538</v>
      </c>
      <c r="F446" s="17" t="s">
        <v>558</v>
      </c>
    </row>
    <row r="447" spans="2:6">
      <c r="B447" s="370" t="s">
        <v>1539</v>
      </c>
      <c r="C447" s="399">
        <v>21115480099300</v>
      </c>
      <c r="D447" s="369" t="s">
        <v>1540</v>
      </c>
      <c r="E447" s="378" t="s">
        <v>325</v>
      </c>
      <c r="F447" s="17" t="s">
        <v>558</v>
      </c>
    </row>
    <row r="448" spans="2:6">
      <c r="B448" s="370" t="s">
        <v>1541</v>
      </c>
      <c r="C448" s="399">
        <v>21115341499300</v>
      </c>
      <c r="D448" s="369" t="s">
        <v>1368</v>
      </c>
      <c r="E448" s="378" t="s">
        <v>1542</v>
      </c>
      <c r="F448" s="17" t="s">
        <v>558</v>
      </c>
    </row>
    <row r="449" spans="2:6">
      <c r="B449" s="370" t="s">
        <v>1543</v>
      </c>
      <c r="C449" s="399">
        <v>21113240099300</v>
      </c>
      <c r="D449" s="369" t="s">
        <v>1544</v>
      </c>
      <c r="E449" s="378" t="s">
        <v>1545</v>
      </c>
      <c r="F449" s="17" t="s">
        <v>558</v>
      </c>
    </row>
    <row r="450" spans="2:6">
      <c r="B450" s="370" t="s">
        <v>1546</v>
      </c>
      <c r="C450" s="399">
        <v>21115371400300</v>
      </c>
      <c r="D450" s="369" t="s">
        <v>1547</v>
      </c>
      <c r="E450" s="378" t="s">
        <v>1548</v>
      </c>
      <c r="F450" s="17" t="s">
        <v>558</v>
      </c>
    </row>
    <row r="451" spans="2:6">
      <c r="B451" s="370" t="s">
        <v>1549</v>
      </c>
      <c r="C451" s="399">
        <v>21115491300125</v>
      </c>
      <c r="D451" s="369" t="s">
        <v>1550</v>
      </c>
      <c r="E451" s="378" t="s">
        <v>151</v>
      </c>
      <c r="F451" s="17">
        <v>25</v>
      </c>
    </row>
    <row r="452" spans="2:6">
      <c r="B452" s="370" t="s">
        <v>1551</v>
      </c>
      <c r="C452" s="399">
        <v>21115341499300</v>
      </c>
      <c r="D452" s="369" t="s">
        <v>1368</v>
      </c>
      <c r="E452" s="378" t="s">
        <v>1552</v>
      </c>
      <c r="F452" s="17" t="s">
        <v>558</v>
      </c>
    </row>
    <row r="453" spans="2:6">
      <c r="B453" s="370" t="s">
        <v>1553</v>
      </c>
      <c r="C453" s="399">
        <v>21115520099300</v>
      </c>
      <c r="D453" s="369" t="s">
        <v>1322</v>
      </c>
      <c r="E453" s="378" t="s">
        <v>388</v>
      </c>
      <c r="F453" s="17" t="s">
        <v>558</v>
      </c>
    </row>
    <row r="454" spans="2:6">
      <c r="B454" s="370" t="s">
        <v>1554</v>
      </c>
      <c r="C454" s="399">
        <v>21115521999250</v>
      </c>
      <c r="D454" s="369" t="s">
        <v>1313</v>
      </c>
      <c r="E454" s="378" t="s">
        <v>1555</v>
      </c>
      <c r="F454" s="17">
        <v>50</v>
      </c>
    </row>
    <row r="455" spans="2:6">
      <c r="B455" s="370" t="s">
        <v>1556</v>
      </c>
      <c r="C455" s="399">
        <v>21115521999300</v>
      </c>
      <c r="D455" s="369" t="s">
        <v>1311</v>
      </c>
      <c r="E455" s="378" t="s">
        <v>1555</v>
      </c>
      <c r="F455" s="17" t="s">
        <v>558</v>
      </c>
    </row>
    <row r="456" spans="2:6">
      <c r="B456" s="370" t="s">
        <v>1557</v>
      </c>
      <c r="C456" s="399">
        <v>21115481300125</v>
      </c>
      <c r="D456" s="369" t="s">
        <v>1558</v>
      </c>
      <c r="E456" s="378" t="s">
        <v>150</v>
      </c>
      <c r="F456" s="17">
        <v>25</v>
      </c>
    </row>
    <row r="457" spans="2:6">
      <c r="B457" s="370" t="s">
        <v>1559</v>
      </c>
      <c r="C457" s="399">
        <v>21115520099250</v>
      </c>
      <c r="D457" s="369" t="s">
        <v>1320</v>
      </c>
      <c r="E457" s="378" t="s">
        <v>388</v>
      </c>
      <c r="F457" s="17">
        <v>50</v>
      </c>
    </row>
    <row r="458" spans="2:6">
      <c r="B458" s="370" t="s">
        <v>1560</v>
      </c>
      <c r="C458" s="399">
        <v>21115321499300</v>
      </c>
      <c r="D458" s="369" t="s">
        <v>1245</v>
      </c>
      <c r="E458" s="378" t="s">
        <v>1561</v>
      </c>
      <c r="F458" s="17" t="s">
        <v>558</v>
      </c>
    </row>
    <row r="459" spans="2:6">
      <c r="B459" s="370" t="s">
        <v>1562</v>
      </c>
      <c r="C459" s="399">
        <v>21115671999300</v>
      </c>
      <c r="D459" s="369" t="s">
        <v>1316</v>
      </c>
      <c r="E459" s="378" t="s">
        <v>445</v>
      </c>
      <c r="F459" s="17" t="s">
        <v>558</v>
      </c>
    </row>
    <row r="460" spans="2:6">
      <c r="B460" s="370" t="s">
        <v>1563</v>
      </c>
      <c r="C460" s="399">
        <v>21115111499250</v>
      </c>
      <c r="D460" s="369" t="s">
        <v>1285</v>
      </c>
      <c r="E460" s="378" t="s">
        <v>307</v>
      </c>
      <c r="F460" s="17">
        <v>50</v>
      </c>
    </row>
    <row r="461" spans="2:6">
      <c r="B461" s="370" t="s">
        <v>1564</v>
      </c>
      <c r="C461" s="399">
        <v>21115361400300</v>
      </c>
      <c r="D461" s="369" t="s">
        <v>1565</v>
      </c>
      <c r="E461" s="378" t="s">
        <v>1566</v>
      </c>
      <c r="F461" s="17" t="s">
        <v>558</v>
      </c>
    </row>
    <row r="462" spans="2:6">
      <c r="B462" s="370" t="s">
        <v>1567</v>
      </c>
      <c r="C462" s="399">
        <v>21115111499300</v>
      </c>
      <c r="D462" s="369" t="s">
        <v>1197</v>
      </c>
      <c r="E462" s="378" t="s">
        <v>307</v>
      </c>
      <c r="F462" s="17" t="s">
        <v>558</v>
      </c>
    </row>
    <row r="463" spans="2:6">
      <c r="B463" s="370" t="s">
        <v>1568</v>
      </c>
      <c r="C463" s="399">
        <v>21115114300225</v>
      </c>
      <c r="D463" s="369" t="s">
        <v>1569</v>
      </c>
      <c r="E463" s="379" t="s">
        <v>282</v>
      </c>
      <c r="F463" s="17">
        <v>25</v>
      </c>
    </row>
    <row r="464" spans="2:6">
      <c r="B464" s="370" t="s">
        <v>1570</v>
      </c>
      <c r="C464" s="399">
        <v>21125491300125</v>
      </c>
      <c r="D464" s="369" t="s">
        <v>1571</v>
      </c>
      <c r="E464" s="378" t="s">
        <v>181</v>
      </c>
      <c r="F464" s="17">
        <v>25</v>
      </c>
    </row>
    <row r="465" spans="2:6">
      <c r="B465" s="370" t="s">
        <v>1572</v>
      </c>
      <c r="C465" s="399">
        <v>21115520000225</v>
      </c>
      <c r="D465" s="369" t="s">
        <v>1573</v>
      </c>
      <c r="E465" s="378" t="s">
        <v>382</v>
      </c>
      <c r="F465" s="17">
        <v>25</v>
      </c>
    </row>
    <row r="466" spans="2:6">
      <c r="B466" s="370" t="s">
        <v>1574</v>
      </c>
      <c r="C466" s="399">
        <v>21113010100125</v>
      </c>
      <c r="D466" s="369" t="s">
        <v>1575</v>
      </c>
      <c r="E466" s="378" t="s">
        <v>118</v>
      </c>
      <c r="F466" s="17">
        <v>25</v>
      </c>
    </row>
    <row r="467" spans="2:6">
      <c r="B467" s="370" t="s">
        <v>1576</v>
      </c>
      <c r="C467" s="399">
        <v>21133020000125</v>
      </c>
      <c r="D467" s="369" t="s">
        <v>1577</v>
      </c>
      <c r="E467" s="378" t="s">
        <v>215</v>
      </c>
      <c r="F467" s="17">
        <v>25</v>
      </c>
    </row>
    <row r="468" spans="2:6">
      <c r="B468" s="370" t="s">
        <v>1578</v>
      </c>
      <c r="C468" s="399">
        <v>21115621600100</v>
      </c>
      <c r="D468" s="369" t="s">
        <v>1579</v>
      </c>
      <c r="E468" s="378" t="s">
        <v>167</v>
      </c>
      <c r="F468" s="17" t="s">
        <v>558</v>
      </c>
    </row>
    <row r="469" spans="2:6">
      <c r="B469" s="370" t="s">
        <v>1580</v>
      </c>
      <c r="C469" s="399">
        <v>21115220000125</v>
      </c>
      <c r="D469" s="369" t="s">
        <v>1581</v>
      </c>
      <c r="E469" s="378">
        <v>522</v>
      </c>
      <c r="F469" s="17">
        <v>25</v>
      </c>
    </row>
    <row r="470" spans="2:6">
      <c r="B470" s="370" t="s">
        <v>1582</v>
      </c>
      <c r="C470" s="399">
        <v>21115501999225</v>
      </c>
      <c r="D470" s="369" t="s">
        <v>1460</v>
      </c>
      <c r="E470" s="378" t="s">
        <v>1583</v>
      </c>
      <c r="F470" s="17">
        <v>25</v>
      </c>
    </row>
    <row r="471" spans="2:6">
      <c r="B471" s="370" t="s">
        <v>1584</v>
      </c>
      <c r="C471" s="399">
        <v>21115114399250</v>
      </c>
      <c r="D471" s="369" t="s">
        <v>1222</v>
      </c>
      <c r="E471" s="378" t="s">
        <v>292</v>
      </c>
      <c r="F471" s="17">
        <v>50</v>
      </c>
    </row>
    <row r="472" spans="2:6">
      <c r="B472" s="370" t="s">
        <v>1585</v>
      </c>
      <c r="C472" s="399">
        <v>21115101499250</v>
      </c>
      <c r="D472" s="369" t="s">
        <v>1385</v>
      </c>
      <c r="E472" s="378" t="s">
        <v>271</v>
      </c>
      <c r="F472" s="17">
        <v>50</v>
      </c>
    </row>
    <row r="473" spans="2:6">
      <c r="B473" s="370" t="s">
        <v>1586</v>
      </c>
      <c r="C473" s="399">
        <v>21115221499300</v>
      </c>
      <c r="D473" s="369" t="s">
        <v>1379</v>
      </c>
      <c r="E473" s="378" t="s">
        <v>1587</v>
      </c>
      <c r="F473" s="17" t="s">
        <v>558</v>
      </c>
    </row>
    <row r="474" spans="2:6">
      <c r="B474" s="370" t="s">
        <v>1588</v>
      </c>
      <c r="C474" s="399">
        <v>21115517599300</v>
      </c>
      <c r="D474" s="369" t="s">
        <v>1346</v>
      </c>
      <c r="E474" s="378" t="s">
        <v>1589</v>
      </c>
      <c r="F474" s="17" t="s">
        <v>558</v>
      </c>
    </row>
    <row r="475" spans="2:6">
      <c r="B475" s="370" t="s">
        <v>1590</v>
      </c>
      <c r="C475" s="399">
        <v>21115510099250</v>
      </c>
      <c r="D475" s="369" t="s">
        <v>1591</v>
      </c>
      <c r="E475" s="378" t="s">
        <v>1592</v>
      </c>
      <c r="F475" s="17">
        <v>50</v>
      </c>
    </row>
    <row r="476" spans="2:6">
      <c r="B476" s="370" t="s">
        <v>1593</v>
      </c>
      <c r="C476" s="399">
        <v>21115517599250</v>
      </c>
      <c r="D476" s="369" t="s">
        <v>1350</v>
      </c>
      <c r="E476" s="378" t="s">
        <v>376</v>
      </c>
      <c r="F476" s="17">
        <v>50</v>
      </c>
    </row>
    <row r="477" spans="2:6">
      <c r="B477" s="370" t="s">
        <v>1594</v>
      </c>
      <c r="C477" s="399">
        <v>21115517599250</v>
      </c>
      <c r="D477" s="369" t="s">
        <v>1350</v>
      </c>
      <c r="E477" s="378" t="s">
        <v>1589</v>
      </c>
      <c r="F477" s="17">
        <v>50</v>
      </c>
    </row>
    <row r="478" spans="2:6">
      <c r="B478" s="370" t="s">
        <v>1595</v>
      </c>
      <c r="C478" s="399">
        <v>21115660099300</v>
      </c>
      <c r="D478" s="369" t="s">
        <v>1532</v>
      </c>
      <c r="E478" s="378" t="s">
        <v>423</v>
      </c>
      <c r="F478" s="17" t="s">
        <v>558</v>
      </c>
    </row>
    <row r="479" spans="2:6">
      <c r="B479" s="370" t="s">
        <v>1596</v>
      </c>
      <c r="C479" s="399">
        <v>21115660099250</v>
      </c>
      <c r="D479" s="369" t="s">
        <v>1254</v>
      </c>
      <c r="E479" s="378" t="s">
        <v>423</v>
      </c>
      <c r="F479" s="17">
        <v>50</v>
      </c>
    </row>
    <row r="480" spans="2:6">
      <c r="B480" s="370" t="s">
        <v>1597</v>
      </c>
      <c r="C480" s="399">
        <v>21115520099250</v>
      </c>
      <c r="D480" s="369" t="s">
        <v>1320</v>
      </c>
      <c r="E480" s="378" t="s">
        <v>385</v>
      </c>
      <c r="F480" s="17">
        <v>50</v>
      </c>
    </row>
    <row r="481" spans="2:6">
      <c r="B481" s="370" t="s">
        <v>1598</v>
      </c>
      <c r="C481" s="399">
        <v>21115531900500</v>
      </c>
      <c r="D481" s="369" t="s">
        <v>1599</v>
      </c>
      <c r="E481" s="378" t="s">
        <v>408</v>
      </c>
      <c r="F481" s="17" t="s">
        <v>437</v>
      </c>
    </row>
    <row r="482" spans="2:6">
      <c r="B482" s="370" t="s">
        <v>1600</v>
      </c>
      <c r="C482" s="399">
        <v>21115341499300</v>
      </c>
      <c r="D482" s="369" t="s">
        <v>1368</v>
      </c>
      <c r="E482" s="378" t="s">
        <v>1601</v>
      </c>
      <c r="F482" s="17" t="s">
        <v>558</v>
      </c>
    </row>
    <row r="483" spans="2:6">
      <c r="B483" s="370" t="s">
        <v>1602</v>
      </c>
      <c r="C483" s="399">
        <v>21115520000500</v>
      </c>
      <c r="D483" s="369" t="s">
        <v>1603</v>
      </c>
      <c r="E483" s="378" t="s">
        <v>382</v>
      </c>
      <c r="F483" s="17" t="s">
        <v>437</v>
      </c>
    </row>
    <row r="484" spans="2:6">
      <c r="B484" s="370" t="s">
        <v>1604</v>
      </c>
      <c r="C484" s="399">
        <v>21115480099300</v>
      </c>
      <c r="D484" s="369" t="s">
        <v>1540</v>
      </c>
      <c r="E484" s="378" t="s">
        <v>326</v>
      </c>
      <c r="F484" s="17" t="s">
        <v>558</v>
      </c>
    </row>
    <row r="485" spans="2:6">
      <c r="B485" s="370" t="s">
        <v>1605</v>
      </c>
      <c r="C485" s="399">
        <v>21115517599300</v>
      </c>
      <c r="D485" s="369" t="s">
        <v>1346</v>
      </c>
      <c r="E485" s="378" t="s">
        <v>376</v>
      </c>
      <c r="F485" s="17" t="s">
        <v>558</v>
      </c>
    </row>
    <row r="486" spans="2:6">
      <c r="B486" s="370" t="s">
        <v>1606</v>
      </c>
      <c r="C486" s="399">
        <v>21115510000500</v>
      </c>
      <c r="D486" s="369" t="s">
        <v>1607</v>
      </c>
      <c r="E486" s="378" t="s">
        <v>356</v>
      </c>
      <c r="F486" s="17" t="s">
        <v>437</v>
      </c>
    </row>
    <row r="487" spans="2:6">
      <c r="B487" s="370" t="s">
        <v>1608</v>
      </c>
      <c r="C487" s="399">
        <v>21115517500500</v>
      </c>
      <c r="D487" s="369" t="s">
        <v>1609</v>
      </c>
      <c r="E487" s="378" t="s">
        <v>368</v>
      </c>
      <c r="F487" s="17" t="s">
        <v>437</v>
      </c>
    </row>
    <row r="488" spans="2:6">
      <c r="B488" s="370" t="s">
        <v>1610</v>
      </c>
      <c r="C488" s="399">
        <v>21115621699250</v>
      </c>
      <c r="D488" s="369" t="s">
        <v>1611</v>
      </c>
      <c r="E488" s="378" t="s">
        <v>416</v>
      </c>
      <c r="F488" s="17">
        <v>50</v>
      </c>
    </row>
    <row r="489" spans="2:6">
      <c r="B489" s="370" t="s">
        <v>1612</v>
      </c>
      <c r="C489" s="399">
        <v>21115101499300</v>
      </c>
      <c r="D489" s="369" t="s">
        <v>1088</v>
      </c>
      <c r="E489" s="378" t="s">
        <v>271</v>
      </c>
      <c r="F489" s="17" t="s">
        <v>558</v>
      </c>
    </row>
    <row r="490" spans="2:6">
      <c r="B490" s="370" t="s">
        <v>1613</v>
      </c>
      <c r="C490" s="399">
        <v>21115510099300</v>
      </c>
      <c r="D490" s="369" t="s">
        <v>1614</v>
      </c>
      <c r="E490" s="378" t="s">
        <v>1592</v>
      </c>
      <c r="F490" s="17" t="s">
        <v>558</v>
      </c>
    </row>
    <row r="491" spans="2:6">
      <c r="B491" s="370" t="s">
        <v>1615</v>
      </c>
      <c r="C491" s="399">
        <v>21115221400250</v>
      </c>
      <c r="D491" s="369" t="s">
        <v>1616</v>
      </c>
      <c r="E491" s="378" t="s">
        <v>317</v>
      </c>
      <c r="F491" s="17">
        <v>50</v>
      </c>
    </row>
    <row r="492" spans="2:6">
      <c r="B492" s="370" t="s">
        <v>1617</v>
      </c>
      <c r="C492" s="399">
        <v>21115521900500</v>
      </c>
      <c r="D492" s="369" t="s">
        <v>1618</v>
      </c>
      <c r="E492" s="378" t="s">
        <v>393</v>
      </c>
      <c r="F492" s="17" t="s">
        <v>437</v>
      </c>
    </row>
    <row r="493" spans="2:6">
      <c r="B493" s="370" t="s">
        <v>1619</v>
      </c>
      <c r="C493" s="399">
        <v>21115114399300</v>
      </c>
      <c r="D493" s="369" t="s">
        <v>1217</v>
      </c>
      <c r="E493" s="378" t="s">
        <v>292</v>
      </c>
      <c r="F493" s="17" t="s">
        <v>558</v>
      </c>
    </row>
    <row r="494" spans="2:6">
      <c r="B494" s="370" t="s">
        <v>1620</v>
      </c>
      <c r="C494" s="399">
        <v>21115520099300</v>
      </c>
      <c r="D494" s="369" t="s">
        <v>1322</v>
      </c>
      <c r="E494" s="379" t="s">
        <v>385</v>
      </c>
      <c r="F494" s="17" t="s">
        <v>558</v>
      </c>
    </row>
    <row r="495" spans="2:6">
      <c r="B495" s="391" t="s">
        <v>1621</v>
      </c>
      <c r="C495" s="399">
        <v>21115621699250</v>
      </c>
      <c r="D495" s="369" t="s">
        <v>1611</v>
      </c>
      <c r="E495" s="378" t="s">
        <v>415</v>
      </c>
      <c r="F495" s="17">
        <v>50</v>
      </c>
    </row>
    <row r="496" spans="2:6">
      <c r="B496" s="391" t="s">
        <v>1622</v>
      </c>
      <c r="C496" s="399">
        <v>21115660099250</v>
      </c>
      <c r="D496" s="369" t="s">
        <v>1254</v>
      </c>
      <c r="E496" s="379" t="s">
        <v>443</v>
      </c>
      <c r="F496" s="17">
        <v>50</v>
      </c>
    </row>
    <row r="497" spans="2:6">
      <c r="B497" s="370" t="s">
        <v>1623</v>
      </c>
      <c r="C497" s="399">
        <v>21115660099300</v>
      </c>
      <c r="D497" s="369" t="s">
        <v>1532</v>
      </c>
      <c r="E497" s="379" t="s">
        <v>443</v>
      </c>
      <c r="F497" s="17" t="s">
        <v>558</v>
      </c>
    </row>
    <row r="498" spans="2:6">
      <c r="B498" s="370" t="s">
        <v>1624</v>
      </c>
      <c r="C498" s="399">
        <v>21115531900250</v>
      </c>
      <c r="D498" s="369" t="s">
        <v>1625</v>
      </c>
      <c r="E498" s="378" t="s">
        <v>408</v>
      </c>
      <c r="F498" s="17">
        <v>50</v>
      </c>
    </row>
    <row r="499" spans="2:6">
      <c r="B499" s="569" t="s">
        <v>1626</v>
      </c>
      <c r="C499" s="399">
        <v>21115101499250</v>
      </c>
      <c r="D499" s="15" t="s">
        <v>1385</v>
      </c>
      <c r="E499" s="379" t="s">
        <v>274</v>
      </c>
      <c r="F499" s="17">
        <v>50</v>
      </c>
    </row>
    <row r="500" spans="2:6">
      <c r="B500" s="502" t="s">
        <v>1627</v>
      </c>
      <c r="C500" s="399">
        <v>21115101499300</v>
      </c>
      <c r="D500" t="s">
        <v>1088</v>
      </c>
      <c r="E500" s="379" t="s">
        <v>274</v>
      </c>
      <c r="F500" s="17" t="s">
        <v>58</v>
      </c>
    </row>
    <row r="501" spans="2:6">
      <c r="B501" s="400" t="s">
        <v>1628</v>
      </c>
      <c r="C501" s="399">
        <v>21115114399300</v>
      </c>
      <c r="D501" s="554" t="s">
        <v>1217</v>
      </c>
      <c r="E501" s="379" t="s">
        <v>293</v>
      </c>
      <c r="F501" s="16" t="s">
        <v>558</v>
      </c>
    </row>
    <row r="502" spans="2:6">
      <c r="B502" s="569" t="s">
        <v>1629</v>
      </c>
      <c r="C502" s="399">
        <v>21115114399250</v>
      </c>
      <c r="D502" s="428" t="s">
        <v>1222</v>
      </c>
      <c r="E502" s="379" t="s">
        <v>293</v>
      </c>
      <c r="F502" s="17">
        <v>50</v>
      </c>
    </row>
    <row r="503" spans="2:6">
      <c r="B503" s="399" t="s">
        <v>1630</v>
      </c>
      <c r="C503" s="399">
        <v>21115491300100</v>
      </c>
      <c r="D503" s="570" t="s">
        <v>1631</v>
      </c>
      <c r="E503" s="378" t="s">
        <v>151</v>
      </c>
      <c r="F503" s="17" t="s">
        <v>558</v>
      </c>
    </row>
    <row r="504" spans="2:6">
      <c r="B504" s="502" t="s">
        <v>1632</v>
      </c>
      <c r="C504" s="399">
        <v>21115490000100</v>
      </c>
      <c r="D504" t="s">
        <v>1633</v>
      </c>
      <c r="E504" s="378">
        <v>549</v>
      </c>
      <c r="F504" s="17" t="s">
        <v>558</v>
      </c>
    </row>
    <row r="505" spans="2:6">
      <c r="B505" s="370" t="s">
        <v>1634</v>
      </c>
      <c r="C505" s="399">
        <v>21115527800500</v>
      </c>
      <c r="D505" s="428" t="s">
        <v>1635</v>
      </c>
      <c r="E505" s="379" t="s">
        <v>395</v>
      </c>
      <c r="F505" s="17" t="s">
        <v>437</v>
      </c>
    </row>
    <row r="506" spans="2:6">
      <c r="B506" s="370" t="s">
        <v>1636</v>
      </c>
      <c r="C506" s="399">
        <v>21115527800100</v>
      </c>
      <c r="D506" s="570" t="s">
        <v>1637</v>
      </c>
      <c r="E506" s="378" t="s">
        <v>165</v>
      </c>
      <c r="F506" s="17" t="s">
        <v>558</v>
      </c>
    </row>
    <row r="507" spans="2:6">
      <c r="B507" s="370" t="s">
        <v>1638</v>
      </c>
      <c r="C507" s="399">
        <v>21115501999225</v>
      </c>
      <c r="D507" s="369" t="s">
        <v>1460</v>
      </c>
      <c r="E507" s="379" t="s">
        <v>1639</v>
      </c>
      <c r="F507" s="17">
        <v>25</v>
      </c>
    </row>
    <row r="508" spans="2:6">
      <c r="B508" s="370" t="s">
        <v>1640</v>
      </c>
      <c r="C508" s="399">
        <v>21115510099300</v>
      </c>
      <c r="D508" s="369" t="s">
        <v>1614</v>
      </c>
      <c r="E508" s="379" t="s">
        <v>362</v>
      </c>
      <c r="F508" s="16" t="s">
        <v>58</v>
      </c>
    </row>
    <row r="509" spans="2:6">
      <c r="B509" s="370" t="s">
        <v>1641</v>
      </c>
      <c r="C509" s="399">
        <v>21115510099250</v>
      </c>
      <c r="D509" s="369" t="s">
        <v>1591</v>
      </c>
      <c r="E509" s="379" t="s">
        <v>362</v>
      </c>
      <c r="F509" s="17">
        <v>50</v>
      </c>
    </row>
    <row r="510" spans="2:6">
      <c r="B510" s="370" t="s">
        <v>1642</v>
      </c>
      <c r="C510" s="399">
        <v>21115517599250</v>
      </c>
      <c r="D510" s="369" t="s">
        <v>1350</v>
      </c>
      <c r="E510" s="378" t="s">
        <v>371</v>
      </c>
      <c r="F510" s="17">
        <v>50</v>
      </c>
    </row>
    <row r="511" spans="2:6">
      <c r="B511" s="370" t="s">
        <v>1643</v>
      </c>
      <c r="C511" s="399">
        <v>21115240000225</v>
      </c>
      <c r="D511" s="369" t="s">
        <v>1644</v>
      </c>
      <c r="E511" s="378" t="s">
        <v>318</v>
      </c>
      <c r="F511" s="17">
        <v>25</v>
      </c>
    </row>
    <row r="512" spans="2:6">
      <c r="B512" s="370" t="s">
        <v>1645</v>
      </c>
      <c r="C512" s="399">
        <v>21115517599300</v>
      </c>
      <c r="D512" s="369" t="s">
        <v>1346</v>
      </c>
      <c r="E512" s="379" t="s">
        <v>371</v>
      </c>
      <c r="F512" s="16" t="s">
        <v>58</v>
      </c>
    </row>
    <row r="513" spans="2:6">
      <c r="B513" s="370" t="s">
        <v>1646</v>
      </c>
      <c r="C513" s="399">
        <v>21115527800225</v>
      </c>
      <c r="D513" s="369" t="s">
        <v>1647</v>
      </c>
      <c r="E513" s="378" t="s">
        <v>395</v>
      </c>
      <c r="F513" s="17">
        <v>25</v>
      </c>
    </row>
    <row r="514" spans="2:6">
      <c r="B514" s="370" t="s">
        <v>1648</v>
      </c>
      <c r="C514" s="399">
        <v>21115531399250</v>
      </c>
      <c r="D514" s="369" t="s">
        <v>1649</v>
      </c>
      <c r="E514" s="378" t="s">
        <v>1650</v>
      </c>
      <c r="F514" s="17">
        <v>50</v>
      </c>
    </row>
    <row r="515" spans="2:6">
      <c r="B515" s="370" t="s">
        <v>1651</v>
      </c>
      <c r="C515" s="399">
        <v>21115531399250</v>
      </c>
      <c r="D515" s="369" t="s">
        <v>1649</v>
      </c>
      <c r="E515" s="379" t="s">
        <v>1652</v>
      </c>
      <c r="F515" s="17">
        <v>50</v>
      </c>
    </row>
    <row r="516" spans="2:6">
      <c r="B516" s="370" t="s">
        <v>1653</v>
      </c>
      <c r="C516" s="399">
        <v>21135671900125</v>
      </c>
      <c r="D516" s="369" t="s">
        <v>1654</v>
      </c>
      <c r="E516" s="378" t="s">
        <v>242</v>
      </c>
      <c r="F516" s="17">
        <v>25</v>
      </c>
    </row>
    <row r="517" spans="2:6">
      <c r="B517" s="370" t="s">
        <v>1655</v>
      </c>
      <c r="C517" s="399">
        <v>21135517500125</v>
      </c>
      <c r="D517" s="369" t="s">
        <v>1656</v>
      </c>
      <c r="E517" s="378" t="s">
        <v>233</v>
      </c>
      <c r="F517" s="17">
        <v>25</v>
      </c>
    </row>
    <row r="518" spans="2:6">
      <c r="B518" s="370" t="s">
        <v>1657</v>
      </c>
      <c r="C518" s="399">
        <v>21115531399250</v>
      </c>
      <c r="D518" s="369" t="s">
        <v>1649</v>
      </c>
      <c r="E518" s="379" t="s">
        <v>405</v>
      </c>
      <c r="F518" s="17">
        <v>50</v>
      </c>
    </row>
    <row r="519" spans="2:6">
      <c r="B519" s="370" t="s">
        <v>1658</v>
      </c>
      <c r="C519" s="399">
        <v>21125490000125</v>
      </c>
      <c r="D519" s="369" t="s">
        <v>1659</v>
      </c>
      <c r="E519" s="378">
        <v>949</v>
      </c>
      <c r="F519" s="17">
        <v>25</v>
      </c>
    </row>
    <row r="520" spans="2:6">
      <c r="B520" s="370" t="s">
        <v>1660</v>
      </c>
      <c r="C520" s="399">
        <v>21115531399300</v>
      </c>
      <c r="D520" s="369" t="s">
        <v>1661</v>
      </c>
      <c r="E520" s="379" t="s">
        <v>405</v>
      </c>
      <c r="F520" s="16" t="s">
        <v>58</v>
      </c>
    </row>
    <row r="521" spans="2:6">
      <c r="B521" s="370" t="s">
        <v>1662</v>
      </c>
      <c r="C521" s="399">
        <v>21125480000125</v>
      </c>
      <c r="D521" s="369" t="s">
        <v>1663</v>
      </c>
      <c r="E521" s="378">
        <v>948</v>
      </c>
      <c r="F521" s="17">
        <v>25</v>
      </c>
    </row>
    <row r="522" spans="2:6">
      <c r="B522" s="370" t="s">
        <v>1664</v>
      </c>
      <c r="C522" s="399">
        <v>21133240000125</v>
      </c>
      <c r="D522" s="369" t="s">
        <v>1665</v>
      </c>
      <c r="E522" s="378" t="s">
        <v>193</v>
      </c>
      <c r="F522" s="17">
        <v>25</v>
      </c>
    </row>
    <row r="523" spans="2:6">
      <c r="B523" s="370" t="s">
        <v>1666</v>
      </c>
      <c r="C523" s="399">
        <v>21115531399300</v>
      </c>
      <c r="D523" s="369" t="s">
        <v>1661</v>
      </c>
      <c r="E523" s="378" t="s">
        <v>1652</v>
      </c>
      <c r="F523" s="17" t="s">
        <v>58</v>
      </c>
    </row>
    <row r="524" spans="2:6">
      <c r="B524" s="370" t="s">
        <v>1667</v>
      </c>
      <c r="C524" s="399">
        <v>21115520099250</v>
      </c>
      <c r="D524" s="369" t="s">
        <v>1320</v>
      </c>
      <c r="E524" s="378" t="s">
        <v>391</v>
      </c>
      <c r="F524" s="17">
        <v>50</v>
      </c>
    </row>
    <row r="525" spans="2:6">
      <c r="B525" s="370" t="s">
        <v>1668</v>
      </c>
      <c r="C525" s="399">
        <v>21115521999300</v>
      </c>
      <c r="D525" s="369" t="s">
        <v>1311</v>
      </c>
      <c r="E525" s="378" t="s">
        <v>400</v>
      </c>
      <c r="F525" s="17" t="s">
        <v>58</v>
      </c>
    </row>
    <row r="526" spans="2:6">
      <c r="B526" s="370" t="s">
        <v>1669</v>
      </c>
      <c r="C526" s="399">
        <v>21115531399300</v>
      </c>
      <c r="D526" s="369" t="s">
        <v>1661</v>
      </c>
      <c r="E526" s="379" t="s">
        <v>407</v>
      </c>
      <c r="F526" s="17" t="s">
        <v>58</v>
      </c>
    </row>
    <row r="527" spans="2:6">
      <c r="B527" s="370" t="s">
        <v>1670</v>
      </c>
      <c r="C527" s="399">
        <v>21115520099300</v>
      </c>
      <c r="D527" s="369" t="s">
        <v>1322</v>
      </c>
      <c r="E527" s="378" t="s">
        <v>391</v>
      </c>
      <c r="F527" s="17" t="s">
        <v>58</v>
      </c>
    </row>
    <row r="528" spans="2:6">
      <c r="B528" s="370" t="s">
        <v>1671</v>
      </c>
      <c r="C528" s="399">
        <v>21115521999250</v>
      </c>
      <c r="D528" s="369" t="s">
        <v>1313</v>
      </c>
      <c r="E528" s="378" t="s">
        <v>400</v>
      </c>
      <c r="F528" s="17">
        <v>50</v>
      </c>
    </row>
    <row r="529" spans="2:6">
      <c r="B529" s="370" t="s">
        <v>1672</v>
      </c>
      <c r="C529" s="399">
        <v>21115531399250</v>
      </c>
      <c r="D529" s="369" t="s">
        <v>1649</v>
      </c>
      <c r="E529" s="378" t="s">
        <v>407</v>
      </c>
      <c r="F529" s="17">
        <v>50</v>
      </c>
    </row>
    <row r="530" spans="2:6">
      <c r="B530" s="370" t="s">
        <v>1673</v>
      </c>
      <c r="C530" s="399">
        <v>21125527900125</v>
      </c>
      <c r="D530" s="369" t="s">
        <v>1674</v>
      </c>
      <c r="E530" s="378" t="s">
        <v>183</v>
      </c>
      <c r="F530" s="17">
        <v>25</v>
      </c>
    </row>
    <row r="531" spans="2:6">
      <c r="B531" s="370" t="s">
        <v>1675</v>
      </c>
      <c r="C531" s="399">
        <v>21115527900125</v>
      </c>
      <c r="D531" s="369" t="s">
        <v>1676</v>
      </c>
      <c r="E531" s="378" t="s">
        <v>163</v>
      </c>
      <c r="F531" s="17">
        <v>25</v>
      </c>
    </row>
    <row r="532" spans="2:6">
      <c r="B532" s="370" t="s">
        <v>1677</v>
      </c>
      <c r="C532" s="399">
        <v>21113250000125</v>
      </c>
      <c r="D532" s="369" t="s">
        <v>1678</v>
      </c>
      <c r="E532" s="378">
        <v>325</v>
      </c>
      <c r="F532" s="17">
        <v>25</v>
      </c>
    </row>
    <row r="533" spans="2:6">
      <c r="B533" s="370" t="s">
        <v>1679</v>
      </c>
      <c r="C533" s="399">
        <v>21115351400300</v>
      </c>
      <c r="D533" s="369" t="s">
        <v>1680</v>
      </c>
      <c r="E533" s="378" t="s">
        <v>1681</v>
      </c>
      <c r="F533" s="17" t="s">
        <v>58</v>
      </c>
    </row>
    <row r="534" spans="2:6">
      <c r="B534" s="370" t="s">
        <v>1682</v>
      </c>
      <c r="C534" s="399">
        <v>21133240100100</v>
      </c>
      <c r="D534" s="369" t="s">
        <v>1683</v>
      </c>
      <c r="E534" s="378" t="s">
        <v>202</v>
      </c>
      <c r="F534" s="17" t="s">
        <v>58</v>
      </c>
    </row>
    <row r="535" spans="2:6">
      <c r="B535" s="370" t="s">
        <v>1684</v>
      </c>
      <c r="C535" s="399">
        <v>21133240000100</v>
      </c>
      <c r="D535" s="369" t="s">
        <v>1685</v>
      </c>
      <c r="E535" s="378" t="s">
        <v>193</v>
      </c>
      <c r="F535" s="17" t="s">
        <v>58</v>
      </c>
    </row>
    <row r="536" spans="2:6">
      <c r="B536" s="370" t="s">
        <v>1686</v>
      </c>
      <c r="C536" s="399">
        <v>21135527800125</v>
      </c>
      <c r="D536" s="369" t="s">
        <v>1687</v>
      </c>
      <c r="E536" s="379" t="s">
        <v>237</v>
      </c>
      <c r="F536" s="17">
        <v>25</v>
      </c>
    </row>
    <row r="537" spans="2:6">
      <c r="B537" s="370" t="s">
        <v>1688</v>
      </c>
      <c r="C537" s="399">
        <v>21125110200125</v>
      </c>
      <c r="D537" s="369" t="s">
        <v>1689</v>
      </c>
      <c r="E537" s="378" t="s">
        <v>180</v>
      </c>
      <c r="F537" s="17">
        <v>25</v>
      </c>
    </row>
    <row r="538" spans="2:6">
      <c r="B538" s="370" t="s">
        <v>1690</v>
      </c>
      <c r="C538" s="399">
        <v>21115501999225</v>
      </c>
      <c r="D538" s="369" t="s">
        <v>1460</v>
      </c>
      <c r="E538" s="378" t="s">
        <v>1691</v>
      </c>
      <c r="F538" s="17">
        <v>25</v>
      </c>
    </row>
    <row r="539" spans="2:6">
      <c r="B539" s="370" t="s">
        <v>1692</v>
      </c>
      <c r="C539" s="399">
        <v>21115480099250</v>
      </c>
      <c r="D539" s="369" t="s">
        <v>1437</v>
      </c>
      <c r="E539" s="378" t="s">
        <v>328</v>
      </c>
      <c r="F539" s="17">
        <v>50</v>
      </c>
    </row>
    <row r="540" spans="2:6">
      <c r="B540" s="370" t="s">
        <v>1693</v>
      </c>
      <c r="C540" s="399">
        <v>21115480099300</v>
      </c>
      <c r="D540" s="369" t="s">
        <v>1540</v>
      </c>
      <c r="E540" s="378" t="s">
        <v>328</v>
      </c>
      <c r="F540" s="17" t="s">
        <v>58</v>
      </c>
    </row>
    <row r="541" spans="2:6">
      <c r="B541" s="370" t="s">
        <v>1694</v>
      </c>
      <c r="C541" s="399">
        <v>21115510099300</v>
      </c>
      <c r="D541" s="369" t="s">
        <v>1614</v>
      </c>
      <c r="E541" s="378" t="s">
        <v>363</v>
      </c>
      <c r="F541" s="17" t="s">
        <v>58</v>
      </c>
    </row>
    <row r="542" spans="2:6">
      <c r="B542" s="370" t="s">
        <v>1695</v>
      </c>
      <c r="C542" s="399">
        <v>21115510099250</v>
      </c>
      <c r="D542" s="369" t="s">
        <v>1591</v>
      </c>
      <c r="E542" s="378" t="s">
        <v>363</v>
      </c>
      <c r="F542" s="17">
        <v>50</v>
      </c>
    </row>
    <row r="543" spans="2:6">
      <c r="B543" s="370" t="s">
        <v>1696</v>
      </c>
      <c r="C543" s="399">
        <v>21115517599250</v>
      </c>
      <c r="D543" s="369" t="s">
        <v>1350</v>
      </c>
      <c r="E543" s="378" t="s">
        <v>372</v>
      </c>
      <c r="F543" s="17">
        <v>50</v>
      </c>
    </row>
    <row r="544" spans="2:6">
      <c r="B544" s="370" t="s">
        <v>1697</v>
      </c>
      <c r="C544" s="399">
        <v>21115671999250</v>
      </c>
      <c r="D544" s="369" t="s">
        <v>1324</v>
      </c>
      <c r="E544" s="379" t="s">
        <v>430</v>
      </c>
      <c r="F544" s="17">
        <v>50</v>
      </c>
    </row>
    <row r="545" spans="2:6">
      <c r="B545" s="370" t="s">
        <v>1698</v>
      </c>
      <c r="C545" s="399">
        <v>21115671999300</v>
      </c>
      <c r="D545" s="369" t="s">
        <v>1316</v>
      </c>
      <c r="E545" s="378" t="s">
        <v>430</v>
      </c>
      <c r="F545" s="17" t="s">
        <v>58</v>
      </c>
    </row>
    <row r="546" spans="2:6">
      <c r="B546" s="370" t="s">
        <v>1699</v>
      </c>
      <c r="C546" s="399">
        <v>21115517599300</v>
      </c>
      <c r="D546" s="369" t="s">
        <v>1346</v>
      </c>
      <c r="E546" s="378" t="s">
        <v>372</v>
      </c>
      <c r="F546" s="17" t="s">
        <v>58</v>
      </c>
    </row>
    <row r="547" spans="2:6">
      <c r="B547" s="370" t="s">
        <v>1700</v>
      </c>
      <c r="C547" s="399">
        <v>21115501699210</v>
      </c>
      <c r="D547" s="369" t="s">
        <v>1701</v>
      </c>
      <c r="E547" s="378" t="s">
        <v>351</v>
      </c>
      <c r="F547" s="17">
        <v>10</v>
      </c>
    </row>
    <row r="548" spans="2:6">
      <c r="B548" s="370" t="s">
        <v>1702</v>
      </c>
      <c r="C548" s="399">
        <v>21115671999300</v>
      </c>
      <c r="D548" s="369" t="s">
        <v>1316</v>
      </c>
      <c r="E548" s="378" t="s">
        <v>431</v>
      </c>
      <c r="F548" s="17" t="s">
        <v>58</v>
      </c>
    </row>
    <row r="549" spans="2:6">
      <c r="B549" s="370" t="s">
        <v>1703</v>
      </c>
      <c r="C549" s="399">
        <v>21115510099250</v>
      </c>
      <c r="D549" s="369" t="s">
        <v>1591</v>
      </c>
      <c r="E549" s="378" t="s">
        <v>438</v>
      </c>
      <c r="F549" s="17">
        <v>50</v>
      </c>
    </row>
    <row r="550" spans="2:6">
      <c r="B550" s="370" t="s">
        <v>1704</v>
      </c>
      <c r="C550" s="399">
        <v>21115671999250</v>
      </c>
      <c r="D550" s="369" t="s">
        <v>1324</v>
      </c>
      <c r="E550" s="378" t="s">
        <v>431</v>
      </c>
      <c r="F550" s="17">
        <v>50</v>
      </c>
    </row>
    <row r="551" spans="2:6">
      <c r="B551" s="370" t="s">
        <v>1705</v>
      </c>
      <c r="C551" s="399">
        <v>21115517599250</v>
      </c>
      <c r="D551" s="369" t="s">
        <v>1350</v>
      </c>
      <c r="E551" s="378" t="s">
        <v>373</v>
      </c>
      <c r="F551" s="17">
        <v>50</v>
      </c>
    </row>
    <row r="552" spans="2:6">
      <c r="B552" s="370" t="s">
        <v>1706</v>
      </c>
      <c r="C552" s="399">
        <v>21115517599300</v>
      </c>
      <c r="D552" s="369" t="s">
        <v>1346</v>
      </c>
      <c r="E552" s="378" t="s">
        <v>373</v>
      </c>
      <c r="F552" s="17" t="s">
        <v>58</v>
      </c>
    </row>
    <row r="553" spans="2:6">
      <c r="B553" s="370" t="s">
        <v>1707</v>
      </c>
      <c r="C553" s="399">
        <v>21135521300125</v>
      </c>
      <c r="D553" s="369" t="s">
        <v>1708</v>
      </c>
      <c r="E553" s="379" t="s">
        <v>235</v>
      </c>
      <c r="F553" s="17">
        <v>25</v>
      </c>
    </row>
    <row r="554" spans="2:6">
      <c r="B554" s="370" t="s">
        <v>1709</v>
      </c>
      <c r="C554" s="399">
        <v>21135100000125</v>
      </c>
      <c r="D554" s="369" t="s">
        <v>1710</v>
      </c>
      <c r="E554" s="378" t="s">
        <v>203</v>
      </c>
      <c r="F554" s="17">
        <v>25</v>
      </c>
    </row>
    <row r="555" spans="2:6">
      <c r="B555" s="370" t="s">
        <v>1711</v>
      </c>
      <c r="C555" s="399">
        <v>21115531900225</v>
      </c>
      <c r="D555" s="369" t="s">
        <v>1712</v>
      </c>
      <c r="E555" s="378" t="s">
        <v>408</v>
      </c>
      <c r="F555" s="17">
        <v>25</v>
      </c>
    </row>
    <row r="556" spans="2:6">
      <c r="B556" s="370" t="s">
        <v>1713</v>
      </c>
      <c r="C556" s="399">
        <v>21135110100125</v>
      </c>
      <c r="D556" s="369" t="s">
        <v>1714</v>
      </c>
      <c r="E556" s="379" t="s">
        <v>211</v>
      </c>
      <c r="F556" s="17">
        <v>25</v>
      </c>
    </row>
    <row r="557" spans="2:6">
      <c r="B557" s="370" t="s">
        <v>1715</v>
      </c>
      <c r="C557" s="399">
        <v>21135110200125</v>
      </c>
      <c r="D557" s="369" t="s">
        <v>1716</v>
      </c>
      <c r="E557" s="378" t="s">
        <v>206</v>
      </c>
      <c r="F557" s="17">
        <v>25</v>
      </c>
    </row>
    <row r="558" spans="2:6">
      <c r="B558" s="370" t="s">
        <v>1717</v>
      </c>
      <c r="C558" s="399">
        <v>21115521916100</v>
      </c>
      <c r="D558" s="369" t="s">
        <v>1718</v>
      </c>
      <c r="E558" s="378" t="s">
        <v>65</v>
      </c>
      <c r="F558" s="17" t="s">
        <v>558</v>
      </c>
    </row>
    <row r="559" spans="2:6">
      <c r="B559" s="370" t="s">
        <v>1719</v>
      </c>
      <c r="C559" s="399">
        <v>21115501600125</v>
      </c>
      <c r="D559" s="369" t="s">
        <v>1720</v>
      </c>
      <c r="E559" s="378" t="s">
        <v>54</v>
      </c>
      <c r="F559" s="17">
        <v>25</v>
      </c>
    </row>
    <row r="560" spans="2:6">
      <c r="B560" s="370" t="s">
        <v>1721</v>
      </c>
      <c r="C560" s="399">
        <v>21115101499250</v>
      </c>
      <c r="D560" s="369" t="s">
        <v>1385</v>
      </c>
      <c r="E560" s="378" t="s">
        <v>272</v>
      </c>
      <c r="F560" s="17">
        <v>50</v>
      </c>
    </row>
    <row r="561" spans="2:6">
      <c r="B561" s="370" t="s">
        <v>1722</v>
      </c>
      <c r="C561" s="399">
        <v>21115114399250</v>
      </c>
      <c r="D561" s="369" t="s">
        <v>1222</v>
      </c>
      <c r="E561" s="379" t="s">
        <v>294</v>
      </c>
      <c r="F561" s="17">
        <v>50</v>
      </c>
    </row>
    <row r="562" spans="2:6">
      <c r="B562" s="370" t="s">
        <v>1723</v>
      </c>
      <c r="C562" s="399">
        <v>21165110000125</v>
      </c>
      <c r="D562" s="369" t="s">
        <v>1724</v>
      </c>
      <c r="E562" s="378">
        <v>6911</v>
      </c>
      <c r="F562" s="17">
        <v>25</v>
      </c>
    </row>
    <row r="563" spans="2:6">
      <c r="B563" s="370" t="s">
        <v>1725</v>
      </c>
      <c r="C563" s="399">
        <v>21115521916125</v>
      </c>
      <c r="D563" s="369" t="s">
        <v>1726</v>
      </c>
      <c r="E563" s="378" t="s">
        <v>65</v>
      </c>
      <c r="F563" s="17">
        <v>25</v>
      </c>
    </row>
    <row r="564" spans="2:6">
      <c r="B564" s="370" t="s">
        <v>1727</v>
      </c>
      <c r="C564" s="399">
        <v>21115521600125</v>
      </c>
      <c r="D564" s="369" t="s">
        <v>1728</v>
      </c>
      <c r="E564" s="378" t="s">
        <v>63</v>
      </c>
      <c r="F564" s="17">
        <v>25</v>
      </c>
    </row>
    <row r="565" spans="2:6">
      <c r="B565" s="370" t="s">
        <v>1729</v>
      </c>
      <c r="C565" s="399">
        <v>21115511600125</v>
      </c>
      <c r="D565" s="369" t="s">
        <v>1730</v>
      </c>
      <c r="E565" s="378" t="s">
        <v>59</v>
      </c>
      <c r="F565" s="17">
        <v>25</v>
      </c>
    </row>
    <row r="566" spans="2:6">
      <c r="B566" s="370" t="s">
        <v>1731</v>
      </c>
      <c r="C566" s="399">
        <v>21165910000125</v>
      </c>
      <c r="D566" s="369" t="s">
        <v>1732</v>
      </c>
      <c r="E566" s="378">
        <v>6991</v>
      </c>
      <c r="F566" s="17">
        <v>25</v>
      </c>
    </row>
    <row r="567" spans="2:6">
      <c r="B567" s="370" t="s">
        <v>1733</v>
      </c>
      <c r="C567" s="399">
        <v>21165520000125</v>
      </c>
      <c r="D567" s="369" t="s">
        <v>1734</v>
      </c>
      <c r="E567" s="378">
        <v>6952</v>
      </c>
      <c r="F567" s="17">
        <v>25</v>
      </c>
    </row>
    <row r="568" spans="2:6">
      <c r="B568" s="370" t="s">
        <v>1735</v>
      </c>
      <c r="C568" s="399">
        <v>21135440000125</v>
      </c>
      <c r="D568" s="369" t="s">
        <v>1736</v>
      </c>
      <c r="E568" s="378" t="s">
        <v>245</v>
      </c>
      <c r="F568" s="17">
        <v>25</v>
      </c>
    </row>
    <row r="569" spans="2:6">
      <c r="B569" s="370" t="s">
        <v>1737</v>
      </c>
      <c r="C569" s="399">
        <v>21135671900100</v>
      </c>
      <c r="D569" s="369" t="s">
        <v>1738</v>
      </c>
      <c r="E569" s="379" t="s">
        <v>242</v>
      </c>
      <c r="F569" s="17" t="s">
        <v>558</v>
      </c>
    </row>
    <row r="570" spans="2:6">
      <c r="B570" s="370" t="s">
        <v>1739</v>
      </c>
      <c r="C570" s="399">
        <v>21135660000100</v>
      </c>
      <c r="D570" s="369" t="s">
        <v>1740</v>
      </c>
      <c r="E570" s="379" t="s">
        <v>240</v>
      </c>
      <c r="F570" s="17" t="s">
        <v>558</v>
      </c>
    </row>
    <row r="571" spans="2:6">
      <c r="B571" s="370" t="s">
        <v>1741</v>
      </c>
      <c r="C571" s="399">
        <v>21115114399225</v>
      </c>
      <c r="D571" s="369" t="s">
        <v>1742</v>
      </c>
      <c r="E571" s="378" t="s">
        <v>294</v>
      </c>
      <c r="F571" s="17">
        <v>25</v>
      </c>
    </row>
    <row r="572" spans="2:6">
      <c r="B572" s="370" t="s">
        <v>1743</v>
      </c>
      <c r="C572" s="399">
        <v>21115531916125</v>
      </c>
      <c r="D572" s="369" t="s">
        <v>1744</v>
      </c>
      <c r="E572" s="378" t="s">
        <v>67</v>
      </c>
      <c r="F572" s="17">
        <v>25</v>
      </c>
    </row>
    <row r="573" spans="2:6">
      <c r="B573" s="370" t="s">
        <v>1745</v>
      </c>
      <c r="C573" s="399">
        <v>21115510099300</v>
      </c>
      <c r="D573" s="369" t="s">
        <v>1614</v>
      </c>
      <c r="E573" s="379" t="s">
        <v>438</v>
      </c>
      <c r="F573" s="17" t="s">
        <v>558</v>
      </c>
    </row>
    <row r="574" spans="2:6">
      <c r="B574" s="370" t="str">
        <f>IF(MID(C574,10,2)="99",C574&amp;E574,LEFT(C574,14))</f>
        <v>21135520000100</v>
      </c>
      <c r="C574" s="399">
        <v>21135520000100</v>
      </c>
      <c r="D574" s="369" t="s">
        <v>1746</v>
      </c>
      <c r="E574" s="379" t="s">
        <v>234</v>
      </c>
      <c r="F574" s="17" t="s">
        <v>558</v>
      </c>
    </row>
    <row r="575" spans="2:6">
      <c r="B575" s="370" t="s">
        <v>1747</v>
      </c>
      <c r="C575" s="399">
        <v>21115501999300</v>
      </c>
      <c r="D575" s="369" t="s">
        <v>1748</v>
      </c>
      <c r="E575" s="378" t="s">
        <v>1749</v>
      </c>
      <c r="F575" s="17" t="s">
        <v>58</v>
      </c>
    </row>
    <row r="576" spans="2:6">
      <c r="B576" s="370" t="s">
        <v>1750</v>
      </c>
      <c r="C576" s="399">
        <v>21115101499250</v>
      </c>
      <c r="D576" s="369" t="s">
        <v>1385</v>
      </c>
      <c r="E576" s="378" t="s">
        <v>1751</v>
      </c>
      <c r="F576" s="17">
        <v>50</v>
      </c>
    </row>
    <row r="577" spans="2:6">
      <c r="B577" s="370" t="s">
        <v>1752</v>
      </c>
      <c r="C577" s="399">
        <v>21115111499250</v>
      </c>
      <c r="D577" s="369" t="s">
        <v>1285</v>
      </c>
      <c r="E577" s="378" t="s">
        <v>302</v>
      </c>
      <c r="F577" s="17">
        <v>50</v>
      </c>
    </row>
    <row r="578" spans="2:6">
      <c r="B578" s="370" t="s">
        <v>1753</v>
      </c>
      <c r="C578" s="399">
        <v>21115114399250</v>
      </c>
      <c r="D578" s="369" t="s">
        <v>1222</v>
      </c>
      <c r="E578" s="378" t="s">
        <v>290</v>
      </c>
      <c r="F578" s="17">
        <v>50</v>
      </c>
    </row>
    <row r="579" spans="2:6">
      <c r="B579" s="370" t="s">
        <v>1754</v>
      </c>
      <c r="C579" s="399">
        <v>21135110000125</v>
      </c>
      <c r="D579" s="369" t="s">
        <v>1755</v>
      </c>
      <c r="E579" s="378" t="s">
        <v>205</v>
      </c>
      <c r="F579" s="17">
        <v>25</v>
      </c>
    </row>
    <row r="580" spans="2:6">
      <c r="B580" s="370" t="s">
        <v>1756</v>
      </c>
      <c r="C580" s="399">
        <v>21165540000125</v>
      </c>
      <c r="D580" s="369" t="s">
        <v>1757</v>
      </c>
      <c r="E580" s="378">
        <v>6954</v>
      </c>
      <c r="F580" s="17">
        <v>25</v>
      </c>
    </row>
    <row r="581" spans="2:6">
      <c r="B581" s="370" t="s">
        <v>1758</v>
      </c>
      <c r="C581" s="399">
        <v>21135527800100</v>
      </c>
      <c r="D581" s="369" t="s">
        <v>1759</v>
      </c>
      <c r="E581" s="378" t="s">
        <v>237</v>
      </c>
      <c r="F581" s="16" t="s">
        <v>66</v>
      </c>
    </row>
    <row r="582" spans="2:6">
      <c r="B582" s="370" t="s">
        <v>1760</v>
      </c>
      <c r="C582" s="399">
        <v>21135510000100</v>
      </c>
      <c r="D582" s="369" t="s">
        <v>1761</v>
      </c>
      <c r="E582" s="379" t="s">
        <v>231</v>
      </c>
      <c r="F582" s="16" t="s">
        <v>66</v>
      </c>
    </row>
    <row r="583" spans="2:6">
      <c r="B583" s="370" t="s">
        <v>1762</v>
      </c>
      <c r="C583" s="399">
        <v>21135531900100</v>
      </c>
      <c r="D583" s="369" t="s">
        <v>1763</v>
      </c>
      <c r="E583" s="378" t="s">
        <v>239</v>
      </c>
      <c r="F583" s="16" t="s">
        <v>66</v>
      </c>
    </row>
    <row r="584" spans="2:6">
      <c r="B584" s="370" t="s">
        <v>1764</v>
      </c>
      <c r="C584" s="399">
        <v>21135662400100</v>
      </c>
      <c r="D584" s="369" t="s">
        <v>1765</v>
      </c>
      <c r="E584" s="378" t="s">
        <v>241</v>
      </c>
      <c r="F584" s="16" t="s">
        <v>66</v>
      </c>
    </row>
    <row r="585" spans="2:6">
      <c r="B585" s="370" t="s">
        <v>1766</v>
      </c>
      <c r="C585" s="399">
        <v>21165490000125</v>
      </c>
      <c r="D585" s="369" t="s">
        <v>1767</v>
      </c>
      <c r="E585" s="378">
        <v>6949</v>
      </c>
      <c r="F585" s="17">
        <v>25</v>
      </c>
    </row>
    <row r="586" spans="2:6">
      <c r="B586" s="370" t="s">
        <v>1768</v>
      </c>
      <c r="C586" s="399">
        <v>21135671924100</v>
      </c>
      <c r="D586" s="369" t="s">
        <v>1769</v>
      </c>
      <c r="E586" s="378" t="s">
        <v>243</v>
      </c>
      <c r="F586" s="16" t="s">
        <v>66</v>
      </c>
    </row>
    <row r="587" spans="2:6">
      <c r="B587" s="370" t="s">
        <v>1770</v>
      </c>
      <c r="C587" s="399">
        <v>21115400000240</v>
      </c>
      <c r="D587" s="369" t="s">
        <v>1771</v>
      </c>
      <c r="E587" s="378" t="s">
        <v>322</v>
      </c>
      <c r="F587" s="17">
        <v>40</v>
      </c>
    </row>
    <row r="588" spans="2:6">
      <c r="B588" s="370" t="s">
        <v>1669</v>
      </c>
      <c r="C588" s="399">
        <v>21115531399300</v>
      </c>
      <c r="D588" s="369" t="s">
        <v>1661</v>
      </c>
      <c r="E588" s="379" t="s">
        <v>407</v>
      </c>
      <c r="F588" s="17" t="s">
        <v>58</v>
      </c>
    </row>
    <row r="589" spans="2:6">
      <c r="B589" s="391" t="s">
        <v>1772</v>
      </c>
      <c r="C589" s="399" t="s">
        <v>883</v>
      </c>
      <c r="D589" s="369" t="s">
        <v>1611</v>
      </c>
      <c r="E589" s="379" t="s">
        <v>418</v>
      </c>
      <c r="F589" s="17">
        <v>50</v>
      </c>
    </row>
    <row r="590" spans="2:6">
      <c r="B590" s="370" t="s">
        <v>1773</v>
      </c>
      <c r="C590" s="399">
        <v>21115660099300</v>
      </c>
      <c r="D590" s="369" t="s">
        <v>1532</v>
      </c>
      <c r="E590" s="379" t="s">
        <v>425</v>
      </c>
      <c r="F590" s="17" t="s">
        <v>58</v>
      </c>
    </row>
    <row r="591" spans="2:6">
      <c r="B591" s="370" t="s">
        <v>1774</v>
      </c>
      <c r="C591" s="399">
        <v>21115660099250</v>
      </c>
      <c r="D591" s="369" t="s">
        <v>1254</v>
      </c>
      <c r="E591" s="379" t="s">
        <v>425</v>
      </c>
      <c r="F591" s="17">
        <v>50</v>
      </c>
    </row>
    <row r="592" spans="2:6">
      <c r="B592" s="370" t="s">
        <v>1775</v>
      </c>
      <c r="C592" s="399">
        <v>21115501600425</v>
      </c>
      <c r="D592" s="369" t="s">
        <v>1776</v>
      </c>
      <c r="E592" s="378" t="s">
        <v>54</v>
      </c>
      <c r="F592" s="17" t="s">
        <v>56</v>
      </c>
    </row>
    <row r="593" spans="2:6">
      <c r="B593" s="370" t="s">
        <v>1777</v>
      </c>
      <c r="C593" s="399">
        <v>21115517599250</v>
      </c>
      <c r="D593" s="369" t="s">
        <v>1350</v>
      </c>
      <c r="E593" s="378" t="s">
        <v>374</v>
      </c>
      <c r="F593" s="17">
        <v>50</v>
      </c>
    </row>
    <row r="594" spans="2:6">
      <c r="B594" s="370" t="s">
        <v>1778</v>
      </c>
      <c r="C594" s="399">
        <v>21115501999225</v>
      </c>
      <c r="D594" s="369" t="s">
        <v>1460</v>
      </c>
      <c r="E594" s="378" t="s">
        <v>350</v>
      </c>
      <c r="F594" s="17">
        <v>25</v>
      </c>
    </row>
    <row r="595" spans="2:6">
      <c r="B595" s="370" t="s">
        <v>1779</v>
      </c>
      <c r="C595" s="399">
        <v>21115501699210</v>
      </c>
      <c r="D595" s="369" t="s">
        <v>1701</v>
      </c>
      <c r="E595" s="378" t="s">
        <v>353</v>
      </c>
      <c r="F595" s="17">
        <v>10</v>
      </c>
    </row>
    <row r="596" spans="2:6">
      <c r="B596" s="370" t="s">
        <v>1780</v>
      </c>
      <c r="C596" s="399">
        <v>21115510099250</v>
      </c>
      <c r="D596" s="369" t="s">
        <v>1591</v>
      </c>
      <c r="E596" s="378" t="s">
        <v>365</v>
      </c>
      <c r="F596" s="17">
        <v>50</v>
      </c>
    </row>
    <row r="597" spans="2:6">
      <c r="B597" s="370" t="s">
        <v>1781</v>
      </c>
      <c r="C597" s="399">
        <v>21115671999300</v>
      </c>
      <c r="D597" s="369" t="s">
        <v>1316</v>
      </c>
      <c r="E597" s="378" t="s">
        <v>432</v>
      </c>
      <c r="F597" s="17" t="s">
        <v>58</v>
      </c>
    </row>
    <row r="598" spans="2:6">
      <c r="B598" s="370" t="s">
        <v>1782</v>
      </c>
      <c r="C598" s="399">
        <v>21115671999250</v>
      </c>
      <c r="D598" s="369" t="s">
        <v>1324</v>
      </c>
      <c r="E598" s="378" t="s">
        <v>432</v>
      </c>
      <c r="F598" s="17">
        <v>50</v>
      </c>
    </row>
    <row r="599" spans="2:6">
      <c r="B599" s="370" t="s">
        <v>1783</v>
      </c>
      <c r="C599" s="399">
        <v>21115517599300</v>
      </c>
      <c r="D599" s="369" t="s">
        <v>1346</v>
      </c>
      <c r="E599" s="379" t="s">
        <v>374</v>
      </c>
      <c r="F599" s="17" t="s">
        <v>58</v>
      </c>
    </row>
    <row r="600" spans="2:6">
      <c r="B600" s="370" t="s">
        <v>1784</v>
      </c>
      <c r="C600" s="399">
        <v>21115510099300</v>
      </c>
      <c r="D600" s="369" t="s">
        <v>1614</v>
      </c>
      <c r="E600" s="378" t="s">
        <v>365</v>
      </c>
      <c r="F600" s="17" t="s">
        <v>58</v>
      </c>
    </row>
    <row r="601" spans="2:6">
      <c r="B601" s="370" t="s">
        <v>1785</v>
      </c>
      <c r="C601" s="399">
        <v>21165530000125</v>
      </c>
      <c r="D601" s="369" t="s">
        <v>1786</v>
      </c>
      <c r="E601" s="378">
        <v>6953</v>
      </c>
      <c r="F601" s="17">
        <v>25</v>
      </c>
    </row>
    <row r="602" spans="2:6">
      <c r="B602" s="370" t="s">
        <v>1787</v>
      </c>
      <c r="C602" s="399">
        <v>21115490000240</v>
      </c>
      <c r="D602" s="369" t="s">
        <v>1788</v>
      </c>
      <c r="E602" s="378" t="s">
        <v>329</v>
      </c>
      <c r="F602" s="17">
        <v>40</v>
      </c>
    </row>
    <row r="603" spans="2:6">
      <c r="B603" s="370" t="s">
        <v>1789</v>
      </c>
      <c r="C603" s="399">
        <v>21165950000125</v>
      </c>
      <c r="D603" s="369" t="s">
        <v>1790</v>
      </c>
      <c r="E603" s="378">
        <v>6995</v>
      </c>
      <c r="F603" s="17">
        <v>25</v>
      </c>
    </row>
    <row r="604" spans="2:6">
      <c r="B604" s="370" t="s">
        <v>1791</v>
      </c>
      <c r="C604" s="399">
        <v>21163240000100</v>
      </c>
      <c r="D604" s="369" t="s">
        <v>1792</v>
      </c>
      <c r="E604" s="378">
        <v>6824</v>
      </c>
      <c r="F604" s="17" t="s">
        <v>58</v>
      </c>
    </row>
    <row r="605" spans="2:6">
      <c r="B605" s="370" t="s">
        <v>1793</v>
      </c>
      <c r="C605" s="399">
        <v>21115531399250</v>
      </c>
      <c r="D605" s="369" t="s">
        <v>1649</v>
      </c>
      <c r="E605" s="379" t="s">
        <v>406</v>
      </c>
      <c r="F605" s="17">
        <v>50</v>
      </c>
    </row>
    <row r="606" spans="2:6">
      <c r="B606" s="370" t="s">
        <v>1794</v>
      </c>
      <c r="C606" s="399">
        <v>21163240000125</v>
      </c>
      <c r="D606" s="369" t="s">
        <v>1795</v>
      </c>
      <c r="E606" s="378">
        <v>6824</v>
      </c>
      <c r="F606" s="17">
        <v>25</v>
      </c>
    </row>
    <row r="607" spans="2:6">
      <c r="B607" s="370" t="s">
        <v>1796</v>
      </c>
      <c r="C607" s="399">
        <v>21163950000125</v>
      </c>
      <c r="D607" s="369" t="s">
        <v>1797</v>
      </c>
      <c r="E607" s="378">
        <v>6895</v>
      </c>
      <c r="F607" s="17">
        <v>25</v>
      </c>
    </row>
    <row r="608" spans="2:6">
      <c r="B608" s="370" t="s">
        <v>1798</v>
      </c>
      <c r="C608" s="399">
        <v>21115531399300</v>
      </c>
      <c r="D608" s="369" t="s">
        <v>1661</v>
      </c>
      <c r="E608" s="378" t="s">
        <v>406</v>
      </c>
      <c r="F608" s="17" t="s">
        <v>58</v>
      </c>
    </row>
    <row r="609" spans="2:6">
      <c r="B609" s="640" t="s">
        <v>1799</v>
      </c>
      <c r="C609" s="640">
        <v>21165240000125</v>
      </c>
      <c r="D609" s="576" t="s">
        <v>1800</v>
      </c>
      <c r="E609" s="378">
        <v>6924</v>
      </c>
      <c r="F609" s="17">
        <v>25</v>
      </c>
    </row>
    <row r="610" spans="2:6">
      <c r="B610" s="370" t="s">
        <v>1801</v>
      </c>
      <c r="C610" s="399">
        <v>21115660000900</v>
      </c>
      <c r="D610" s="369" t="s">
        <v>1802</v>
      </c>
      <c r="E610" s="379" t="s">
        <v>419</v>
      </c>
      <c r="F610" s="17" t="s">
        <v>437</v>
      </c>
    </row>
    <row r="611" spans="2:6">
      <c r="B611" s="370" t="s">
        <v>1803</v>
      </c>
      <c r="C611" s="399">
        <v>21115531900900</v>
      </c>
      <c r="D611" s="369" t="s">
        <v>1599</v>
      </c>
      <c r="E611" s="378" t="s">
        <v>408</v>
      </c>
      <c r="F611" s="17" t="s">
        <v>437</v>
      </c>
    </row>
    <row r="612" spans="2:6">
      <c r="B612" s="370" t="s">
        <v>1804</v>
      </c>
      <c r="C612" s="399">
        <v>21115520000900</v>
      </c>
      <c r="D612" s="369" t="s">
        <v>1603</v>
      </c>
      <c r="E612" s="378" t="s">
        <v>382</v>
      </c>
      <c r="F612" s="17" t="s">
        <v>437</v>
      </c>
    </row>
    <row r="613" spans="2:6">
      <c r="B613" s="370" t="s">
        <v>1805</v>
      </c>
      <c r="C613" s="399">
        <v>21115521900900</v>
      </c>
      <c r="D613" s="369" t="s">
        <v>1618</v>
      </c>
      <c r="E613" s="378" t="s">
        <v>393</v>
      </c>
      <c r="F613" s="17" t="s">
        <v>437</v>
      </c>
    </row>
    <row r="614" spans="2:6">
      <c r="B614" s="370" t="s">
        <v>1806</v>
      </c>
      <c r="C614" s="399">
        <v>21115621699300</v>
      </c>
      <c r="D614" s="369" t="s">
        <v>1807</v>
      </c>
      <c r="E614" s="378" t="s">
        <v>416</v>
      </c>
      <c r="F614" s="17" t="s">
        <v>58</v>
      </c>
    </row>
    <row r="615" spans="2:6">
      <c r="B615" s="370" t="s">
        <v>1808</v>
      </c>
      <c r="C615" s="399">
        <v>21115510000900</v>
      </c>
      <c r="D615" s="369" t="s">
        <v>1607</v>
      </c>
      <c r="E615" s="378" t="s">
        <v>356</v>
      </c>
      <c r="F615" s="17" t="s">
        <v>437</v>
      </c>
    </row>
    <row r="616" spans="2:6">
      <c r="B616" s="370" t="s">
        <v>1809</v>
      </c>
      <c r="C616" s="399">
        <v>21115101499250</v>
      </c>
      <c r="D616" s="369" t="s">
        <v>1385</v>
      </c>
      <c r="E616" s="378" t="s">
        <v>279</v>
      </c>
      <c r="F616" s="17">
        <v>50</v>
      </c>
    </row>
    <row r="617" spans="2:6">
      <c r="B617" s="370" t="s">
        <v>1810</v>
      </c>
      <c r="C617" s="399">
        <v>21115114399250</v>
      </c>
      <c r="D617" s="369" t="s">
        <v>1222</v>
      </c>
      <c r="E617" s="379" t="s">
        <v>295</v>
      </c>
      <c r="F617" s="17">
        <v>50</v>
      </c>
    </row>
    <row r="618" spans="2:6">
      <c r="B618" s="370" t="s">
        <v>1811</v>
      </c>
      <c r="C618" s="399">
        <v>21115671999250</v>
      </c>
      <c r="D618" s="369" t="s">
        <v>1324</v>
      </c>
      <c r="E618" s="378" t="s">
        <v>1812</v>
      </c>
      <c r="F618" s="17">
        <v>50</v>
      </c>
    </row>
    <row r="619" spans="2:6">
      <c r="B619" s="370" t="s">
        <v>1813</v>
      </c>
      <c r="C619" s="399">
        <v>21115671999300</v>
      </c>
      <c r="D619" s="369" t="s">
        <v>1316</v>
      </c>
      <c r="E619" s="378" t="s">
        <v>1812</v>
      </c>
      <c r="F619" s="17" t="s">
        <v>58</v>
      </c>
    </row>
    <row r="620" spans="2:6">
      <c r="B620" s="370" t="s">
        <v>1814</v>
      </c>
      <c r="C620" s="399">
        <v>21165480000125</v>
      </c>
      <c r="D620" s="369" t="s">
        <v>1815</v>
      </c>
      <c r="E620" s="378">
        <v>6948</v>
      </c>
      <c r="F620" s="17">
        <v>25</v>
      </c>
    </row>
    <row r="621" spans="2:6">
      <c r="B621" s="370" t="s">
        <v>1816</v>
      </c>
      <c r="C621" s="399">
        <v>21163840000125</v>
      </c>
      <c r="D621" s="369" t="s">
        <v>1817</v>
      </c>
      <c r="E621" s="378">
        <v>6884</v>
      </c>
      <c r="F621" s="17">
        <v>25</v>
      </c>
    </row>
    <row r="622" spans="2:6">
      <c r="B622" s="370" t="s">
        <v>1818</v>
      </c>
      <c r="C622" s="399">
        <v>21135240000100</v>
      </c>
      <c r="D622" s="369" t="s">
        <v>1819</v>
      </c>
      <c r="E622" s="378" t="s">
        <v>196</v>
      </c>
      <c r="F622" s="17" t="s">
        <v>58</v>
      </c>
    </row>
    <row r="623" spans="2:6">
      <c r="B623" s="370" t="s">
        <v>1820</v>
      </c>
      <c r="C623" s="399">
        <v>21115511600100</v>
      </c>
      <c r="D623" s="369" t="s">
        <v>1821</v>
      </c>
      <c r="E623" s="379" t="s">
        <v>59</v>
      </c>
      <c r="F623" s="17" t="s">
        <v>58</v>
      </c>
    </row>
    <row r="624" spans="2:6">
      <c r="B624" s="370" t="s">
        <v>1822</v>
      </c>
      <c r="C624" s="370" t="s">
        <v>1822</v>
      </c>
      <c r="D624" s="369" t="s">
        <v>1823</v>
      </c>
      <c r="E624" s="378" t="s">
        <v>63</v>
      </c>
      <c r="F624" s="17" t="s">
        <v>58</v>
      </c>
    </row>
    <row r="625" spans="2:6">
      <c r="B625" s="370" t="s">
        <v>1824</v>
      </c>
      <c r="C625" s="399">
        <v>21115531916100</v>
      </c>
      <c r="D625" s="369" t="s">
        <v>1825</v>
      </c>
      <c r="E625" s="379" t="s">
        <v>67</v>
      </c>
      <c r="F625" s="17" t="s">
        <v>58</v>
      </c>
    </row>
    <row r="626" spans="2:6">
      <c r="B626" s="370" t="s">
        <v>1826</v>
      </c>
      <c r="C626" s="399">
        <v>21115517500900</v>
      </c>
      <c r="D626" s="369" t="s">
        <v>1609</v>
      </c>
      <c r="E626" s="378" t="s">
        <v>368</v>
      </c>
      <c r="F626" s="17" t="s">
        <v>437</v>
      </c>
    </row>
    <row r="627" spans="2:6">
      <c r="B627" s="370" t="s">
        <v>1827</v>
      </c>
      <c r="C627" s="399">
        <v>21115671900900</v>
      </c>
      <c r="D627" s="369" t="s">
        <v>1828</v>
      </c>
      <c r="E627" s="379" t="s">
        <v>426</v>
      </c>
      <c r="F627" s="17" t="s">
        <v>437</v>
      </c>
    </row>
    <row r="628" spans="2:6">
      <c r="B628" s="370" t="s">
        <v>1829</v>
      </c>
      <c r="C628" s="399">
        <v>21115101499300</v>
      </c>
      <c r="D628" s="369" t="s">
        <v>1088</v>
      </c>
      <c r="E628" s="378" t="s">
        <v>279</v>
      </c>
      <c r="F628" s="17" t="s">
        <v>58</v>
      </c>
    </row>
    <row r="629" spans="2:6">
      <c r="B629" s="370" t="s">
        <v>1830</v>
      </c>
      <c r="C629" s="399">
        <v>21165840000125</v>
      </c>
      <c r="D629" s="369" t="s">
        <v>1831</v>
      </c>
      <c r="E629" s="378">
        <v>6984</v>
      </c>
      <c r="F629" s="17">
        <v>25</v>
      </c>
    </row>
    <row r="630" spans="2:6">
      <c r="B630" s="370" t="s">
        <v>1832</v>
      </c>
      <c r="C630" s="399">
        <v>21115501999225</v>
      </c>
      <c r="D630" s="369" t="s">
        <v>1460</v>
      </c>
      <c r="E630" s="379" t="s">
        <v>436</v>
      </c>
      <c r="F630" s="17">
        <v>25</v>
      </c>
    </row>
    <row r="631" spans="2:6">
      <c r="B631" s="370" t="s">
        <v>1833</v>
      </c>
      <c r="C631" s="399">
        <v>21115517599250</v>
      </c>
      <c r="D631" s="369" t="s">
        <v>1350</v>
      </c>
      <c r="E631" s="379" t="s">
        <v>380</v>
      </c>
      <c r="F631" s="17">
        <v>50</v>
      </c>
    </row>
    <row r="632" spans="2:6">
      <c r="B632" s="370" t="s">
        <v>1834</v>
      </c>
      <c r="C632" s="399">
        <v>21115510099250</v>
      </c>
      <c r="D632" s="369" t="s">
        <v>1591</v>
      </c>
      <c r="E632" s="379" t="s">
        <v>364</v>
      </c>
      <c r="F632" s="17">
        <v>50</v>
      </c>
    </row>
    <row r="633" spans="2:6">
      <c r="B633" s="370" t="s">
        <v>1835</v>
      </c>
      <c r="C633" s="399">
        <v>21115510099300</v>
      </c>
      <c r="D633" s="369" t="s">
        <v>1614</v>
      </c>
      <c r="E633" s="379" t="s">
        <v>364</v>
      </c>
      <c r="F633" s="17" t="s">
        <v>58</v>
      </c>
    </row>
    <row r="634" spans="2:6">
      <c r="B634" s="370" t="s">
        <v>1836</v>
      </c>
      <c r="C634" s="399">
        <v>21115501699210</v>
      </c>
      <c r="D634" s="369" t="s">
        <v>1837</v>
      </c>
      <c r="E634" s="379" t="s">
        <v>352</v>
      </c>
      <c r="F634" s="17">
        <v>10</v>
      </c>
    </row>
    <row r="635" spans="2:6">
      <c r="B635" s="370" t="s">
        <v>1838</v>
      </c>
      <c r="C635" s="399">
        <v>21115114399300</v>
      </c>
      <c r="D635" s="369" t="s">
        <v>1217</v>
      </c>
      <c r="E635" s="378" t="s">
        <v>295</v>
      </c>
      <c r="F635" s="17" t="s">
        <v>58</v>
      </c>
    </row>
    <row r="636" spans="2:6">
      <c r="B636" s="370" t="s">
        <v>1839</v>
      </c>
      <c r="C636" s="399">
        <v>21135220000100</v>
      </c>
      <c r="D636" s="369" t="s">
        <v>1840</v>
      </c>
      <c r="E636" s="378" t="s">
        <v>194</v>
      </c>
      <c r="F636" s="17" t="s">
        <v>66</v>
      </c>
    </row>
    <row r="637" spans="2:6">
      <c r="B637" s="370" t="s">
        <v>1841</v>
      </c>
      <c r="C637" s="399">
        <v>21115517599300</v>
      </c>
      <c r="D637" s="369" t="s">
        <v>1346</v>
      </c>
      <c r="E637" s="379" t="s">
        <v>380</v>
      </c>
      <c r="F637" s="17" t="s">
        <v>58</v>
      </c>
    </row>
    <row r="638" spans="2:6">
      <c r="B638" s="370" t="s">
        <v>1842</v>
      </c>
      <c r="C638" s="399">
        <v>21135490000100</v>
      </c>
      <c r="D638" s="369" t="s">
        <v>1843</v>
      </c>
      <c r="E638" s="379" t="s">
        <v>229</v>
      </c>
      <c r="F638" s="17" t="s">
        <v>66</v>
      </c>
    </row>
    <row r="639" spans="2:6">
      <c r="B639" s="370" t="s">
        <v>1844</v>
      </c>
      <c r="C639" s="399">
        <v>21115221600125</v>
      </c>
      <c r="D639" s="369" t="s">
        <v>1845</v>
      </c>
      <c r="E639" s="378" t="s">
        <v>50</v>
      </c>
      <c r="F639" s="17">
        <v>25</v>
      </c>
    </row>
    <row r="640" spans="2:6">
      <c r="B640" s="370" t="s">
        <v>1846</v>
      </c>
      <c r="C640" s="399">
        <v>21196240000100</v>
      </c>
      <c r="D640" s="369" t="s">
        <v>1847</v>
      </c>
      <c r="E640" s="378">
        <v>9624</v>
      </c>
      <c r="F640" s="17" t="s">
        <v>58</v>
      </c>
    </row>
    <row r="641" spans="2:6">
      <c r="B641" s="370" t="s">
        <v>1848</v>
      </c>
      <c r="C641" s="399">
        <v>21115501600100</v>
      </c>
      <c r="D641" s="369" t="s">
        <v>1849</v>
      </c>
      <c r="E641" s="378" t="s">
        <v>54</v>
      </c>
      <c r="F641" s="17" t="s">
        <v>58</v>
      </c>
    </row>
    <row r="642" spans="2:6">
      <c r="B642" s="370" t="s">
        <v>1850</v>
      </c>
      <c r="C642" s="399">
        <v>21135521900100</v>
      </c>
      <c r="D642" s="369" t="s">
        <v>1851</v>
      </c>
      <c r="E642" s="379" t="s">
        <v>236</v>
      </c>
      <c r="F642" s="17" t="s">
        <v>58</v>
      </c>
    </row>
    <row r="643" spans="2:6">
      <c r="B643" s="370" t="s">
        <v>1852</v>
      </c>
      <c r="C643" s="399">
        <v>21135240000125</v>
      </c>
      <c r="D643" s="369" t="s">
        <v>1853</v>
      </c>
      <c r="E643" s="378" t="s">
        <v>196</v>
      </c>
      <c r="F643" s="17">
        <v>25</v>
      </c>
    </row>
    <row r="644" spans="2:6">
      <c r="B644" s="370" t="s">
        <v>1854</v>
      </c>
      <c r="C644" s="399">
        <v>21135480000100</v>
      </c>
      <c r="D644" s="369" t="s">
        <v>1855</v>
      </c>
      <c r="E644" s="379" t="s">
        <v>228</v>
      </c>
      <c r="F644" s="16" t="s">
        <v>58</v>
      </c>
    </row>
    <row r="645" spans="2:6">
      <c r="B645" s="370" t="s">
        <v>1856</v>
      </c>
      <c r="C645" s="399">
        <v>21115020000125</v>
      </c>
      <c r="D645" s="369" t="s">
        <v>1857</v>
      </c>
      <c r="E645" s="378">
        <v>502</v>
      </c>
      <c r="F645" s="17">
        <v>25</v>
      </c>
    </row>
    <row r="646" spans="2:6">
      <c r="B646" s="370" t="s">
        <v>1858</v>
      </c>
      <c r="C646" s="399">
        <v>21196240000125</v>
      </c>
      <c r="D646" s="369" t="s">
        <v>1859</v>
      </c>
      <c r="E646" s="378">
        <v>9624</v>
      </c>
      <c r="F646" s="17">
        <v>25</v>
      </c>
    </row>
    <row r="647" spans="2:6">
      <c r="B647" s="370" t="s">
        <v>1860</v>
      </c>
      <c r="C647" s="399">
        <v>21113220000100</v>
      </c>
      <c r="D647" s="369" t="s">
        <v>1861</v>
      </c>
      <c r="E647" s="378">
        <v>322</v>
      </c>
      <c r="F647" s="17" t="s">
        <v>58</v>
      </c>
    </row>
    <row r="648" spans="2:6">
      <c r="B648" s="399" t="s">
        <v>1862</v>
      </c>
      <c r="C648" s="399" t="s">
        <v>1862</v>
      </c>
      <c r="D648" s="576" t="s">
        <v>1863</v>
      </c>
      <c r="E648" s="378" t="s">
        <v>156</v>
      </c>
      <c r="F648" s="17">
        <v>25</v>
      </c>
    </row>
    <row r="649" spans="2:6">
      <c r="B649" s="370" t="s">
        <v>1864</v>
      </c>
      <c r="C649" s="370" t="s">
        <v>1864</v>
      </c>
      <c r="D649" s="576" t="s">
        <v>1865</v>
      </c>
      <c r="E649" s="378" t="s">
        <v>57</v>
      </c>
      <c r="F649" s="17">
        <v>25</v>
      </c>
    </row>
    <row r="650" spans="2:6">
      <c r="B650" s="370" t="s">
        <v>1866</v>
      </c>
      <c r="C650" s="399">
        <v>21196220000100</v>
      </c>
      <c r="D650" s="369" t="s">
        <v>1867</v>
      </c>
      <c r="E650" s="378">
        <v>9622</v>
      </c>
      <c r="F650" s="17" t="s">
        <v>58</v>
      </c>
    </row>
    <row r="651" spans="2:6">
      <c r="B651" s="370" t="s">
        <v>1868</v>
      </c>
      <c r="C651" s="399">
        <v>21115621699300</v>
      </c>
      <c r="D651" s="369" t="s">
        <v>1807</v>
      </c>
      <c r="E651" s="378" t="s">
        <v>418</v>
      </c>
      <c r="F651" s="17" t="s">
        <v>58</v>
      </c>
    </row>
    <row r="652" spans="2:6">
      <c r="B652" s="370" t="s">
        <v>1869</v>
      </c>
      <c r="C652" s="399">
        <v>21115507800125</v>
      </c>
      <c r="D652" s="369" t="s">
        <v>1870</v>
      </c>
      <c r="E652" s="378" t="s">
        <v>155</v>
      </c>
      <c r="F652" s="17">
        <v>25</v>
      </c>
    </row>
    <row r="653" spans="2:6">
      <c r="B653" s="370" t="s">
        <v>1871</v>
      </c>
      <c r="C653" s="399">
        <v>21135512400125</v>
      </c>
      <c r="D653" s="369" t="s">
        <v>1872</v>
      </c>
      <c r="E653" s="378" t="s">
        <v>232</v>
      </c>
      <c r="F653" s="17">
        <v>25</v>
      </c>
    </row>
    <row r="654" spans="2:6">
      <c r="B654" s="370" t="s">
        <v>1873</v>
      </c>
      <c r="C654" s="399">
        <v>21135210000100</v>
      </c>
      <c r="D654" s="369" t="s">
        <v>1874</v>
      </c>
      <c r="E654" s="378" t="s">
        <v>195</v>
      </c>
      <c r="F654" s="17" t="s">
        <v>66</v>
      </c>
    </row>
    <row r="655" spans="2:6">
      <c r="B655" s="370" t="s">
        <v>1875</v>
      </c>
      <c r="C655" s="399" t="s">
        <v>1875</v>
      </c>
      <c r="D655" s="369" t="s">
        <v>1876</v>
      </c>
      <c r="E655" s="378" t="s">
        <v>409</v>
      </c>
      <c r="F655" s="17">
        <v>25</v>
      </c>
    </row>
    <row r="656" spans="2:6">
      <c r="B656" s="370" t="s">
        <v>1877</v>
      </c>
      <c r="C656" s="399">
        <v>21115527816100</v>
      </c>
      <c r="D656" s="369" t="s">
        <v>1878</v>
      </c>
      <c r="E656" s="378" t="s">
        <v>62</v>
      </c>
      <c r="F656" s="17" t="s">
        <v>66</v>
      </c>
    </row>
    <row r="657" spans="2:6">
      <c r="B657" s="370" t="s">
        <v>1879</v>
      </c>
      <c r="C657" s="399">
        <v>21196241600100</v>
      </c>
      <c r="D657" s="369" t="s">
        <v>1880</v>
      </c>
      <c r="E657" s="378" t="s">
        <v>248</v>
      </c>
      <c r="F657" s="17" t="s">
        <v>66</v>
      </c>
    </row>
    <row r="658" spans="2:6">
      <c r="B658" s="370" t="s">
        <v>1881</v>
      </c>
      <c r="C658" s="399">
        <v>21115512416100</v>
      </c>
      <c r="D658" s="369" t="s">
        <v>1882</v>
      </c>
      <c r="E658" s="378" t="s">
        <v>60</v>
      </c>
      <c r="F658" s="17" t="s">
        <v>66</v>
      </c>
    </row>
    <row r="659" spans="2:6">
      <c r="B659" s="370" t="s">
        <v>1883</v>
      </c>
      <c r="C659" s="399">
        <v>21115211600125</v>
      </c>
      <c r="D659" s="369" t="s">
        <v>1884</v>
      </c>
      <c r="E659" s="379" t="s">
        <v>53</v>
      </c>
      <c r="F659" s="17">
        <v>25</v>
      </c>
    </row>
    <row r="660" spans="2:6">
      <c r="B660" s="370" t="s">
        <v>1885</v>
      </c>
      <c r="C660" s="399">
        <v>21115671999300</v>
      </c>
      <c r="D660" s="369" t="s">
        <v>1316</v>
      </c>
      <c r="E660" s="378" t="s">
        <v>433</v>
      </c>
      <c r="F660" s="17" t="s">
        <v>58</v>
      </c>
    </row>
    <row r="661" spans="2:6">
      <c r="B661" s="370" t="s">
        <v>1886</v>
      </c>
      <c r="C661" s="399">
        <v>21115671999250</v>
      </c>
      <c r="D661" s="369" t="s">
        <v>1324</v>
      </c>
      <c r="E661" s="378" t="s">
        <v>433</v>
      </c>
      <c r="F661" s="17">
        <v>50</v>
      </c>
    </row>
    <row r="662" spans="2:6">
      <c r="B662" s="370" t="s">
        <v>786</v>
      </c>
      <c r="C662" s="370" t="s">
        <v>786</v>
      </c>
      <c r="D662" s="369" t="s">
        <v>1887</v>
      </c>
      <c r="E662" s="379" t="s">
        <v>376</v>
      </c>
      <c r="F662" s="17">
        <v>50</v>
      </c>
    </row>
    <row r="663" spans="2:6">
      <c r="B663" s="370" t="s">
        <v>1888</v>
      </c>
      <c r="C663" s="370" t="s">
        <v>1888</v>
      </c>
      <c r="D663" s="369" t="s">
        <v>1889</v>
      </c>
      <c r="E663" s="379" t="s">
        <v>216</v>
      </c>
      <c r="F663" s="17">
        <v>25</v>
      </c>
    </row>
    <row r="664" spans="2:6">
      <c r="B664" s="370" t="s">
        <v>1890</v>
      </c>
      <c r="C664" s="370" t="s">
        <v>1890</v>
      </c>
      <c r="D664" s="369" t="s">
        <v>1891</v>
      </c>
      <c r="E664" s="378" t="s">
        <v>285</v>
      </c>
      <c r="F664" s="17">
        <v>50</v>
      </c>
    </row>
    <row r="665" spans="2:6">
      <c r="B665" s="370" t="s">
        <v>1892</v>
      </c>
      <c r="C665" s="370" t="s">
        <v>1892</v>
      </c>
      <c r="D665" s="369" t="s">
        <v>1893</v>
      </c>
      <c r="E665" s="379" t="s">
        <v>217</v>
      </c>
      <c r="F665" s="17">
        <v>25</v>
      </c>
    </row>
    <row r="666" spans="2:6">
      <c r="B666" s="370" t="s">
        <v>1894</v>
      </c>
      <c r="C666" s="370" t="s">
        <v>1894</v>
      </c>
      <c r="D666" s="369" t="s">
        <v>1895</v>
      </c>
      <c r="E666" s="378" t="s">
        <v>301</v>
      </c>
      <c r="F666" s="17">
        <v>50</v>
      </c>
    </row>
    <row r="667" spans="2:6">
      <c r="B667" s="370" t="s">
        <v>1896</v>
      </c>
      <c r="C667" s="370">
        <v>21115510099125</v>
      </c>
      <c r="D667" s="369" t="s">
        <v>1897</v>
      </c>
      <c r="E667" s="378" t="s">
        <v>157</v>
      </c>
      <c r="F667" s="17">
        <v>25</v>
      </c>
    </row>
    <row r="668" spans="2:6">
      <c r="B668" s="370" t="s">
        <v>1898</v>
      </c>
      <c r="C668" s="370" t="s">
        <v>1899</v>
      </c>
      <c r="D668" s="369" t="s">
        <v>1900</v>
      </c>
      <c r="E668" s="379" t="s">
        <v>267</v>
      </c>
      <c r="F668" s="17">
        <v>50</v>
      </c>
    </row>
    <row r="669" spans="2:6">
      <c r="B669" s="370" t="s">
        <v>1901</v>
      </c>
      <c r="C669" s="370">
        <v>21115671999250</v>
      </c>
      <c r="D669" s="369" t="s">
        <v>1324</v>
      </c>
      <c r="E669" s="378" t="s">
        <v>445</v>
      </c>
      <c r="F669" s="17">
        <v>50</v>
      </c>
    </row>
    <row r="670" spans="2:6">
      <c r="B670" s="370" t="s">
        <v>1902</v>
      </c>
      <c r="C670" s="370">
        <v>21115501999300</v>
      </c>
      <c r="D670" s="369" t="s">
        <v>1748</v>
      </c>
      <c r="E670" s="378" t="s">
        <v>436</v>
      </c>
      <c r="F670" s="17" t="s">
        <v>66</v>
      </c>
    </row>
    <row r="671" spans="2:6">
      <c r="B671" s="370" t="s">
        <v>1903</v>
      </c>
      <c r="C671" s="370" t="s">
        <v>1904</v>
      </c>
      <c r="D671" s="369" t="s">
        <v>1905</v>
      </c>
      <c r="E671" s="378" t="s">
        <v>286</v>
      </c>
      <c r="F671" s="17">
        <v>50</v>
      </c>
    </row>
    <row r="672" spans="2:6">
      <c r="B672" s="370" t="s">
        <v>1906</v>
      </c>
      <c r="C672" s="370">
        <v>21115211916125</v>
      </c>
      <c r="D672" s="369" t="s">
        <v>1907</v>
      </c>
      <c r="E672" s="378" t="s">
        <v>52</v>
      </c>
      <c r="F672" s="17">
        <v>25</v>
      </c>
    </row>
    <row r="673" spans="2:6">
      <c r="B673" s="370" t="s">
        <v>1908</v>
      </c>
      <c r="C673" s="370">
        <v>21115437100125</v>
      </c>
      <c r="D673" s="369" t="s">
        <v>1909</v>
      </c>
      <c r="E673" s="378" t="s">
        <v>152</v>
      </c>
      <c r="F673" s="17">
        <v>25</v>
      </c>
    </row>
    <row r="674" spans="2:6">
      <c r="B674" s="370" t="s">
        <v>1910</v>
      </c>
      <c r="C674" s="370">
        <v>21135670000100</v>
      </c>
      <c r="D674" s="369" t="s">
        <v>1911</v>
      </c>
      <c r="E674" s="378" t="s">
        <v>244</v>
      </c>
      <c r="F674" s="17" t="s">
        <v>66</v>
      </c>
    </row>
    <row r="675" spans="2:6">
      <c r="B675" s="370" t="s">
        <v>1912</v>
      </c>
      <c r="C675" s="370">
        <v>21115621699250</v>
      </c>
      <c r="D675" s="369" t="s">
        <v>1611</v>
      </c>
      <c r="E675" s="378" t="s">
        <v>417</v>
      </c>
      <c r="F675" s="17">
        <v>50</v>
      </c>
    </row>
    <row r="676" spans="2:6">
      <c r="B676" s="370" t="s">
        <v>1913</v>
      </c>
      <c r="C676" s="370">
        <v>21135110000100</v>
      </c>
      <c r="D676" s="369" t="s">
        <v>1914</v>
      </c>
      <c r="E676" s="378" t="s">
        <v>205</v>
      </c>
      <c r="F676" s="17" t="s">
        <v>66</v>
      </c>
    </row>
    <row r="677" spans="2:6">
      <c r="B677" s="370" t="s">
        <v>1915</v>
      </c>
      <c r="C677" s="370">
        <v>21115671999250</v>
      </c>
      <c r="D677" s="369" t="s">
        <v>1324</v>
      </c>
      <c r="E677" s="378" t="s">
        <v>434</v>
      </c>
      <c r="F677" s="17">
        <v>50</v>
      </c>
    </row>
    <row r="678" spans="2:6">
      <c r="B678" s="370" t="s">
        <v>1916</v>
      </c>
      <c r="C678" s="370">
        <v>21115501999250</v>
      </c>
      <c r="D678" s="369" t="s">
        <v>1917</v>
      </c>
      <c r="E678" s="378" t="s">
        <v>436</v>
      </c>
      <c r="F678" s="17">
        <v>50</v>
      </c>
    </row>
    <row r="679" spans="2:6">
      <c r="B679" s="370" t="s">
        <v>1918</v>
      </c>
      <c r="C679" s="370" t="s">
        <v>1918</v>
      </c>
      <c r="D679" s="369" t="s">
        <v>1919</v>
      </c>
      <c r="E679" s="378" t="s">
        <v>308</v>
      </c>
      <c r="F679" s="17">
        <v>50</v>
      </c>
    </row>
    <row r="680" spans="2:6">
      <c r="B680" s="370" t="s">
        <v>1920</v>
      </c>
      <c r="C680" s="370">
        <v>21115501900250</v>
      </c>
      <c r="D680" s="369" t="s">
        <v>1921</v>
      </c>
      <c r="E680" s="379" t="s">
        <v>344</v>
      </c>
      <c r="F680" s="17">
        <v>50</v>
      </c>
    </row>
    <row r="681" spans="2:6">
      <c r="B681" s="370" t="s">
        <v>1922</v>
      </c>
      <c r="C681" s="370">
        <v>21115517599250</v>
      </c>
      <c r="D681" s="369" t="s">
        <v>1350</v>
      </c>
      <c r="E681" s="378" t="s">
        <v>377</v>
      </c>
      <c r="F681" s="17">
        <v>50</v>
      </c>
    </row>
    <row r="682" spans="2:6">
      <c r="B682" s="370" t="s">
        <v>1923</v>
      </c>
      <c r="C682" s="370">
        <v>21115520099250</v>
      </c>
      <c r="D682" s="369" t="s">
        <v>1320</v>
      </c>
      <c r="E682" s="378" t="s">
        <v>386</v>
      </c>
      <c r="F682" s="17">
        <v>50</v>
      </c>
    </row>
    <row r="683" spans="2:6">
      <c r="B683" s="370" t="s">
        <v>1924</v>
      </c>
      <c r="C683" s="370">
        <v>21115520099300</v>
      </c>
      <c r="D683" s="369" t="s">
        <v>1322</v>
      </c>
      <c r="E683" s="378" t="s">
        <v>386</v>
      </c>
      <c r="F683" s="17" t="s">
        <v>66</v>
      </c>
    </row>
    <row r="684" spans="2:6">
      <c r="B684" s="370" t="s">
        <v>1925</v>
      </c>
      <c r="C684" s="370" t="s">
        <v>1925</v>
      </c>
      <c r="D684" s="369" t="s">
        <v>1926</v>
      </c>
      <c r="E684" s="378" t="s">
        <v>172</v>
      </c>
      <c r="F684" s="17">
        <v>25</v>
      </c>
    </row>
    <row r="685" spans="2:6">
      <c r="B685" s="370" t="s">
        <v>1927</v>
      </c>
      <c r="C685" s="370">
        <v>21135100000100</v>
      </c>
      <c r="D685" s="369" t="s">
        <v>1928</v>
      </c>
      <c r="E685" s="378" t="s">
        <v>203</v>
      </c>
      <c r="F685" s="17" t="s">
        <v>66</v>
      </c>
    </row>
    <row r="686" spans="2:6">
      <c r="B686" s="370" t="s">
        <v>1929</v>
      </c>
      <c r="C686" s="370">
        <v>21115501900300</v>
      </c>
      <c r="D686" s="369" t="s">
        <v>1930</v>
      </c>
      <c r="E686" s="378" t="s">
        <v>344</v>
      </c>
      <c r="F686" s="17" t="s">
        <v>66</v>
      </c>
    </row>
    <row r="687" spans="2:6">
      <c r="B687" s="370" t="s">
        <v>1931</v>
      </c>
      <c r="C687" s="370" t="s">
        <v>1931</v>
      </c>
      <c r="D687" s="369" t="s">
        <v>1932</v>
      </c>
      <c r="E687" s="378" t="s">
        <v>160</v>
      </c>
      <c r="F687" s="17">
        <v>25</v>
      </c>
    </row>
    <row r="688" spans="2:6">
      <c r="B688" s="370" t="s">
        <v>1933</v>
      </c>
      <c r="C688" s="370">
        <v>21115522400100</v>
      </c>
      <c r="D688" s="369" t="s">
        <v>1934</v>
      </c>
      <c r="E688" s="378" t="s">
        <v>161</v>
      </c>
      <c r="F688" s="17" t="s">
        <v>66</v>
      </c>
    </row>
    <row r="689" spans="2:6">
      <c r="B689" s="370" t="s">
        <v>1935</v>
      </c>
      <c r="C689" s="370">
        <v>21135110100100</v>
      </c>
      <c r="D689" s="369" t="s">
        <v>1936</v>
      </c>
      <c r="E689" s="378" t="s">
        <v>211</v>
      </c>
      <c r="F689" s="17" t="s">
        <v>66</v>
      </c>
    </row>
    <row r="690" spans="2:6">
      <c r="B690" s="370" t="s">
        <v>1937</v>
      </c>
      <c r="C690" s="370">
        <v>21135110200100</v>
      </c>
      <c r="D690" s="369" t="s">
        <v>1938</v>
      </c>
      <c r="E690" s="378" t="s">
        <v>206</v>
      </c>
      <c r="F690" s="17" t="s">
        <v>66</v>
      </c>
    </row>
    <row r="691" spans="2:6">
      <c r="B691" s="370" t="s">
        <v>1939</v>
      </c>
      <c r="C691" s="370">
        <v>21115517599300</v>
      </c>
      <c r="D691" s="369" t="s">
        <v>1346</v>
      </c>
      <c r="E691" s="378" t="s">
        <v>377</v>
      </c>
      <c r="F691" s="17" t="s">
        <v>66</v>
      </c>
    </row>
    <row r="692" spans="2:6">
      <c r="B692" s="370" t="s">
        <v>1940</v>
      </c>
      <c r="C692" s="370">
        <v>21115662400125</v>
      </c>
      <c r="D692" s="369" t="s">
        <v>1941</v>
      </c>
      <c r="E692" s="378" t="s">
        <v>169</v>
      </c>
      <c r="F692" s="17">
        <v>25</v>
      </c>
    </row>
    <row r="693" spans="2:6">
      <c r="B693" s="370" t="s">
        <v>1942</v>
      </c>
      <c r="C693" s="370">
        <v>21115512400100</v>
      </c>
      <c r="D693" s="369" t="s">
        <v>1943</v>
      </c>
      <c r="E693" s="378" t="s">
        <v>156</v>
      </c>
      <c r="F693" s="17" t="s">
        <v>66</v>
      </c>
    </row>
    <row r="694" spans="2:6">
      <c r="B694" s="370" t="s">
        <v>1944</v>
      </c>
      <c r="C694" s="370">
        <v>21115677800100</v>
      </c>
      <c r="D694" s="369" t="s">
        <v>1945</v>
      </c>
      <c r="E694" s="378" t="s">
        <v>171</v>
      </c>
      <c r="F694" s="17" t="s">
        <v>66</v>
      </c>
    </row>
    <row r="695" spans="2:6">
      <c r="B695" s="370" t="s">
        <v>1946</v>
      </c>
      <c r="C695" s="370">
        <v>21115671999300</v>
      </c>
      <c r="D695" s="369" t="s">
        <v>1316</v>
      </c>
      <c r="E695" s="378" t="s">
        <v>429</v>
      </c>
      <c r="F695" s="17" t="s">
        <v>66</v>
      </c>
    </row>
    <row r="696" spans="2:6">
      <c r="B696" s="370" t="s">
        <v>1947</v>
      </c>
      <c r="C696" s="370">
        <v>21115660099300</v>
      </c>
      <c r="D696" s="369" t="s">
        <v>1532</v>
      </c>
      <c r="E696" s="378" t="s">
        <v>421</v>
      </c>
      <c r="F696" s="17" t="s">
        <v>66</v>
      </c>
    </row>
    <row r="697" spans="2:6">
      <c r="B697" s="370" t="s">
        <v>1948</v>
      </c>
      <c r="C697" s="370">
        <v>21115660099250</v>
      </c>
      <c r="D697" s="369" t="s">
        <v>1254</v>
      </c>
      <c r="E697" s="378" t="s">
        <v>421</v>
      </c>
      <c r="F697" s="17">
        <v>50</v>
      </c>
    </row>
    <row r="698" spans="2:6">
      <c r="B698" s="370" t="s">
        <v>1949</v>
      </c>
      <c r="C698" s="370">
        <v>21115671999250</v>
      </c>
      <c r="D698" s="369" t="s">
        <v>1324</v>
      </c>
      <c r="E698" s="378" t="s">
        <v>429</v>
      </c>
      <c r="F698" s="17">
        <v>50</v>
      </c>
    </row>
    <row r="699" spans="2:6">
      <c r="B699" s="370" t="s">
        <v>1950</v>
      </c>
      <c r="C699" s="370">
        <v>21115662400100</v>
      </c>
      <c r="D699" s="369" t="s">
        <v>1951</v>
      </c>
      <c r="E699" s="378" t="s">
        <v>169</v>
      </c>
      <c r="F699" s="17" t="s">
        <v>66</v>
      </c>
    </row>
    <row r="700" spans="2:6">
      <c r="B700" s="370" t="s">
        <v>1952</v>
      </c>
      <c r="C700" s="370">
        <v>21115246100125</v>
      </c>
      <c r="D700" s="369" t="s">
        <v>1953</v>
      </c>
      <c r="E700" s="378" t="s">
        <v>147</v>
      </c>
      <c r="F700" s="17">
        <v>25</v>
      </c>
    </row>
    <row r="701" spans="2:6">
      <c r="B701" s="370" t="s">
        <v>1954</v>
      </c>
      <c r="C701" s="370">
        <v>21115110119125</v>
      </c>
      <c r="D701" s="369" t="s">
        <v>1955</v>
      </c>
      <c r="E701" s="378" t="s">
        <v>138</v>
      </c>
      <c r="F701" s="17">
        <v>25</v>
      </c>
    </row>
    <row r="702" spans="2:6">
      <c r="B702" s="370" t="s">
        <v>1956</v>
      </c>
      <c r="C702" s="370">
        <v>21135110119125</v>
      </c>
      <c r="D702" s="369" t="s">
        <v>1957</v>
      </c>
      <c r="E702" s="378" t="s">
        <v>213</v>
      </c>
      <c r="F702" s="17">
        <v>25</v>
      </c>
    </row>
    <row r="703" spans="2:6">
      <c r="B703" s="370" t="s">
        <v>1958</v>
      </c>
      <c r="C703" s="370" t="s">
        <v>1958</v>
      </c>
      <c r="D703" s="369" t="s">
        <v>1959</v>
      </c>
      <c r="E703" s="378" t="s">
        <v>227</v>
      </c>
      <c r="F703" s="17">
        <v>25</v>
      </c>
    </row>
    <row r="704" spans="2:6">
      <c r="B704" s="370" t="s">
        <v>1960</v>
      </c>
      <c r="C704" s="370">
        <v>21115101900100</v>
      </c>
      <c r="D704" s="369" t="s">
        <v>1961</v>
      </c>
      <c r="E704" s="378" t="s">
        <v>135</v>
      </c>
      <c r="F704" s="17" t="s">
        <v>66</v>
      </c>
    </row>
    <row r="705" spans="2:6">
      <c r="B705" s="370" t="s">
        <v>1962</v>
      </c>
      <c r="C705" s="370">
        <v>21115110119100</v>
      </c>
      <c r="D705" s="369" t="s">
        <v>1963</v>
      </c>
      <c r="E705" s="378" t="s">
        <v>138</v>
      </c>
      <c r="F705" s="17" t="s">
        <v>66</v>
      </c>
    </row>
    <row r="706" spans="2:6">
      <c r="B706" s="370" t="s">
        <v>1964</v>
      </c>
      <c r="C706" s="370" t="s">
        <v>1964</v>
      </c>
      <c r="D706" s="369" t="s">
        <v>1965</v>
      </c>
      <c r="E706" s="378" t="s">
        <v>212</v>
      </c>
      <c r="F706" s="17">
        <v>25</v>
      </c>
    </row>
    <row r="707" spans="2:6">
      <c r="B707" s="370" t="s">
        <v>1727</v>
      </c>
      <c r="C707" s="370">
        <v>21115521600125</v>
      </c>
      <c r="D707" s="369" t="s">
        <v>1728</v>
      </c>
      <c r="E707" s="378" t="s">
        <v>63</v>
      </c>
      <c r="F707" s="17">
        <v>25</v>
      </c>
    </row>
    <row r="708" spans="2:6">
      <c r="B708" s="370" t="s">
        <v>1966</v>
      </c>
      <c r="C708" s="370">
        <v>21135110119100</v>
      </c>
      <c r="D708" s="369" t="s">
        <v>1967</v>
      </c>
      <c r="E708" s="378" t="s">
        <v>213</v>
      </c>
      <c r="F708" s="17" t="s">
        <v>66</v>
      </c>
    </row>
    <row r="709" spans="2:6">
      <c r="B709" s="370" t="s">
        <v>1968</v>
      </c>
      <c r="C709" s="370">
        <v>21115520099300</v>
      </c>
      <c r="D709" s="369" t="s">
        <v>1322</v>
      </c>
      <c r="E709" s="378" t="s">
        <v>390</v>
      </c>
      <c r="F709" s="17" t="s">
        <v>66</v>
      </c>
    </row>
    <row r="710" spans="2:6">
      <c r="B710" s="370" t="s">
        <v>1969</v>
      </c>
      <c r="C710" s="370">
        <v>21115521999300</v>
      </c>
      <c r="D710" s="369" t="s">
        <v>1311</v>
      </c>
      <c r="E710" s="378" t="s">
        <v>399</v>
      </c>
      <c r="F710" s="17" t="s">
        <v>66</v>
      </c>
    </row>
    <row r="711" spans="2:6">
      <c r="B711" s="370" t="s">
        <v>1970</v>
      </c>
      <c r="C711" s="370">
        <v>21115520099250</v>
      </c>
      <c r="D711" s="369" t="s">
        <v>1320</v>
      </c>
      <c r="E711" s="378" t="s">
        <v>390</v>
      </c>
      <c r="F711" s="17">
        <v>50</v>
      </c>
    </row>
    <row r="712" spans="2:6">
      <c r="B712" s="370" t="s">
        <v>1971</v>
      </c>
      <c r="C712" s="370">
        <v>21115521999250</v>
      </c>
      <c r="D712" s="369" t="s">
        <v>1313</v>
      </c>
      <c r="E712" s="378" t="s">
        <v>399</v>
      </c>
      <c r="F712" s="17">
        <v>50</v>
      </c>
    </row>
    <row r="713" spans="2:6">
      <c r="B713" s="370" t="s">
        <v>1972</v>
      </c>
      <c r="C713" s="370">
        <v>21115627000100</v>
      </c>
      <c r="D713" s="369" t="s">
        <v>1973</v>
      </c>
      <c r="E713" s="378" t="s">
        <v>168</v>
      </c>
      <c r="F713" s="17" t="s">
        <v>66</v>
      </c>
    </row>
    <row r="714" spans="2:6">
      <c r="B714" s="370" t="s">
        <v>1974</v>
      </c>
      <c r="C714" s="370">
        <v>21115111900125</v>
      </c>
      <c r="D714" s="369" t="s">
        <v>1975</v>
      </c>
      <c r="E714" s="378" t="s">
        <v>136</v>
      </c>
      <c r="F714" s="17">
        <v>25</v>
      </c>
    </row>
    <row r="715" spans="2:6">
      <c r="B715" s="370" t="s">
        <v>1976</v>
      </c>
      <c r="C715" s="370">
        <v>21135101900125</v>
      </c>
      <c r="D715" s="369" t="s">
        <v>1977</v>
      </c>
      <c r="E715" s="378" t="s">
        <v>204</v>
      </c>
      <c r="F715" s="17">
        <v>25</v>
      </c>
    </row>
    <row r="716" spans="2:6">
      <c r="B716" s="370" t="s">
        <v>1978</v>
      </c>
      <c r="C716" s="370">
        <v>21115501999250</v>
      </c>
      <c r="D716" s="369" t="s">
        <v>1979</v>
      </c>
      <c r="E716" s="378" t="s">
        <v>349</v>
      </c>
      <c r="F716" s="17">
        <v>50</v>
      </c>
    </row>
    <row r="717" spans="2:6">
      <c r="B717" s="370" t="s">
        <v>1980</v>
      </c>
      <c r="C717" s="370">
        <v>21115101499250</v>
      </c>
      <c r="D717" s="369" t="s">
        <v>1385</v>
      </c>
      <c r="E717" s="378" t="s">
        <v>268</v>
      </c>
      <c r="F717" s="17">
        <v>50</v>
      </c>
    </row>
    <row r="718" spans="2:6">
      <c r="B718" s="370" t="s">
        <v>1981</v>
      </c>
      <c r="C718" s="370">
        <v>21115501999250</v>
      </c>
      <c r="D718" s="369" t="s">
        <v>1979</v>
      </c>
      <c r="E718" s="378" t="s">
        <v>348</v>
      </c>
      <c r="F718" s="17">
        <v>50</v>
      </c>
    </row>
    <row r="719" spans="2:6">
      <c r="B719" s="370" t="s">
        <v>1982</v>
      </c>
      <c r="C719" s="370">
        <v>21115114399250</v>
      </c>
      <c r="D719" s="369" t="s">
        <v>1222</v>
      </c>
      <c r="E719" s="378" t="s">
        <v>287</v>
      </c>
      <c r="F719" s="17">
        <v>50</v>
      </c>
    </row>
    <row r="720" spans="2:6">
      <c r="B720" s="370" t="s">
        <v>1983</v>
      </c>
      <c r="C720" s="370">
        <v>21115660099300</v>
      </c>
      <c r="D720" s="369" t="s">
        <v>1532</v>
      </c>
      <c r="E720" s="378" t="s">
        <v>422</v>
      </c>
      <c r="F720" s="17" t="s">
        <v>66</v>
      </c>
    </row>
    <row r="721" spans="2:6">
      <c r="B721" s="370" t="s">
        <v>1984</v>
      </c>
      <c r="C721" s="370">
        <v>21115501999300</v>
      </c>
      <c r="D721" s="369" t="s">
        <v>1748</v>
      </c>
      <c r="E721" s="378" t="s">
        <v>348</v>
      </c>
      <c r="F721" s="17" t="s">
        <v>66</v>
      </c>
    </row>
    <row r="722" spans="2:6">
      <c r="B722" s="370" t="s">
        <v>1985</v>
      </c>
      <c r="C722" s="370">
        <v>21115660099250</v>
      </c>
      <c r="D722" s="369" t="s">
        <v>1254</v>
      </c>
      <c r="E722" s="378" t="s">
        <v>422</v>
      </c>
      <c r="F722" s="17">
        <v>50</v>
      </c>
    </row>
    <row r="723" spans="2:6">
      <c r="B723" s="370" t="s">
        <v>1986</v>
      </c>
      <c r="C723" s="370">
        <v>21115501999300</v>
      </c>
      <c r="D723" s="369" t="s">
        <v>1748</v>
      </c>
      <c r="E723" s="378" t="s">
        <v>349</v>
      </c>
      <c r="F723" s="17" t="s">
        <v>58</v>
      </c>
    </row>
    <row r="724" spans="2:6">
      <c r="B724" s="370" t="s">
        <v>1987</v>
      </c>
      <c r="C724" s="370">
        <v>21135241600125</v>
      </c>
      <c r="D724" s="369" t="s">
        <v>1988</v>
      </c>
      <c r="E724" s="378" t="s">
        <v>199</v>
      </c>
      <c r="F724" s="17">
        <v>25</v>
      </c>
    </row>
    <row r="725" spans="2:6">
      <c r="B725" s="370" t="s">
        <v>1989</v>
      </c>
      <c r="C725" s="370">
        <v>21135240100100</v>
      </c>
      <c r="D725" s="369" t="s">
        <v>1990</v>
      </c>
      <c r="E725" s="378" t="s">
        <v>197</v>
      </c>
      <c r="F725" s="17" t="s">
        <v>58</v>
      </c>
    </row>
    <row r="726" spans="2:6">
      <c r="B726" s="370" t="s">
        <v>1991</v>
      </c>
      <c r="C726" s="370">
        <v>21135101900100</v>
      </c>
      <c r="D726" s="369" t="s">
        <v>1992</v>
      </c>
      <c r="E726" s="378" t="s">
        <v>204</v>
      </c>
      <c r="F726" s="17" t="s">
        <v>58</v>
      </c>
    </row>
    <row r="727" spans="2:6">
      <c r="B727" s="370" t="s">
        <v>1993</v>
      </c>
      <c r="C727" s="370">
        <v>21115111900100</v>
      </c>
      <c r="D727" s="369" t="s">
        <v>1994</v>
      </c>
      <c r="E727" s="378" t="s">
        <v>136</v>
      </c>
      <c r="F727" s="17" t="s">
        <v>58</v>
      </c>
    </row>
    <row r="728" spans="2:6">
      <c r="B728" s="370" t="s">
        <v>1995</v>
      </c>
      <c r="C728" s="370">
        <v>21135117200125</v>
      </c>
      <c r="D728" s="369" t="s">
        <v>1996</v>
      </c>
      <c r="E728" s="378" t="s">
        <v>207</v>
      </c>
      <c r="F728" s="17">
        <v>25</v>
      </c>
    </row>
    <row r="729" spans="2:6">
      <c r="B729" s="370" t="s">
        <v>1997</v>
      </c>
      <c r="C729" s="370">
        <v>21115020000100</v>
      </c>
      <c r="D729" s="369" t="s">
        <v>1998</v>
      </c>
      <c r="E729" s="378">
        <v>502</v>
      </c>
      <c r="F729" s="17" t="s">
        <v>58</v>
      </c>
    </row>
    <row r="730" spans="2:6">
      <c r="B730" s="370" t="s">
        <v>1999</v>
      </c>
      <c r="C730" s="370" t="s">
        <v>1999</v>
      </c>
      <c r="D730" s="369" t="s">
        <v>2000</v>
      </c>
      <c r="E730" s="378" t="s">
        <v>219</v>
      </c>
      <c r="F730" s="17">
        <v>25</v>
      </c>
    </row>
    <row r="731" spans="2:6">
      <c r="B731" s="370" t="s">
        <v>2001</v>
      </c>
      <c r="C731" s="370">
        <v>21115512416125</v>
      </c>
      <c r="D731" s="369" t="s">
        <v>2002</v>
      </c>
      <c r="E731" s="378" t="s">
        <v>60</v>
      </c>
      <c r="F731" s="17">
        <v>25</v>
      </c>
    </row>
    <row r="732" spans="2:6">
      <c r="B732" s="370" t="s">
        <v>2003</v>
      </c>
      <c r="C732" s="370">
        <v>21165241600125</v>
      </c>
      <c r="D732" s="369" t="s">
        <v>2004</v>
      </c>
      <c r="E732" s="378" t="s">
        <v>81</v>
      </c>
      <c r="F732" s="17">
        <v>25</v>
      </c>
    </row>
    <row r="733" spans="2:6">
      <c r="B733" s="370" t="s">
        <v>2005</v>
      </c>
      <c r="C733" s="370">
        <v>21125440000125</v>
      </c>
      <c r="D733" s="369" t="s">
        <v>2006</v>
      </c>
      <c r="E733" s="378">
        <v>944</v>
      </c>
      <c r="F733" s="17">
        <v>25</v>
      </c>
    </row>
    <row r="734" spans="2:6">
      <c r="B734" s="370" t="s">
        <v>2007</v>
      </c>
      <c r="C734" s="370" t="s">
        <v>2007</v>
      </c>
      <c r="D734" s="369" t="s">
        <v>2008</v>
      </c>
      <c r="E734" s="378" t="s">
        <v>219</v>
      </c>
      <c r="F734" s="17">
        <v>40</v>
      </c>
    </row>
    <row r="735" spans="2:6">
      <c r="B735" s="370" t="s">
        <v>2009</v>
      </c>
      <c r="C735" s="370">
        <v>21135250000125</v>
      </c>
      <c r="D735" s="369" t="s">
        <v>2010</v>
      </c>
      <c r="E735" s="379" t="s">
        <v>200</v>
      </c>
      <c r="F735" s="17">
        <v>25</v>
      </c>
    </row>
    <row r="736" spans="2:6">
      <c r="B736" s="370" t="s">
        <v>2011</v>
      </c>
      <c r="C736" s="370">
        <v>21135240116100</v>
      </c>
      <c r="D736" s="369" t="s">
        <v>2012</v>
      </c>
      <c r="E736" s="378" t="s">
        <v>198</v>
      </c>
      <c r="F736" s="17" t="s">
        <v>58</v>
      </c>
    </row>
    <row r="737" spans="2:6">
      <c r="B737" s="370" t="s">
        <v>2013</v>
      </c>
      <c r="C737" s="370">
        <v>21115221661100</v>
      </c>
      <c r="D737" s="369" t="s">
        <v>2014</v>
      </c>
      <c r="E737" s="379" t="s">
        <v>2015</v>
      </c>
      <c r="F737" s="17" t="s">
        <v>58</v>
      </c>
    </row>
    <row r="738" spans="2:6">
      <c r="B738" s="370" t="s">
        <v>2016</v>
      </c>
      <c r="C738" s="370">
        <v>21165510000125</v>
      </c>
      <c r="D738" s="369" t="s">
        <v>2017</v>
      </c>
      <c r="E738" s="378">
        <v>6951</v>
      </c>
      <c r="F738" s="17">
        <v>25</v>
      </c>
    </row>
    <row r="739" spans="2:6">
      <c r="B739" s="370" t="s">
        <v>2018</v>
      </c>
      <c r="C739" s="370">
        <v>21135491600125</v>
      </c>
      <c r="D739" s="369" t="s">
        <v>2019</v>
      </c>
      <c r="E739" s="378" t="s">
        <v>230</v>
      </c>
      <c r="F739" s="17">
        <v>25</v>
      </c>
    </row>
    <row r="740" spans="2:6">
      <c r="B740" s="370" t="s">
        <v>2020</v>
      </c>
      <c r="C740" s="370">
        <v>21115510099250</v>
      </c>
      <c r="D740" s="369" t="s">
        <v>1591</v>
      </c>
      <c r="E740" s="379" t="s">
        <v>359</v>
      </c>
      <c r="F740" s="17">
        <v>50</v>
      </c>
    </row>
    <row r="741" spans="2:6">
      <c r="B741" s="370" t="s">
        <v>2021</v>
      </c>
      <c r="C741" s="370">
        <v>21115517599250</v>
      </c>
      <c r="D741" s="369" t="s">
        <v>1350</v>
      </c>
      <c r="E741" s="379" t="s">
        <v>381</v>
      </c>
      <c r="F741" s="17">
        <v>50</v>
      </c>
    </row>
    <row r="742" spans="2:6">
      <c r="B742" s="370" t="s">
        <v>2022</v>
      </c>
      <c r="C742" s="370" t="s">
        <v>2022</v>
      </c>
      <c r="D742" s="369" t="s">
        <v>2023</v>
      </c>
      <c r="E742" s="379" t="s">
        <v>266</v>
      </c>
      <c r="F742" s="17">
        <v>50</v>
      </c>
    </row>
    <row r="743" spans="2:6">
      <c r="B743" s="370" t="s">
        <v>2024</v>
      </c>
      <c r="C743" s="370">
        <v>21115521300100</v>
      </c>
      <c r="D743" s="369" t="s">
        <v>2025</v>
      </c>
      <c r="E743" s="379" t="s">
        <v>162</v>
      </c>
      <c r="F743" s="16" t="s">
        <v>66</v>
      </c>
    </row>
    <row r="744" spans="2:6">
      <c r="B744" s="370" t="s">
        <v>2026</v>
      </c>
      <c r="C744" s="370">
        <v>21135662400125</v>
      </c>
      <c r="D744" s="369" t="s">
        <v>2027</v>
      </c>
      <c r="E744" s="379" t="s">
        <v>241</v>
      </c>
      <c r="F744" s="17">
        <v>25</v>
      </c>
    </row>
    <row r="745" spans="2:6">
      <c r="B745" s="370" t="s">
        <v>2028</v>
      </c>
      <c r="C745" s="370">
        <v>21115517599250</v>
      </c>
      <c r="D745" s="369" t="s">
        <v>1350</v>
      </c>
      <c r="E745" s="379" t="s">
        <v>375</v>
      </c>
      <c r="F745" s="17">
        <v>50</v>
      </c>
    </row>
    <row r="746" spans="2:6">
      <c r="B746" s="370" t="s">
        <v>2029</v>
      </c>
      <c r="C746" s="370">
        <v>21115510099250</v>
      </c>
      <c r="D746" s="369" t="s">
        <v>1591</v>
      </c>
      <c r="E746" s="379" t="s">
        <v>358</v>
      </c>
      <c r="F746" s="17">
        <v>50</v>
      </c>
    </row>
    <row r="747" spans="2:6">
      <c r="B747" s="370" t="s">
        <v>2030</v>
      </c>
      <c r="C747" s="370">
        <v>21115521999250</v>
      </c>
      <c r="D747" s="369" t="s">
        <v>1313</v>
      </c>
      <c r="E747" s="379" t="s">
        <v>397</v>
      </c>
      <c r="F747" s="17">
        <v>50</v>
      </c>
    </row>
    <row r="748" spans="2:6">
      <c r="B748" s="370" t="s">
        <v>2031</v>
      </c>
      <c r="C748" s="370">
        <v>21165512400125</v>
      </c>
      <c r="D748" s="369" t="s">
        <v>2032</v>
      </c>
      <c r="E748" s="379" t="s">
        <v>82</v>
      </c>
      <c r="F748" s="17">
        <v>25</v>
      </c>
    </row>
    <row r="749" spans="2:6">
      <c r="B749" s="370" t="s">
        <v>2033</v>
      </c>
      <c r="C749" s="370">
        <v>21135117216125</v>
      </c>
      <c r="D749" s="369" t="s">
        <v>2034</v>
      </c>
      <c r="E749" s="379" t="s">
        <v>209</v>
      </c>
      <c r="F749" s="17">
        <v>25</v>
      </c>
    </row>
    <row r="750" spans="2:6">
      <c r="B750" s="370" t="s">
        <v>2035</v>
      </c>
      <c r="C750" s="370">
        <v>21115510099300</v>
      </c>
      <c r="D750" s="369" t="s">
        <v>1614</v>
      </c>
      <c r="E750" s="379" t="s">
        <v>358</v>
      </c>
      <c r="F750" s="16" t="s">
        <v>66</v>
      </c>
    </row>
    <row r="751" spans="2:6">
      <c r="B751" s="370" t="s">
        <v>2036</v>
      </c>
      <c r="C751" s="370">
        <v>21115502416100</v>
      </c>
      <c r="D751" s="369" t="s">
        <v>2037</v>
      </c>
      <c r="E751" s="379" t="s">
        <v>2038</v>
      </c>
      <c r="F751" s="16" t="s">
        <v>66</v>
      </c>
    </row>
    <row r="752" spans="2:6">
      <c r="B752" s="370" t="s">
        <v>2039</v>
      </c>
      <c r="C752" s="370">
        <v>21115620099250</v>
      </c>
      <c r="D752" s="369" t="s">
        <v>2040</v>
      </c>
      <c r="E752" s="379" t="s">
        <v>412</v>
      </c>
      <c r="F752" s="17">
        <v>50</v>
      </c>
    </row>
    <row r="753" spans="2:6">
      <c r="B753" s="370" t="s">
        <v>2041</v>
      </c>
      <c r="C753" s="370">
        <v>21115501600210</v>
      </c>
      <c r="D753" s="369" t="s">
        <v>2042</v>
      </c>
      <c r="E753" s="379" t="s">
        <v>343</v>
      </c>
      <c r="F753" s="17">
        <v>10</v>
      </c>
    </row>
    <row r="754" spans="2:6">
      <c r="B754" s="370" t="s">
        <v>2043</v>
      </c>
      <c r="C754" s="370">
        <v>21115517599300</v>
      </c>
      <c r="D754" s="369" t="s">
        <v>1346</v>
      </c>
      <c r="E754" s="379" t="s">
        <v>375</v>
      </c>
      <c r="F754" s="16" t="s">
        <v>66</v>
      </c>
    </row>
    <row r="755" spans="2:6">
      <c r="B755" s="370" t="s">
        <v>2044</v>
      </c>
      <c r="C755" s="370" t="s">
        <v>2044</v>
      </c>
      <c r="D755" s="369" t="s">
        <v>2045</v>
      </c>
      <c r="E755" s="379" t="s">
        <v>223</v>
      </c>
      <c r="F755" s="17">
        <v>40</v>
      </c>
    </row>
    <row r="756" spans="2:6">
      <c r="B756" s="370" t="s">
        <v>2046</v>
      </c>
      <c r="C756" s="370" t="s">
        <v>2046</v>
      </c>
      <c r="D756" s="369" t="s">
        <v>2047</v>
      </c>
      <c r="E756" s="379" t="s">
        <v>222</v>
      </c>
      <c r="F756" s="16" t="s">
        <v>66</v>
      </c>
    </row>
    <row r="757" spans="2:6">
      <c r="B757" s="370" t="s">
        <v>2048</v>
      </c>
      <c r="C757" s="370">
        <v>21115507800100</v>
      </c>
      <c r="D757" s="369" t="s">
        <v>2049</v>
      </c>
      <c r="E757" s="379" t="s">
        <v>155</v>
      </c>
      <c r="F757" s="16" t="s">
        <v>58</v>
      </c>
    </row>
    <row r="758" spans="2:6">
      <c r="B758" s="370" t="s">
        <v>2050</v>
      </c>
      <c r="C758" s="370">
        <v>21115517524125</v>
      </c>
      <c r="D758" s="369" t="s">
        <v>2051</v>
      </c>
      <c r="E758" s="379" t="s">
        <v>158</v>
      </c>
      <c r="F758" s="17">
        <v>25</v>
      </c>
    </row>
    <row r="759" spans="2:6">
      <c r="B759" s="370" t="s">
        <v>2052</v>
      </c>
      <c r="C759" s="370">
        <v>21115501600110</v>
      </c>
      <c r="D759" s="369" t="s">
        <v>2053</v>
      </c>
      <c r="E759" s="379" t="s">
        <v>127</v>
      </c>
      <c r="F759" s="17">
        <v>10</v>
      </c>
    </row>
    <row r="760" spans="2:6">
      <c r="B760" s="370" t="s">
        <v>2054</v>
      </c>
      <c r="C760" s="370" t="s">
        <v>2054</v>
      </c>
      <c r="D760" s="369" t="s">
        <v>2055</v>
      </c>
      <c r="E760" s="379" t="s">
        <v>221</v>
      </c>
      <c r="F760" s="16" t="s">
        <v>58</v>
      </c>
    </row>
    <row r="761" spans="2:6">
      <c r="B761" s="370" t="s">
        <v>2056</v>
      </c>
      <c r="C761" s="370" t="s">
        <v>2056</v>
      </c>
      <c r="D761" s="369" t="s">
        <v>2057</v>
      </c>
      <c r="E761" s="379" t="s">
        <v>232</v>
      </c>
      <c r="F761" s="16" t="s">
        <v>58</v>
      </c>
    </row>
    <row r="762" spans="2:6">
      <c r="B762" s="370" t="s">
        <v>2058</v>
      </c>
      <c r="C762" s="370" t="s">
        <v>2058</v>
      </c>
      <c r="D762" s="369" t="s">
        <v>2059</v>
      </c>
      <c r="E762" s="379" t="s">
        <v>225</v>
      </c>
      <c r="F762" s="16" t="s">
        <v>66</v>
      </c>
    </row>
    <row r="763" spans="2:6">
      <c r="B763" s="370" t="s">
        <v>2060</v>
      </c>
      <c r="C763" s="370" t="s">
        <v>2060</v>
      </c>
      <c r="D763" s="369" t="s">
        <v>2061</v>
      </c>
      <c r="E763" s="378" t="s">
        <v>224</v>
      </c>
      <c r="F763" s="17">
        <v>40</v>
      </c>
    </row>
    <row r="764" spans="2:6">
      <c r="B764" s="370" t="s">
        <v>2062</v>
      </c>
      <c r="C764" s="370" t="s">
        <v>2062</v>
      </c>
      <c r="D764" s="369" t="s">
        <v>2063</v>
      </c>
      <c r="E764" s="378" t="s">
        <v>226</v>
      </c>
      <c r="F764" s="17">
        <v>40</v>
      </c>
    </row>
    <row r="765" spans="2:6">
      <c r="B765" s="370" t="s">
        <v>2064</v>
      </c>
      <c r="C765" s="370" t="s">
        <v>2064</v>
      </c>
      <c r="D765" s="369" t="s">
        <v>2065</v>
      </c>
      <c r="E765" s="379" t="s">
        <v>220</v>
      </c>
      <c r="F765" s="17">
        <v>40</v>
      </c>
    </row>
    <row r="766" spans="2:6">
      <c r="B766" s="370" t="s">
        <v>2066</v>
      </c>
      <c r="C766" s="370">
        <v>21113021600125</v>
      </c>
      <c r="D766" s="369" t="s">
        <v>2067</v>
      </c>
      <c r="E766" s="379" t="s">
        <v>120</v>
      </c>
      <c r="F766" s="17">
        <v>25</v>
      </c>
    </row>
    <row r="767" spans="2:6">
      <c r="B767" s="370" t="s">
        <v>2068</v>
      </c>
      <c r="C767" s="370">
        <v>21115528400250</v>
      </c>
      <c r="D767" s="369" t="s">
        <v>2069</v>
      </c>
      <c r="E767" s="379" t="s">
        <v>392</v>
      </c>
      <c r="F767" s="17">
        <v>50</v>
      </c>
    </row>
  </sheetData>
  <autoFilter ref="B1:F744" xr:uid="{439791B8-BB43-4D18-B43F-2A1BF5B5F2A6}"/>
  <phoneticPr fontId="6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ED128-6C8C-4AA6-9A84-9847D9DD7EF6}">
  <sheetPr codeName="Sheet9"/>
  <dimension ref="B1:R1647"/>
  <sheetViews>
    <sheetView topLeftCell="D1" zoomScaleNormal="100" workbookViewId="0">
      <selection activeCell="G13" sqref="G13"/>
    </sheetView>
  </sheetViews>
  <sheetFormatPr defaultRowHeight="12.75"/>
  <cols>
    <col min="1" max="1" width="9.140625" style="576"/>
    <col min="2" max="2" width="11.42578125" style="577" customWidth="1"/>
    <col min="3" max="3" width="11" style="577" customWidth="1"/>
    <col min="4" max="4" width="17.85546875" style="573" customWidth="1"/>
    <col min="5" max="5" width="19.85546875" style="574" customWidth="1"/>
    <col min="6" max="6" width="19.5703125" style="640" customWidth="1"/>
    <col min="7" max="7" width="38.42578125" style="576" customWidth="1"/>
    <col min="8" max="8" width="4.85546875" style="576" bestFit="1" customWidth="1"/>
    <col min="9" max="9" width="7" style="565" bestFit="1" customWidth="1"/>
    <col min="10" max="10" width="12.42578125" style="580" bestFit="1" customWidth="1"/>
    <col min="11" max="11" width="11.7109375" style="580" customWidth="1"/>
    <col min="12" max="12" width="16.85546875" style="580" bestFit="1" customWidth="1"/>
    <col min="13" max="13" width="9.140625" style="576"/>
    <col min="14" max="14" width="11.7109375" style="576" bestFit="1" customWidth="1"/>
    <col min="15" max="16384" width="9.140625" style="576"/>
  </cols>
  <sheetData>
    <row r="1" spans="2:18">
      <c r="B1" s="571" t="str">
        <f>IF(F1="","",(SUMIF(INTGRATE!$Y:$Y,data!D1,INTGRATE!$L:$L)+SUMIF(BRAN!$V:$V,data!D1,BRAN!$J:$J)))</f>
        <v/>
      </c>
      <c r="C1" s="572" t="str">
        <f t="shared" ref="C1:C32" si="0">IF(F1="","",B1-K1)</f>
        <v/>
      </c>
      <c r="D1" s="573" t="str">
        <f>IFERROR(VLOOKUP(E1,Map!$B:$F,4,0),"")&amp;IFERROR(VLOOKUP(E1,Map!$B:$F,5,0),"")</f>
        <v/>
      </c>
      <c r="E1" s="574" t="str">
        <f>IF(MID(F1,10,2)="99",F1&amp;H1,LEFT(F1,14))</f>
        <v/>
      </c>
      <c r="F1" s="428"/>
      <c r="G1"/>
      <c r="H1"/>
      <c r="I1"/>
      <c r="J1" s="442"/>
      <c r="K1" s="442"/>
      <c r="L1" s="14"/>
      <c r="M1" s="611"/>
      <c r="N1" s="369"/>
      <c r="O1" s="369"/>
      <c r="P1" s="369"/>
      <c r="Q1" s="369"/>
      <c r="R1" s="369"/>
    </row>
    <row r="2" spans="2:18">
      <c r="B2" s="571" t="str">
        <f>IF(F2="","",(SUMIF(INTGRATE!$Y:$Y,data!D2,INTGRATE!$L:$L)+SUMIF(BRAN!$V:$V,data!D2,BRAN!$J:$J)))</f>
        <v/>
      </c>
      <c r="C2" s="572" t="str">
        <f t="shared" si="0"/>
        <v/>
      </c>
      <c r="D2" s="573" t="str">
        <f>IFERROR(VLOOKUP(E2,Map!$B:$F,4,0),"")&amp;IFERROR(VLOOKUP(E2,Map!$B:$F,5,0),"")</f>
        <v/>
      </c>
      <c r="E2" s="574" t="str">
        <f t="shared" ref="E2:E32" si="1">IF(MID(F2,10,2)="99",F2&amp;H2,LEFT(F2,14))</f>
        <v/>
      </c>
      <c r="F2" s="428"/>
      <c r="G2"/>
      <c r="H2"/>
      <c r="I2"/>
      <c r="J2" s="442"/>
      <c r="K2" s="442"/>
      <c r="L2" s="14"/>
      <c r="M2" s="625"/>
      <c r="N2" s="554"/>
      <c r="O2" s="625"/>
      <c r="P2" s="554"/>
      <c r="Q2" s="625"/>
      <c r="R2" s="554"/>
    </row>
    <row r="3" spans="2:18">
      <c r="B3" s="571" t="str">
        <f>IF(F3="","",(SUMIF(INTGRATE!$Y:$Y,data!D3,INTGRATE!$L:$L)+SUMIF(BRAN!$V:$V,data!D3,BRAN!$J:$J)))</f>
        <v/>
      </c>
      <c r="C3" s="572" t="str">
        <f t="shared" si="0"/>
        <v/>
      </c>
      <c r="D3" s="573" t="str">
        <f>IFERROR(VLOOKUP(E3,Map!$B:$F,4,0),"")&amp;IFERROR(VLOOKUP(E3,Map!$B:$F,5,0),"")</f>
        <v/>
      </c>
      <c r="E3" s="574" t="str">
        <f t="shared" si="1"/>
        <v/>
      </c>
      <c r="F3" s="428"/>
      <c r="G3"/>
      <c r="H3"/>
      <c r="I3"/>
      <c r="J3" s="442"/>
      <c r="K3" s="442"/>
      <c r="L3" s="14"/>
      <c r="M3" s="625"/>
      <c r="N3" s="554"/>
      <c r="O3" s="625"/>
      <c r="P3" s="554"/>
      <c r="Q3" s="625"/>
      <c r="R3" s="554"/>
    </row>
    <row r="4" spans="2:18">
      <c r="B4" s="571" t="str">
        <f>IF(F4="","",(SUMIF(INTGRATE!$Y:$Y,data!D4,INTGRATE!$L:$L)+SUMIF(BRAN!$V:$V,data!D4,BRAN!$J:$J)))</f>
        <v/>
      </c>
      <c r="C4" s="572" t="str">
        <f t="shared" si="0"/>
        <v/>
      </c>
      <c r="D4" s="573" t="str">
        <f>IFERROR(VLOOKUP(E4,Map!$B:$F,4,0),"")&amp;IFERROR(VLOOKUP(E4,Map!$B:$F,5,0),"")</f>
        <v/>
      </c>
      <c r="E4" s="574" t="str">
        <f t="shared" si="1"/>
        <v/>
      </c>
      <c r="F4" s="428"/>
      <c r="G4"/>
      <c r="H4"/>
      <c r="I4"/>
      <c r="J4" s="442"/>
      <c r="K4" s="442"/>
      <c r="L4" s="14"/>
      <c r="M4" s="625"/>
      <c r="N4" s="554"/>
      <c r="O4" s="625"/>
      <c r="P4" s="554"/>
      <c r="Q4" s="625"/>
      <c r="R4" s="554"/>
    </row>
    <row r="5" spans="2:18">
      <c r="B5" s="571" t="str">
        <f>IF(F5="","",(SUMIF(INTGRATE!$Y:$Y,data!D5,INTGRATE!$L:$L)+SUMIF(BRAN!$V:$V,data!D5,BRAN!$J:$J)))</f>
        <v/>
      </c>
      <c r="C5" s="572" t="str">
        <f t="shared" si="0"/>
        <v/>
      </c>
      <c r="D5" s="573" t="str">
        <f>IFERROR(VLOOKUP(E5,Map!$B:$F,4,0),"")&amp;IFERROR(VLOOKUP(E5,Map!$B:$F,5,0),"")</f>
        <v/>
      </c>
      <c r="E5" s="574" t="str">
        <f t="shared" si="1"/>
        <v/>
      </c>
      <c r="F5" s="428"/>
      <c r="G5"/>
      <c r="H5"/>
      <c r="I5"/>
      <c r="J5" s="442"/>
      <c r="K5" s="442"/>
      <c r="L5" s="14"/>
      <c r="M5" s="625"/>
      <c r="N5" s="554"/>
      <c r="O5" s="625"/>
      <c r="P5" s="554"/>
      <c r="Q5" s="625"/>
      <c r="R5" s="554"/>
    </row>
    <row r="6" spans="2:18">
      <c r="B6" s="571" t="str">
        <f>IF(F6="","",(SUMIF(INTGRATE!$Y:$Y,data!D6,INTGRATE!$L:$L)+SUMIF(BRAN!$V:$V,data!D6,BRAN!$J:$J)))</f>
        <v/>
      </c>
      <c r="C6" s="572" t="str">
        <f t="shared" si="0"/>
        <v/>
      </c>
      <c r="D6" s="573" t="str">
        <f>IFERROR(VLOOKUP(E6,Map!$B:$F,4,0),"")&amp;IFERROR(VLOOKUP(E6,Map!$B:$F,5,0),"")</f>
        <v/>
      </c>
      <c r="E6" s="574" t="str">
        <f t="shared" si="1"/>
        <v/>
      </c>
      <c r="F6" s="428"/>
      <c r="G6"/>
      <c r="H6"/>
      <c r="I6"/>
      <c r="J6" s="442"/>
      <c r="K6" s="442"/>
      <c r="L6" s="14"/>
      <c r="M6" s="625"/>
      <c r="N6" s="554"/>
      <c r="O6" s="625"/>
      <c r="P6" s="554"/>
      <c r="Q6" s="625"/>
      <c r="R6" s="554"/>
    </row>
    <row r="7" spans="2:18">
      <c r="B7" s="571" t="str">
        <f>IF(F7="","",(SUMIF(INTGRATE!$Y:$Y,data!D7,INTGRATE!$L:$L)+SUMIF(BRAN!$V:$V,data!D7,BRAN!$J:$J)))</f>
        <v/>
      </c>
      <c r="C7" s="572" t="str">
        <f t="shared" si="0"/>
        <v/>
      </c>
      <c r="D7" s="573" t="str">
        <f>IFERROR(VLOOKUP(E7,Map!$B:$F,4,0),"")&amp;IFERROR(VLOOKUP(E7,Map!$B:$F,5,0),"")</f>
        <v/>
      </c>
      <c r="E7" s="574" t="str">
        <f t="shared" si="1"/>
        <v/>
      </c>
      <c r="F7" s="428"/>
      <c r="G7"/>
      <c r="H7"/>
      <c r="I7"/>
      <c r="J7" s="442"/>
      <c r="K7" s="442"/>
      <c r="L7" s="14"/>
      <c r="M7" s="625"/>
      <c r="N7" s="554"/>
      <c r="O7" s="625"/>
      <c r="P7" s="554"/>
      <c r="Q7" s="625"/>
      <c r="R7" s="554"/>
    </row>
    <row r="8" spans="2:18">
      <c r="B8" s="571" t="str">
        <f>IF(F8="","",(SUMIF(INTGRATE!$Y:$Y,data!D8,INTGRATE!$L:$L)+SUMIF(BRAN!$V:$V,data!D8,BRAN!$J:$J)))</f>
        <v/>
      </c>
      <c r="C8" s="572" t="str">
        <f t="shared" si="0"/>
        <v/>
      </c>
      <c r="D8" s="573" t="str">
        <f>IFERROR(VLOOKUP(E8,Map!$B:$F,4,0),"")&amp;IFERROR(VLOOKUP(E8,Map!$B:$F,5,0),"")</f>
        <v/>
      </c>
      <c r="E8" s="574" t="str">
        <f t="shared" si="1"/>
        <v/>
      </c>
      <c r="F8" s="428"/>
      <c r="G8"/>
      <c r="H8"/>
      <c r="I8"/>
      <c r="J8" s="442"/>
      <c r="K8" s="442"/>
      <c r="L8" s="14"/>
      <c r="M8" s="625"/>
      <c r="N8" s="554"/>
      <c r="O8" s="625"/>
      <c r="P8" s="554"/>
      <c r="Q8" s="625"/>
      <c r="R8" s="554"/>
    </row>
    <row r="9" spans="2:18">
      <c r="B9" s="571" t="str">
        <f>IF(F9="","",(SUMIF(INTGRATE!$Y:$Y,data!D9,INTGRATE!$L:$L)+SUMIF(BRAN!$V:$V,data!D9,BRAN!$J:$J)))</f>
        <v/>
      </c>
      <c r="C9" s="572" t="str">
        <f t="shared" si="0"/>
        <v/>
      </c>
      <c r="D9" s="573" t="str">
        <f>IFERROR(VLOOKUP(E9,Map!$B:$F,4,0),"")&amp;IFERROR(VLOOKUP(E9,Map!$B:$F,5,0),"")</f>
        <v/>
      </c>
      <c r="E9" s="574" t="str">
        <f t="shared" si="1"/>
        <v/>
      </c>
      <c r="F9" s="428"/>
      <c r="G9"/>
      <c r="H9"/>
      <c r="I9"/>
      <c r="J9" s="442"/>
      <c r="K9" s="442"/>
      <c r="L9" s="14"/>
      <c r="M9" s="625"/>
      <c r="N9" s="554"/>
      <c r="O9" s="625"/>
      <c r="P9" s="554"/>
      <c r="Q9" s="625"/>
      <c r="R9" s="554"/>
    </row>
    <row r="10" spans="2:18">
      <c r="B10" s="571" t="str">
        <f>IF(F10="","",(SUMIF(INTGRATE!$Y:$Y,data!D10,INTGRATE!$L:$L)+SUMIF(BRAN!$V:$V,data!D10,BRAN!$J:$J)))</f>
        <v/>
      </c>
      <c r="C10" s="572" t="str">
        <f t="shared" si="0"/>
        <v/>
      </c>
      <c r="D10" s="573" t="str">
        <f>IFERROR(VLOOKUP(E10,Map!$B:$F,4,0),"")&amp;IFERROR(VLOOKUP(E10,Map!$B:$F,5,0),"")</f>
        <v/>
      </c>
      <c r="E10" s="574" t="str">
        <f t="shared" si="1"/>
        <v/>
      </c>
      <c r="F10" s="428"/>
      <c r="G10"/>
      <c r="H10"/>
      <c r="I10"/>
      <c r="J10" s="442"/>
      <c r="K10" s="442"/>
      <c r="L10" s="14"/>
      <c r="M10" s="625"/>
      <c r="N10" s="554"/>
      <c r="O10" s="625"/>
      <c r="P10" s="554"/>
      <c r="Q10" s="625"/>
      <c r="R10" s="554"/>
    </row>
    <row r="11" spans="2:18">
      <c r="B11" s="571" t="str">
        <f>IF(F11="","",(SUMIF(INTGRATE!$Y:$Y,data!D11,INTGRATE!$L:$L)+SUMIF(BRAN!$V:$V,data!D11,BRAN!$J:$J)))</f>
        <v/>
      </c>
      <c r="C11" s="572" t="str">
        <f t="shared" si="0"/>
        <v/>
      </c>
      <c r="D11" s="573" t="str">
        <f>IFERROR(VLOOKUP(E11,Map!$B:$F,4,0),"")&amp;IFERROR(VLOOKUP(E11,Map!$B:$F,5,0),"")</f>
        <v/>
      </c>
      <c r="E11" s="574" t="str">
        <f t="shared" si="1"/>
        <v/>
      </c>
      <c r="F11" s="428"/>
      <c r="G11"/>
      <c r="H11"/>
      <c r="I11"/>
      <c r="J11" s="442"/>
      <c r="K11" s="442"/>
      <c r="L11" s="14"/>
      <c r="M11" s="625"/>
      <c r="N11" s="554"/>
      <c r="O11" s="625"/>
      <c r="P11" s="554"/>
      <c r="Q11" s="625"/>
      <c r="R11" s="554"/>
    </row>
    <row r="12" spans="2:18">
      <c r="B12" s="571" t="str">
        <f>IF(F12="","",(SUMIF(INTGRATE!$Y:$Y,data!D12,INTGRATE!$L:$L)+SUMIF(BRAN!$V:$V,data!D12,BRAN!$J:$J)))</f>
        <v/>
      </c>
      <c r="C12" s="572" t="str">
        <f t="shared" si="0"/>
        <v/>
      </c>
      <c r="D12" s="573" t="str">
        <f>IFERROR(VLOOKUP(E12,Map!$B:$F,4,0),"")&amp;IFERROR(VLOOKUP(E12,Map!$B:$F,5,0),"")</f>
        <v/>
      </c>
      <c r="E12" s="574" t="str">
        <f t="shared" si="1"/>
        <v/>
      </c>
      <c r="F12" s="428"/>
      <c r="G12"/>
      <c r="H12"/>
      <c r="I12"/>
      <c r="J12" s="442"/>
      <c r="K12" s="442"/>
      <c r="L12" s="14"/>
      <c r="M12" s="625"/>
      <c r="N12" s="554"/>
      <c r="O12" s="625"/>
      <c r="P12" s="554"/>
      <c r="Q12" s="625"/>
      <c r="R12" s="554"/>
    </row>
    <row r="13" spans="2:18">
      <c r="B13" s="571" t="str">
        <f>IF(F13="","",(SUMIF(INTGRATE!$Y:$Y,data!D13,INTGRATE!$L:$L)+SUMIF(BRAN!$V:$V,data!D13,BRAN!$J:$J)))</f>
        <v/>
      </c>
      <c r="C13" s="572" t="str">
        <f t="shared" si="0"/>
        <v/>
      </c>
      <c r="D13" s="573" t="str">
        <f>IFERROR(VLOOKUP(E13,Map!$B:$F,4,0),"")&amp;IFERROR(VLOOKUP(E13,Map!$B:$F,5,0),"")</f>
        <v/>
      </c>
      <c r="E13" s="574" t="str">
        <f t="shared" si="1"/>
        <v/>
      </c>
      <c r="F13" s="428"/>
      <c r="G13"/>
      <c r="H13"/>
      <c r="I13"/>
      <c r="J13" s="442"/>
      <c r="K13" s="442"/>
      <c r="L13" s="14"/>
      <c r="M13" s="625"/>
      <c r="N13" s="554"/>
      <c r="O13" s="625"/>
      <c r="P13" s="554"/>
      <c r="Q13" s="625"/>
      <c r="R13" s="554"/>
    </row>
    <row r="14" spans="2:18">
      <c r="B14" s="571" t="str">
        <f>IF(F14="","",(SUMIF(INTGRATE!$Y:$Y,data!D14,INTGRATE!$L:$L)+SUMIF(BRAN!$V:$V,data!D14,BRAN!$J:$J)))</f>
        <v/>
      </c>
      <c r="C14" s="572" t="str">
        <f t="shared" si="0"/>
        <v/>
      </c>
      <c r="D14" s="573" t="str">
        <f>IFERROR(VLOOKUP(E14,Map!$B:$F,4,0),"")&amp;IFERROR(VLOOKUP(E14,Map!$B:$F,5,0),"")</f>
        <v/>
      </c>
      <c r="E14" s="574" t="str">
        <f t="shared" si="1"/>
        <v/>
      </c>
      <c r="F14" s="428"/>
      <c r="G14"/>
      <c r="H14"/>
      <c r="I14"/>
      <c r="J14" s="442"/>
      <c r="K14" s="442"/>
      <c r="L14" s="14"/>
      <c r="M14" s="625"/>
      <c r="N14" s="554"/>
      <c r="O14" s="625"/>
      <c r="P14" s="554"/>
      <c r="Q14" s="625"/>
      <c r="R14" s="554"/>
    </row>
    <row r="15" spans="2:18">
      <c r="B15" s="571" t="str">
        <f>IF(F15="","",(SUMIF(INTGRATE!$Y:$Y,data!D15,INTGRATE!$L:$L)+SUMIF(BRAN!$V:$V,data!D15,BRAN!$J:$J)))</f>
        <v/>
      </c>
      <c r="C15" s="572" t="str">
        <f t="shared" si="0"/>
        <v/>
      </c>
      <c r="D15" s="573" t="str">
        <f>IFERROR(VLOOKUP(E15,Map!$B:$F,4,0),"")&amp;IFERROR(VLOOKUP(E15,Map!$B:$F,5,0),"")</f>
        <v/>
      </c>
      <c r="E15" s="574" t="str">
        <f t="shared" si="1"/>
        <v/>
      </c>
      <c r="F15" s="428"/>
      <c r="G15"/>
      <c r="H15"/>
      <c r="I15"/>
      <c r="J15" s="442"/>
      <c r="K15" s="442"/>
      <c r="L15" s="14"/>
      <c r="M15" s="796"/>
      <c r="N15" s="554"/>
      <c r="O15" s="369"/>
      <c r="P15" s="369"/>
      <c r="Q15" s="369"/>
      <c r="R15" s="369"/>
    </row>
    <row r="16" spans="2:18">
      <c r="B16" s="571" t="str">
        <f>IF(F16="","",(SUMIF(INTGRATE!$Y:$Y,data!D16,INTGRATE!$L:$L)+SUMIF(BRAN!$V:$V,data!D16,BRAN!$J:$J)))</f>
        <v/>
      </c>
      <c r="C16" s="572" t="str">
        <f t="shared" si="0"/>
        <v/>
      </c>
      <c r="D16" s="573" t="str">
        <f>IFERROR(VLOOKUP(E16,Map!$B:$F,4,0),"")&amp;IFERROR(VLOOKUP(E16,Map!$B:$F,5,0),"")</f>
        <v/>
      </c>
      <c r="E16" s="574" t="str">
        <f t="shared" si="1"/>
        <v/>
      </c>
      <c r="F16" s="428"/>
      <c r="G16"/>
      <c r="H16"/>
      <c r="I16"/>
      <c r="J16" s="442"/>
      <c r="K16" s="442"/>
      <c r="L16" s="14"/>
      <c r="M16" s="625"/>
      <c r="N16" s="554"/>
      <c r="O16" s="625"/>
      <c r="P16" s="554"/>
      <c r="Q16" s="625"/>
      <c r="R16" s="554"/>
    </row>
    <row r="17" spans="2:18">
      <c r="B17" s="571" t="str">
        <f>IF(F17="","",(SUMIF(INTGRATE!$Y:$Y,data!D17,INTGRATE!$L:$L)+SUMIF(BRAN!$V:$V,data!D17,BRAN!$J:$J)))</f>
        <v/>
      </c>
      <c r="C17" s="572" t="str">
        <f t="shared" si="0"/>
        <v/>
      </c>
      <c r="D17" s="573" t="str">
        <f>IFERROR(VLOOKUP(E17,Map!$B:$F,4,0),"")&amp;IFERROR(VLOOKUP(E17,Map!$B:$F,5,0),"")</f>
        <v/>
      </c>
      <c r="E17" s="574" t="str">
        <f t="shared" si="1"/>
        <v/>
      </c>
      <c r="F17" s="428"/>
      <c r="G17"/>
      <c r="H17"/>
      <c r="I17"/>
      <c r="J17" s="442"/>
      <c r="K17" s="442"/>
      <c r="L17" s="14"/>
      <c r="M17" s="625"/>
      <c r="N17" s="554"/>
      <c r="O17" s="625"/>
      <c r="P17" s="554"/>
      <c r="Q17" s="625"/>
      <c r="R17" s="554"/>
    </row>
    <row r="18" spans="2:18">
      <c r="B18" s="571" t="str">
        <f>IF(F18="","",(SUMIF(INTGRATE!$Y:$Y,data!D18,INTGRATE!$L:$L)+SUMIF(BRAN!$V:$V,data!D18,BRAN!$J:$J)))</f>
        <v/>
      </c>
      <c r="C18" s="572" t="str">
        <f t="shared" si="0"/>
        <v/>
      </c>
      <c r="D18" s="573" t="str">
        <f>IFERROR(VLOOKUP(E18,Map!$B:$F,4,0),"")&amp;IFERROR(VLOOKUP(E18,Map!$B:$F,5,0),"")</f>
        <v/>
      </c>
      <c r="E18" s="574" t="str">
        <f t="shared" si="1"/>
        <v/>
      </c>
      <c r="F18" s="428"/>
      <c r="G18"/>
      <c r="H18"/>
      <c r="I18"/>
      <c r="J18" s="442"/>
      <c r="K18" s="442"/>
      <c r="L18" s="14"/>
      <c r="M18" s="625"/>
      <c r="N18" s="554"/>
      <c r="O18" s="625"/>
      <c r="P18" s="554"/>
      <c r="Q18" s="625"/>
      <c r="R18" s="554"/>
    </row>
    <row r="19" spans="2:18">
      <c r="B19" s="571" t="str">
        <f>IF(F19="","",(SUMIF(INTGRATE!$Y:$Y,data!D19,INTGRATE!$L:$L)+SUMIF(BRAN!$V:$V,data!D19,BRAN!$J:$J)))</f>
        <v/>
      </c>
      <c r="C19" s="572" t="str">
        <f t="shared" si="0"/>
        <v/>
      </c>
      <c r="D19" s="573" t="str">
        <f>IFERROR(VLOOKUP(E19,Map!$B:$F,4,0),"")&amp;IFERROR(VLOOKUP(E19,Map!$B:$F,5,0),"")</f>
        <v/>
      </c>
      <c r="E19" s="574" t="str">
        <f t="shared" si="1"/>
        <v/>
      </c>
      <c r="F19" s="428"/>
      <c r="G19"/>
      <c r="H19"/>
      <c r="I19"/>
      <c r="J19" s="442"/>
      <c r="K19" s="442"/>
      <c r="L19" s="14"/>
      <c r="M19" s="625"/>
      <c r="N19" s="554"/>
      <c r="O19" s="625"/>
      <c r="P19" s="554"/>
      <c r="Q19" s="625"/>
      <c r="R19" s="554"/>
    </row>
    <row r="20" spans="2:18">
      <c r="B20" s="571" t="str">
        <f>IF(F20="","",(SUMIF(INTGRATE!$Y:$Y,data!D20,INTGRATE!$L:$L)+SUMIF(BRAN!$V:$V,data!D20,BRAN!$J:$J)))</f>
        <v/>
      </c>
      <c r="C20" s="572" t="str">
        <f t="shared" si="0"/>
        <v/>
      </c>
      <c r="D20" s="573" t="str">
        <f>IFERROR(VLOOKUP(E20,Map!$B:$F,4,0),"")&amp;IFERROR(VLOOKUP(E20,Map!$B:$F,5,0),"")</f>
        <v/>
      </c>
      <c r="E20" s="574" t="str">
        <f t="shared" si="1"/>
        <v/>
      </c>
      <c r="F20" s="428"/>
      <c r="G20"/>
      <c r="H20"/>
      <c r="I20"/>
      <c r="J20" s="442"/>
      <c r="K20" s="442"/>
      <c r="L20" s="14"/>
      <c r="M20" s="625"/>
      <c r="N20" s="554"/>
      <c r="O20" s="625"/>
      <c r="P20" s="554"/>
      <c r="Q20" s="625"/>
      <c r="R20" s="554"/>
    </row>
    <row r="21" spans="2:18">
      <c r="B21" s="571" t="str">
        <f>IF(F21="","",(SUMIF(INTGRATE!$Y:$Y,data!D21,INTGRATE!$L:$L)+SUMIF(BRAN!$V:$V,data!D21,BRAN!$J:$J)))</f>
        <v/>
      </c>
      <c r="C21" s="572" t="str">
        <f t="shared" si="0"/>
        <v/>
      </c>
      <c r="D21" s="573" t="str">
        <f>IFERROR(VLOOKUP(E21,Map!$B:$F,4,0),"")&amp;IFERROR(VLOOKUP(E21,Map!$B:$F,5,0),"")</f>
        <v/>
      </c>
      <c r="E21" s="574" t="str">
        <f t="shared" si="1"/>
        <v/>
      </c>
      <c r="F21" s="428"/>
      <c r="G21"/>
      <c r="H21"/>
      <c r="I21"/>
      <c r="J21" s="442"/>
      <c r="K21" s="442"/>
      <c r="L21" s="14"/>
      <c r="M21" s="625"/>
      <c r="N21" s="554"/>
      <c r="O21" s="625"/>
      <c r="P21" s="554"/>
      <c r="Q21" s="625"/>
      <c r="R21" s="554"/>
    </row>
    <row r="22" spans="2:18">
      <c r="B22" s="571" t="str">
        <f>IF(F22="","",(SUMIF(INTGRATE!$Y:$Y,data!D22,INTGRATE!$L:$L)+SUMIF(BRAN!$V:$V,data!D22,BRAN!$J:$J)))</f>
        <v/>
      </c>
      <c r="C22" s="572" t="str">
        <f t="shared" si="0"/>
        <v/>
      </c>
      <c r="D22" s="573" t="str">
        <f>IFERROR(VLOOKUP(E22,Map!$B:$F,4,0),"")&amp;IFERROR(VLOOKUP(E22,Map!$B:$F,5,0),"")</f>
        <v/>
      </c>
      <c r="E22" s="574" t="str">
        <f t="shared" si="1"/>
        <v/>
      </c>
      <c r="F22" s="428"/>
      <c r="G22"/>
      <c r="H22"/>
      <c r="I22"/>
      <c r="J22" s="442"/>
      <c r="K22" s="442"/>
      <c r="L22" s="14"/>
      <c r="M22" s="625"/>
      <c r="N22" s="554"/>
      <c r="O22" s="625"/>
      <c r="P22" s="554"/>
      <c r="Q22" s="625"/>
      <c r="R22" s="554"/>
    </row>
    <row r="23" spans="2:18">
      <c r="B23" s="571" t="str">
        <f>IF(F23="","",(SUMIF(INTGRATE!$Y:$Y,data!D23,INTGRATE!$L:$L)+SUMIF(BRAN!$V:$V,data!D23,BRAN!$J:$J)))</f>
        <v/>
      </c>
      <c r="C23" s="572" t="str">
        <f t="shared" si="0"/>
        <v/>
      </c>
      <c r="D23" s="573" t="str">
        <f>IFERROR(VLOOKUP(E23,Map!$B:$F,4,0),"")&amp;IFERROR(VLOOKUP(E23,Map!$B:$F,5,0),"")</f>
        <v/>
      </c>
      <c r="E23" s="574" t="str">
        <f t="shared" si="1"/>
        <v/>
      </c>
      <c r="F23" s="428"/>
      <c r="G23"/>
      <c r="H23"/>
      <c r="I23"/>
      <c r="J23" s="442"/>
      <c r="K23" s="442"/>
      <c r="L23" s="14"/>
      <c r="M23" s="625"/>
      <c r="N23" s="554"/>
      <c r="O23" s="625"/>
      <c r="P23" s="554"/>
      <c r="Q23" s="625"/>
      <c r="R23" s="554"/>
    </row>
    <row r="24" spans="2:18">
      <c r="B24" s="571" t="str">
        <f>IF(F24="","",(SUMIF(INTGRATE!$Y:$Y,data!D24,INTGRATE!$L:$L)+SUMIF(BRAN!$V:$V,data!D24,BRAN!$J:$J)))</f>
        <v/>
      </c>
      <c r="C24" s="572" t="str">
        <f t="shared" si="0"/>
        <v/>
      </c>
      <c r="D24" s="573" t="str">
        <f>IFERROR(VLOOKUP(E24,Map!$B:$F,4,0),"")&amp;IFERROR(VLOOKUP(E24,Map!$B:$F,5,0),"")</f>
        <v/>
      </c>
      <c r="E24" s="574" t="str">
        <f t="shared" si="1"/>
        <v/>
      </c>
      <c r="F24" s="428"/>
      <c r="G24"/>
      <c r="H24"/>
      <c r="I24"/>
      <c r="J24" s="442"/>
      <c r="K24" s="442"/>
      <c r="L24" s="14"/>
      <c r="M24" s="625"/>
      <c r="N24" s="554"/>
      <c r="O24" s="625"/>
      <c r="P24" s="554"/>
      <c r="Q24" s="625"/>
      <c r="R24" s="554"/>
    </row>
    <row r="25" spans="2:18">
      <c r="B25" s="571" t="str">
        <f>IF(F25="","",(SUMIF(INTGRATE!$Y:$Y,data!D25,INTGRATE!$L:$L)+SUMIF(BRAN!$V:$V,data!D25,BRAN!$J:$J)))</f>
        <v/>
      </c>
      <c r="C25" s="572" t="str">
        <f t="shared" si="0"/>
        <v/>
      </c>
      <c r="D25" s="573" t="str">
        <f>IFERROR(VLOOKUP(E25,Map!$B:$F,4,0),"")&amp;IFERROR(VLOOKUP(E25,Map!$B:$F,5,0),"")</f>
        <v/>
      </c>
      <c r="E25" s="574" t="str">
        <f t="shared" si="1"/>
        <v/>
      </c>
      <c r="F25" s="428"/>
      <c r="G25"/>
      <c r="H25"/>
      <c r="I25"/>
      <c r="J25" s="442"/>
      <c r="K25" s="442"/>
      <c r="L25" s="14"/>
      <c r="M25" s="625"/>
      <c r="N25" s="554"/>
      <c r="O25" s="625"/>
      <c r="P25" s="554"/>
      <c r="Q25" s="625"/>
      <c r="R25" s="554"/>
    </row>
    <row r="26" spans="2:18">
      <c r="B26" s="571" t="str">
        <f>IF(F26="","",(SUMIF(INTGRATE!$Y:$Y,data!D26,INTGRATE!$L:$L)+SUMIF(BRAN!$V:$V,data!D26,BRAN!$J:$J)))</f>
        <v/>
      </c>
      <c r="C26" s="572" t="str">
        <f t="shared" si="0"/>
        <v/>
      </c>
      <c r="D26" s="573" t="str">
        <f>IFERROR(VLOOKUP(E26,Map!$B:$F,4,0),"")&amp;IFERROR(VLOOKUP(E26,Map!$B:$F,5,0),"")</f>
        <v/>
      </c>
      <c r="E26" s="574" t="str">
        <f t="shared" si="1"/>
        <v/>
      </c>
      <c r="F26" s="428"/>
      <c r="G26"/>
      <c r="H26"/>
      <c r="I26"/>
      <c r="J26" s="442"/>
      <c r="K26" s="442"/>
      <c r="L26" s="14"/>
      <c r="M26" s="625"/>
      <c r="N26" s="554"/>
      <c r="O26" s="625"/>
      <c r="P26" s="554"/>
      <c r="Q26" s="625"/>
      <c r="R26" s="554"/>
    </row>
    <row r="27" spans="2:18">
      <c r="B27" s="571" t="str">
        <f>IF(F27="","",(SUMIF(INTGRATE!$Y:$Y,data!D27,INTGRATE!$L:$L)+SUMIF(BRAN!$V:$V,data!D27,BRAN!$J:$J)))</f>
        <v/>
      </c>
      <c r="C27" s="572" t="str">
        <f t="shared" si="0"/>
        <v/>
      </c>
      <c r="D27" s="573" t="str">
        <f>IFERROR(VLOOKUP(E27,Map!$B:$F,4,0),"")&amp;IFERROR(VLOOKUP(E27,Map!$B:$F,5,0),"")</f>
        <v/>
      </c>
      <c r="E27" s="574" t="str">
        <f t="shared" si="1"/>
        <v/>
      </c>
      <c r="F27" s="428"/>
      <c r="G27"/>
      <c r="H27"/>
      <c r="I27"/>
      <c r="J27" s="442"/>
      <c r="K27" s="442"/>
      <c r="L27" s="14"/>
      <c r="M27" s="625"/>
      <c r="N27" s="554"/>
      <c r="O27" s="625"/>
      <c r="P27" s="554"/>
      <c r="Q27" s="625"/>
      <c r="R27" s="554"/>
    </row>
    <row r="28" spans="2:18">
      <c r="B28" s="571" t="str">
        <f>IF(F28="","",(SUMIF(INTGRATE!$Y:$Y,data!D28,INTGRATE!$L:$L)+SUMIF(BRAN!$V:$V,data!D28,BRAN!$J:$J)))</f>
        <v/>
      </c>
      <c r="C28" s="572" t="str">
        <f t="shared" si="0"/>
        <v/>
      </c>
      <c r="D28" s="573" t="str">
        <f>IFERROR(VLOOKUP(E28,Map!$B:$F,4,0),"")&amp;IFERROR(VLOOKUP(E28,Map!$B:$F,5,0),"")</f>
        <v/>
      </c>
      <c r="E28" s="574" t="str">
        <f t="shared" si="1"/>
        <v/>
      </c>
      <c r="F28" s="428"/>
      <c r="G28"/>
      <c r="H28"/>
      <c r="I28"/>
      <c r="J28" s="442"/>
      <c r="K28" s="442"/>
      <c r="L28" s="14"/>
      <c r="M28" s="625"/>
      <c r="N28" s="554"/>
      <c r="O28" s="625"/>
      <c r="P28" s="554"/>
      <c r="Q28" s="625"/>
      <c r="R28" s="554"/>
    </row>
    <row r="29" spans="2:18">
      <c r="B29" s="571" t="str">
        <f>IF(F29="","",(SUMIF(INTGRATE!$Y:$Y,data!D29,INTGRATE!$L:$L)+SUMIF(BRAN!$V:$V,data!D29,BRAN!$J:$J)))</f>
        <v/>
      </c>
      <c r="C29" s="572" t="str">
        <f t="shared" si="0"/>
        <v/>
      </c>
      <c r="D29" s="573" t="str">
        <f>IFERROR(VLOOKUP(E29,Map!$B:$F,4,0),"")&amp;IFERROR(VLOOKUP(E29,Map!$B:$F,5,0),"")</f>
        <v/>
      </c>
      <c r="E29" s="574" t="str">
        <f t="shared" si="1"/>
        <v/>
      </c>
      <c r="F29" s="428"/>
      <c r="G29"/>
      <c r="H29"/>
      <c r="I29"/>
      <c r="J29" s="442"/>
      <c r="K29" s="442"/>
      <c r="L29" s="14"/>
      <c r="M29" s="625"/>
      <c r="N29" s="554"/>
      <c r="O29" s="625"/>
      <c r="P29" s="554"/>
      <c r="Q29" s="625"/>
      <c r="R29" s="554"/>
    </row>
    <row r="30" spans="2:18">
      <c r="B30" s="571" t="str">
        <f>IF(F30="","",(SUMIF(INTGRATE!$Y:$Y,data!D30,INTGRATE!$L:$L)+SUMIF(BRAN!$V:$V,data!D30,BRAN!$J:$J)))</f>
        <v/>
      </c>
      <c r="C30" s="572" t="str">
        <f t="shared" si="0"/>
        <v/>
      </c>
      <c r="D30" s="573" t="str">
        <f>IFERROR(VLOOKUP(E30,Map!$B:$F,4,0),"")&amp;IFERROR(VLOOKUP(E30,Map!$B:$F,5,0),"")</f>
        <v/>
      </c>
      <c r="E30" s="574" t="str">
        <f t="shared" si="1"/>
        <v/>
      </c>
      <c r="F30" s="428"/>
      <c r="G30"/>
      <c r="H30"/>
      <c r="I30"/>
      <c r="J30" s="442"/>
      <c r="K30" s="442"/>
      <c r="L30" s="14"/>
      <c r="M30" s="625"/>
      <c r="N30" s="554"/>
      <c r="O30" s="625"/>
      <c r="P30" s="554"/>
      <c r="Q30" s="625"/>
      <c r="R30" s="554"/>
    </row>
    <row r="31" spans="2:18">
      <c r="B31" s="571" t="str">
        <f>IF(F31="","",(SUMIF(INTGRATE!$Y:$Y,data!D31,INTGRATE!$L:$L)+SUMIF(BRAN!$V:$V,data!D31,BRAN!$J:$J)))</f>
        <v/>
      </c>
      <c r="C31" s="572" t="str">
        <f t="shared" si="0"/>
        <v/>
      </c>
      <c r="D31" s="573" t="str">
        <f>IFERROR(VLOOKUP(E31,Map!$B:$F,4,0),"")&amp;IFERROR(VLOOKUP(E31,Map!$B:$F,5,0),"")</f>
        <v/>
      </c>
      <c r="E31" s="574" t="str">
        <f t="shared" si="1"/>
        <v/>
      </c>
      <c r="F31" s="428"/>
      <c r="G31"/>
      <c r="H31"/>
      <c r="I31"/>
      <c r="J31" s="442"/>
      <c r="K31" s="442"/>
      <c r="L31" s="14"/>
      <c r="M31" s="625"/>
      <c r="N31" s="554"/>
      <c r="O31" s="625"/>
      <c r="P31" s="554"/>
      <c r="Q31" s="625"/>
      <c r="R31" s="554"/>
    </row>
    <row r="32" spans="2:18">
      <c r="B32" s="571" t="str">
        <f>IF(F32="","",(SUMIF(INTGRATE!$Y:$Y,data!D32,INTGRATE!$L:$L)+SUMIF(BRAN!$V:$V,data!D32,BRAN!$J:$J)))</f>
        <v/>
      </c>
      <c r="C32" s="572" t="str">
        <f t="shared" si="0"/>
        <v/>
      </c>
      <c r="D32" s="573" t="str">
        <f>IFERROR(VLOOKUP(E32,Map!$B:$F,4,0),"")&amp;IFERROR(VLOOKUP(E32,Map!$B:$F,5,0),"")</f>
        <v/>
      </c>
      <c r="E32" s="574" t="str">
        <f t="shared" si="1"/>
        <v/>
      </c>
      <c r="F32" s="428"/>
      <c r="G32"/>
      <c r="H32"/>
      <c r="I32"/>
      <c r="J32" s="442"/>
      <c r="K32" s="442"/>
      <c r="L32" s="14"/>
      <c r="M32" s="625"/>
      <c r="N32" s="554"/>
      <c r="O32" s="625"/>
      <c r="P32" s="554"/>
      <c r="Q32" s="625"/>
      <c r="R32" s="554"/>
    </row>
    <row r="33" spans="2:18">
      <c r="B33" s="571" t="str">
        <f>IF(F33="","",(SUMIF(INTGRATE!$Y:$Y,data!D33,INTGRATE!$L:$L)+SUMIF(BRAN!$V:$V,data!D33,BRAN!$J:$J)))</f>
        <v/>
      </c>
      <c r="C33" s="572" t="str">
        <f t="shared" ref="C33:C63" si="2">IF(F33="","",B33-K33)</f>
        <v/>
      </c>
      <c r="D33" s="573" t="str">
        <f>IFERROR(VLOOKUP(E33,Map!$B:$F,4,0),"")&amp;IFERROR(VLOOKUP(E33,Map!$B:$F,5,0),"")</f>
        <v/>
      </c>
      <c r="E33" s="574" t="str">
        <f t="shared" ref="E33:E63" si="3">IF(MID(F33,10,2)="99",F33&amp;H33,LEFT(F33,14))</f>
        <v/>
      </c>
      <c r="F33" s="428"/>
      <c r="G33"/>
      <c r="H33"/>
      <c r="I33"/>
      <c r="J33" s="442"/>
      <c r="K33" s="442"/>
      <c r="L33" s="14"/>
      <c r="M33" s="625"/>
      <c r="N33" s="554"/>
      <c r="O33" s="625"/>
      <c r="P33" s="554"/>
      <c r="Q33" s="625"/>
      <c r="R33" s="554"/>
    </row>
    <row r="34" spans="2:18">
      <c r="B34" s="571" t="str">
        <f>IF(F34="","",(SUMIF(INTGRATE!$Y:$Y,data!D34,INTGRATE!$L:$L)+SUMIF(BRAN!$V:$V,data!D34,BRAN!$J:$J)))</f>
        <v/>
      </c>
      <c r="C34" s="572" t="str">
        <f t="shared" si="2"/>
        <v/>
      </c>
      <c r="D34" s="573" t="str">
        <f>IFERROR(VLOOKUP(E34,Map!$B:$F,4,0),"")&amp;IFERROR(VLOOKUP(E34,Map!$B:$F,5,0),"")</f>
        <v/>
      </c>
      <c r="E34" s="574" t="str">
        <f t="shared" si="3"/>
        <v/>
      </c>
      <c r="F34" s="428"/>
      <c r="G34"/>
      <c r="H34"/>
      <c r="I34"/>
      <c r="J34" s="442"/>
      <c r="K34" s="442"/>
      <c r="L34" s="14"/>
      <c r="M34" s="625"/>
      <c r="N34" s="554"/>
      <c r="O34" s="625"/>
      <c r="P34" s="554"/>
      <c r="Q34" s="625"/>
      <c r="R34" s="554"/>
    </row>
    <row r="35" spans="2:18">
      <c r="B35" s="571" t="str">
        <f>IF(F35="","",(SUMIF(INTGRATE!$Y:$Y,data!D35,INTGRATE!$L:$L)+SUMIF(BRAN!$V:$V,data!D35,BRAN!$J:$J)))</f>
        <v/>
      </c>
      <c r="C35" s="572" t="str">
        <f t="shared" si="2"/>
        <v/>
      </c>
      <c r="D35" s="573" t="str">
        <f>IFERROR(VLOOKUP(E35,Map!$B:$F,4,0),"")&amp;IFERROR(VLOOKUP(E35,Map!$B:$F,5,0),"")</f>
        <v/>
      </c>
      <c r="E35" s="574" t="str">
        <f t="shared" si="3"/>
        <v/>
      </c>
      <c r="F35" s="428"/>
      <c r="G35"/>
      <c r="H35"/>
      <c r="I35"/>
      <c r="J35" s="442"/>
      <c r="K35" s="442"/>
      <c r="L35" s="14"/>
      <c r="M35" s="625"/>
      <c r="N35" s="554"/>
      <c r="O35" s="625"/>
      <c r="P35" s="554"/>
      <c r="Q35" s="625"/>
      <c r="R35" s="554"/>
    </row>
    <row r="36" spans="2:18">
      <c r="B36" s="571" t="str">
        <f>IF(F36="","",(SUMIF(INTGRATE!$Y:$Y,data!D36,INTGRATE!$L:$L)+SUMIF(BRAN!$V:$V,data!D36,BRAN!$J:$J)))</f>
        <v/>
      </c>
      <c r="C36" s="572" t="str">
        <f t="shared" si="2"/>
        <v/>
      </c>
      <c r="D36" s="573" t="str">
        <f>IFERROR(VLOOKUP(E36,Map!$B:$F,4,0),"")&amp;IFERROR(VLOOKUP(E36,Map!$B:$F,5,0),"")</f>
        <v/>
      </c>
      <c r="E36" s="574" t="str">
        <f t="shared" si="3"/>
        <v/>
      </c>
      <c r="F36" s="428"/>
      <c r="G36"/>
      <c r="H36"/>
      <c r="I36"/>
      <c r="J36" s="442"/>
      <c r="K36" s="442"/>
      <c r="L36" s="14"/>
      <c r="M36" s="625"/>
      <c r="N36" s="554"/>
      <c r="O36" s="625"/>
      <c r="P36" s="554"/>
      <c r="Q36" s="625"/>
      <c r="R36" s="554"/>
    </row>
    <row r="37" spans="2:18">
      <c r="B37" s="571" t="str">
        <f>IF(F37="","",(SUMIF(INTGRATE!$Y:$Y,data!D37,INTGRATE!$L:$L)+SUMIF(BRAN!$V:$V,data!D37,BRAN!$J:$J)))</f>
        <v/>
      </c>
      <c r="C37" s="572" t="str">
        <f t="shared" si="2"/>
        <v/>
      </c>
      <c r="D37" s="573" t="str">
        <f>IFERROR(VLOOKUP(E37,Map!$B:$F,4,0),"")&amp;IFERROR(VLOOKUP(E37,Map!$B:$F,5,0),"")</f>
        <v/>
      </c>
      <c r="E37" s="574" t="str">
        <f t="shared" si="3"/>
        <v/>
      </c>
      <c r="F37" s="428"/>
      <c r="G37"/>
      <c r="H37"/>
      <c r="I37"/>
      <c r="J37" s="442"/>
      <c r="K37" s="442"/>
      <c r="L37" s="14"/>
      <c r="M37" s="625"/>
      <c r="N37" s="554"/>
      <c r="O37" s="625"/>
      <c r="P37" s="554"/>
      <c r="Q37" s="625"/>
      <c r="R37" s="554"/>
    </row>
    <row r="38" spans="2:18">
      <c r="B38" s="571" t="str">
        <f>IF(F38="","",(SUMIF(INTGRATE!$Y:$Y,data!D38,INTGRATE!$L:$L)+SUMIF(BRAN!$V:$V,data!D38,BRAN!$J:$J)))</f>
        <v/>
      </c>
      <c r="C38" s="572" t="str">
        <f t="shared" si="2"/>
        <v/>
      </c>
      <c r="D38" s="573" t="str">
        <f>IFERROR(VLOOKUP(E38,Map!$B:$F,4,0),"")&amp;IFERROR(VLOOKUP(E38,Map!$B:$F,5,0),"")</f>
        <v/>
      </c>
      <c r="E38" s="574" t="str">
        <f t="shared" si="3"/>
        <v/>
      </c>
      <c r="F38" s="428"/>
      <c r="G38"/>
      <c r="H38"/>
      <c r="I38"/>
      <c r="J38" s="442"/>
      <c r="K38" s="442"/>
      <c r="L38" s="14"/>
      <c r="M38" s="625"/>
      <c r="N38" s="554"/>
      <c r="O38" s="625"/>
      <c r="P38" s="554"/>
      <c r="Q38" s="625"/>
      <c r="R38" s="554"/>
    </row>
    <row r="39" spans="2:18">
      <c r="B39" s="571" t="str">
        <f>IF(F39="","",(SUMIF(INTGRATE!$Y:$Y,data!D39,INTGRATE!$L:$L)+SUMIF(BRAN!$V:$V,data!D39,BRAN!$J:$J)))</f>
        <v/>
      </c>
      <c r="C39" s="572" t="str">
        <f t="shared" si="2"/>
        <v/>
      </c>
      <c r="D39" s="573" t="str">
        <f>IFERROR(VLOOKUP(E39,Map!$B:$F,4,0),"")&amp;IFERROR(VLOOKUP(E39,Map!$B:$F,5,0),"")</f>
        <v/>
      </c>
      <c r="E39" s="574" t="str">
        <f>IF(MID(F39,10,2)="99",F39&amp;H39,LEFT(F39,14))</f>
        <v/>
      </c>
      <c r="F39" s="428"/>
      <c r="G39"/>
      <c r="H39"/>
      <c r="I39"/>
      <c r="J39" s="442"/>
      <c r="K39" s="442"/>
      <c r="L39" s="14"/>
      <c r="M39" s="625"/>
      <c r="N39" s="554"/>
      <c r="O39" s="625"/>
      <c r="P39" s="554"/>
      <c r="Q39" s="625"/>
      <c r="R39" s="554"/>
    </row>
    <row r="40" spans="2:18">
      <c r="B40" s="571" t="str">
        <f>IF(F40="","",(SUMIF(INTGRATE!$Y:$Y,data!D40,INTGRATE!$L:$L)+SUMIF(BRAN!$V:$V,data!D40,BRAN!$J:$J)))</f>
        <v/>
      </c>
      <c r="C40" s="572" t="str">
        <f t="shared" si="2"/>
        <v/>
      </c>
      <c r="D40" s="573" t="str">
        <f>IFERROR(VLOOKUP(E40,Map!$B:$F,4,0),"")&amp;IFERROR(VLOOKUP(E40,Map!$B:$F,5,0),"")</f>
        <v/>
      </c>
      <c r="E40" s="574" t="str">
        <f t="shared" si="3"/>
        <v/>
      </c>
      <c r="F40" s="428"/>
      <c r="G40"/>
      <c r="H40"/>
      <c r="I40"/>
      <c r="J40" s="442"/>
      <c r="K40" s="442"/>
      <c r="L40" s="14"/>
      <c r="M40" s="625"/>
      <c r="N40" s="554"/>
      <c r="O40" s="625"/>
      <c r="P40" s="554"/>
      <c r="Q40" s="625"/>
      <c r="R40" s="554"/>
    </row>
    <row r="41" spans="2:18">
      <c r="B41" s="571" t="str">
        <f>IF(F41="","",(SUMIF(INTGRATE!$Y:$Y,data!D41,INTGRATE!$L:$L)+SUMIF(BRAN!$V:$V,data!D41,BRAN!$J:$J)))</f>
        <v/>
      </c>
      <c r="C41" s="572" t="str">
        <f t="shared" si="2"/>
        <v/>
      </c>
      <c r="D41" s="573" t="str">
        <f>IFERROR(VLOOKUP(E41,Map!$B:$F,4,0),"")&amp;IFERROR(VLOOKUP(E41,Map!$B:$F,5,0),"")</f>
        <v/>
      </c>
      <c r="E41" s="574" t="str">
        <f t="shared" si="3"/>
        <v/>
      </c>
      <c r="F41" s="428"/>
      <c r="G41"/>
      <c r="H41"/>
      <c r="I41"/>
      <c r="J41" s="442"/>
      <c r="K41" s="442"/>
      <c r="L41" s="14"/>
      <c r="M41" s="625"/>
      <c r="N41" s="554"/>
      <c r="O41" s="625"/>
      <c r="P41" s="554"/>
      <c r="Q41" s="625"/>
      <c r="R41" s="554"/>
    </row>
    <row r="42" spans="2:18">
      <c r="B42" s="571" t="str">
        <f>IF(F42="","",(SUMIF(INTGRATE!$Y:$Y,data!D42,INTGRATE!$L:$L)+SUMIF(BRAN!$V:$V,data!D42,BRAN!$J:$J)))</f>
        <v/>
      </c>
      <c r="C42" s="572" t="str">
        <f t="shared" si="2"/>
        <v/>
      </c>
      <c r="D42" s="573" t="str">
        <f>IFERROR(VLOOKUP(E42,Map!$B:$F,4,0),"")&amp;IFERROR(VLOOKUP(E42,Map!$B:$F,5,0),"")</f>
        <v/>
      </c>
      <c r="E42" s="574" t="str">
        <f t="shared" si="3"/>
        <v/>
      </c>
      <c r="F42" s="428"/>
      <c r="G42"/>
      <c r="H42"/>
      <c r="I42"/>
      <c r="J42" s="442"/>
      <c r="K42" s="442"/>
      <c r="L42" s="14"/>
      <c r="M42" s="625"/>
      <c r="N42" s="554"/>
      <c r="O42" s="625"/>
      <c r="P42" s="554"/>
      <c r="Q42" s="625"/>
      <c r="R42" s="554"/>
    </row>
    <row r="43" spans="2:18">
      <c r="B43" s="571" t="str">
        <f>IF(F43="","",(SUMIF(INTGRATE!$Y:$Y,data!D43,INTGRATE!$L:$L)+SUMIF(BRAN!$V:$V,data!D43,BRAN!$J:$J)))</f>
        <v/>
      </c>
      <c r="C43" s="572" t="str">
        <f t="shared" si="2"/>
        <v/>
      </c>
      <c r="D43" s="573" t="str">
        <f>IFERROR(VLOOKUP(E43,Map!$B:$F,4,0),"")&amp;IFERROR(VLOOKUP(E43,Map!$B:$F,5,0),"")</f>
        <v/>
      </c>
      <c r="E43" s="574" t="str">
        <f t="shared" si="3"/>
        <v/>
      </c>
      <c r="F43" s="428"/>
      <c r="G43"/>
      <c r="H43"/>
      <c r="I43"/>
      <c r="J43" s="442"/>
      <c r="K43" s="442"/>
      <c r="L43" s="14"/>
      <c r="M43" s="796"/>
      <c r="N43" s="554"/>
      <c r="O43" s="369"/>
      <c r="P43" s="369"/>
      <c r="Q43" s="369"/>
      <c r="R43" s="369"/>
    </row>
    <row r="44" spans="2:18">
      <c r="B44" s="571" t="str">
        <f>IF(F44="","",(SUMIF(INTGRATE!$Y:$Y,data!D44,INTGRATE!$L:$L)+SUMIF(BRAN!$V:$V,data!D44,BRAN!$J:$J)))</f>
        <v/>
      </c>
      <c r="C44" s="572" t="str">
        <f t="shared" si="2"/>
        <v/>
      </c>
      <c r="D44" s="573" t="str">
        <f>IFERROR(VLOOKUP(E44,Map!$B:$F,4,0),"")&amp;IFERROR(VLOOKUP(E44,Map!$B:$F,5,0),"")</f>
        <v/>
      </c>
      <c r="E44" s="574" t="str">
        <f t="shared" si="3"/>
        <v/>
      </c>
      <c r="F44" s="428"/>
      <c r="G44"/>
      <c r="H44"/>
      <c r="I44"/>
      <c r="J44" s="442"/>
      <c r="K44" s="442"/>
      <c r="L44" s="14"/>
      <c r="M44" s="564"/>
      <c r="N44" s="563"/>
      <c r="O44" s="562"/>
      <c r="P44" s="563"/>
      <c r="Q44" s="562"/>
      <c r="R44" s="563"/>
    </row>
    <row r="45" spans="2:18">
      <c r="B45" s="571" t="str">
        <f>IF(F45="","",(SUMIF(INTGRATE!$Y:$Y,data!D45,INTGRATE!$L:$L)+SUMIF(BRAN!$V:$V,data!D45,BRAN!$J:$J)))</f>
        <v/>
      </c>
      <c r="C45" s="572" t="str">
        <f t="shared" si="2"/>
        <v/>
      </c>
      <c r="D45" s="573" t="str">
        <f>IFERROR(VLOOKUP(E45,Map!$B:$F,4,0),"")&amp;IFERROR(VLOOKUP(E45,Map!$B:$F,5,0),"")</f>
        <v/>
      </c>
      <c r="E45" s="574" t="str">
        <f t="shared" si="3"/>
        <v/>
      </c>
      <c r="F45" s="428"/>
      <c r="G45"/>
      <c r="H45"/>
      <c r="I45"/>
      <c r="J45" s="442"/>
      <c r="K45" s="442"/>
      <c r="L45" s="14"/>
      <c r="M45" s="564"/>
      <c r="N45" s="563"/>
      <c r="O45" s="562"/>
      <c r="P45" s="563"/>
      <c r="Q45" s="562"/>
      <c r="R45" s="563"/>
    </row>
    <row r="46" spans="2:18">
      <c r="B46" s="571" t="str">
        <f>IF(F46="","",(SUMIF(INTGRATE!$Y:$Y,data!D46,INTGRATE!$L:$L)+SUMIF(BRAN!$V:$V,data!D46,BRAN!$J:$J)))</f>
        <v/>
      </c>
      <c r="C46" s="572" t="str">
        <f t="shared" si="2"/>
        <v/>
      </c>
      <c r="D46" s="573" t="str">
        <f>IFERROR(VLOOKUP(E46,Map!$B:$F,4,0),"")&amp;IFERROR(VLOOKUP(E46,Map!$B:$F,5,0),"")</f>
        <v/>
      </c>
      <c r="E46" s="574" t="str">
        <f t="shared" si="3"/>
        <v/>
      </c>
      <c r="F46" s="428"/>
      <c r="G46"/>
      <c r="H46"/>
      <c r="I46"/>
      <c r="J46" s="14"/>
      <c r="K46" s="442"/>
      <c r="L46" s="442"/>
      <c r="M46" s="564"/>
      <c r="N46" s="563"/>
      <c r="O46" s="562"/>
      <c r="P46" s="563"/>
      <c r="Q46" s="562"/>
      <c r="R46" s="563"/>
    </row>
    <row r="47" spans="2:18">
      <c r="B47" s="571" t="str">
        <f>IF(F47="","",(SUMIF(INTGRATE!$Y:$Y,data!D47,INTGRATE!$L:$L)+SUMIF(BRAN!$V:$V,data!D47,BRAN!$J:$J)))</f>
        <v/>
      </c>
      <c r="C47" s="572" t="str">
        <f t="shared" si="2"/>
        <v/>
      </c>
      <c r="D47" s="573" t="str">
        <f>IFERROR(VLOOKUP(E47,Map!$B:$F,4,0),"")&amp;IFERROR(VLOOKUP(E47,Map!$B:$F,5,0),"")</f>
        <v/>
      </c>
      <c r="E47" s="574" t="str">
        <f t="shared" si="3"/>
        <v/>
      </c>
      <c r="F47" s="428"/>
      <c r="G47"/>
      <c r="H47"/>
      <c r="I47"/>
      <c r="J47" s="14"/>
      <c r="K47" s="442"/>
      <c r="L47" s="14"/>
      <c r="M47" s="564"/>
      <c r="N47" s="563"/>
      <c r="O47" s="562"/>
      <c r="P47" s="563"/>
      <c r="Q47" s="562"/>
      <c r="R47" s="563"/>
    </row>
    <row r="48" spans="2:18">
      <c r="B48" s="571" t="str">
        <f>IF(F48="","",(SUMIF(INTGRATE!$Y:$Y,data!D48,INTGRATE!$L:$L)+SUMIF(BRAN!$V:$V,data!D48,BRAN!$J:$J)))</f>
        <v/>
      </c>
      <c r="C48" s="572" t="str">
        <f t="shared" si="2"/>
        <v/>
      </c>
      <c r="D48" s="573" t="str">
        <f>IFERROR(VLOOKUP(E48,Map!$B:$F,4,0),"")&amp;IFERROR(VLOOKUP(E48,Map!$B:$F,5,0),"")</f>
        <v/>
      </c>
      <c r="E48" s="574" t="str">
        <f t="shared" si="3"/>
        <v/>
      </c>
      <c r="F48" s="428"/>
      <c r="G48"/>
      <c r="H48"/>
      <c r="I48"/>
      <c r="J48" s="442"/>
      <c r="K48" s="442"/>
      <c r="L48" s="14"/>
      <c r="M48" s="564"/>
      <c r="N48" s="563"/>
      <c r="O48" s="562"/>
      <c r="P48" s="563"/>
      <c r="Q48" s="562"/>
      <c r="R48" s="563"/>
    </row>
    <row r="49" spans="2:18">
      <c r="B49" s="571" t="str">
        <f>IF(F49="","",(SUMIF(INTGRATE!$Y:$Y,data!D49,INTGRATE!$L:$L)+SUMIF(BRAN!$V:$V,data!D49,BRAN!$J:$J)))</f>
        <v/>
      </c>
      <c r="C49" s="572" t="str">
        <f t="shared" si="2"/>
        <v/>
      </c>
      <c r="D49" s="573" t="str">
        <f>IFERROR(VLOOKUP(E49,Map!$B:$F,4,0),"")&amp;IFERROR(VLOOKUP(E49,Map!$B:$F,5,0),"")</f>
        <v/>
      </c>
      <c r="E49" s="574" t="str">
        <f t="shared" si="3"/>
        <v/>
      </c>
      <c r="F49" s="428"/>
      <c r="G49"/>
      <c r="H49"/>
      <c r="I49"/>
      <c r="J49" s="442"/>
      <c r="K49" s="442"/>
      <c r="L49" s="14"/>
      <c r="M49" s="564"/>
      <c r="N49" s="563"/>
      <c r="O49" s="562"/>
      <c r="P49" s="563"/>
      <c r="Q49" s="562"/>
      <c r="R49" s="563"/>
    </row>
    <row r="50" spans="2:18">
      <c r="B50" s="571" t="str">
        <f>IF(F50="","",(SUMIF(INTGRATE!$Y:$Y,data!D50,INTGRATE!$L:$L)+SUMIF(BRAN!$V:$V,data!D50,BRAN!$J:$J)))</f>
        <v/>
      </c>
      <c r="C50" s="572" t="str">
        <f t="shared" si="2"/>
        <v/>
      </c>
      <c r="D50" s="573" t="str">
        <f>IFERROR(VLOOKUP(E50,Map!$B:$F,4,0),"")&amp;IFERROR(VLOOKUP(E50,Map!$B:$F,5,0),"")</f>
        <v/>
      </c>
      <c r="E50" s="574" t="str">
        <f t="shared" si="3"/>
        <v/>
      </c>
      <c r="F50" s="428"/>
      <c r="G50"/>
      <c r="H50"/>
      <c r="I50"/>
      <c r="J50" s="442"/>
      <c r="K50" s="442"/>
      <c r="L50" s="14"/>
      <c r="M50" s="564"/>
      <c r="N50" s="563"/>
      <c r="O50" s="562"/>
      <c r="P50" s="563"/>
      <c r="Q50" s="562"/>
      <c r="R50" s="563"/>
    </row>
    <row r="51" spans="2:18">
      <c r="B51" s="571" t="str">
        <f>IF(F51="","",(SUMIF(INTGRATE!$Y:$Y,data!D51,INTGRATE!$L:$L)+SUMIF(BRAN!$V:$V,data!D51,BRAN!$J:$J)))</f>
        <v/>
      </c>
      <c r="C51" s="572" t="str">
        <f t="shared" si="2"/>
        <v/>
      </c>
      <c r="D51" s="573" t="str">
        <f>IFERROR(VLOOKUP(E51,Map!$B:$F,4,0),"")&amp;IFERROR(VLOOKUP(E51,Map!$B:$F,5,0),"")</f>
        <v/>
      </c>
      <c r="E51" s="574" t="str">
        <f t="shared" si="3"/>
        <v/>
      </c>
      <c r="F51" s="428"/>
      <c r="G51"/>
      <c r="H51"/>
      <c r="I51"/>
      <c r="J51" s="442"/>
      <c r="K51" s="442"/>
      <c r="L51" s="14"/>
      <c r="M51" s="564"/>
      <c r="N51" s="563"/>
      <c r="O51" s="562"/>
      <c r="P51" s="563"/>
      <c r="Q51" s="562"/>
      <c r="R51" s="563"/>
    </row>
    <row r="52" spans="2:18">
      <c r="B52" s="571" t="str">
        <f>IF(F52="","",(SUMIF(INTGRATE!$Y:$Y,data!D52,INTGRATE!$L:$L)+SUMIF(BRAN!$V:$V,data!D52,BRAN!$J:$J)))</f>
        <v/>
      </c>
      <c r="C52" s="572" t="str">
        <f t="shared" si="2"/>
        <v/>
      </c>
      <c r="D52" s="573" t="str">
        <f>IFERROR(VLOOKUP(E52,Map!$B:$F,4,0),"")&amp;IFERROR(VLOOKUP(E52,Map!$B:$F,5,0),"")</f>
        <v/>
      </c>
      <c r="E52" s="574" t="str">
        <f t="shared" si="3"/>
        <v/>
      </c>
      <c r="F52" s="428"/>
      <c r="G52"/>
      <c r="H52"/>
      <c r="I52"/>
      <c r="J52" s="442"/>
      <c r="K52" s="442"/>
      <c r="L52" s="14"/>
      <c r="M52" s="564"/>
      <c r="N52" s="563"/>
      <c r="O52" s="562"/>
      <c r="P52" s="563"/>
      <c r="Q52" s="562"/>
      <c r="R52" s="563"/>
    </row>
    <row r="53" spans="2:18">
      <c r="B53" s="571" t="str">
        <f>IF(F53="","",(SUMIF(INTGRATE!$Y:$Y,data!D53,INTGRATE!$L:$L)+SUMIF(BRAN!$V:$V,data!D53,BRAN!$J:$J)))</f>
        <v/>
      </c>
      <c r="C53" s="572" t="str">
        <f t="shared" si="2"/>
        <v/>
      </c>
      <c r="D53" s="573" t="str">
        <f>IFERROR(VLOOKUP(E53,Map!$B:$F,4,0),"")&amp;IFERROR(VLOOKUP(E53,Map!$B:$F,5,0),"")</f>
        <v/>
      </c>
      <c r="E53" s="574" t="str">
        <f t="shared" si="3"/>
        <v/>
      </c>
      <c r="F53" s="428"/>
      <c r="G53"/>
      <c r="H53"/>
      <c r="I53"/>
      <c r="J53" s="442"/>
      <c r="K53" s="442"/>
      <c r="L53" s="14"/>
      <c r="M53" s="564"/>
      <c r="N53" s="563"/>
      <c r="O53" s="562"/>
      <c r="P53" s="563"/>
      <c r="Q53" s="562"/>
      <c r="R53" s="563"/>
    </row>
    <row r="54" spans="2:18">
      <c r="B54" s="571" t="str">
        <f>IF(F54="","",(SUMIF(INTGRATE!$Y:$Y,data!D54,INTGRATE!$L:$L)+SUMIF(BRAN!$V:$V,data!D54,BRAN!$J:$J)))</f>
        <v/>
      </c>
      <c r="C54" s="572" t="str">
        <f t="shared" si="2"/>
        <v/>
      </c>
      <c r="D54" s="573" t="str">
        <f>IFERROR(VLOOKUP(E54,Map!$B:$F,4,0),"")&amp;IFERROR(VLOOKUP(E54,Map!$B:$F,5,0),"")</f>
        <v/>
      </c>
      <c r="E54" s="574" t="str">
        <f t="shared" si="3"/>
        <v/>
      </c>
      <c r="F54" s="428"/>
      <c r="G54"/>
      <c r="H54"/>
      <c r="I54"/>
      <c r="J54" s="14"/>
      <c r="K54" s="442"/>
      <c r="L54" s="14"/>
      <c r="M54" s="564"/>
      <c r="N54" s="563"/>
      <c r="O54" s="562"/>
      <c r="P54" s="563"/>
      <c r="Q54" s="562"/>
      <c r="R54" s="563"/>
    </row>
    <row r="55" spans="2:18">
      <c r="B55" s="571" t="str">
        <f>IF(F55="","",(SUMIF(INTGRATE!$Y:$Y,data!D55,INTGRATE!$L:$L)+SUMIF(BRAN!$V:$V,data!D55,BRAN!$J:$J)))</f>
        <v/>
      </c>
      <c r="C55" s="572" t="str">
        <f t="shared" si="2"/>
        <v/>
      </c>
      <c r="D55" s="573" t="str">
        <f>IFERROR(VLOOKUP(E55,Map!$B:$F,4,0),"")&amp;IFERROR(VLOOKUP(E55,Map!$B:$F,5,0),"")</f>
        <v/>
      </c>
      <c r="E55" s="574" t="str">
        <f t="shared" si="3"/>
        <v/>
      </c>
      <c r="F55" s="428"/>
      <c r="G55"/>
      <c r="H55"/>
      <c r="I55"/>
      <c r="J55" s="14"/>
      <c r="K55" s="442"/>
      <c r="L55" s="14"/>
      <c r="M55" s="564"/>
      <c r="N55" s="563"/>
      <c r="O55" s="562"/>
      <c r="P55" s="563"/>
      <c r="Q55" s="562"/>
      <c r="R55" s="563"/>
    </row>
    <row r="56" spans="2:18">
      <c r="B56" s="571" t="str">
        <f>IF(F56="","",(SUMIF(INTGRATE!$Y:$Y,data!D56,INTGRATE!$L:$L)+SUMIF(BRAN!$V:$V,data!D56,BRAN!$J:$J)))</f>
        <v/>
      </c>
      <c r="C56" s="572" t="str">
        <f t="shared" si="2"/>
        <v/>
      </c>
      <c r="D56" s="573" t="str">
        <f>IFERROR(VLOOKUP(E56,Map!$B:$F,4,0),"")&amp;IFERROR(VLOOKUP(E56,Map!$B:$F,5,0),"")</f>
        <v/>
      </c>
      <c r="E56" s="574" t="str">
        <f t="shared" si="3"/>
        <v/>
      </c>
      <c r="F56" s="428"/>
      <c r="G56"/>
      <c r="H56"/>
      <c r="I56"/>
      <c r="J56" s="14"/>
      <c r="K56" s="442"/>
      <c r="L56" s="14"/>
      <c r="M56" s="564"/>
      <c r="N56" s="563"/>
      <c r="O56" s="562"/>
      <c r="P56" s="563"/>
      <c r="Q56" s="562"/>
      <c r="R56" s="563"/>
    </row>
    <row r="57" spans="2:18">
      <c r="B57" s="571" t="str">
        <f>IF(F57="","",(SUMIF(INTGRATE!$Y:$Y,data!D57,INTGRATE!$L:$L)+SUMIF(BRAN!$V:$V,data!D57,BRAN!$J:$J)))</f>
        <v/>
      </c>
      <c r="C57" s="572" t="str">
        <f t="shared" si="2"/>
        <v/>
      </c>
      <c r="D57" s="573" t="str">
        <f>IFERROR(VLOOKUP(E57,Map!$B:$F,4,0),"")&amp;IFERROR(VLOOKUP(E57,Map!$B:$F,5,0),"")</f>
        <v/>
      </c>
      <c r="E57" s="574" t="str">
        <f t="shared" si="3"/>
        <v/>
      </c>
      <c r="F57" s="428"/>
      <c r="G57"/>
      <c r="H57"/>
      <c r="I57"/>
      <c r="J57" s="14"/>
      <c r="K57" s="442"/>
      <c r="L57" s="14"/>
      <c r="M57" s="564"/>
      <c r="N57" s="563"/>
      <c r="O57" s="562"/>
      <c r="P57" s="563"/>
      <c r="Q57" s="562"/>
      <c r="R57" s="563"/>
    </row>
    <row r="58" spans="2:18">
      <c r="B58" s="571" t="str">
        <f>IF(F58="","",(SUMIF(INTGRATE!$Y:$Y,data!D58,INTGRATE!$L:$L)+SUMIF(BRAN!$V:$V,data!D58,BRAN!$J:$J)))</f>
        <v/>
      </c>
      <c r="C58" s="572" t="str">
        <f t="shared" si="2"/>
        <v/>
      </c>
      <c r="D58" s="573" t="str">
        <f>IFERROR(VLOOKUP(E58,Map!$B:$F,4,0),"")&amp;IFERROR(VLOOKUP(E58,Map!$B:$F,5,0),"")</f>
        <v/>
      </c>
      <c r="E58" s="574" t="str">
        <f t="shared" si="3"/>
        <v/>
      </c>
      <c r="F58" s="428"/>
      <c r="G58"/>
      <c r="H58"/>
      <c r="I58"/>
      <c r="J58" s="14"/>
      <c r="K58" s="442"/>
      <c r="L58" s="14"/>
      <c r="M58" s="564"/>
      <c r="N58" s="563"/>
      <c r="O58" s="562"/>
      <c r="P58" s="563"/>
      <c r="Q58" s="562"/>
      <c r="R58" s="563"/>
    </row>
    <row r="59" spans="2:18">
      <c r="B59" s="571" t="str">
        <f>IF(F59="","",(SUMIF(INTGRATE!$Y:$Y,data!D59,INTGRATE!$L:$L)+SUMIF(BRAN!$V:$V,data!D59,BRAN!$J:$J)))</f>
        <v/>
      </c>
      <c r="C59" s="572" t="str">
        <f t="shared" si="2"/>
        <v/>
      </c>
      <c r="D59" s="573" t="str">
        <f>IFERROR(VLOOKUP(E59,Map!$B:$F,4,0),"")&amp;IFERROR(VLOOKUP(E59,Map!$B:$F,5,0),"")</f>
        <v/>
      </c>
      <c r="E59" s="574" t="str">
        <f t="shared" si="3"/>
        <v/>
      </c>
      <c r="F59" s="428"/>
      <c r="G59"/>
      <c r="H59"/>
      <c r="I59"/>
      <c r="J59" s="14"/>
      <c r="K59" s="442"/>
      <c r="L59" s="14"/>
      <c r="M59" s="564"/>
      <c r="N59" s="563"/>
      <c r="O59" s="562"/>
      <c r="P59" s="563"/>
      <c r="Q59" s="562"/>
      <c r="R59" s="563"/>
    </row>
    <row r="60" spans="2:18">
      <c r="B60" s="571" t="str">
        <f>IF(F60="","",(SUMIF(INTGRATE!$Y:$Y,data!D60,INTGRATE!$L:$L)+SUMIF(BRAN!$V:$V,data!D60,BRAN!$J:$J)))</f>
        <v/>
      </c>
      <c r="C60" s="572" t="str">
        <f t="shared" si="2"/>
        <v/>
      </c>
      <c r="D60" s="573" t="str">
        <f>IFERROR(VLOOKUP(E60,Map!$B:$F,4,0),"")&amp;IFERROR(VLOOKUP(E60,Map!$B:$F,5,0),"")</f>
        <v/>
      </c>
      <c r="E60" s="574" t="str">
        <f t="shared" si="3"/>
        <v/>
      </c>
      <c r="F60" s="428"/>
      <c r="G60"/>
      <c r="H60"/>
      <c r="I60"/>
      <c r="J60" s="14"/>
      <c r="K60" s="442"/>
      <c r="L60" s="14"/>
      <c r="M60" s="564"/>
      <c r="N60" s="563"/>
      <c r="O60" s="562"/>
      <c r="P60" s="563"/>
      <c r="Q60" s="562"/>
      <c r="R60" s="563"/>
    </row>
    <row r="61" spans="2:18">
      <c r="B61" s="571" t="str">
        <f>IF(F61="","",(SUMIF(INTGRATE!$Y:$Y,data!D61,INTGRATE!$L:$L)+SUMIF(BRAN!$V:$V,data!D61,BRAN!$J:$J)))</f>
        <v/>
      </c>
      <c r="C61" s="572" t="str">
        <f t="shared" si="2"/>
        <v/>
      </c>
      <c r="D61" s="573" t="str">
        <f>IFERROR(VLOOKUP(E61,Map!$B:$F,4,0),"")&amp;IFERROR(VLOOKUP(E61,Map!$B:$F,5,0),"")</f>
        <v/>
      </c>
      <c r="E61" s="574" t="str">
        <f t="shared" si="3"/>
        <v/>
      </c>
      <c r="F61" s="428"/>
      <c r="G61"/>
      <c r="H61"/>
      <c r="I61"/>
      <c r="J61" s="14"/>
      <c r="K61" s="442"/>
      <c r="L61" s="14"/>
      <c r="M61" s="564"/>
      <c r="N61" s="563"/>
      <c r="O61" s="562"/>
      <c r="P61" s="563"/>
      <c r="Q61" s="562"/>
      <c r="R61" s="563"/>
    </row>
    <row r="62" spans="2:18">
      <c r="B62" s="571" t="str">
        <f>IF(F62="","",(SUMIF(INTGRATE!$Y:$Y,data!D62,INTGRATE!$L:$L)+SUMIF(BRAN!$V:$V,data!D62,BRAN!$J:$J)))</f>
        <v/>
      </c>
      <c r="C62" s="572" t="str">
        <f t="shared" si="2"/>
        <v/>
      </c>
      <c r="D62" s="573" t="str">
        <f>IFERROR(VLOOKUP(E62,Map!$B:$F,4,0),"")&amp;IFERROR(VLOOKUP(E62,Map!$B:$F,5,0),"")</f>
        <v/>
      </c>
      <c r="E62" s="574" t="str">
        <f t="shared" si="3"/>
        <v/>
      </c>
      <c r="F62" s="428"/>
      <c r="G62"/>
      <c r="H62"/>
      <c r="I62"/>
      <c r="J62" s="14"/>
      <c r="K62" s="442"/>
      <c r="L62" s="14"/>
      <c r="M62" s="564"/>
    </row>
    <row r="63" spans="2:18">
      <c r="B63" s="571" t="str">
        <f>IF(F63="","",(SUMIF(INTGRATE!$Y:$Y,data!D63,INTGRATE!$L:$L)+SUMIF(BRAN!$V:$V,data!D63,BRAN!$J:$J)))</f>
        <v/>
      </c>
      <c r="C63" s="572" t="str">
        <f t="shared" si="2"/>
        <v/>
      </c>
      <c r="D63" s="573" t="str">
        <f>IFERROR(VLOOKUP(E63,Map!$B:$F,4,0),"")&amp;IFERROR(VLOOKUP(E63,Map!$B:$F,5,0),"")</f>
        <v/>
      </c>
      <c r="E63" s="574" t="str">
        <f t="shared" si="3"/>
        <v/>
      </c>
      <c r="F63" s="428"/>
      <c r="G63"/>
      <c r="H63"/>
      <c r="I63"/>
      <c r="J63" s="14"/>
      <c r="K63" s="442"/>
      <c r="L63" s="14"/>
      <c r="M63" s="564"/>
    </row>
    <row r="64" spans="2:18">
      <c r="B64" s="571" t="str">
        <f>IF(F64="","",(SUMIF(INTGRATE!$Y:$Y,data!D64,INTGRATE!$L:$L)+SUMIF(BRAN!$V:$V,data!D64,BRAN!$J:$J)))</f>
        <v/>
      </c>
      <c r="C64" s="572" t="str">
        <f t="shared" ref="C64:C79" si="4">IF(F64="","",B64-K64)</f>
        <v/>
      </c>
      <c r="D64" s="573" t="str">
        <f>IFERROR(VLOOKUP(E64,Map!$B:$F,4,0),"")&amp;IFERROR(VLOOKUP(E64,Map!$B:$F,5,0),"")</f>
        <v/>
      </c>
      <c r="E64" s="574" t="str">
        <f t="shared" ref="E64:E83" si="5">IF(MID(F64,10,2)="99",F64&amp;H64,LEFT(F64,14))</f>
        <v/>
      </c>
      <c r="F64" s="428"/>
      <c r="G64"/>
      <c r="H64"/>
      <c r="I64"/>
      <c r="J64" s="14"/>
      <c r="K64" s="442"/>
      <c r="L64" s="14"/>
      <c r="M64" s="564"/>
    </row>
    <row r="65" spans="2:13">
      <c r="B65" s="571" t="str">
        <f>IF(F65="","",(SUMIF(INTGRATE!$Y:$Y,data!D65,INTGRATE!$L:$L)+SUMIF(BRAN!$V:$V,data!D65,BRAN!$J:$J)))</f>
        <v/>
      </c>
      <c r="C65" s="572" t="str">
        <f t="shared" si="4"/>
        <v/>
      </c>
      <c r="D65" s="573" t="str">
        <f>IFERROR(VLOOKUP(E65,Map!$B:$F,4,0),"")&amp;IFERROR(VLOOKUP(E65,Map!$B:$F,5,0),"")</f>
        <v/>
      </c>
      <c r="E65" s="574" t="str">
        <f t="shared" si="5"/>
        <v/>
      </c>
      <c r="F65" s="428"/>
      <c r="G65"/>
      <c r="H65"/>
      <c r="I65"/>
      <c r="J65" s="14"/>
      <c r="K65" s="442"/>
      <c r="L65" s="14"/>
      <c r="M65" s="564"/>
    </row>
    <row r="66" spans="2:13">
      <c r="B66" s="571" t="str">
        <f>IF(F66="","",(SUMIF(INTGRATE!$Y:$Y,data!D66,INTGRATE!$L:$L)+SUMIF(BRAN!$V:$V,data!D66,BRAN!$J:$J)))</f>
        <v/>
      </c>
      <c r="C66" s="572" t="str">
        <f t="shared" si="4"/>
        <v/>
      </c>
      <c r="D66" s="573" t="str">
        <f>IFERROR(VLOOKUP(E66,Map!$B:$F,4,0),"")&amp;IFERROR(VLOOKUP(E66,Map!$B:$F,5,0),"")</f>
        <v/>
      </c>
      <c r="E66" s="574" t="str">
        <f t="shared" si="5"/>
        <v/>
      </c>
      <c r="F66" s="428"/>
      <c r="G66"/>
      <c r="H66"/>
      <c r="I66"/>
      <c r="J66" s="14"/>
      <c r="K66" s="442"/>
      <c r="L66" s="14"/>
      <c r="M66" s="564"/>
    </row>
    <row r="67" spans="2:13">
      <c r="B67" s="571" t="str">
        <f>IF(F67="","",(SUMIF(INTGRATE!$Y:$Y,data!D67,INTGRATE!$L:$L)+SUMIF(BRAN!$V:$V,data!D67,BRAN!$J:$J)))</f>
        <v/>
      </c>
      <c r="C67" s="572" t="str">
        <f t="shared" si="4"/>
        <v/>
      </c>
      <c r="D67" s="573" t="str">
        <f>IFERROR(VLOOKUP(E67,Map!$B:$F,4,0),"")&amp;IFERROR(VLOOKUP(E67,Map!$B:$F,5,0),"")</f>
        <v/>
      </c>
      <c r="E67" s="574" t="str">
        <f t="shared" si="5"/>
        <v/>
      </c>
      <c r="F67" s="428"/>
      <c r="G67"/>
      <c r="H67"/>
      <c r="I67"/>
      <c r="J67" s="14"/>
      <c r="K67" s="442"/>
      <c r="L67" s="14"/>
      <c r="M67" s="564"/>
    </row>
    <row r="68" spans="2:13">
      <c r="B68" s="571" t="str">
        <f>IF(F68="","",(SUMIF(INTGRATE!$Y:$Y,data!D68,INTGRATE!$L:$L)+SUMIF(BRAN!$V:$V,data!D68,BRAN!$J:$J)))</f>
        <v/>
      </c>
      <c r="C68" s="572" t="str">
        <f t="shared" si="4"/>
        <v/>
      </c>
      <c r="D68" s="573" t="str">
        <f>IFERROR(VLOOKUP(E68,Map!$B:$F,4,0),"")&amp;IFERROR(VLOOKUP(E68,Map!$B:$F,5,0),"")</f>
        <v/>
      </c>
      <c r="E68" s="574" t="str">
        <f t="shared" si="5"/>
        <v/>
      </c>
      <c r="F68" s="428"/>
      <c r="G68"/>
      <c r="H68"/>
      <c r="I68"/>
      <c r="J68" s="14"/>
      <c r="K68" s="442"/>
      <c r="L68" s="14"/>
      <c r="M68" s="564"/>
    </row>
    <row r="69" spans="2:13">
      <c r="B69" s="571" t="str">
        <f>IF(F69="","",(SUMIF(INTGRATE!$Y:$Y,data!D69,INTGRATE!$L:$L)+SUMIF(BRAN!$V:$V,data!D69,BRAN!$J:$J)))</f>
        <v/>
      </c>
      <c r="C69" s="572" t="str">
        <f t="shared" si="4"/>
        <v/>
      </c>
      <c r="D69" s="573" t="str">
        <f>IFERROR(VLOOKUP(E69,Map!$B:$F,4,0),"")&amp;IFERROR(VLOOKUP(E69,Map!$B:$F,5,0),"")</f>
        <v/>
      </c>
      <c r="E69" s="574" t="str">
        <f t="shared" si="5"/>
        <v/>
      </c>
      <c r="F69" s="428"/>
      <c r="G69"/>
      <c r="H69"/>
      <c r="I69"/>
      <c r="J69" s="14"/>
      <c r="K69" s="442"/>
      <c r="L69" s="14"/>
      <c r="M69" s="564"/>
    </row>
    <row r="70" spans="2:13">
      <c r="B70" s="571" t="str">
        <f>IF(F70="","",(SUMIF(INTGRATE!$Y:$Y,data!D70,INTGRATE!$L:$L)+SUMIF(BRAN!$V:$V,data!D70,BRAN!$J:$J)))</f>
        <v/>
      </c>
      <c r="C70" s="572" t="str">
        <f t="shared" si="4"/>
        <v/>
      </c>
      <c r="D70" s="573" t="str">
        <f>IFERROR(VLOOKUP(E70,Map!$B:$F,4,0),"")&amp;IFERROR(VLOOKUP(E70,Map!$B:$F,5,0),"")</f>
        <v/>
      </c>
      <c r="E70" s="574" t="str">
        <f t="shared" si="5"/>
        <v/>
      </c>
      <c r="F70" s="428"/>
      <c r="G70"/>
      <c r="H70"/>
      <c r="I70"/>
      <c r="J70" s="14"/>
      <c r="K70" s="442"/>
      <c r="L70" s="14"/>
      <c r="M70" s="564"/>
    </row>
    <row r="71" spans="2:13">
      <c r="B71" s="571" t="str">
        <f>IF(F71="","",(SUMIF(INTGRATE!$Y:$Y,data!D71,INTGRATE!$L:$L)+SUMIF(BRAN!$V:$V,data!D71,BRAN!$J:$J)))</f>
        <v/>
      </c>
      <c r="C71" s="572" t="str">
        <f t="shared" si="4"/>
        <v/>
      </c>
      <c r="D71" s="573" t="str">
        <f>IFERROR(VLOOKUP(E71,Map!$B:$F,4,0),"")&amp;IFERROR(VLOOKUP(E71,Map!$B:$F,5,0),"")</f>
        <v/>
      </c>
      <c r="E71" s="574" t="str">
        <f t="shared" si="5"/>
        <v/>
      </c>
      <c r="F71" s="428"/>
      <c r="G71"/>
      <c r="H71"/>
      <c r="I71"/>
      <c r="J71" s="14"/>
      <c r="K71" s="442"/>
      <c r="L71" s="14"/>
      <c r="M71" s="564"/>
    </row>
    <row r="72" spans="2:13">
      <c r="B72" s="571" t="str">
        <f>IF(F72="","",(SUMIF(INTGRATE!$Y:$Y,data!D72,INTGRATE!$L:$L)+SUMIF(BRAN!$V:$V,data!D72,BRAN!$J:$J)))</f>
        <v/>
      </c>
      <c r="C72" s="572" t="str">
        <f t="shared" si="4"/>
        <v/>
      </c>
      <c r="D72" s="573" t="str">
        <f>IFERROR(VLOOKUP(E72,Map!$B:$F,4,0),"")&amp;IFERROR(VLOOKUP(E72,Map!$B:$F,5,0),"")</f>
        <v/>
      </c>
      <c r="E72" s="574" t="str">
        <f t="shared" si="5"/>
        <v/>
      </c>
      <c r="F72" s="428"/>
      <c r="G72"/>
      <c r="H72"/>
      <c r="I72"/>
      <c r="J72" s="14"/>
      <c r="K72" s="442"/>
      <c r="L72" s="14"/>
      <c r="M72" s="564"/>
    </row>
    <row r="73" spans="2:13">
      <c r="B73" s="571" t="str">
        <f>IF(F73="","",(SUMIF(INTGRATE!$Y:$Y,data!D73,INTGRATE!$L:$L)+SUMIF(BRAN!$V:$V,data!D73,BRAN!$J:$J)))</f>
        <v/>
      </c>
      <c r="C73" s="572" t="str">
        <f t="shared" si="4"/>
        <v/>
      </c>
      <c r="D73" s="573" t="str">
        <f>IFERROR(VLOOKUP(E73,Map!$B:$F,4,0),"")&amp;IFERROR(VLOOKUP(E73,Map!$B:$F,5,0),"")</f>
        <v/>
      </c>
      <c r="E73" s="574" t="str">
        <f t="shared" si="5"/>
        <v/>
      </c>
      <c r="F73" s="428"/>
      <c r="G73"/>
      <c r="H73"/>
      <c r="I73"/>
      <c r="J73" s="14"/>
      <c r="K73" s="442"/>
      <c r="L73" s="14"/>
      <c r="M73" s="564"/>
    </row>
    <row r="74" spans="2:13">
      <c r="B74" s="571" t="str">
        <f>IF(F74="","",(SUMIF(INTGRATE!$Y:$Y,data!D74,INTGRATE!$L:$L)+SUMIF(BRAN!$V:$V,data!D74,BRAN!$J:$J)))</f>
        <v/>
      </c>
      <c r="C74" s="572" t="str">
        <f t="shared" si="4"/>
        <v/>
      </c>
      <c r="D74" s="573" t="str">
        <f>IFERROR(VLOOKUP(E74,Map!$B:$F,4,0),"")&amp;IFERROR(VLOOKUP(E74,Map!$B:$F,5,0),"")</f>
        <v/>
      </c>
      <c r="E74" s="574" t="str">
        <f t="shared" si="5"/>
        <v/>
      </c>
      <c r="F74" s="428"/>
      <c r="G74"/>
      <c r="H74"/>
      <c r="I74"/>
      <c r="J74" s="14"/>
      <c r="K74" s="442"/>
      <c r="L74" s="14"/>
      <c r="M74" s="564"/>
    </row>
    <row r="75" spans="2:13">
      <c r="B75" s="571" t="str">
        <f>IF(F75="","",(SUMIF(INTGRATE!$Y:$Y,data!D75,INTGRATE!$L:$L)+SUMIF(BRAN!$V:$V,data!D75,BRAN!$J:$J)))</f>
        <v/>
      </c>
      <c r="C75" s="572" t="str">
        <f t="shared" si="4"/>
        <v/>
      </c>
      <c r="D75" s="573" t="str">
        <f>IFERROR(VLOOKUP(E75,Map!$B:$F,4,0),"")&amp;IFERROR(VLOOKUP(E75,Map!$B:$F,5,0),"")</f>
        <v/>
      </c>
      <c r="E75" s="574" t="str">
        <f t="shared" si="5"/>
        <v/>
      </c>
      <c r="F75" s="428"/>
      <c r="G75"/>
      <c r="H75"/>
      <c r="I75"/>
      <c r="J75" s="14"/>
      <c r="K75" s="442"/>
      <c r="L75" s="14"/>
      <c r="M75" s="564"/>
    </row>
    <row r="76" spans="2:13">
      <c r="B76" s="571" t="str">
        <f>IF(F76="","",(SUMIF(INTGRATE!$Y:$Y,data!D76,INTGRATE!$L:$L)+SUMIF(BRAN!$V:$V,data!D76,BRAN!$J:$J)))</f>
        <v/>
      </c>
      <c r="C76" s="572" t="str">
        <f t="shared" si="4"/>
        <v/>
      </c>
      <c r="D76" s="573" t="str">
        <f>IFERROR(VLOOKUP(E76,Map!$B:$F,4,0),"")&amp;IFERROR(VLOOKUP(E76,Map!$B:$F,5,0),"")</f>
        <v/>
      </c>
      <c r="E76" s="574" t="str">
        <f t="shared" si="5"/>
        <v/>
      </c>
      <c r="F76" s="428"/>
      <c r="G76"/>
      <c r="H76"/>
      <c r="I76"/>
      <c r="J76" s="14"/>
      <c r="K76" s="442"/>
      <c r="L76" s="14"/>
      <c r="M76" s="564"/>
    </row>
    <row r="77" spans="2:13">
      <c r="B77" s="571" t="str">
        <f>IF(F77="","",(SUMIF(INTGRATE!$Y:$Y,data!D77,INTGRATE!$L:$L)+SUMIF(BRAN!$V:$V,data!D77,BRAN!$J:$J)))</f>
        <v/>
      </c>
      <c r="C77" s="572" t="str">
        <f t="shared" si="4"/>
        <v/>
      </c>
      <c r="D77" s="573" t="str">
        <f>IFERROR(VLOOKUP(E77,Map!$B:$F,4,0),"")&amp;IFERROR(VLOOKUP(E77,Map!$B:$F,5,0),"")</f>
        <v/>
      </c>
      <c r="E77" s="574" t="str">
        <f t="shared" si="5"/>
        <v/>
      </c>
      <c r="F77" s="428"/>
      <c r="G77"/>
      <c r="H77"/>
      <c r="I77"/>
      <c r="J77" s="14"/>
      <c r="K77" s="442"/>
      <c r="L77" s="14"/>
      <c r="M77" s="564"/>
    </row>
    <row r="78" spans="2:13">
      <c r="B78" s="571" t="str">
        <f>IF(F78="","",(SUMIF(INTGRATE!$Y:$Y,data!D78,INTGRATE!$L:$L)+SUMIF(BRAN!$V:$V,data!D78,BRAN!$J:$J)))</f>
        <v/>
      </c>
      <c r="C78" s="572" t="str">
        <f t="shared" si="4"/>
        <v/>
      </c>
      <c r="D78" s="573" t="str">
        <f>IFERROR(VLOOKUP(E78,Map!$B:$F,4,0),"")&amp;IFERROR(VLOOKUP(E78,Map!$B:$F,5,0),"")</f>
        <v/>
      </c>
      <c r="E78" s="574" t="str">
        <f t="shared" si="5"/>
        <v/>
      </c>
      <c r="F78" s="428"/>
      <c r="G78"/>
      <c r="H78"/>
      <c r="I78"/>
      <c r="J78" s="14"/>
      <c r="K78" s="442"/>
      <c r="L78" s="14"/>
      <c r="M78" s="564"/>
    </row>
    <row r="79" spans="2:13">
      <c r="B79" s="571" t="str">
        <f>IF(F79="","",(SUMIF(INTGRATE!$Y:$Y,data!D79,INTGRATE!$L:$L)+SUMIF(BRAN!$V:$V,data!D79,BRAN!$J:$J)))</f>
        <v/>
      </c>
      <c r="C79" s="572" t="str">
        <f t="shared" si="4"/>
        <v/>
      </c>
      <c r="D79" s="573" t="str">
        <f>IFERROR(VLOOKUP(E79,Map!$B:$F,4,0),"")&amp;IFERROR(VLOOKUP(E79,Map!$B:$F,5,0),"")</f>
        <v/>
      </c>
      <c r="E79" s="574" t="str">
        <f t="shared" si="5"/>
        <v/>
      </c>
      <c r="F79" s="428"/>
      <c r="G79"/>
      <c r="H79"/>
      <c r="I79"/>
      <c r="J79" s="14"/>
      <c r="K79" s="442"/>
      <c r="L79" s="14"/>
      <c r="M79" s="564"/>
    </row>
    <row r="80" spans="2:13">
      <c r="B80" s="571"/>
      <c r="C80" s="572"/>
      <c r="D80" s="573" t="str">
        <f>IFERROR(VLOOKUP(E80,Map!$B:$F,4,0),"")&amp;IFERROR(VLOOKUP(E80,Map!$B:$F,5,0),"")</f>
        <v/>
      </c>
      <c r="E80" s="574" t="str">
        <f t="shared" si="5"/>
        <v/>
      </c>
      <c r="F80" s="428"/>
      <c r="G80"/>
      <c r="H80"/>
      <c r="I80"/>
      <c r="J80" s="14"/>
      <c r="K80" s="442"/>
      <c r="L80" s="14"/>
      <c r="M80" s="564"/>
    </row>
    <row r="81" spans="2:13">
      <c r="B81" s="571" t="str">
        <f>IF(F81="","",(SUMIF(INTGRATE!$Y:$Y,data!D81,INTGRATE!$L:$L)+SUMIF(BRAN!$V:$V,data!D81,BRAN!$J:$J)))</f>
        <v/>
      </c>
      <c r="C81" s="572" t="str">
        <f>IF(F81="","",B81-K81)</f>
        <v/>
      </c>
      <c r="D81" s="573" t="str">
        <f>IFERROR(VLOOKUP(E81,Map!$B:$F,4,0),"")&amp;IFERROR(VLOOKUP(E81,Map!$B:$F,5,0),"")</f>
        <v/>
      </c>
      <c r="E81" s="574" t="str">
        <f t="shared" si="5"/>
        <v/>
      </c>
      <c r="I81" s="576"/>
      <c r="M81" s="564"/>
    </row>
    <row r="82" spans="2:13">
      <c r="B82" s="571" t="str">
        <f>IF(F82="","",(SUMIF(INTGRATE!$Y:$Y,data!D82,INTGRATE!$L:$L)+SUMIF(BRAN!$V:$V,data!D82,BRAN!$J:$J)))</f>
        <v/>
      </c>
      <c r="C82" s="572" t="str">
        <f>IF(F82="","",B82-K82)</f>
        <v/>
      </c>
      <c r="D82" s="573" t="str">
        <f>IFERROR(VLOOKUP(E82,Map!$B:$F,4,0),"")&amp;IFERROR(VLOOKUP(E82,Map!$B:$F,5,0),"")</f>
        <v/>
      </c>
      <c r="E82" s="574" t="str">
        <f t="shared" si="5"/>
        <v/>
      </c>
      <c r="I82" s="576"/>
      <c r="M82" s="564"/>
    </row>
    <row r="83" spans="2:13">
      <c r="B83" s="571" t="str">
        <f>IF(F83="","",(SUMIF(INTGRATE!$Y:$Y,data!D83,INTGRATE!$L:$L)+SUMIF(BRAN!$V:$V,data!D83,BRAN!$J:$J)))</f>
        <v/>
      </c>
      <c r="C83" s="572" t="str">
        <f>IF(F83="","",B83-K83)</f>
        <v/>
      </c>
      <c r="D83" s="573" t="str">
        <f>IFERROR(VLOOKUP(E83,Map!$B:$F,4,0),"")&amp;IFERROR(VLOOKUP(E83,Map!$B:$F,5,0),"")</f>
        <v/>
      </c>
      <c r="E83" s="574" t="str">
        <f t="shared" si="5"/>
        <v/>
      </c>
      <c r="F83" s="774"/>
      <c r="G83" s="575"/>
      <c r="H83" s="575"/>
      <c r="I83" s="575"/>
      <c r="J83" s="578"/>
      <c r="K83" s="578"/>
      <c r="L83" s="578"/>
      <c r="M83" s="564"/>
    </row>
    <row r="84" spans="2:13">
      <c r="B84" s="571" t="str">
        <f>IF(F84="","",(SUMIF(INTGRATE!$Y:$Y,data!D84,INTGRATE!$L:$L)+SUMIF(BRAN!$V:$V,data!D84,BRAN!$J:$J)))</f>
        <v/>
      </c>
      <c r="C84" s="572" t="str">
        <f t="shared" ref="C84:C94" si="6">IF(F84="","",B84-K84)</f>
        <v/>
      </c>
      <c r="D84" s="573" t="str">
        <f>IFERROR(VLOOKUP(E84,Map!$B:$F,4,0),"")&amp;IFERROR(VLOOKUP(E84,Map!$B:$F,5,0),"")</f>
        <v/>
      </c>
      <c r="E84" s="574" t="str">
        <f t="shared" ref="E84:E95" si="7">IF(MID(F84,10,2)="99",F84&amp;H84,LEFT(F84,14))</f>
        <v/>
      </c>
      <c r="F84" s="773"/>
      <c r="G84" s="554"/>
      <c r="H84" s="369"/>
      <c r="I84" s="369"/>
      <c r="J84" s="612"/>
      <c r="K84" s="625"/>
      <c r="L84" s="554"/>
      <c r="M84" s="564"/>
    </row>
    <row r="85" spans="2:13">
      <c r="B85" s="571" t="str">
        <f>IF(F85="","",(SUMIF(INTGRATE!$Y:$Y,data!D85,INTGRATE!$L:$L)+SUMIF(BRAN!$V:$V,data!D85,BRAN!$J:$J)))</f>
        <v/>
      </c>
      <c r="C85" s="572" t="str">
        <f t="shared" si="6"/>
        <v/>
      </c>
      <c r="D85" s="573" t="str">
        <f>IFERROR(VLOOKUP(E85,Map!$B:$F,4,0),"")&amp;IFERROR(VLOOKUP(E85,Map!$B:$F,5,0),"")</f>
        <v/>
      </c>
      <c r="E85" s="574" t="str">
        <f t="shared" si="7"/>
        <v/>
      </c>
      <c r="I85" s="576"/>
      <c r="M85" s="564"/>
    </row>
    <row r="86" spans="2:13">
      <c r="B86" s="571" t="str">
        <f>IF(F86="","",(SUMIF(INTGRATE!$Y:$Y,data!D86,INTGRATE!$L:$L)+SUMIF(BRAN!$V:$V,data!D86,BRAN!$J:$J)))</f>
        <v/>
      </c>
      <c r="C86" s="572" t="str">
        <f t="shared" si="6"/>
        <v/>
      </c>
      <c r="D86" s="573" t="str">
        <f>IFERROR(VLOOKUP(E86,Map!$B:$F,4,0),"")&amp;IFERROR(VLOOKUP(E86,Map!$B:$F,5,0),"")</f>
        <v/>
      </c>
      <c r="E86" s="574" t="str">
        <f t="shared" si="7"/>
        <v/>
      </c>
      <c r="F86" s="774"/>
      <c r="G86" s="563"/>
      <c r="H86" s="575"/>
      <c r="I86" s="575"/>
      <c r="J86" s="578"/>
      <c r="K86" s="578"/>
      <c r="L86" s="578"/>
      <c r="M86" s="564"/>
    </row>
    <row r="87" spans="2:13">
      <c r="B87" s="571" t="str">
        <f>IF(F87="","",(SUMIF(INTGRATE!$Y:$Y,data!D87,INTGRATE!$L:$L)+SUMIF(BRAN!$V:$V,data!D87,BRAN!$J:$J)))</f>
        <v/>
      </c>
      <c r="C87" s="572" t="str">
        <f t="shared" si="6"/>
        <v/>
      </c>
      <c r="D87" s="573" t="str">
        <f>IFERROR(VLOOKUP(E87,Map!$B:$F,4,0),"")&amp;IFERROR(VLOOKUP(E87,Map!$B:$F,5,0),"")</f>
        <v/>
      </c>
      <c r="E87" s="574" t="str">
        <f t="shared" si="7"/>
        <v/>
      </c>
      <c r="I87" s="576"/>
      <c r="M87" s="564"/>
    </row>
    <row r="88" spans="2:13">
      <c r="B88" s="571" t="str">
        <f>IF(F88="","",(SUMIF(INTGRATE!$Y:$Y,data!D88,INTGRATE!$L:$L)+SUMIF(BRAN!$V:$V,data!D88,BRAN!$J:$J)))</f>
        <v/>
      </c>
      <c r="C88" s="572" t="str">
        <f t="shared" si="6"/>
        <v/>
      </c>
      <c r="D88" s="573" t="str">
        <f>IFERROR(VLOOKUP(E88,Map!$B:$F,4,0),"")&amp;IFERROR(VLOOKUP(E88,Map!$B:$F,5,0),"")</f>
        <v/>
      </c>
      <c r="E88" s="574" t="str">
        <f t="shared" si="7"/>
        <v/>
      </c>
      <c r="F88" s="774"/>
      <c r="G88" s="563"/>
      <c r="H88" s="575"/>
      <c r="I88" s="575"/>
      <c r="J88" s="578"/>
      <c r="K88" s="578"/>
      <c r="L88" s="578"/>
      <c r="M88" s="564"/>
    </row>
    <row r="89" spans="2:13">
      <c r="B89" s="571" t="str">
        <f>IF(F89="","",(SUMIF(INTGRATE!$Y:$Y,data!D89,INTGRATE!$L:$L)+SUMIF(BRAN!$V:$V,data!D89,BRAN!$J:$J)))</f>
        <v/>
      </c>
      <c r="C89" s="572" t="str">
        <f t="shared" si="6"/>
        <v/>
      </c>
      <c r="D89" s="573" t="str">
        <f>IFERROR(VLOOKUP(E89,Map!$B:$F,4,0),"")&amp;IFERROR(VLOOKUP(E89,Map!$B:$F,5,0),"")</f>
        <v/>
      </c>
      <c r="E89" s="574" t="str">
        <f t="shared" si="7"/>
        <v/>
      </c>
      <c r="I89" s="576"/>
      <c r="M89" s="564"/>
    </row>
    <row r="90" spans="2:13">
      <c r="B90" s="571" t="str">
        <f>IF(F90="","",(SUMIF(INTGRATE!$Y:$Y,data!D90,INTGRATE!$L:$L)+SUMIF(BRAN!$V:$V,data!D90,BRAN!$J:$J)))</f>
        <v/>
      </c>
      <c r="C90" s="572" t="str">
        <f t="shared" si="6"/>
        <v/>
      </c>
      <c r="D90" s="573" t="str">
        <f>IFERROR(VLOOKUP(E90,Map!$B:$F,4,0),"")&amp;IFERROR(VLOOKUP(E90,Map!$B:$F,5,0),"")</f>
        <v/>
      </c>
      <c r="E90" s="574" t="str">
        <f t="shared" si="7"/>
        <v/>
      </c>
      <c r="I90" s="576"/>
      <c r="M90" s="564"/>
    </row>
    <row r="91" spans="2:13">
      <c r="B91" s="571" t="str">
        <f>IF(F91="","",(SUMIF(INTGRATE!$Y:$Y,data!D91,INTGRATE!$L:$L)+SUMIF(BRAN!$V:$V,data!D91,BRAN!$J:$J)))</f>
        <v/>
      </c>
      <c r="C91" s="572" t="str">
        <f t="shared" si="6"/>
        <v/>
      </c>
      <c r="D91" s="573" t="str">
        <f>IFERROR(VLOOKUP(E91,Map!$B:$F,4,0),"")&amp;IFERROR(VLOOKUP(E91,Map!$B:$F,5,0),"")</f>
        <v/>
      </c>
      <c r="E91" s="574" t="str">
        <f t="shared" si="7"/>
        <v/>
      </c>
      <c r="I91" s="576"/>
      <c r="M91" s="564"/>
    </row>
    <row r="92" spans="2:13">
      <c r="B92" s="571" t="str">
        <f>IF(F92="","",(SUMIF(INTGRATE!$Y:$Y,data!D92,INTGRATE!$L:$L)+SUMIF(BRAN!$V:$V,data!D92,BRAN!$J:$J)))</f>
        <v/>
      </c>
      <c r="C92" s="572" t="str">
        <f t="shared" si="6"/>
        <v/>
      </c>
      <c r="D92" s="573" t="str">
        <f>IFERROR(VLOOKUP(E92,Map!$B:$F,4,0),"")&amp;IFERROR(VLOOKUP(E92,Map!$B:$F,5,0),"")</f>
        <v/>
      </c>
      <c r="E92" s="574" t="str">
        <f t="shared" si="7"/>
        <v/>
      </c>
      <c r="F92" s="774"/>
      <c r="G92" s="563"/>
      <c r="H92" s="575"/>
      <c r="I92" s="575"/>
      <c r="J92" s="579"/>
      <c r="K92" s="578"/>
      <c r="L92" s="578"/>
      <c r="M92" s="564"/>
    </row>
    <row r="93" spans="2:13">
      <c r="B93" s="571" t="str">
        <f>IF(F93="","",(SUMIF(INTGRATE!$Y:$Y,data!D93,INTGRATE!$L:$L)+SUMIF(BRAN!$V:$V,data!D93,BRAN!$J:$J)))</f>
        <v/>
      </c>
      <c r="C93" s="572" t="str">
        <f t="shared" si="6"/>
        <v/>
      </c>
      <c r="D93" s="573" t="str">
        <f>IFERROR(VLOOKUP(E93,Map!$B:$F,4,0),"")&amp;IFERROR(VLOOKUP(E93,Map!$B:$F,5,0),"")</f>
        <v/>
      </c>
      <c r="E93" s="574" t="str">
        <f t="shared" si="7"/>
        <v/>
      </c>
      <c r="F93" s="774"/>
      <c r="I93" s="576"/>
      <c r="J93" s="581"/>
      <c r="M93" s="564"/>
    </row>
    <row r="94" spans="2:13">
      <c r="B94" s="571" t="str">
        <f>IF(F94="","",(SUMIF(INTGRATE!$Y:$Y,data!D94,INTGRATE!$L:$L)+SUMIF(BRAN!$V:$V,data!D94,BRAN!$J:$J)))</f>
        <v/>
      </c>
      <c r="C94" s="572" t="str">
        <f t="shared" si="6"/>
        <v/>
      </c>
      <c r="D94" s="573" t="str">
        <f>IFERROR(VLOOKUP(E94,Map!$B:$F,4,0),"")&amp;IFERROR(VLOOKUP(E94,Map!$B:$F,5,0),"")</f>
        <v/>
      </c>
      <c r="E94" s="574" t="str">
        <f t="shared" si="7"/>
        <v/>
      </c>
      <c r="I94" s="576"/>
      <c r="J94" s="581"/>
      <c r="M94" s="564"/>
    </row>
    <row r="95" spans="2:13">
      <c r="B95" s="571" t="str">
        <f>IF(F95="","",(SUMIF(INTGRATE!$Y:$Y,data!D95,INTGRATE!$L:$L)+SUMIF(BRAN!$V:$V,data!D95,BRAN!$J:$J)))</f>
        <v/>
      </c>
      <c r="C95" s="572" t="str">
        <f t="shared" ref="C95:C104" si="8">IF(F95="","",B95-K95)</f>
        <v/>
      </c>
      <c r="D95" s="573" t="str">
        <f>IFERROR(VLOOKUP(E95,Map!$B:$F,4,0),"")&amp;IFERROR(VLOOKUP(E95,Map!$B:$F,5,0),"")</f>
        <v/>
      </c>
      <c r="E95" s="574" t="str">
        <f t="shared" si="7"/>
        <v/>
      </c>
      <c r="F95" s="774"/>
      <c r="G95" s="563"/>
      <c r="H95" s="575"/>
      <c r="I95" s="575"/>
      <c r="J95" s="578"/>
      <c r="K95" s="578"/>
      <c r="L95" s="578"/>
      <c r="M95" s="564"/>
    </row>
    <row r="96" spans="2:13">
      <c r="B96" s="571" t="str">
        <f>IF(F96="","",(SUMIF(INTGRATE!$Y:$Y,data!D96,INTGRATE!$L:$L)+SUMIF(BRAN!$V:$V,data!D96,BRAN!$J:$J)))</f>
        <v/>
      </c>
      <c r="C96" s="572" t="str">
        <f t="shared" si="8"/>
        <v/>
      </c>
      <c r="D96" s="573" t="str">
        <f>IFERROR(VLOOKUP(E96,Map!$B:$F,4,0),"")&amp;IFERROR(VLOOKUP(E96,Map!$B:$F,5,0),"")</f>
        <v/>
      </c>
      <c r="E96" s="574" t="str">
        <f t="shared" ref="E96:E104" si="9">IF(MID(F96,10,2)="99",F96&amp;H96,LEFT(F96,14))</f>
        <v/>
      </c>
      <c r="I96" s="576"/>
      <c r="M96" s="564"/>
    </row>
    <row r="97" spans="2:13">
      <c r="B97" s="571" t="str">
        <f>IF(F97="","",(SUMIF(INTGRATE!$Y:$Y,data!D97,INTGRATE!$L:$L)+SUMIF(BRAN!$V:$V,data!D97,BRAN!$J:$J)))</f>
        <v/>
      </c>
      <c r="C97" s="572" t="str">
        <f t="shared" si="8"/>
        <v/>
      </c>
      <c r="D97" s="573" t="str">
        <f>IFERROR(VLOOKUP(E97,Map!$B:$F,4,0),"")&amp;IFERROR(VLOOKUP(E97,Map!$B:$F,5,0),"")</f>
        <v/>
      </c>
      <c r="E97" s="574" t="str">
        <f t="shared" si="9"/>
        <v/>
      </c>
      <c r="I97" s="576"/>
      <c r="M97" s="564"/>
    </row>
    <row r="98" spans="2:13">
      <c r="B98" s="571" t="str">
        <f>IF(F98="","",(SUMIF(INTGRATE!$Y:$Y,data!D98,INTGRATE!$L:$L)+SUMIF(BRAN!$V:$V,data!D98,BRAN!$J:$J)))</f>
        <v/>
      </c>
      <c r="C98" s="572" t="str">
        <f t="shared" si="8"/>
        <v/>
      </c>
      <c r="D98" s="573" t="str">
        <f>IFERROR(VLOOKUP(E98,Map!$B:$F,4,0),"")&amp;IFERROR(VLOOKUP(E98,Map!$B:$F,5,0),"")</f>
        <v/>
      </c>
      <c r="E98" s="574" t="str">
        <f t="shared" si="9"/>
        <v/>
      </c>
      <c r="I98" s="576"/>
      <c r="M98" s="564"/>
    </row>
    <row r="99" spans="2:13">
      <c r="B99" s="571" t="str">
        <f>IF(F99="","",(SUMIF(INTGRATE!$Y:$Y,data!D99,INTGRATE!$L:$L)+SUMIF(BRAN!$V:$V,data!D99,BRAN!$J:$J)))</f>
        <v/>
      </c>
      <c r="C99" s="572" t="str">
        <f t="shared" si="8"/>
        <v/>
      </c>
      <c r="D99" s="573" t="str">
        <f>IFERROR(VLOOKUP(E99,Map!$B:$F,4,0),"")&amp;IFERROR(VLOOKUP(E99,Map!$B:$F,5,0),"")</f>
        <v/>
      </c>
      <c r="E99" s="574" t="str">
        <f t="shared" si="9"/>
        <v/>
      </c>
      <c r="I99" s="576"/>
      <c r="M99" s="564"/>
    </row>
    <row r="100" spans="2:13">
      <c r="B100" s="571" t="str">
        <f>IF(F100="","",(SUMIF(INTGRATE!$Y:$Y,data!D100,INTGRATE!$L:$L)+SUMIF(BRAN!$V:$V,data!D100,BRAN!$J:$J)))</f>
        <v/>
      </c>
      <c r="C100" s="572" t="str">
        <f t="shared" si="8"/>
        <v/>
      </c>
      <c r="D100" s="573" t="str">
        <f>IFERROR(VLOOKUP(E100,Map!$B:$F,4,0),"")&amp;IFERROR(VLOOKUP(E100,Map!$B:$F,5,0),"")</f>
        <v/>
      </c>
      <c r="E100" s="574" t="str">
        <f t="shared" si="9"/>
        <v/>
      </c>
      <c r="I100" s="576"/>
      <c r="M100" s="564"/>
    </row>
    <row r="101" spans="2:13">
      <c r="B101" s="571" t="str">
        <f>IF(F101="","",(SUMIF(INTGRATE!$Y:$Y,data!D101,INTGRATE!$L:$L)+SUMIF(BRAN!$V:$V,data!D101,BRAN!$J:$J)))</f>
        <v/>
      </c>
      <c r="C101" s="572" t="str">
        <f t="shared" si="8"/>
        <v/>
      </c>
      <c r="D101" s="573" t="str">
        <f>IFERROR(VLOOKUP(E101,Map!$B:$F,4,0),"")&amp;IFERROR(VLOOKUP(E101,Map!$B:$F,5,0),"")</f>
        <v/>
      </c>
      <c r="E101" s="574" t="str">
        <f t="shared" si="9"/>
        <v/>
      </c>
      <c r="I101" s="576"/>
      <c r="M101" s="564"/>
    </row>
    <row r="102" spans="2:13">
      <c r="B102" s="571" t="str">
        <f>IF(F102="","",(SUMIF(INTGRATE!$Y:$Y,data!D102,INTGRATE!$L:$L)+SUMIF(BRAN!$V:$V,data!D102,BRAN!$J:$J)))</f>
        <v/>
      </c>
      <c r="C102" s="572" t="str">
        <f t="shared" si="8"/>
        <v/>
      </c>
      <c r="D102" s="573" t="str">
        <f>IFERROR(VLOOKUP(E102,Map!$B:$F,4,0),"")&amp;IFERROR(VLOOKUP(E102,Map!$B:$F,5,0),"")</f>
        <v/>
      </c>
      <c r="E102" s="574" t="str">
        <f t="shared" si="9"/>
        <v/>
      </c>
      <c r="I102" s="576"/>
      <c r="M102" s="564"/>
    </row>
    <row r="103" spans="2:13">
      <c r="B103" s="571" t="str">
        <f>IF(F103="","",(SUMIF(INTGRATE!$Y:$Y,data!D103,INTGRATE!$L:$L)+SUMIF(BRAN!$V:$V,data!D103,BRAN!$J:$J)))</f>
        <v/>
      </c>
      <c r="C103" s="572" t="str">
        <f t="shared" si="8"/>
        <v/>
      </c>
      <c r="D103" s="573" t="str">
        <f>IFERROR(VLOOKUP(E103,Map!$B:$F,4,0),"")&amp;IFERROR(VLOOKUP(E103,Map!$B:$F,5,0),"")</f>
        <v/>
      </c>
      <c r="E103" s="574" t="str">
        <f>IF(MID(F103,10,2)="99",F103&amp;H103,LEFT(F103,14))</f>
        <v/>
      </c>
      <c r="I103" s="576"/>
      <c r="M103" s="564"/>
    </row>
    <row r="104" spans="2:13">
      <c r="B104" s="571" t="str">
        <f>IF(F104="","",(SUMIF(INTGRATE!$Y:$Y,data!D104,INTGRATE!$L:$L)+SUMIF(BRAN!$V:$V,data!D104,BRAN!$J:$J)))</f>
        <v/>
      </c>
      <c r="C104" s="572" t="str">
        <f t="shared" si="8"/>
        <v/>
      </c>
      <c r="D104" s="573" t="str">
        <f>IFERROR(VLOOKUP(E104,Map!$B:$F,4,0),"")&amp;IFERROR(VLOOKUP(E104,Map!$B:$F,5,0),"")</f>
        <v/>
      </c>
      <c r="E104" s="574" t="str">
        <f t="shared" si="9"/>
        <v/>
      </c>
      <c r="I104" s="576"/>
    </row>
    <row r="105" spans="2:13">
      <c r="B105" s="571" t="str">
        <f>IF(F105="","",(SUMIF(INTGRATE!$Y:$Y,data!D105,INTGRATE!$L:$L)+SUMIF(BRAN!$V:$V,data!D105,BRAN!$J:$J)))</f>
        <v/>
      </c>
      <c r="C105" s="572" t="str">
        <f t="shared" ref="C105:C126" si="10">IF(F105="","",B105-K105)</f>
        <v/>
      </c>
      <c r="D105" s="573" t="str">
        <f>IFERROR(VLOOKUP(E105,Map!$B:$F,4,0),"")&amp;IFERROR(VLOOKUP(E105,Map!$B:$F,5,0),"")</f>
        <v/>
      </c>
      <c r="E105" s="574" t="str">
        <f t="shared" ref="E105:E159" si="11">IF(MID(F105,10,2)="99",F105&amp;H105,LEFT(F105,14))</f>
        <v/>
      </c>
      <c r="I105" s="576"/>
    </row>
    <row r="106" spans="2:13">
      <c r="B106" s="571" t="str">
        <f>IF(F106="","",(SUMIF(INTGRATE!$Y:$Y,data!D106,INTGRATE!$L:$L)+SUMIF(BRAN!$V:$V,data!D106,BRAN!$J:$J)))</f>
        <v/>
      </c>
      <c r="C106" s="572" t="str">
        <f t="shared" si="10"/>
        <v/>
      </c>
      <c r="D106" s="573" t="str">
        <f>IFERROR(VLOOKUP(E106,Map!$B:$F,4,0),"")&amp;IFERROR(VLOOKUP(E106,Map!$B:$F,5,0),"")</f>
        <v/>
      </c>
      <c r="E106" s="574" t="str">
        <f t="shared" si="11"/>
        <v/>
      </c>
      <c r="I106" s="576"/>
    </row>
    <row r="107" spans="2:13">
      <c r="B107" s="571" t="str">
        <f>IF(F107="","",(SUMIF(INTGRATE!$Y:$Y,data!D107,INTGRATE!$L:$L)+SUMIF(BRAN!$V:$V,data!D107,BRAN!$J:$J)))</f>
        <v/>
      </c>
      <c r="C107" s="572" t="str">
        <f t="shared" si="10"/>
        <v/>
      </c>
      <c r="D107" s="573" t="str">
        <f>IFERROR(VLOOKUP(E107,Map!$B:$F,4,0),"")&amp;IFERROR(VLOOKUP(E107,Map!$B:$F,5,0),"")</f>
        <v/>
      </c>
      <c r="E107" s="574" t="str">
        <f t="shared" si="11"/>
        <v/>
      </c>
      <c r="I107" s="576"/>
    </row>
    <row r="108" spans="2:13">
      <c r="B108" s="571" t="str">
        <f>IF(F108="","",(SUMIF(INTGRATE!$Y:$Y,data!D108,INTGRATE!$L:$L)+SUMIF(BRAN!$V:$V,data!D108,BRAN!$J:$J)))</f>
        <v/>
      </c>
      <c r="C108" s="572" t="str">
        <f t="shared" si="10"/>
        <v/>
      </c>
      <c r="D108" s="573" t="str">
        <f>IFERROR(VLOOKUP(E108,Map!$B:$F,4,0),"")&amp;IFERROR(VLOOKUP(E108,Map!$B:$F,5,0),"")</f>
        <v/>
      </c>
      <c r="E108" s="574" t="str">
        <f t="shared" si="11"/>
        <v/>
      </c>
      <c r="I108" s="576"/>
    </row>
    <row r="109" spans="2:13">
      <c r="B109" s="571" t="str">
        <f>IF(F109="","",(SUMIF(INTGRATE!$Y:$Y,data!D109,INTGRATE!$L:$L)+SUMIF(BRAN!$V:$V,data!D109,BRAN!$J:$J)))</f>
        <v/>
      </c>
      <c r="C109" s="572" t="str">
        <f t="shared" si="10"/>
        <v/>
      </c>
      <c r="D109" s="573" t="str">
        <f>IFERROR(VLOOKUP(E109,Map!$B:$F,4,0),"")&amp;IFERROR(VLOOKUP(E109,Map!$B:$F,5,0),"")</f>
        <v/>
      </c>
      <c r="E109" s="574" t="str">
        <f t="shared" si="11"/>
        <v/>
      </c>
      <c r="I109" s="576"/>
    </row>
    <row r="110" spans="2:13">
      <c r="B110" s="571" t="str">
        <f>IF(F110="","",(SUMIF(INTGRATE!$Y:$Y,data!D110,INTGRATE!$L:$L)+SUMIF(BRAN!$V:$V,data!D110,BRAN!$J:$J)))</f>
        <v/>
      </c>
      <c r="C110" s="572" t="str">
        <f>IF(F110="","",B110-K110)</f>
        <v/>
      </c>
      <c r="D110" s="573" t="str">
        <f>IFERROR(VLOOKUP(E110,Map!$B:$F,4,0),"")&amp;IFERROR(VLOOKUP(E110,Map!$B:$F,5,0),"")</f>
        <v/>
      </c>
      <c r="E110" s="574" t="str">
        <f t="shared" si="11"/>
        <v/>
      </c>
    </row>
    <row r="111" spans="2:13">
      <c r="B111" s="571" t="str">
        <f>IF(F111="","",(SUMIF(INTGRATE!$Y:$Y,data!D111,INTGRATE!$L:$L)+SUMIF(BRAN!$V:$V,data!D111,BRAN!$J:$J)))</f>
        <v/>
      </c>
      <c r="C111" s="572" t="str">
        <f>IF(F111="","",B111-K111)</f>
        <v/>
      </c>
      <c r="D111" s="573" t="str">
        <f>IFERROR(VLOOKUP(E111,Map!$B:$F,4,0),"")&amp;IFERROR(VLOOKUP(E111,Map!$B:$F,5,0),"")</f>
        <v/>
      </c>
      <c r="E111" s="574" t="str">
        <f t="shared" si="11"/>
        <v/>
      </c>
    </row>
    <row r="112" spans="2:13">
      <c r="B112" s="571" t="str">
        <f>IF(F112="","",(SUMIF(INTGRATE!$Y:$Y,data!D112,INTGRATE!$L:$L)+SUMIF(BRAN!$V:$V,data!D112,BRAN!$J:$J)))</f>
        <v/>
      </c>
      <c r="C112" s="572" t="str">
        <f t="shared" si="10"/>
        <v/>
      </c>
      <c r="D112" s="573" t="str">
        <f>IFERROR(VLOOKUP(E112,Map!$B:$F,4,0),"")&amp;IFERROR(VLOOKUP(E112,Map!$B:$F,5,0),"")</f>
        <v/>
      </c>
      <c r="E112" s="574" t="str">
        <f t="shared" si="11"/>
        <v/>
      </c>
    </row>
    <row r="113" spans="2:5">
      <c r="B113" s="571" t="str">
        <f>IF(F113="","",(SUMIF(INTGRATE!$Y:$Y,data!D113,INTGRATE!$L:$L)+SUMIF(BRAN!$V:$V,data!D113,BRAN!$J:$J)))</f>
        <v/>
      </c>
      <c r="C113" s="572" t="str">
        <f t="shared" si="10"/>
        <v/>
      </c>
      <c r="D113" s="573" t="str">
        <f>IFERROR(VLOOKUP(E113,Map!$B:$F,4,0),"")&amp;IFERROR(VLOOKUP(E113,Map!$B:$F,5,0),"")</f>
        <v/>
      </c>
      <c r="E113" s="574" t="str">
        <f t="shared" si="11"/>
        <v/>
      </c>
    </row>
    <row r="114" spans="2:5">
      <c r="B114" s="571" t="str">
        <f>IF(F114="","",(SUMIF(INTGRATE!$Y:$Y,data!D114,INTGRATE!$L:$L)+SUMIF(BRAN!$V:$V,data!D114,BRAN!$J:$J)))</f>
        <v/>
      </c>
      <c r="C114" s="572" t="str">
        <f t="shared" si="10"/>
        <v/>
      </c>
      <c r="D114" s="573" t="str">
        <f>IFERROR(VLOOKUP(E114,Map!$B:$F,4,0),"")&amp;IFERROR(VLOOKUP(E114,Map!$B:$F,5,0),"")</f>
        <v/>
      </c>
      <c r="E114" s="574" t="str">
        <f t="shared" si="11"/>
        <v/>
      </c>
    </row>
    <row r="115" spans="2:5">
      <c r="B115" s="571" t="str">
        <f>IF(F115="","",(SUMIF(INTGRATE!$Y:$Y,data!D115,INTGRATE!$L:$L)+SUMIF(BRAN!$V:$V,data!D115,BRAN!$J:$J)))</f>
        <v/>
      </c>
      <c r="C115" s="572" t="str">
        <f t="shared" si="10"/>
        <v/>
      </c>
      <c r="D115" s="573" t="str">
        <f>IFERROR(VLOOKUP(E115,Map!$B:$F,4,0),"")&amp;IFERROR(VLOOKUP(E115,Map!$B:$F,5,0),"")</f>
        <v/>
      </c>
      <c r="E115" s="574" t="str">
        <f t="shared" si="11"/>
        <v/>
      </c>
    </row>
    <row r="116" spans="2:5">
      <c r="B116" s="571" t="str">
        <f>IF(F116="","",(SUMIF(INTGRATE!$Y:$Y,data!D116,INTGRATE!$L:$L)+SUMIF(BRAN!$V:$V,data!D116,BRAN!$J:$J)))</f>
        <v/>
      </c>
      <c r="C116" s="572" t="str">
        <f t="shared" si="10"/>
        <v/>
      </c>
      <c r="D116" s="573" t="str">
        <f>IFERROR(VLOOKUP(E116,Map!$B:$F,4,0),"")&amp;IFERROR(VLOOKUP(E116,Map!$B:$F,5,0),"")</f>
        <v/>
      </c>
      <c r="E116" s="574" t="str">
        <f t="shared" si="11"/>
        <v/>
      </c>
    </row>
    <row r="117" spans="2:5">
      <c r="B117" s="571" t="str">
        <f>IF(F117="","",(SUMIF(INTGRATE!$Y:$Y,data!D117,INTGRATE!$L:$L)+SUMIF(BRAN!$V:$V,data!D117,BRAN!$J:$J)))</f>
        <v/>
      </c>
      <c r="C117" s="572" t="str">
        <f t="shared" si="10"/>
        <v/>
      </c>
      <c r="D117" s="573" t="str">
        <f>IFERROR(VLOOKUP(E117,Map!$B:$F,4,0),"")&amp;IFERROR(VLOOKUP(E117,Map!$B:$F,5,0),"")</f>
        <v/>
      </c>
      <c r="E117" s="574" t="str">
        <f t="shared" si="11"/>
        <v/>
      </c>
    </row>
    <row r="118" spans="2:5">
      <c r="B118" s="571" t="str">
        <f>IF(F118="","",(SUMIF(INTGRATE!$Y:$Y,data!D118,INTGRATE!$L:$L)+SUMIF(BRAN!$V:$V,data!D118,BRAN!$J:$J)))</f>
        <v/>
      </c>
      <c r="C118" s="572" t="str">
        <f t="shared" si="10"/>
        <v/>
      </c>
      <c r="D118" s="573" t="str">
        <f>IFERROR(VLOOKUP(E118,Map!$B:$F,4,0),"")&amp;IFERROR(VLOOKUP(E118,Map!$B:$F,5,0),"")</f>
        <v/>
      </c>
      <c r="E118" s="574" t="str">
        <f t="shared" si="11"/>
        <v/>
      </c>
    </row>
    <row r="119" spans="2:5">
      <c r="B119" s="571" t="str">
        <f>IF(F119="","",(SUMIF(INTGRATE!$Y:$Y,data!D119,INTGRATE!$L:$L)+SUMIF(BRAN!$V:$V,data!D119,BRAN!$J:$J)))</f>
        <v/>
      </c>
      <c r="C119" s="572" t="str">
        <f t="shared" si="10"/>
        <v/>
      </c>
      <c r="D119" s="573" t="str">
        <f>IFERROR(VLOOKUP(E119,Map!$B:$F,4,0),"")&amp;IFERROR(VLOOKUP(E119,Map!$B:$F,5,0),"")</f>
        <v/>
      </c>
      <c r="E119" s="574" t="str">
        <f t="shared" si="11"/>
        <v/>
      </c>
    </row>
    <row r="120" spans="2:5">
      <c r="B120" s="571" t="str">
        <f>IF(F120="","",(SUMIF(INTGRATE!$Y:$Y,data!D120,INTGRATE!$L:$L)+SUMIF(BRAN!$V:$V,data!D120,BRAN!$J:$J)))</f>
        <v/>
      </c>
      <c r="C120" s="572" t="str">
        <f t="shared" si="10"/>
        <v/>
      </c>
      <c r="D120" s="573" t="str">
        <f>IFERROR(VLOOKUP(E120,Map!$B:$F,4,0),"")&amp;IFERROR(VLOOKUP(E120,Map!$B:$F,5,0),"")</f>
        <v/>
      </c>
      <c r="E120" s="574" t="str">
        <f t="shared" si="11"/>
        <v/>
      </c>
    </row>
    <row r="121" spans="2:5">
      <c r="B121" s="571" t="str">
        <f>IF(F121="","",(SUMIF(INTGRATE!$Y:$Y,data!D121,INTGRATE!$L:$L)+SUMIF(BRAN!$V:$V,data!D121,BRAN!$J:$J)))</f>
        <v/>
      </c>
      <c r="C121" s="572" t="str">
        <f t="shared" si="10"/>
        <v/>
      </c>
      <c r="D121" s="573" t="str">
        <f>IFERROR(VLOOKUP(E121,Map!$B:$F,4,0),"")&amp;IFERROR(VLOOKUP(E121,Map!$B:$F,5,0),"")</f>
        <v/>
      </c>
      <c r="E121" s="574" t="str">
        <f t="shared" si="11"/>
        <v/>
      </c>
    </row>
    <row r="122" spans="2:5">
      <c r="B122" s="571" t="str">
        <f>IF(F122="","",(SUMIF(INTGRATE!$Y:$Y,data!D122,INTGRATE!$L:$L)+SUMIF(BRAN!$V:$V,data!D122,BRAN!$J:$J)))</f>
        <v/>
      </c>
      <c r="C122" s="572" t="str">
        <f t="shared" si="10"/>
        <v/>
      </c>
      <c r="D122" s="573" t="str">
        <f>IFERROR(VLOOKUP(E122,Map!$B:$F,4,0),"")&amp;IFERROR(VLOOKUP(E122,Map!$B:$F,5,0),"")</f>
        <v/>
      </c>
      <c r="E122" s="574" t="str">
        <f t="shared" si="11"/>
        <v/>
      </c>
    </row>
    <row r="123" spans="2:5">
      <c r="B123" s="571" t="str">
        <f>IF(F123="","",(SUMIF(INTGRATE!$Y:$Y,data!D123,INTGRATE!$L:$L)+SUMIF(BRAN!$V:$V,data!D123,BRAN!$J:$J)))</f>
        <v/>
      </c>
      <c r="C123" s="572" t="str">
        <f t="shared" si="10"/>
        <v/>
      </c>
      <c r="D123" s="573" t="str">
        <f>IFERROR(VLOOKUP(E123,Map!$B:$F,4,0),"")&amp;IFERROR(VLOOKUP(E123,Map!$B:$F,5,0),"")</f>
        <v/>
      </c>
      <c r="E123" s="574" t="str">
        <f t="shared" si="11"/>
        <v/>
      </c>
    </row>
    <row r="124" spans="2:5">
      <c r="B124" s="571" t="str">
        <f>IF(F124="","",(SUMIF(INTGRATE!$Y:$Y,data!D124,INTGRATE!$L:$L)+SUMIF(BRAN!$V:$V,data!D124,BRAN!$J:$J)))</f>
        <v/>
      </c>
      <c r="C124" s="572" t="str">
        <f t="shared" si="10"/>
        <v/>
      </c>
      <c r="D124" s="573" t="str">
        <f>IFERROR(VLOOKUP(E124,Map!$B:$F,4,0),"")&amp;IFERROR(VLOOKUP(E124,Map!$B:$F,5,0),"")</f>
        <v/>
      </c>
      <c r="E124" s="574" t="str">
        <f t="shared" si="11"/>
        <v/>
      </c>
    </row>
    <row r="125" spans="2:5">
      <c r="B125" s="571" t="str">
        <f>IF(F125="","",(SUMIF(INTGRATE!$Y:$Y,data!D125,INTGRATE!$L:$L)+SUMIF(BRAN!$V:$V,data!D125,BRAN!$J:$J)))</f>
        <v/>
      </c>
      <c r="C125" s="572" t="str">
        <f t="shared" si="10"/>
        <v/>
      </c>
      <c r="D125" s="573" t="str">
        <f>IFERROR(VLOOKUP(E125,Map!$B:$F,4,0),"")&amp;IFERROR(VLOOKUP(E125,Map!$B:$F,5,0),"")</f>
        <v/>
      </c>
      <c r="E125" s="574" t="str">
        <f t="shared" si="11"/>
        <v/>
      </c>
    </row>
    <row r="126" spans="2:5">
      <c r="B126" s="571" t="str">
        <f>IF(F126="","",(SUMIF(INTGRATE!$Y:$Y,data!D126,INTGRATE!$L:$L)+SUMIF(BRAN!$V:$V,data!D126,BRAN!$J:$J)))</f>
        <v/>
      </c>
      <c r="C126" s="572" t="str">
        <f t="shared" si="10"/>
        <v/>
      </c>
      <c r="D126" s="573" t="str">
        <f>IFERROR(VLOOKUP(E126,Map!$B:$F,4,0),"")&amp;IFERROR(VLOOKUP(E126,Map!$B:$F,5,0),"")</f>
        <v/>
      </c>
      <c r="E126" s="574" t="str">
        <f t="shared" si="11"/>
        <v/>
      </c>
    </row>
    <row r="127" spans="2:5">
      <c r="B127" s="571" t="str">
        <f>IF(F127="","",(SUMIF(INTGRATE!$Y:$Y,data!D127,INTGRATE!$L:$L)+SUMIF(BRAN!$V:$V,data!D127,BRAN!$J:$J)))</f>
        <v/>
      </c>
      <c r="C127" s="572" t="str">
        <f t="shared" ref="C127:C190" si="12">IF(F127="","",B127-K127)</f>
        <v/>
      </c>
      <c r="D127" s="573" t="str">
        <f>IFERROR(VLOOKUP(E127,Map!$B:$F,4,0),"")&amp;IFERROR(VLOOKUP(E127,Map!$B:$F,5,0),"")</f>
        <v/>
      </c>
      <c r="E127" s="574" t="str">
        <f t="shared" si="11"/>
        <v/>
      </c>
    </row>
    <row r="128" spans="2:5">
      <c r="B128" s="571" t="str">
        <f>IF(F128="","",(SUMIF(INTGRATE!$Y:$Y,data!D128,INTGRATE!$L:$L)+SUMIF(BRAN!$V:$V,data!D128,BRAN!$J:$J)))</f>
        <v/>
      </c>
      <c r="C128" s="572" t="str">
        <f t="shared" si="12"/>
        <v/>
      </c>
      <c r="D128" s="573" t="str">
        <f>IFERROR(VLOOKUP(E128,Map!$B:$F,4,0),"")&amp;IFERROR(VLOOKUP(E128,Map!$B:$F,5,0),"")</f>
        <v/>
      </c>
      <c r="E128" s="574" t="str">
        <f t="shared" si="11"/>
        <v/>
      </c>
    </row>
    <row r="129" spans="2:5">
      <c r="B129" s="571" t="str">
        <f>IF(F129="","",(SUMIF(INTGRATE!$Y:$Y,data!D129,INTGRATE!$L:$L)+SUMIF(BRAN!$V:$V,data!D129,BRAN!$J:$J)))</f>
        <v/>
      </c>
      <c r="C129" s="572" t="str">
        <f t="shared" si="12"/>
        <v/>
      </c>
      <c r="D129" s="573" t="str">
        <f>IFERROR(VLOOKUP(E129,Map!$B:$F,4,0),"")&amp;IFERROR(VLOOKUP(E129,Map!$B:$F,5,0),"")</f>
        <v/>
      </c>
      <c r="E129" s="574" t="str">
        <f t="shared" si="11"/>
        <v/>
      </c>
    </row>
    <row r="130" spans="2:5">
      <c r="B130" s="571" t="str">
        <f>IF(F130="","",(SUMIF(INTGRATE!$Y:$Y,data!D130,INTGRATE!$L:$L)+SUMIF(BRAN!$V:$V,data!D130,BRAN!$J:$J)))</f>
        <v/>
      </c>
      <c r="C130" s="572" t="str">
        <f t="shared" si="12"/>
        <v/>
      </c>
      <c r="D130" s="573" t="str">
        <f>IFERROR(VLOOKUP(E130,Map!$B:$F,4,0),"")&amp;IFERROR(VLOOKUP(E130,Map!$B:$F,5,0),"")</f>
        <v/>
      </c>
      <c r="E130" s="574" t="str">
        <f t="shared" si="11"/>
        <v/>
      </c>
    </row>
    <row r="131" spans="2:5">
      <c r="B131" s="571" t="str">
        <f>IF(F131="","",(SUMIF(INTGRATE!$Y:$Y,data!D131,INTGRATE!$L:$L)+SUMIF(BRAN!$V:$V,data!D131,BRAN!$J:$J)))</f>
        <v/>
      </c>
      <c r="C131" s="572" t="str">
        <f t="shared" si="12"/>
        <v/>
      </c>
      <c r="D131" s="573" t="str">
        <f>IFERROR(VLOOKUP(E131,Map!$B:$F,4,0),"")&amp;IFERROR(VLOOKUP(E131,Map!$B:$F,5,0),"")</f>
        <v/>
      </c>
      <c r="E131" s="574" t="str">
        <f t="shared" si="11"/>
        <v/>
      </c>
    </row>
    <row r="132" spans="2:5">
      <c r="B132" s="571" t="str">
        <f>IF(F132="","",(SUMIF(INTGRATE!$Y:$Y,data!D132,INTGRATE!$L:$L)+SUMIF(BRAN!$V:$V,data!D132,BRAN!$J:$J)))</f>
        <v/>
      </c>
      <c r="C132" s="572" t="str">
        <f t="shared" si="12"/>
        <v/>
      </c>
      <c r="D132" s="573" t="str">
        <f>IFERROR(VLOOKUP(E132,Map!$B:$F,4,0),"")&amp;IFERROR(VLOOKUP(E132,Map!$B:$F,5,0),"")</f>
        <v/>
      </c>
      <c r="E132" s="574" t="str">
        <f t="shared" si="11"/>
        <v/>
      </c>
    </row>
    <row r="133" spans="2:5">
      <c r="B133" s="571" t="str">
        <f>IF(F133="","",(SUMIF(INTGRATE!$Y:$Y,data!D133,INTGRATE!$L:$L)+SUMIF(BRAN!$V:$V,data!D133,BRAN!$J:$J)))</f>
        <v/>
      </c>
      <c r="C133" s="572" t="str">
        <f t="shared" si="12"/>
        <v/>
      </c>
      <c r="D133" s="573" t="str">
        <f>IFERROR(VLOOKUP(E133,Map!$B:$F,4,0),"")&amp;IFERROR(VLOOKUP(E133,Map!$B:$F,5,0),"")</f>
        <v/>
      </c>
      <c r="E133" s="574" t="str">
        <f t="shared" si="11"/>
        <v/>
      </c>
    </row>
    <row r="134" spans="2:5">
      <c r="B134" s="571" t="str">
        <f>IF(F134="","",(SUMIF(INTGRATE!$Y:$Y,data!D134,INTGRATE!$L:$L)+SUMIF(BRAN!$V:$V,data!D134,BRAN!$J:$J)))</f>
        <v/>
      </c>
      <c r="C134" s="572" t="str">
        <f t="shared" si="12"/>
        <v/>
      </c>
      <c r="D134" s="573" t="str">
        <f>IFERROR(VLOOKUP(E134,Map!$B:$F,4,0),"")&amp;IFERROR(VLOOKUP(E134,Map!$B:$F,5,0),"")</f>
        <v/>
      </c>
      <c r="E134" s="574" t="str">
        <f t="shared" si="11"/>
        <v/>
      </c>
    </row>
    <row r="135" spans="2:5">
      <c r="B135" s="571" t="str">
        <f>IF(F135="","",(SUMIF(INTGRATE!$Y:$Y,data!D135,INTGRATE!$L:$L)+SUMIF(BRAN!$V:$V,data!D135,BRAN!$J:$J)))</f>
        <v/>
      </c>
      <c r="C135" s="572" t="str">
        <f t="shared" si="12"/>
        <v/>
      </c>
      <c r="D135" s="573" t="str">
        <f>IFERROR(VLOOKUP(E135,Map!$B:$F,4,0),"")&amp;IFERROR(VLOOKUP(E135,Map!$B:$F,5,0),"")</f>
        <v/>
      </c>
      <c r="E135" s="574" t="str">
        <f t="shared" si="11"/>
        <v/>
      </c>
    </row>
    <row r="136" spans="2:5">
      <c r="B136" s="571" t="str">
        <f>IF(F136="","",(SUMIF(INTGRATE!$Y:$Y,data!D136,INTGRATE!$L:$L)+SUMIF(BRAN!$V:$V,data!D136,BRAN!$J:$J)))</f>
        <v/>
      </c>
      <c r="C136" s="572" t="str">
        <f t="shared" si="12"/>
        <v/>
      </c>
      <c r="D136" s="573" t="str">
        <f>IFERROR(VLOOKUP(E136,Map!$B:$F,4,0),"")&amp;IFERROR(VLOOKUP(E136,Map!$B:$F,5,0),"")</f>
        <v/>
      </c>
      <c r="E136" s="574" t="str">
        <f t="shared" si="11"/>
        <v/>
      </c>
    </row>
    <row r="137" spans="2:5">
      <c r="B137" s="571" t="str">
        <f>IF(F137="","",(SUMIF(INTGRATE!$Y:$Y,data!D137,INTGRATE!$L:$L)+SUMIF(BRAN!$V:$V,data!D137,BRAN!$J:$J)))</f>
        <v/>
      </c>
      <c r="C137" s="572" t="str">
        <f t="shared" si="12"/>
        <v/>
      </c>
      <c r="D137" s="573" t="str">
        <f>IFERROR(VLOOKUP(E137,Map!$B:$F,4,0),"")&amp;IFERROR(VLOOKUP(E137,Map!$B:$F,5,0),"")</f>
        <v/>
      </c>
      <c r="E137" s="574" t="str">
        <f t="shared" si="11"/>
        <v/>
      </c>
    </row>
    <row r="138" spans="2:5">
      <c r="B138" s="571" t="str">
        <f>IF(F138="","",(SUMIF(INTGRATE!$Y:$Y,data!D138,INTGRATE!$L:$L)+SUMIF(BRAN!$V:$V,data!D138,BRAN!$J:$J)))</f>
        <v/>
      </c>
      <c r="C138" s="572" t="str">
        <f t="shared" si="12"/>
        <v/>
      </c>
      <c r="D138" s="573" t="str">
        <f>IFERROR(VLOOKUP(E138,Map!$B:$F,4,0),"")&amp;IFERROR(VLOOKUP(E138,Map!$B:$F,5,0),"")</f>
        <v/>
      </c>
      <c r="E138" s="574" t="str">
        <f t="shared" si="11"/>
        <v/>
      </c>
    </row>
    <row r="139" spans="2:5">
      <c r="B139" s="571" t="str">
        <f>IF(F139="","",(SUMIF(INTGRATE!$Y:$Y,data!D139,INTGRATE!$L:$L)+SUMIF(BRAN!$V:$V,data!D139,BRAN!$J:$J)))</f>
        <v/>
      </c>
      <c r="C139" s="572" t="str">
        <f t="shared" si="12"/>
        <v/>
      </c>
      <c r="D139" s="573" t="str">
        <f>IFERROR(VLOOKUP(E139,Map!$B:$F,4,0),"")&amp;IFERROR(VLOOKUP(E139,Map!$B:$F,5,0),"")</f>
        <v/>
      </c>
      <c r="E139" s="574" t="str">
        <f t="shared" si="11"/>
        <v/>
      </c>
    </row>
    <row r="140" spans="2:5">
      <c r="B140" s="571" t="str">
        <f>IF(F140="","",(SUMIF(INTGRATE!$Y:$Y,data!D140,INTGRATE!$L:$L)+SUMIF(BRAN!$V:$V,data!D140,BRAN!$J:$J)))</f>
        <v/>
      </c>
      <c r="C140" s="572" t="str">
        <f t="shared" si="12"/>
        <v/>
      </c>
      <c r="D140" s="573" t="str">
        <f>IFERROR(VLOOKUP(E140,Map!$B:$F,4,0),"")&amp;IFERROR(VLOOKUP(E140,Map!$B:$F,5,0),"")</f>
        <v/>
      </c>
      <c r="E140" s="574" t="str">
        <f t="shared" si="11"/>
        <v/>
      </c>
    </row>
    <row r="141" spans="2:5">
      <c r="B141" s="571" t="str">
        <f>IF(F141="","",(SUMIF(INTGRATE!$Y:$Y,data!D141,INTGRATE!$L:$L)+SUMIF(BRAN!$V:$V,data!D141,BRAN!$J:$J)))</f>
        <v/>
      </c>
      <c r="C141" s="572" t="str">
        <f t="shared" si="12"/>
        <v/>
      </c>
      <c r="D141" s="573" t="str">
        <f>IFERROR(VLOOKUP(E141,Map!$B:$F,4,0),"")&amp;IFERROR(VLOOKUP(E141,Map!$B:$F,5,0),"")</f>
        <v/>
      </c>
      <c r="E141" s="574" t="str">
        <f t="shared" si="11"/>
        <v/>
      </c>
    </row>
    <row r="142" spans="2:5">
      <c r="B142" s="571" t="str">
        <f>IF(F142="","",(SUMIF(INTGRATE!$Y:$Y,data!D142,INTGRATE!$L:$L)+SUMIF(BRAN!$V:$V,data!D142,BRAN!$J:$J)))</f>
        <v/>
      </c>
      <c r="C142" s="572" t="str">
        <f t="shared" si="12"/>
        <v/>
      </c>
      <c r="D142" s="573" t="str">
        <f>IFERROR(VLOOKUP(E142,Map!$B:$F,4,0),"")&amp;IFERROR(VLOOKUP(E142,Map!$B:$F,5,0),"")</f>
        <v/>
      </c>
      <c r="E142" s="574" t="str">
        <f t="shared" si="11"/>
        <v/>
      </c>
    </row>
    <row r="143" spans="2:5">
      <c r="B143" s="571" t="str">
        <f>IF(F143="","",(SUMIF(INTGRATE!$Y:$Y,data!D143,INTGRATE!$L:$L)+SUMIF(BRAN!$V:$V,data!D143,BRAN!$J:$J)))</f>
        <v/>
      </c>
      <c r="C143" s="572" t="str">
        <f t="shared" si="12"/>
        <v/>
      </c>
      <c r="D143" s="573" t="str">
        <f>IFERROR(VLOOKUP(E143,Map!$B:$F,4,0),"")&amp;IFERROR(VLOOKUP(E143,Map!$B:$F,5,0),"")</f>
        <v/>
      </c>
      <c r="E143" s="574" t="str">
        <f t="shared" si="11"/>
        <v/>
      </c>
    </row>
    <row r="144" spans="2:5">
      <c r="B144" s="571" t="str">
        <f>IF(F144="","",(SUMIF(INTGRATE!$Y:$Y,data!D144,INTGRATE!$L:$L)+SUMIF(BRAN!$V:$V,data!D144,BRAN!$J:$J)))</f>
        <v/>
      </c>
      <c r="C144" s="572" t="str">
        <f t="shared" si="12"/>
        <v/>
      </c>
      <c r="D144" s="573" t="str">
        <f>IFERROR(VLOOKUP(E144,Map!$B:$F,4,0),"")&amp;IFERROR(VLOOKUP(E144,Map!$B:$F,5,0),"")</f>
        <v/>
      </c>
      <c r="E144" s="574" t="str">
        <f t="shared" si="11"/>
        <v/>
      </c>
    </row>
    <row r="145" spans="2:5">
      <c r="B145" s="571" t="str">
        <f>IF(F145="","",(SUMIF(INTGRATE!$Y:$Y,data!D145,INTGRATE!$L:$L)+SUMIF(BRAN!$V:$V,data!D145,BRAN!$J:$J)))</f>
        <v/>
      </c>
      <c r="C145" s="572" t="str">
        <f t="shared" si="12"/>
        <v/>
      </c>
      <c r="D145" s="573" t="str">
        <f>IFERROR(VLOOKUP(E145,Map!$B:$F,4,0),"")&amp;IFERROR(VLOOKUP(E145,Map!$B:$F,5,0),"")</f>
        <v/>
      </c>
      <c r="E145" s="574" t="str">
        <f t="shared" si="11"/>
        <v/>
      </c>
    </row>
    <row r="146" spans="2:5">
      <c r="B146" s="571" t="str">
        <f>IF(F146="","",(SUMIF(INTGRATE!$Y:$Y,data!D146,INTGRATE!$L:$L)+SUMIF(BRAN!$V:$V,data!D146,BRAN!$J:$J)))</f>
        <v/>
      </c>
      <c r="C146" s="572" t="str">
        <f t="shared" si="12"/>
        <v/>
      </c>
      <c r="D146" s="573" t="str">
        <f>IFERROR(VLOOKUP(E146,Map!$B:$F,4,0),"")&amp;IFERROR(VLOOKUP(E146,Map!$B:$F,5,0),"")</f>
        <v/>
      </c>
      <c r="E146" s="574" t="str">
        <f t="shared" si="11"/>
        <v/>
      </c>
    </row>
    <row r="147" spans="2:5">
      <c r="B147" s="571" t="str">
        <f>IF(F147="","",(SUMIF(INTGRATE!$Y:$Y,data!D147,INTGRATE!$L:$L)+SUMIF(BRAN!$V:$V,data!D147,BRAN!$J:$J)))</f>
        <v/>
      </c>
      <c r="C147" s="572" t="str">
        <f t="shared" si="12"/>
        <v/>
      </c>
      <c r="D147" s="573" t="str">
        <f>IFERROR(VLOOKUP(E147,Map!$B:$F,4,0),"")&amp;IFERROR(VLOOKUP(E147,Map!$B:$F,5,0),"")</f>
        <v/>
      </c>
      <c r="E147" s="574" t="str">
        <f t="shared" si="11"/>
        <v/>
      </c>
    </row>
    <row r="148" spans="2:5">
      <c r="B148" s="571" t="str">
        <f>IF(F148="","",(SUMIF(INTGRATE!$Y:$Y,data!D148,INTGRATE!$L:$L)+SUMIF(BRAN!$V:$V,data!D148,BRAN!$J:$J)))</f>
        <v/>
      </c>
      <c r="C148" s="572" t="str">
        <f t="shared" si="12"/>
        <v/>
      </c>
      <c r="D148" s="573" t="str">
        <f>IFERROR(VLOOKUP(E148,Map!$B:$F,4,0),"")&amp;IFERROR(VLOOKUP(E148,Map!$B:$F,5,0),"")</f>
        <v/>
      </c>
      <c r="E148" s="574" t="str">
        <f t="shared" si="11"/>
        <v/>
      </c>
    </row>
    <row r="149" spans="2:5">
      <c r="B149" s="571" t="str">
        <f>IF(F149="","",(SUMIF(INTGRATE!$Y:$Y,data!D149,INTGRATE!$L:$L)+SUMIF(BRAN!$V:$V,data!D149,BRAN!$J:$J)))</f>
        <v/>
      </c>
      <c r="C149" s="572" t="str">
        <f t="shared" si="12"/>
        <v/>
      </c>
      <c r="D149" s="573" t="str">
        <f>IFERROR(VLOOKUP(E149,Map!$B:$F,4,0),"")&amp;IFERROR(VLOOKUP(E149,Map!$B:$F,5,0),"")</f>
        <v/>
      </c>
      <c r="E149" s="574" t="str">
        <f t="shared" si="11"/>
        <v/>
      </c>
    </row>
    <row r="150" spans="2:5">
      <c r="B150" s="571" t="str">
        <f>IF(F150="","",(SUMIF(INTGRATE!$Y:$Y,data!D150,INTGRATE!$L:$L)+SUMIF(BRAN!$V:$V,data!D150,BRAN!$J:$J)))</f>
        <v/>
      </c>
      <c r="C150" s="572" t="str">
        <f t="shared" si="12"/>
        <v/>
      </c>
      <c r="D150" s="573" t="str">
        <f>IFERROR(VLOOKUP(E150,Map!$B:$F,4,0),"")&amp;IFERROR(VLOOKUP(E150,Map!$B:$F,5,0),"")</f>
        <v/>
      </c>
      <c r="E150" s="574" t="str">
        <f t="shared" si="11"/>
        <v/>
      </c>
    </row>
    <row r="151" spans="2:5">
      <c r="B151" s="571" t="str">
        <f>IF(F151="","",(SUMIF(INTGRATE!$Y:$Y,data!D151,INTGRATE!$L:$L)+SUMIF(BRAN!$V:$V,data!D151,BRAN!$J:$J)))</f>
        <v/>
      </c>
      <c r="C151" s="572" t="str">
        <f t="shared" si="12"/>
        <v/>
      </c>
      <c r="D151" s="573" t="str">
        <f>IFERROR(VLOOKUP(E151,Map!$B:$F,4,0),"")&amp;IFERROR(VLOOKUP(E151,Map!$B:$F,5,0),"")</f>
        <v/>
      </c>
      <c r="E151" s="574" t="str">
        <f t="shared" si="11"/>
        <v/>
      </c>
    </row>
    <row r="152" spans="2:5">
      <c r="B152" s="571" t="str">
        <f>IF(F152="","",(SUMIF(INTGRATE!$Y:$Y,data!D152,INTGRATE!$L:$L)+SUMIF(BRAN!$V:$V,data!D152,BRAN!$J:$J)))</f>
        <v/>
      </c>
      <c r="C152" s="572" t="str">
        <f t="shared" si="12"/>
        <v/>
      </c>
      <c r="D152" s="573" t="str">
        <f>IFERROR(VLOOKUP(E152,Map!$B:$F,4,0),"")&amp;IFERROR(VLOOKUP(E152,Map!$B:$F,5,0),"")</f>
        <v/>
      </c>
      <c r="E152" s="574" t="str">
        <f t="shared" si="11"/>
        <v/>
      </c>
    </row>
    <row r="153" spans="2:5">
      <c r="B153" s="571" t="str">
        <f>IF(F153="","",(SUMIF(INTGRATE!$Y:$Y,data!D153,INTGRATE!$L:$L)+SUMIF(BRAN!$V:$V,data!D153,BRAN!$J:$J)))</f>
        <v/>
      </c>
      <c r="C153" s="572" t="str">
        <f t="shared" si="12"/>
        <v/>
      </c>
      <c r="D153" s="573" t="str">
        <f>IFERROR(VLOOKUP(E153,Map!$B:$F,4,0),"")&amp;IFERROR(VLOOKUP(E153,Map!$B:$F,5,0),"")</f>
        <v/>
      </c>
      <c r="E153" s="574" t="str">
        <f t="shared" si="11"/>
        <v/>
      </c>
    </row>
    <row r="154" spans="2:5">
      <c r="B154" s="571" t="str">
        <f>IF(F154="","",(SUMIF(INTGRATE!$Y:$Y,data!D154,INTGRATE!$L:$L)+SUMIF(BRAN!$V:$V,data!D154,BRAN!$J:$J)))</f>
        <v/>
      </c>
      <c r="C154" s="572" t="str">
        <f t="shared" si="12"/>
        <v/>
      </c>
      <c r="D154" s="573" t="str">
        <f>IFERROR(VLOOKUP(E154,Map!$B:$F,4,0),"")&amp;IFERROR(VLOOKUP(E154,Map!$B:$F,5,0),"")</f>
        <v/>
      </c>
      <c r="E154" s="574" t="str">
        <f t="shared" si="11"/>
        <v/>
      </c>
    </row>
    <row r="155" spans="2:5">
      <c r="B155" s="571" t="str">
        <f>IF(F155="","",(SUMIF(INTGRATE!$Y:$Y,data!D155,INTGRATE!$L:$L)+SUMIF(BRAN!$V:$V,data!D155,BRAN!$J:$J)))</f>
        <v/>
      </c>
      <c r="C155" s="572" t="str">
        <f t="shared" si="12"/>
        <v/>
      </c>
      <c r="D155" s="573" t="str">
        <f>IFERROR(VLOOKUP(E155,Map!$B:$F,4,0),"")&amp;IFERROR(VLOOKUP(E155,Map!$B:$F,5,0),"")</f>
        <v/>
      </c>
      <c r="E155" s="574" t="str">
        <f t="shared" si="11"/>
        <v/>
      </c>
    </row>
    <row r="156" spans="2:5">
      <c r="B156" s="571" t="str">
        <f>IF(F156="","",(SUMIF(INTGRATE!$Y:$Y,data!D156,INTGRATE!$L:$L)+SUMIF(BRAN!$V:$V,data!D156,BRAN!$J:$J)))</f>
        <v/>
      </c>
      <c r="C156" s="572" t="str">
        <f t="shared" si="12"/>
        <v/>
      </c>
      <c r="D156" s="573" t="str">
        <f>IFERROR(VLOOKUP(E156,Map!$B:$F,4,0),"")&amp;IFERROR(VLOOKUP(E156,Map!$B:$F,5,0),"")</f>
        <v/>
      </c>
      <c r="E156" s="574" t="str">
        <f t="shared" si="11"/>
        <v/>
      </c>
    </row>
    <row r="157" spans="2:5">
      <c r="B157" s="571" t="str">
        <f>IF(F157="","",(SUMIF(INTGRATE!$Y:$Y,data!D157,INTGRATE!$L:$L)+SUMIF(BRAN!$V:$V,data!D157,BRAN!$J:$J)))</f>
        <v/>
      </c>
      <c r="C157" s="572" t="str">
        <f t="shared" si="12"/>
        <v/>
      </c>
      <c r="D157" s="573" t="str">
        <f>IFERROR(VLOOKUP(E157,Map!$B:$F,4,0),"")&amp;IFERROR(VLOOKUP(E157,Map!$B:$F,5,0),"")</f>
        <v/>
      </c>
      <c r="E157" s="574" t="str">
        <f t="shared" si="11"/>
        <v/>
      </c>
    </row>
    <row r="158" spans="2:5">
      <c r="B158" s="571" t="str">
        <f>IF(F158="","",(SUMIF(INTGRATE!$Y:$Y,data!D158,INTGRATE!$L:$L)+SUMIF(BRAN!$V:$V,data!D158,BRAN!$J:$J)))</f>
        <v/>
      </c>
      <c r="C158" s="572" t="str">
        <f t="shared" si="12"/>
        <v/>
      </c>
      <c r="D158" s="573" t="str">
        <f>IFERROR(VLOOKUP(E158,Map!$B:$F,4,0),"")&amp;IFERROR(VLOOKUP(E158,Map!$B:$F,5,0),"")</f>
        <v/>
      </c>
      <c r="E158" s="574" t="str">
        <f t="shared" si="11"/>
        <v/>
      </c>
    </row>
    <row r="159" spans="2:5">
      <c r="B159" s="571" t="str">
        <f>IF(F159="","",(SUMIF(INTGRATE!$Y:$Y,data!D159,INTGRATE!$L:$L)+SUMIF(BRAN!$V:$V,data!D159,BRAN!$J:$J)))</f>
        <v/>
      </c>
      <c r="C159" s="572" t="str">
        <f t="shared" si="12"/>
        <v/>
      </c>
      <c r="D159" s="573" t="str">
        <f>IFERROR(VLOOKUP(E159,Map!$B:$F,4,0),"")&amp;IFERROR(VLOOKUP(E159,Map!$B:$F,5,0),"")</f>
        <v/>
      </c>
      <c r="E159" s="574" t="str">
        <f t="shared" si="11"/>
        <v/>
      </c>
    </row>
    <row r="160" spans="2:5">
      <c r="B160" s="571" t="str">
        <f>IF(F160="","",(SUMIF(INTGRATE!$Y:$Y,data!D160,INTGRATE!$L:$L)+SUMIF(BRAN!$V:$V,data!D160,BRAN!$J:$J)))</f>
        <v/>
      </c>
      <c r="C160" s="572" t="str">
        <f t="shared" si="12"/>
        <v/>
      </c>
      <c r="D160" s="573" t="str">
        <f>IFERROR(VLOOKUP(E160,Map!$B:$F,4,0),"")&amp;IFERROR(VLOOKUP(E160,Map!$B:$F,5,0),"")</f>
        <v/>
      </c>
      <c r="E160" s="574" t="str">
        <f t="shared" ref="E160:E223" si="13">IF(MID(F160,10,2)="99",F160&amp;H160,LEFT(F160,14))</f>
        <v/>
      </c>
    </row>
    <row r="161" spans="2:5">
      <c r="B161" s="571" t="str">
        <f>IF(F161="","",(SUMIF(INTGRATE!$Y:$Y,data!D161,INTGRATE!$L:$L)+SUMIF(BRAN!$V:$V,data!D161,BRAN!$J:$J)))</f>
        <v/>
      </c>
      <c r="C161" s="572" t="str">
        <f t="shared" si="12"/>
        <v/>
      </c>
      <c r="D161" s="573" t="str">
        <f>IFERROR(VLOOKUP(E161,Map!$B:$F,4,0),"")&amp;IFERROR(VLOOKUP(E161,Map!$B:$F,5,0),"")</f>
        <v/>
      </c>
      <c r="E161" s="574" t="str">
        <f t="shared" si="13"/>
        <v/>
      </c>
    </row>
    <row r="162" spans="2:5">
      <c r="B162" s="571" t="str">
        <f>IF(F162="","",(SUMIF(INTGRATE!$Y:$Y,data!D162,INTGRATE!$L:$L)+SUMIF(BRAN!$V:$V,data!D162,BRAN!$J:$J)))</f>
        <v/>
      </c>
      <c r="C162" s="572" t="str">
        <f t="shared" si="12"/>
        <v/>
      </c>
      <c r="D162" s="573" t="str">
        <f>IFERROR(VLOOKUP(E162,Map!$B:$F,4,0),"")&amp;IFERROR(VLOOKUP(E162,Map!$B:$F,5,0),"")</f>
        <v/>
      </c>
      <c r="E162" s="574" t="str">
        <f t="shared" si="13"/>
        <v/>
      </c>
    </row>
    <row r="163" spans="2:5">
      <c r="B163" s="571" t="str">
        <f>IF(F163="","",(SUMIF(INTGRATE!$Y:$Y,data!D163,INTGRATE!$L:$L)+SUMIF(BRAN!$V:$V,data!D163,BRAN!$J:$J)))</f>
        <v/>
      </c>
      <c r="C163" s="572" t="str">
        <f t="shared" si="12"/>
        <v/>
      </c>
      <c r="D163" s="573" t="str">
        <f>IFERROR(VLOOKUP(E163,Map!$B:$F,4,0),"")&amp;IFERROR(VLOOKUP(E163,Map!$B:$F,5,0),"")</f>
        <v/>
      </c>
      <c r="E163" s="574" t="str">
        <f t="shared" si="13"/>
        <v/>
      </c>
    </row>
    <row r="164" spans="2:5">
      <c r="B164" s="571" t="str">
        <f>IF(F164="","",(SUMIF(INTGRATE!$Y:$Y,data!D164,INTGRATE!$L:$L)+SUMIF(BRAN!$V:$V,data!D164,BRAN!$J:$J)))</f>
        <v/>
      </c>
      <c r="C164" s="572" t="str">
        <f t="shared" si="12"/>
        <v/>
      </c>
      <c r="D164" s="573" t="str">
        <f>IFERROR(VLOOKUP(E164,Map!$B:$F,4,0),"")&amp;IFERROR(VLOOKUP(E164,Map!$B:$F,5,0),"")</f>
        <v/>
      </c>
      <c r="E164" s="574" t="str">
        <f t="shared" si="13"/>
        <v/>
      </c>
    </row>
    <row r="165" spans="2:5">
      <c r="B165" s="571" t="str">
        <f>IF(F165="","",(SUMIF(INTGRATE!$Y:$Y,data!D165,INTGRATE!$L:$L)+SUMIF(BRAN!$V:$V,data!D165,BRAN!$J:$J)))</f>
        <v/>
      </c>
      <c r="C165" s="572" t="str">
        <f t="shared" si="12"/>
        <v/>
      </c>
      <c r="D165" s="573" t="str">
        <f>IFERROR(VLOOKUP(E165,Map!$B:$F,4,0),"")&amp;IFERROR(VLOOKUP(E165,Map!$B:$F,5,0),"")</f>
        <v/>
      </c>
      <c r="E165" s="574" t="str">
        <f t="shared" si="13"/>
        <v/>
      </c>
    </row>
    <row r="166" spans="2:5">
      <c r="B166" s="571" t="str">
        <f>IF(F166="","",(SUMIF(INTGRATE!$Y:$Y,data!D166,INTGRATE!$L:$L)+SUMIF(BRAN!$V:$V,data!D166,BRAN!$J:$J)))</f>
        <v/>
      </c>
      <c r="C166" s="572" t="str">
        <f t="shared" si="12"/>
        <v/>
      </c>
      <c r="D166" s="573" t="str">
        <f>IFERROR(VLOOKUP(E166,Map!$B:$F,4,0),"")&amp;IFERROR(VLOOKUP(E166,Map!$B:$F,5,0),"")</f>
        <v/>
      </c>
      <c r="E166" s="574" t="str">
        <f t="shared" si="13"/>
        <v/>
      </c>
    </row>
    <row r="167" spans="2:5">
      <c r="B167" s="571" t="str">
        <f>IF(F167="","",(SUMIF(INTGRATE!$Y:$Y,data!D167,INTGRATE!$L:$L)+SUMIF(BRAN!$V:$V,data!D167,BRAN!$J:$J)))</f>
        <v/>
      </c>
      <c r="C167" s="572" t="str">
        <f t="shared" si="12"/>
        <v/>
      </c>
      <c r="D167" s="573" t="str">
        <f>IFERROR(VLOOKUP(E167,Map!$B:$F,4,0),"")&amp;IFERROR(VLOOKUP(E167,Map!$B:$F,5,0),"")</f>
        <v/>
      </c>
      <c r="E167" s="574" t="str">
        <f t="shared" si="13"/>
        <v/>
      </c>
    </row>
    <row r="168" spans="2:5">
      <c r="B168" s="571" t="str">
        <f>IF(F168="","",(SUMIF(INTGRATE!$Y:$Y,data!D168,INTGRATE!$L:$L)+SUMIF(BRAN!$V:$V,data!D168,BRAN!$J:$J)))</f>
        <v/>
      </c>
      <c r="C168" s="572" t="str">
        <f t="shared" si="12"/>
        <v/>
      </c>
      <c r="D168" s="573" t="str">
        <f>IFERROR(VLOOKUP(E168,Map!$B:$F,4,0),"")&amp;IFERROR(VLOOKUP(E168,Map!$B:$F,5,0),"")</f>
        <v/>
      </c>
      <c r="E168" s="574" t="str">
        <f t="shared" si="13"/>
        <v/>
      </c>
    </row>
    <row r="169" spans="2:5">
      <c r="B169" s="571" t="str">
        <f>IF(F169="","",(SUMIF(INTGRATE!$Y:$Y,data!D169,INTGRATE!$L:$L)+SUMIF(BRAN!$V:$V,data!D169,BRAN!$J:$J)))</f>
        <v/>
      </c>
      <c r="C169" s="572" t="str">
        <f t="shared" si="12"/>
        <v/>
      </c>
      <c r="D169" s="573" t="str">
        <f>IFERROR(VLOOKUP(E169,Map!$B:$F,4,0),"")&amp;IFERROR(VLOOKUP(E169,Map!$B:$F,5,0),"")</f>
        <v/>
      </c>
      <c r="E169" s="574" t="str">
        <f t="shared" si="13"/>
        <v/>
      </c>
    </row>
    <row r="170" spans="2:5">
      <c r="B170" s="571" t="str">
        <f>IF(F170="","",(SUMIF(INTGRATE!$Y:$Y,data!D170,INTGRATE!$L:$L)+SUMIF(BRAN!$V:$V,data!D170,BRAN!$J:$J)))</f>
        <v/>
      </c>
      <c r="C170" s="572" t="str">
        <f t="shared" si="12"/>
        <v/>
      </c>
      <c r="D170" s="573" t="str">
        <f>IFERROR(VLOOKUP(E170,Map!$B:$F,4,0),"")&amp;IFERROR(VLOOKUP(E170,Map!$B:$F,5,0),"")</f>
        <v/>
      </c>
      <c r="E170" s="574" t="str">
        <f t="shared" si="13"/>
        <v/>
      </c>
    </row>
    <row r="171" spans="2:5">
      <c r="B171" s="571" t="str">
        <f>IF(F171="","",(SUMIF(INTGRATE!$Y:$Y,data!D171,INTGRATE!$L:$L)+SUMIF(BRAN!$V:$V,data!D171,BRAN!$J:$J)))</f>
        <v/>
      </c>
      <c r="C171" s="572" t="str">
        <f t="shared" si="12"/>
        <v/>
      </c>
      <c r="D171" s="573" t="str">
        <f>IFERROR(VLOOKUP(E171,Map!$B:$F,4,0),"")&amp;IFERROR(VLOOKUP(E171,Map!$B:$F,5,0),"")</f>
        <v/>
      </c>
      <c r="E171" s="574" t="str">
        <f t="shared" si="13"/>
        <v/>
      </c>
    </row>
    <row r="172" spans="2:5">
      <c r="B172" s="571" t="str">
        <f>IF(F172="","",(SUMIF(INTGRATE!$Y:$Y,data!D172,INTGRATE!$L:$L)+SUMIF(BRAN!$V:$V,data!D172,BRAN!$J:$J)))</f>
        <v/>
      </c>
      <c r="C172" s="572" t="str">
        <f t="shared" si="12"/>
        <v/>
      </c>
      <c r="D172" s="573" t="str">
        <f>IFERROR(VLOOKUP(E172,Map!$B:$F,4,0),"")&amp;IFERROR(VLOOKUP(E172,Map!$B:$F,5,0),"")</f>
        <v/>
      </c>
      <c r="E172" s="574" t="str">
        <f t="shared" si="13"/>
        <v/>
      </c>
    </row>
    <row r="173" spans="2:5">
      <c r="B173" s="571" t="str">
        <f>IF(F173="","",(SUMIF(INTGRATE!$Y:$Y,data!D173,INTGRATE!$L:$L)+SUMIF(BRAN!$V:$V,data!D173,BRAN!$J:$J)))</f>
        <v/>
      </c>
      <c r="C173" s="572" t="str">
        <f t="shared" si="12"/>
        <v/>
      </c>
      <c r="D173" s="573" t="str">
        <f>IFERROR(VLOOKUP(E173,Map!$B:$F,4,0),"")&amp;IFERROR(VLOOKUP(E173,Map!$B:$F,5,0),"")</f>
        <v/>
      </c>
      <c r="E173" s="574" t="str">
        <f t="shared" si="13"/>
        <v/>
      </c>
    </row>
    <row r="174" spans="2:5">
      <c r="B174" s="571" t="str">
        <f>IF(F174="","",(SUMIF(INTGRATE!$Y:$Y,data!D174,INTGRATE!$L:$L)+SUMIF(BRAN!$V:$V,data!D174,BRAN!$J:$J)))</f>
        <v/>
      </c>
      <c r="C174" s="572" t="str">
        <f t="shared" si="12"/>
        <v/>
      </c>
      <c r="D174" s="573" t="str">
        <f>IFERROR(VLOOKUP(E174,Map!$B:$F,4,0),"")&amp;IFERROR(VLOOKUP(E174,Map!$B:$F,5,0),"")</f>
        <v/>
      </c>
      <c r="E174" s="574" t="str">
        <f t="shared" si="13"/>
        <v/>
      </c>
    </row>
    <row r="175" spans="2:5">
      <c r="B175" s="571" t="str">
        <f>IF(F175="","",(SUMIF(INTGRATE!$Y:$Y,data!D175,INTGRATE!$L:$L)+SUMIF(BRAN!$V:$V,data!D175,BRAN!$J:$J)))</f>
        <v/>
      </c>
      <c r="C175" s="572" t="str">
        <f t="shared" si="12"/>
        <v/>
      </c>
      <c r="D175" s="573" t="str">
        <f>IFERROR(VLOOKUP(E175,Map!$B:$F,4,0),"")&amp;IFERROR(VLOOKUP(E175,Map!$B:$F,5,0),"")</f>
        <v/>
      </c>
      <c r="E175" s="574" t="str">
        <f t="shared" si="13"/>
        <v/>
      </c>
    </row>
    <row r="176" spans="2:5">
      <c r="B176" s="571" t="str">
        <f>IF(F176="","",(SUMIF(INTGRATE!$Y:$Y,data!D176,INTGRATE!$L:$L)+SUMIF(BRAN!$V:$V,data!D176,BRAN!$J:$J)))</f>
        <v/>
      </c>
      <c r="C176" s="572" t="str">
        <f t="shared" si="12"/>
        <v/>
      </c>
      <c r="D176" s="573" t="str">
        <f>IFERROR(VLOOKUP(E176,Map!$B:$F,4,0),"")&amp;IFERROR(VLOOKUP(E176,Map!$B:$F,5,0),"")</f>
        <v/>
      </c>
      <c r="E176" s="574" t="str">
        <f t="shared" si="13"/>
        <v/>
      </c>
    </row>
    <row r="177" spans="2:5">
      <c r="B177" s="571" t="str">
        <f>IF(F177="","",(SUMIF(INTGRATE!$Y:$Y,data!D177,INTGRATE!$L:$L)+SUMIF(BRAN!$V:$V,data!D177,BRAN!$J:$J)))</f>
        <v/>
      </c>
      <c r="C177" s="572" t="str">
        <f t="shared" si="12"/>
        <v/>
      </c>
      <c r="D177" s="573" t="str">
        <f>IFERROR(VLOOKUP(E177,Map!$B:$F,4,0),"")&amp;IFERROR(VLOOKUP(E177,Map!$B:$F,5,0),"")</f>
        <v/>
      </c>
      <c r="E177" s="574" t="str">
        <f t="shared" si="13"/>
        <v/>
      </c>
    </row>
    <row r="178" spans="2:5">
      <c r="B178" s="571" t="str">
        <f>IF(F178="","",(SUMIF(INTGRATE!$Y:$Y,data!D178,INTGRATE!$L:$L)+SUMIF(BRAN!$V:$V,data!D178,BRAN!$J:$J)))</f>
        <v/>
      </c>
      <c r="C178" s="572" t="str">
        <f t="shared" si="12"/>
        <v/>
      </c>
      <c r="D178" s="573" t="str">
        <f>IFERROR(VLOOKUP(E178,Map!$B:$F,4,0),"")&amp;IFERROR(VLOOKUP(E178,Map!$B:$F,5,0),"")</f>
        <v/>
      </c>
      <c r="E178" s="574" t="str">
        <f t="shared" si="13"/>
        <v/>
      </c>
    </row>
    <row r="179" spans="2:5">
      <c r="B179" s="571" t="str">
        <f>IF(F179="","",(SUMIF(INTGRATE!$Y:$Y,data!D179,INTGRATE!$L:$L)+SUMIF(BRAN!$V:$V,data!D179,BRAN!$J:$J)))</f>
        <v/>
      </c>
      <c r="C179" s="572" t="str">
        <f t="shared" si="12"/>
        <v/>
      </c>
      <c r="D179" s="573" t="str">
        <f>IFERROR(VLOOKUP(E179,Map!$B:$F,4,0),"")&amp;IFERROR(VLOOKUP(E179,Map!$B:$F,5,0),"")</f>
        <v/>
      </c>
      <c r="E179" s="574" t="str">
        <f t="shared" si="13"/>
        <v/>
      </c>
    </row>
    <row r="180" spans="2:5">
      <c r="B180" s="571" t="str">
        <f>IF(F180="","",(SUMIF(INTGRATE!$Y:$Y,data!D180,INTGRATE!$L:$L)+SUMIF(BRAN!$V:$V,data!D180,BRAN!$J:$J)))</f>
        <v/>
      </c>
      <c r="C180" s="572" t="str">
        <f t="shared" si="12"/>
        <v/>
      </c>
      <c r="D180" s="573" t="str">
        <f>IFERROR(VLOOKUP(E180,Map!$B:$F,4,0),"")&amp;IFERROR(VLOOKUP(E180,Map!$B:$F,5,0),"")</f>
        <v/>
      </c>
      <c r="E180" s="574" t="str">
        <f t="shared" si="13"/>
        <v/>
      </c>
    </row>
    <row r="181" spans="2:5">
      <c r="B181" s="571" t="str">
        <f>IF(F181="","",(SUMIF(INTGRATE!$Y:$Y,data!D181,INTGRATE!$L:$L)+SUMIF(BRAN!$V:$V,data!D181,BRAN!$J:$J)))</f>
        <v/>
      </c>
      <c r="C181" s="572" t="str">
        <f t="shared" si="12"/>
        <v/>
      </c>
      <c r="D181" s="573" t="str">
        <f>IFERROR(VLOOKUP(E181,Map!$B:$F,4,0),"")&amp;IFERROR(VLOOKUP(E181,Map!$B:$F,5,0),"")</f>
        <v/>
      </c>
      <c r="E181" s="574" t="str">
        <f t="shared" si="13"/>
        <v/>
      </c>
    </row>
    <row r="182" spans="2:5">
      <c r="B182" s="571" t="str">
        <f>IF(F182="","",(SUMIF(INTGRATE!$Y:$Y,data!D182,INTGRATE!$L:$L)+SUMIF(BRAN!$V:$V,data!D182,BRAN!$J:$J)))</f>
        <v/>
      </c>
      <c r="C182" s="572" t="str">
        <f t="shared" si="12"/>
        <v/>
      </c>
      <c r="D182" s="573" t="str">
        <f>IFERROR(VLOOKUP(E182,Map!$B:$F,4,0),"")&amp;IFERROR(VLOOKUP(E182,Map!$B:$F,5,0),"")</f>
        <v/>
      </c>
      <c r="E182" s="574" t="str">
        <f t="shared" si="13"/>
        <v/>
      </c>
    </row>
    <row r="183" spans="2:5">
      <c r="B183" s="571" t="str">
        <f>IF(F183="","",(SUMIF(INTGRATE!$Y:$Y,data!D183,INTGRATE!$L:$L)+SUMIF(BRAN!$V:$V,data!D183,BRAN!$J:$J)))</f>
        <v/>
      </c>
      <c r="C183" s="572" t="str">
        <f t="shared" si="12"/>
        <v/>
      </c>
      <c r="D183" s="573" t="str">
        <f>IFERROR(VLOOKUP(E183,Map!$B:$F,4,0),"")&amp;IFERROR(VLOOKUP(E183,Map!$B:$F,5,0),"")</f>
        <v/>
      </c>
      <c r="E183" s="574" t="str">
        <f t="shared" si="13"/>
        <v/>
      </c>
    </row>
    <row r="184" spans="2:5">
      <c r="B184" s="571" t="str">
        <f>IF(F184="","",(SUMIF(INTGRATE!$Y:$Y,data!D184,INTGRATE!$L:$L)+SUMIF(BRAN!$V:$V,data!D184,BRAN!$J:$J)))</f>
        <v/>
      </c>
      <c r="C184" s="572" t="str">
        <f t="shared" si="12"/>
        <v/>
      </c>
      <c r="D184" s="573" t="str">
        <f>IFERROR(VLOOKUP(E184,Map!$B:$F,4,0),"")&amp;IFERROR(VLOOKUP(E184,Map!$B:$F,5,0),"")</f>
        <v/>
      </c>
      <c r="E184" s="574" t="str">
        <f t="shared" si="13"/>
        <v/>
      </c>
    </row>
    <row r="185" spans="2:5">
      <c r="B185" s="571" t="str">
        <f>IF(F185="","",(SUMIF(INTGRATE!$Y:$Y,data!D185,INTGRATE!$L:$L)+SUMIF(BRAN!$V:$V,data!D185,BRAN!$J:$J)))</f>
        <v/>
      </c>
      <c r="C185" s="572" t="str">
        <f t="shared" si="12"/>
        <v/>
      </c>
      <c r="D185" s="573" t="str">
        <f>IFERROR(VLOOKUP(E185,Map!$B:$F,4,0),"")&amp;IFERROR(VLOOKUP(E185,Map!$B:$F,5,0),"")</f>
        <v/>
      </c>
      <c r="E185" s="574" t="str">
        <f t="shared" si="13"/>
        <v/>
      </c>
    </row>
    <row r="186" spans="2:5">
      <c r="B186" s="571" t="str">
        <f>IF(F186="","",(SUMIF(INTGRATE!$Y:$Y,data!D186,INTGRATE!$L:$L)+SUMIF(BRAN!$V:$V,data!D186,BRAN!$J:$J)))</f>
        <v/>
      </c>
      <c r="C186" s="572" t="str">
        <f t="shared" si="12"/>
        <v/>
      </c>
      <c r="D186" s="573" t="str">
        <f>IFERROR(VLOOKUP(E186,Map!$B:$F,4,0),"")&amp;IFERROR(VLOOKUP(E186,Map!$B:$F,5,0),"")</f>
        <v/>
      </c>
      <c r="E186" s="574" t="str">
        <f t="shared" si="13"/>
        <v/>
      </c>
    </row>
    <row r="187" spans="2:5">
      <c r="B187" s="571" t="str">
        <f>IF(F187="","",(SUMIF(INTGRATE!$Y:$Y,data!D187,INTGRATE!$L:$L)+SUMIF(BRAN!$V:$V,data!D187,BRAN!$J:$J)))</f>
        <v/>
      </c>
      <c r="C187" s="572" t="str">
        <f t="shared" si="12"/>
        <v/>
      </c>
      <c r="D187" s="573" t="str">
        <f>IFERROR(VLOOKUP(E187,Map!$B:$F,4,0),"")&amp;IFERROR(VLOOKUP(E187,Map!$B:$F,5,0),"")</f>
        <v/>
      </c>
      <c r="E187" s="574" t="str">
        <f t="shared" si="13"/>
        <v/>
      </c>
    </row>
    <row r="188" spans="2:5">
      <c r="B188" s="571" t="str">
        <f>IF(F188="","",(SUMIF(INTGRATE!$Y:$Y,data!D188,INTGRATE!$L:$L)+SUMIF(BRAN!$V:$V,data!D188,BRAN!$J:$J)))</f>
        <v/>
      </c>
      <c r="C188" s="572" t="str">
        <f t="shared" si="12"/>
        <v/>
      </c>
      <c r="D188" s="573" t="str">
        <f>IFERROR(VLOOKUP(E188,Map!$B:$F,4,0),"")&amp;IFERROR(VLOOKUP(E188,Map!$B:$F,5,0),"")</f>
        <v/>
      </c>
      <c r="E188" s="574" t="str">
        <f t="shared" si="13"/>
        <v/>
      </c>
    </row>
    <row r="189" spans="2:5">
      <c r="B189" s="571" t="str">
        <f>IF(F189="","",(SUMIF(INTGRATE!$Y:$Y,data!D189,INTGRATE!$L:$L)+SUMIF(BRAN!$V:$V,data!D189,BRAN!$J:$J)))</f>
        <v/>
      </c>
      <c r="C189" s="572" t="str">
        <f t="shared" si="12"/>
        <v/>
      </c>
      <c r="D189" s="573" t="str">
        <f>IFERROR(VLOOKUP(E189,Map!$B:$F,4,0),"")&amp;IFERROR(VLOOKUP(E189,Map!$B:$F,5,0),"")</f>
        <v/>
      </c>
      <c r="E189" s="574" t="str">
        <f t="shared" si="13"/>
        <v/>
      </c>
    </row>
    <row r="190" spans="2:5">
      <c r="B190" s="571" t="str">
        <f>IF(F190="","",(SUMIF(INTGRATE!$Y:$Y,data!D190,INTGRATE!$L:$L)+SUMIF(BRAN!$V:$V,data!D190,BRAN!$J:$J)))</f>
        <v/>
      </c>
      <c r="C190" s="572" t="str">
        <f t="shared" si="12"/>
        <v/>
      </c>
      <c r="D190" s="573" t="str">
        <f>IFERROR(VLOOKUP(E190,Map!$B:$F,4,0),"")&amp;IFERROR(VLOOKUP(E190,Map!$B:$F,5,0),"")</f>
        <v/>
      </c>
      <c r="E190" s="574" t="str">
        <f t="shared" si="13"/>
        <v/>
      </c>
    </row>
    <row r="191" spans="2:5">
      <c r="B191" s="571" t="str">
        <f>IF(F191="","",(SUMIF(INTGRATE!$Y:$Y,data!D191,INTGRATE!$L:$L)+SUMIF(BRAN!$V:$V,data!D191,BRAN!$J:$J)))</f>
        <v/>
      </c>
      <c r="C191" s="572" t="str">
        <f t="shared" ref="C191:C254" si="14">IF(F191="","",B191-K191)</f>
        <v/>
      </c>
      <c r="D191" s="573" t="str">
        <f>IFERROR(VLOOKUP(E191,Map!$B:$F,4,0),"")&amp;IFERROR(VLOOKUP(E191,Map!$B:$F,5,0),"")</f>
        <v/>
      </c>
      <c r="E191" s="574" t="str">
        <f t="shared" si="13"/>
        <v/>
      </c>
    </row>
    <row r="192" spans="2:5">
      <c r="B192" s="571" t="str">
        <f>IF(F192="","",(SUMIF(INTGRATE!$Y:$Y,data!D192,INTGRATE!$L:$L)+SUMIF(BRAN!$V:$V,data!D192,BRAN!$J:$J)))</f>
        <v/>
      </c>
      <c r="C192" s="572" t="str">
        <f t="shared" si="14"/>
        <v/>
      </c>
      <c r="D192" s="573" t="str">
        <f>IFERROR(VLOOKUP(E192,Map!$B:$F,4,0),"")&amp;IFERROR(VLOOKUP(E192,Map!$B:$F,5,0),"")</f>
        <v/>
      </c>
      <c r="E192" s="574" t="str">
        <f t="shared" si="13"/>
        <v/>
      </c>
    </row>
    <row r="193" spans="2:5">
      <c r="B193" s="571" t="str">
        <f>IF(F193="","",(SUMIF(INTGRATE!$Y:$Y,data!D193,INTGRATE!$L:$L)+SUMIF(BRAN!$V:$V,data!D193,BRAN!$J:$J)))</f>
        <v/>
      </c>
      <c r="C193" s="572" t="str">
        <f t="shared" si="14"/>
        <v/>
      </c>
      <c r="D193" s="573" t="str">
        <f>IFERROR(VLOOKUP(E193,Map!$B:$F,4,0),"")&amp;IFERROR(VLOOKUP(E193,Map!$B:$F,5,0),"")</f>
        <v/>
      </c>
      <c r="E193" s="574" t="str">
        <f t="shared" si="13"/>
        <v/>
      </c>
    </row>
    <row r="194" spans="2:5">
      <c r="B194" s="571" t="str">
        <f>IF(F194="","",(SUMIF(INTGRATE!$Y:$Y,data!D194,INTGRATE!$L:$L)+SUMIF(BRAN!$V:$V,data!D194,BRAN!$J:$J)))</f>
        <v/>
      </c>
      <c r="C194" s="572" t="str">
        <f t="shared" si="14"/>
        <v/>
      </c>
      <c r="D194" s="573" t="str">
        <f>IFERROR(VLOOKUP(E194,Map!$B:$F,4,0),"")&amp;IFERROR(VLOOKUP(E194,Map!$B:$F,5,0),"")</f>
        <v/>
      </c>
      <c r="E194" s="574" t="str">
        <f t="shared" si="13"/>
        <v/>
      </c>
    </row>
    <row r="195" spans="2:5">
      <c r="B195" s="571" t="str">
        <f>IF(F195="","",(SUMIF(INTGRATE!$Y:$Y,data!D195,INTGRATE!$L:$L)+SUMIF(BRAN!$V:$V,data!D195,BRAN!$J:$J)))</f>
        <v/>
      </c>
      <c r="C195" s="572" t="str">
        <f t="shared" si="14"/>
        <v/>
      </c>
      <c r="D195" s="573" t="str">
        <f>IFERROR(VLOOKUP(E195,Map!$B:$F,4,0),"")&amp;IFERROR(VLOOKUP(E195,Map!$B:$F,5,0),"")</f>
        <v/>
      </c>
      <c r="E195" s="574" t="str">
        <f t="shared" si="13"/>
        <v/>
      </c>
    </row>
    <row r="196" spans="2:5">
      <c r="B196" s="571" t="str">
        <f>IF(F196="","",(SUMIF(INTGRATE!$Y:$Y,data!D196,INTGRATE!$L:$L)+SUMIF(BRAN!$V:$V,data!D196,BRAN!$J:$J)))</f>
        <v/>
      </c>
      <c r="C196" s="572" t="str">
        <f t="shared" si="14"/>
        <v/>
      </c>
      <c r="D196" s="573" t="str">
        <f>IFERROR(VLOOKUP(E196,Map!$B:$F,4,0),"")&amp;IFERROR(VLOOKUP(E196,Map!$B:$F,5,0),"")</f>
        <v/>
      </c>
      <c r="E196" s="574" t="str">
        <f t="shared" si="13"/>
        <v/>
      </c>
    </row>
    <row r="197" spans="2:5">
      <c r="B197" s="571" t="str">
        <f>IF(F197="","",(SUMIF(INTGRATE!$Y:$Y,data!D197,INTGRATE!$L:$L)+SUMIF(BRAN!$V:$V,data!D197,BRAN!$J:$J)))</f>
        <v/>
      </c>
      <c r="C197" s="572" t="str">
        <f t="shared" si="14"/>
        <v/>
      </c>
      <c r="D197" s="573" t="str">
        <f>IFERROR(VLOOKUP(E197,Map!$B:$F,4,0),"")&amp;IFERROR(VLOOKUP(E197,Map!$B:$F,5,0),"")</f>
        <v/>
      </c>
      <c r="E197" s="574" t="str">
        <f t="shared" si="13"/>
        <v/>
      </c>
    </row>
    <row r="198" spans="2:5">
      <c r="B198" s="571" t="str">
        <f>IF(F198="","",(SUMIF(INTGRATE!$Y:$Y,data!D198,INTGRATE!$L:$L)+SUMIF(BRAN!$V:$V,data!D198,BRAN!$J:$J)))</f>
        <v/>
      </c>
      <c r="C198" s="572" t="str">
        <f t="shared" si="14"/>
        <v/>
      </c>
      <c r="D198" s="573" t="str">
        <f>IFERROR(VLOOKUP(E198,Map!$B:$F,4,0),"")&amp;IFERROR(VLOOKUP(E198,Map!$B:$F,5,0),"")</f>
        <v/>
      </c>
      <c r="E198" s="574" t="str">
        <f t="shared" si="13"/>
        <v/>
      </c>
    </row>
    <row r="199" spans="2:5">
      <c r="B199" s="571" t="str">
        <f>IF(F199="","",(SUMIF(INTGRATE!$Y:$Y,data!D199,INTGRATE!$L:$L)+SUMIF(BRAN!$V:$V,data!D199,BRAN!$J:$J)))</f>
        <v/>
      </c>
      <c r="C199" s="572" t="str">
        <f t="shared" si="14"/>
        <v/>
      </c>
      <c r="D199" s="573" t="str">
        <f>IFERROR(VLOOKUP(E199,Map!$B:$F,4,0),"")&amp;IFERROR(VLOOKUP(E199,Map!$B:$F,5,0),"")</f>
        <v/>
      </c>
      <c r="E199" s="574" t="str">
        <f t="shared" si="13"/>
        <v/>
      </c>
    </row>
    <row r="200" spans="2:5">
      <c r="B200" s="571" t="str">
        <f>IF(F200="","",(SUMIF(INTGRATE!$Y:$Y,data!D200,INTGRATE!$L:$L)+SUMIF(BRAN!$V:$V,data!D200,BRAN!$J:$J)))</f>
        <v/>
      </c>
      <c r="C200" s="572" t="str">
        <f t="shared" si="14"/>
        <v/>
      </c>
      <c r="D200" s="573" t="str">
        <f>IFERROR(VLOOKUP(E200,Map!$B:$F,4,0),"")&amp;IFERROR(VLOOKUP(E200,Map!$B:$F,5,0),"")</f>
        <v/>
      </c>
      <c r="E200" s="574" t="str">
        <f t="shared" si="13"/>
        <v/>
      </c>
    </row>
    <row r="201" spans="2:5">
      <c r="B201" s="571" t="str">
        <f>IF(F201="","",(SUMIF(INTGRATE!$Y:$Y,data!D201,INTGRATE!$L:$L)+SUMIF(BRAN!$V:$V,data!D201,BRAN!$J:$J)))</f>
        <v/>
      </c>
      <c r="C201" s="572" t="str">
        <f t="shared" si="14"/>
        <v/>
      </c>
      <c r="D201" s="573" t="str">
        <f>IFERROR(VLOOKUP(E201,Map!$B:$F,4,0),"")&amp;IFERROR(VLOOKUP(E201,Map!$B:$F,5,0),"")</f>
        <v/>
      </c>
      <c r="E201" s="574" t="str">
        <f t="shared" si="13"/>
        <v/>
      </c>
    </row>
    <row r="202" spans="2:5">
      <c r="B202" s="571" t="str">
        <f>IF(F202="","",(SUMIF(INTGRATE!$Y:$Y,data!D202,INTGRATE!$L:$L)+SUMIF(BRAN!$V:$V,data!D202,BRAN!$J:$J)))</f>
        <v/>
      </c>
      <c r="C202" s="572" t="str">
        <f t="shared" si="14"/>
        <v/>
      </c>
      <c r="D202" s="573" t="str">
        <f>IFERROR(VLOOKUP(E202,Map!$B:$F,4,0),"")&amp;IFERROR(VLOOKUP(E202,Map!$B:$F,5,0),"")</f>
        <v/>
      </c>
      <c r="E202" s="574" t="str">
        <f t="shared" si="13"/>
        <v/>
      </c>
    </row>
    <row r="203" spans="2:5">
      <c r="B203" s="571" t="str">
        <f>IF(F203="","",(SUMIF(INTGRATE!$Y:$Y,data!D203,INTGRATE!$L:$L)+SUMIF(BRAN!$V:$V,data!D203,BRAN!$J:$J)))</f>
        <v/>
      </c>
      <c r="C203" s="572" t="str">
        <f t="shared" si="14"/>
        <v/>
      </c>
      <c r="D203" s="573" t="str">
        <f>IFERROR(VLOOKUP(E203,Map!$B:$F,4,0),"")&amp;IFERROR(VLOOKUP(E203,Map!$B:$F,5,0),"")</f>
        <v/>
      </c>
      <c r="E203" s="574" t="str">
        <f t="shared" si="13"/>
        <v/>
      </c>
    </row>
    <row r="204" spans="2:5">
      <c r="B204" s="571" t="str">
        <f>IF(F204="","",(SUMIF(INTGRATE!$Y:$Y,data!D204,INTGRATE!$L:$L)+SUMIF(BRAN!$V:$V,data!D204,BRAN!$J:$J)))</f>
        <v/>
      </c>
      <c r="C204" s="572" t="str">
        <f t="shared" si="14"/>
        <v/>
      </c>
      <c r="D204" s="573" t="str">
        <f>IFERROR(VLOOKUP(E204,Map!$B:$F,4,0),"")&amp;IFERROR(VLOOKUP(E204,Map!$B:$F,5,0),"")</f>
        <v/>
      </c>
      <c r="E204" s="574" t="str">
        <f t="shared" si="13"/>
        <v/>
      </c>
    </row>
    <row r="205" spans="2:5">
      <c r="B205" s="571" t="str">
        <f>IF(F205="","",(SUMIF(INTGRATE!$Y:$Y,data!D205,INTGRATE!$L:$L)+SUMIF(BRAN!$V:$V,data!D205,BRAN!$J:$J)))</f>
        <v/>
      </c>
      <c r="C205" s="572" t="str">
        <f t="shared" si="14"/>
        <v/>
      </c>
      <c r="D205" s="573" t="str">
        <f>IFERROR(VLOOKUP(E205,Map!$B:$F,4,0),"")&amp;IFERROR(VLOOKUP(E205,Map!$B:$F,5,0),"")</f>
        <v/>
      </c>
      <c r="E205" s="574" t="str">
        <f t="shared" si="13"/>
        <v/>
      </c>
    </row>
    <row r="206" spans="2:5">
      <c r="B206" s="571" t="str">
        <f>IF(F206="","",(SUMIF(INTGRATE!$Y:$Y,data!D206,INTGRATE!$L:$L)+SUMIF(BRAN!$V:$V,data!D206,BRAN!$J:$J)))</f>
        <v/>
      </c>
      <c r="C206" s="572" t="str">
        <f t="shared" si="14"/>
        <v/>
      </c>
      <c r="D206" s="573" t="str">
        <f>IFERROR(VLOOKUP(E206,Map!$B:$F,4,0),"")&amp;IFERROR(VLOOKUP(E206,Map!$B:$F,5,0),"")</f>
        <v/>
      </c>
      <c r="E206" s="574" t="str">
        <f t="shared" si="13"/>
        <v/>
      </c>
    </row>
    <row r="207" spans="2:5">
      <c r="B207" s="571" t="str">
        <f>IF(F207="","",(SUMIF(INTGRATE!$Y:$Y,data!D207,INTGRATE!$L:$L)+SUMIF(BRAN!$V:$V,data!D207,BRAN!$J:$J)))</f>
        <v/>
      </c>
      <c r="C207" s="572" t="str">
        <f t="shared" si="14"/>
        <v/>
      </c>
      <c r="D207" s="573" t="str">
        <f>IFERROR(VLOOKUP(E207,Map!$B:$F,4,0),"")&amp;IFERROR(VLOOKUP(E207,Map!$B:$F,5,0),"")</f>
        <v/>
      </c>
      <c r="E207" s="574" t="str">
        <f t="shared" si="13"/>
        <v/>
      </c>
    </row>
    <row r="208" spans="2:5">
      <c r="B208" s="571" t="str">
        <f>IF(F208="","",(SUMIF(INTGRATE!$Y:$Y,data!D208,INTGRATE!$L:$L)+SUMIF(BRAN!$V:$V,data!D208,BRAN!$J:$J)))</f>
        <v/>
      </c>
      <c r="C208" s="572" t="str">
        <f t="shared" si="14"/>
        <v/>
      </c>
      <c r="D208" s="573" t="str">
        <f>IFERROR(VLOOKUP(E208,Map!$B:$F,4,0),"")&amp;IFERROR(VLOOKUP(E208,Map!$B:$F,5,0),"")</f>
        <v/>
      </c>
      <c r="E208" s="574" t="str">
        <f t="shared" si="13"/>
        <v/>
      </c>
    </row>
    <row r="209" spans="2:5">
      <c r="B209" s="571" t="str">
        <f>IF(F209="","",(SUMIF(INTGRATE!$Y:$Y,data!D209,INTGRATE!$L:$L)+SUMIF(BRAN!$V:$V,data!D209,BRAN!$J:$J)))</f>
        <v/>
      </c>
      <c r="C209" s="572" t="str">
        <f t="shared" si="14"/>
        <v/>
      </c>
      <c r="D209" s="573" t="str">
        <f>IFERROR(VLOOKUP(E209,Map!$B:$F,4,0),"")&amp;IFERROR(VLOOKUP(E209,Map!$B:$F,5,0),"")</f>
        <v/>
      </c>
      <c r="E209" s="574" t="str">
        <f t="shared" si="13"/>
        <v/>
      </c>
    </row>
    <row r="210" spans="2:5">
      <c r="B210" s="571" t="str">
        <f>IF(F210="","",(SUMIF(INTGRATE!$Y:$Y,data!D210,INTGRATE!$L:$L)+SUMIF(BRAN!$V:$V,data!D210,BRAN!$J:$J)))</f>
        <v/>
      </c>
      <c r="C210" s="572" t="str">
        <f t="shared" si="14"/>
        <v/>
      </c>
      <c r="D210" s="573" t="str">
        <f>IFERROR(VLOOKUP(E210,Map!$B:$F,4,0),"")&amp;IFERROR(VLOOKUP(E210,Map!$B:$F,5,0),"")</f>
        <v/>
      </c>
      <c r="E210" s="574" t="str">
        <f t="shared" si="13"/>
        <v/>
      </c>
    </row>
    <row r="211" spans="2:5">
      <c r="B211" s="571" t="str">
        <f>IF(F211="","",(SUMIF(INTGRATE!$Y:$Y,data!D211,INTGRATE!$L:$L)+SUMIF(BRAN!$V:$V,data!D211,BRAN!$J:$J)))</f>
        <v/>
      </c>
      <c r="C211" s="572" t="str">
        <f t="shared" si="14"/>
        <v/>
      </c>
      <c r="D211" s="573" t="str">
        <f>IFERROR(VLOOKUP(E211,Map!$B:$F,4,0),"")&amp;IFERROR(VLOOKUP(E211,Map!$B:$F,5,0),"")</f>
        <v/>
      </c>
      <c r="E211" s="574" t="str">
        <f t="shared" si="13"/>
        <v/>
      </c>
    </row>
    <row r="212" spans="2:5">
      <c r="B212" s="571" t="str">
        <f>IF(F212="","",(SUMIF(INTGRATE!$Y:$Y,data!D212,INTGRATE!$L:$L)+SUMIF(BRAN!$V:$V,data!D212,BRAN!$J:$J)))</f>
        <v/>
      </c>
      <c r="C212" s="572" t="str">
        <f t="shared" si="14"/>
        <v/>
      </c>
      <c r="D212" s="573" t="str">
        <f>IFERROR(VLOOKUP(E212,Map!$B:$F,4,0),"")&amp;IFERROR(VLOOKUP(E212,Map!$B:$F,5,0),"")</f>
        <v/>
      </c>
      <c r="E212" s="574" t="str">
        <f t="shared" si="13"/>
        <v/>
      </c>
    </row>
    <row r="213" spans="2:5">
      <c r="B213" s="571" t="str">
        <f>IF(F213="","",(SUMIF(INTGRATE!$Y:$Y,data!D213,INTGRATE!$L:$L)+SUMIF(BRAN!$V:$V,data!D213,BRAN!$J:$J)))</f>
        <v/>
      </c>
      <c r="C213" s="572" t="str">
        <f t="shared" si="14"/>
        <v/>
      </c>
      <c r="D213" s="573" t="str">
        <f>IFERROR(VLOOKUP(E213,Map!$B:$F,4,0),"")&amp;IFERROR(VLOOKUP(E213,Map!$B:$F,5,0),"")</f>
        <v/>
      </c>
      <c r="E213" s="574" t="str">
        <f t="shared" si="13"/>
        <v/>
      </c>
    </row>
    <row r="214" spans="2:5">
      <c r="B214" s="571" t="str">
        <f>IF(F214="","",(SUMIF(INTGRATE!$Y:$Y,data!D214,INTGRATE!$L:$L)+SUMIF(BRAN!$V:$V,data!D214,BRAN!$J:$J)))</f>
        <v/>
      </c>
      <c r="C214" s="572" t="str">
        <f t="shared" si="14"/>
        <v/>
      </c>
      <c r="D214" s="573" t="str">
        <f>IFERROR(VLOOKUP(E214,Map!$B:$F,4,0),"")&amp;IFERROR(VLOOKUP(E214,Map!$B:$F,5,0),"")</f>
        <v/>
      </c>
      <c r="E214" s="574" t="str">
        <f t="shared" si="13"/>
        <v/>
      </c>
    </row>
    <row r="215" spans="2:5">
      <c r="B215" s="571" t="str">
        <f>IF(F215="","",(SUMIF(INTGRATE!$Y:$Y,data!D215,INTGRATE!$L:$L)+SUMIF(BRAN!$V:$V,data!D215,BRAN!$J:$J)))</f>
        <v/>
      </c>
      <c r="C215" s="572" t="str">
        <f t="shared" si="14"/>
        <v/>
      </c>
      <c r="D215" s="573" t="str">
        <f>IFERROR(VLOOKUP(E215,Map!$B:$F,4,0),"")&amp;IFERROR(VLOOKUP(E215,Map!$B:$F,5,0),"")</f>
        <v/>
      </c>
      <c r="E215" s="574" t="str">
        <f t="shared" si="13"/>
        <v/>
      </c>
    </row>
    <row r="216" spans="2:5">
      <c r="B216" s="571" t="str">
        <f>IF(F216="","",(SUMIF(INTGRATE!$Y:$Y,data!D216,INTGRATE!$L:$L)+SUMIF(BRAN!$V:$V,data!D216,BRAN!$J:$J)))</f>
        <v/>
      </c>
      <c r="C216" s="572" t="str">
        <f t="shared" si="14"/>
        <v/>
      </c>
      <c r="D216" s="573" t="str">
        <f>IFERROR(VLOOKUP(E216,Map!$B:$F,4,0),"")&amp;IFERROR(VLOOKUP(E216,Map!$B:$F,5,0),"")</f>
        <v/>
      </c>
      <c r="E216" s="574" t="str">
        <f t="shared" si="13"/>
        <v/>
      </c>
    </row>
    <row r="217" spans="2:5">
      <c r="B217" s="571" t="str">
        <f>IF(F217="","",(SUMIF(INTGRATE!$Y:$Y,data!D217,INTGRATE!$L:$L)+SUMIF(BRAN!$V:$V,data!D217,BRAN!$J:$J)))</f>
        <v/>
      </c>
      <c r="C217" s="572" t="str">
        <f t="shared" si="14"/>
        <v/>
      </c>
      <c r="D217" s="573" t="str">
        <f>IFERROR(VLOOKUP(E217,Map!$B:$F,4,0),"")&amp;IFERROR(VLOOKUP(E217,Map!$B:$F,5,0),"")</f>
        <v/>
      </c>
      <c r="E217" s="574" t="str">
        <f t="shared" si="13"/>
        <v/>
      </c>
    </row>
    <row r="218" spans="2:5">
      <c r="B218" s="571" t="str">
        <f>IF(F218="","",(SUMIF(INTGRATE!$Y:$Y,data!D218,INTGRATE!$L:$L)+SUMIF(BRAN!$V:$V,data!D218,BRAN!$J:$J)))</f>
        <v/>
      </c>
      <c r="C218" s="572" t="str">
        <f t="shared" si="14"/>
        <v/>
      </c>
      <c r="D218" s="573" t="str">
        <f>IFERROR(VLOOKUP(E218,Map!$B:$F,4,0),"")&amp;IFERROR(VLOOKUP(E218,Map!$B:$F,5,0),"")</f>
        <v/>
      </c>
      <c r="E218" s="574" t="str">
        <f t="shared" si="13"/>
        <v/>
      </c>
    </row>
    <row r="219" spans="2:5">
      <c r="B219" s="571" t="str">
        <f>IF(F219="","",(SUMIF(INTGRATE!$Y:$Y,data!D219,INTGRATE!$L:$L)+SUMIF(BRAN!$V:$V,data!D219,BRAN!$J:$J)))</f>
        <v/>
      </c>
      <c r="C219" s="572" t="str">
        <f t="shared" si="14"/>
        <v/>
      </c>
      <c r="D219" s="573" t="str">
        <f>IFERROR(VLOOKUP(E219,Map!$B:$F,4,0),"")&amp;IFERROR(VLOOKUP(E219,Map!$B:$F,5,0),"")</f>
        <v/>
      </c>
      <c r="E219" s="574" t="str">
        <f t="shared" si="13"/>
        <v/>
      </c>
    </row>
    <row r="220" spans="2:5">
      <c r="B220" s="571" t="str">
        <f>IF(F220="","",(SUMIF(INTGRATE!$Y:$Y,data!D220,INTGRATE!$L:$L)+SUMIF(BRAN!$V:$V,data!D220,BRAN!$J:$J)))</f>
        <v/>
      </c>
      <c r="C220" s="572" t="str">
        <f t="shared" si="14"/>
        <v/>
      </c>
      <c r="D220" s="573" t="str">
        <f>IFERROR(VLOOKUP(E220,Map!$B:$F,4,0),"")&amp;IFERROR(VLOOKUP(E220,Map!$B:$F,5,0),"")</f>
        <v/>
      </c>
      <c r="E220" s="574" t="str">
        <f t="shared" si="13"/>
        <v/>
      </c>
    </row>
    <row r="221" spans="2:5">
      <c r="B221" s="571" t="str">
        <f>IF(F221="","",(SUMIF(INTGRATE!$Y:$Y,data!D221,INTGRATE!$L:$L)+SUMIF(BRAN!$V:$V,data!D221,BRAN!$J:$J)))</f>
        <v/>
      </c>
      <c r="C221" s="572" t="str">
        <f t="shared" si="14"/>
        <v/>
      </c>
      <c r="D221" s="573" t="str">
        <f>IFERROR(VLOOKUP(E221,Map!$B:$F,4,0),"")&amp;IFERROR(VLOOKUP(E221,Map!$B:$F,5,0),"")</f>
        <v/>
      </c>
      <c r="E221" s="574" t="str">
        <f t="shared" si="13"/>
        <v/>
      </c>
    </row>
    <row r="222" spans="2:5">
      <c r="B222" s="571" t="str">
        <f>IF(F222="","",(SUMIF(INTGRATE!$Y:$Y,data!D222,INTGRATE!$L:$L)+SUMIF(BRAN!$V:$V,data!D222,BRAN!$J:$J)))</f>
        <v/>
      </c>
      <c r="C222" s="572" t="str">
        <f t="shared" si="14"/>
        <v/>
      </c>
      <c r="D222" s="573" t="str">
        <f>IFERROR(VLOOKUP(E222,Map!$B:$F,4,0),"")&amp;IFERROR(VLOOKUP(E222,Map!$B:$F,5,0),"")</f>
        <v/>
      </c>
      <c r="E222" s="574" t="str">
        <f t="shared" si="13"/>
        <v/>
      </c>
    </row>
    <row r="223" spans="2:5">
      <c r="B223" s="571" t="str">
        <f>IF(F223="","",(SUMIF(INTGRATE!$Y:$Y,data!D223,INTGRATE!$L:$L)+SUMIF(BRAN!$V:$V,data!D223,BRAN!$J:$J)))</f>
        <v/>
      </c>
      <c r="C223" s="572" t="str">
        <f t="shared" si="14"/>
        <v/>
      </c>
      <c r="D223" s="573" t="str">
        <f>IFERROR(VLOOKUP(E223,Map!$B:$F,4,0),"")&amp;IFERROR(VLOOKUP(E223,Map!$B:$F,5,0),"")</f>
        <v/>
      </c>
      <c r="E223" s="574" t="str">
        <f t="shared" si="13"/>
        <v/>
      </c>
    </row>
    <row r="224" spans="2:5">
      <c r="B224" s="571" t="str">
        <f>IF(F224="","",(SUMIF(INTGRATE!$Y:$Y,data!D224,INTGRATE!$L:$L)+SUMIF(BRAN!$V:$V,data!D224,BRAN!$J:$J)))</f>
        <v/>
      </c>
      <c r="C224" s="572" t="str">
        <f t="shared" si="14"/>
        <v/>
      </c>
      <c r="D224" s="573" t="str">
        <f>IFERROR(VLOOKUP(E224,Map!$B:$F,4,0),"")&amp;IFERROR(VLOOKUP(E224,Map!$B:$F,5,0),"")</f>
        <v/>
      </c>
      <c r="E224" s="574" t="str">
        <f t="shared" ref="E224:E287" si="15">IF(MID(F224,10,2)="99",F224&amp;H224,LEFT(F224,14))</f>
        <v/>
      </c>
    </row>
    <row r="225" spans="2:5">
      <c r="B225" s="571" t="str">
        <f>IF(F225="","",(SUMIF(INTGRATE!$Y:$Y,data!D225,INTGRATE!$L:$L)+SUMIF(BRAN!$V:$V,data!D225,BRAN!$J:$J)))</f>
        <v/>
      </c>
      <c r="C225" s="572" t="str">
        <f t="shared" si="14"/>
        <v/>
      </c>
      <c r="D225" s="573" t="str">
        <f>IFERROR(VLOOKUP(E225,Map!$B:$F,4,0),"")&amp;IFERROR(VLOOKUP(E225,Map!$B:$F,5,0),"")</f>
        <v/>
      </c>
      <c r="E225" s="574" t="str">
        <f t="shared" si="15"/>
        <v/>
      </c>
    </row>
    <row r="226" spans="2:5">
      <c r="B226" s="571" t="str">
        <f>IF(F226="","",(SUMIF(INTGRATE!$Y:$Y,data!D226,INTGRATE!$L:$L)+SUMIF(BRAN!$V:$V,data!D226,BRAN!$J:$J)))</f>
        <v/>
      </c>
      <c r="C226" s="572" t="str">
        <f t="shared" si="14"/>
        <v/>
      </c>
      <c r="D226" s="573" t="str">
        <f>IFERROR(VLOOKUP(E226,Map!$B:$F,4,0),"")&amp;IFERROR(VLOOKUP(E226,Map!$B:$F,5,0),"")</f>
        <v/>
      </c>
      <c r="E226" s="574" t="str">
        <f t="shared" si="15"/>
        <v/>
      </c>
    </row>
    <row r="227" spans="2:5">
      <c r="B227" s="571" t="str">
        <f>IF(F227="","",(SUMIF(INTGRATE!$Y:$Y,data!D227,INTGRATE!$L:$L)+SUMIF(BRAN!$V:$V,data!D227,BRAN!$J:$J)))</f>
        <v/>
      </c>
      <c r="C227" s="572" t="str">
        <f t="shared" si="14"/>
        <v/>
      </c>
      <c r="D227" s="573" t="str">
        <f>IFERROR(VLOOKUP(E227,Map!$B:$F,4,0),"")&amp;IFERROR(VLOOKUP(E227,Map!$B:$F,5,0),"")</f>
        <v/>
      </c>
      <c r="E227" s="574" t="str">
        <f t="shared" si="15"/>
        <v/>
      </c>
    </row>
    <row r="228" spans="2:5">
      <c r="B228" s="571" t="str">
        <f>IF(F228="","",(SUMIF(INTGRATE!$Y:$Y,data!D228,INTGRATE!$L:$L)+SUMIF(BRAN!$V:$V,data!D228,BRAN!$J:$J)))</f>
        <v/>
      </c>
      <c r="C228" s="572" t="str">
        <f t="shared" si="14"/>
        <v/>
      </c>
      <c r="D228" s="573" t="str">
        <f>IFERROR(VLOOKUP(E228,Map!$B:$F,4,0),"")&amp;IFERROR(VLOOKUP(E228,Map!$B:$F,5,0),"")</f>
        <v/>
      </c>
      <c r="E228" s="574" t="str">
        <f t="shared" si="15"/>
        <v/>
      </c>
    </row>
    <row r="229" spans="2:5">
      <c r="B229" s="571" t="str">
        <f>IF(F229="","",(SUMIF(INTGRATE!$Y:$Y,data!D229,INTGRATE!$L:$L)+SUMIF(BRAN!$V:$V,data!D229,BRAN!$J:$J)))</f>
        <v/>
      </c>
      <c r="C229" s="572" t="str">
        <f t="shared" si="14"/>
        <v/>
      </c>
      <c r="D229" s="573" t="str">
        <f>IFERROR(VLOOKUP(E229,Map!$B:$F,4,0),"")&amp;IFERROR(VLOOKUP(E229,Map!$B:$F,5,0),"")</f>
        <v/>
      </c>
      <c r="E229" s="574" t="str">
        <f t="shared" si="15"/>
        <v/>
      </c>
    </row>
    <row r="230" spans="2:5">
      <c r="B230" s="571" t="str">
        <f>IF(F230="","",(SUMIF(INTGRATE!$Y:$Y,data!D230,INTGRATE!$L:$L)+SUMIF(BRAN!$V:$V,data!D230,BRAN!$J:$J)))</f>
        <v/>
      </c>
      <c r="C230" s="572" t="str">
        <f t="shared" si="14"/>
        <v/>
      </c>
      <c r="D230" s="573" t="str">
        <f>IFERROR(VLOOKUP(E230,Map!$B:$F,4,0),"")&amp;IFERROR(VLOOKUP(E230,Map!$B:$F,5,0),"")</f>
        <v/>
      </c>
      <c r="E230" s="574" t="str">
        <f t="shared" si="15"/>
        <v/>
      </c>
    </row>
    <row r="231" spans="2:5">
      <c r="B231" s="571" t="str">
        <f>IF(F231="","",(SUMIF(INTGRATE!$Y:$Y,data!D231,INTGRATE!$L:$L)+SUMIF(BRAN!$V:$V,data!D231,BRAN!$J:$J)))</f>
        <v/>
      </c>
      <c r="C231" s="572" t="str">
        <f t="shared" si="14"/>
        <v/>
      </c>
      <c r="D231" s="573" t="str">
        <f>IFERROR(VLOOKUP(E231,Map!$B:$F,4,0),"")&amp;IFERROR(VLOOKUP(E231,Map!$B:$F,5,0),"")</f>
        <v/>
      </c>
      <c r="E231" s="574" t="str">
        <f t="shared" si="15"/>
        <v/>
      </c>
    </row>
    <row r="232" spans="2:5">
      <c r="B232" s="571" t="str">
        <f>IF(F232="","",(SUMIF(INTGRATE!$Y:$Y,data!D232,INTGRATE!$L:$L)+SUMIF(BRAN!$V:$V,data!D232,BRAN!$J:$J)))</f>
        <v/>
      </c>
      <c r="C232" s="572" t="str">
        <f t="shared" si="14"/>
        <v/>
      </c>
      <c r="D232" s="573" t="str">
        <f>IFERROR(VLOOKUP(E232,Map!$B:$F,4,0),"")&amp;IFERROR(VLOOKUP(E232,Map!$B:$F,5,0),"")</f>
        <v/>
      </c>
      <c r="E232" s="574" t="str">
        <f t="shared" si="15"/>
        <v/>
      </c>
    </row>
    <row r="233" spans="2:5">
      <c r="B233" s="571" t="str">
        <f>IF(F233="","",(SUMIF(INTGRATE!$Y:$Y,data!D233,INTGRATE!$L:$L)+SUMIF(BRAN!$V:$V,data!D233,BRAN!$J:$J)))</f>
        <v/>
      </c>
      <c r="C233" s="572" t="str">
        <f t="shared" si="14"/>
        <v/>
      </c>
      <c r="D233" s="573" t="str">
        <f>IFERROR(VLOOKUP(E233,Map!$B:$F,4,0),"")&amp;IFERROR(VLOOKUP(E233,Map!$B:$F,5,0),"")</f>
        <v/>
      </c>
      <c r="E233" s="574" t="str">
        <f t="shared" si="15"/>
        <v/>
      </c>
    </row>
    <row r="234" spans="2:5">
      <c r="B234" s="571" t="str">
        <f>IF(F234="","",(SUMIF(INTGRATE!$Y:$Y,data!D234,INTGRATE!$L:$L)+SUMIF(BRAN!$V:$V,data!D234,BRAN!$J:$J)))</f>
        <v/>
      </c>
      <c r="C234" s="572" t="str">
        <f t="shared" si="14"/>
        <v/>
      </c>
      <c r="D234" s="573" t="str">
        <f>IFERROR(VLOOKUP(E234,Map!$B:$F,4,0),"")&amp;IFERROR(VLOOKUP(E234,Map!$B:$F,5,0),"")</f>
        <v/>
      </c>
      <c r="E234" s="574" t="str">
        <f t="shared" si="15"/>
        <v/>
      </c>
    </row>
    <row r="235" spans="2:5">
      <c r="B235" s="571" t="str">
        <f>IF(F235="","",(SUMIF(INTGRATE!$Y:$Y,data!D235,INTGRATE!$L:$L)+SUMIF(BRAN!$V:$V,data!D235,BRAN!$J:$J)))</f>
        <v/>
      </c>
      <c r="C235" s="572" t="str">
        <f t="shared" si="14"/>
        <v/>
      </c>
      <c r="D235" s="573" t="str">
        <f>IFERROR(VLOOKUP(E235,Map!$B:$F,4,0),"")&amp;IFERROR(VLOOKUP(E235,Map!$B:$F,5,0),"")</f>
        <v/>
      </c>
      <c r="E235" s="574" t="str">
        <f t="shared" si="15"/>
        <v/>
      </c>
    </row>
    <row r="236" spans="2:5">
      <c r="B236" s="571" t="str">
        <f>IF(F236="","",(SUMIF(INTGRATE!$Y:$Y,data!D236,INTGRATE!$L:$L)+SUMIF(BRAN!$V:$V,data!D236,BRAN!$J:$J)))</f>
        <v/>
      </c>
      <c r="C236" s="572" t="str">
        <f t="shared" si="14"/>
        <v/>
      </c>
      <c r="D236" s="573" t="str">
        <f>IFERROR(VLOOKUP(E236,Map!$B:$F,4,0),"")&amp;IFERROR(VLOOKUP(E236,Map!$B:$F,5,0),"")</f>
        <v/>
      </c>
      <c r="E236" s="574" t="str">
        <f t="shared" si="15"/>
        <v/>
      </c>
    </row>
    <row r="237" spans="2:5">
      <c r="B237" s="571" t="str">
        <f>IF(F237="","",(SUMIF(INTGRATE!$Y:$Y,data!D237,INTGRATE!$L:$L)+SUMIF(BRAN!$V:$V,data!D237,BRAN!$J:$J)))</f>
        <v/>
      </c>
      <c r="C237" s="572" t="str">
        <f t="shared" si="14"/>
        <v/>
      </c>
      <c r="D237" s="573" t="str">
        <f>IFERROR(VLOOKUP(E237,Map!$B:$F,4,0),"")&amp;IFERROR(VLOOKUP(E237,Map!$B:$F,5,0),"")</f>
        <v/>
      </c>
      <c r="E237" s="574" t="str">
        <f t="shared" si="15"/>
        <v/>
      </c>
    </row>
    <row r="238" spans="2:5">
      <c r="B238" s="571" t="str">
        <f>IF(F238="","",(SUMIF(INTGRATE!$Y:$Y,data!D238,INTGRATE!$L:$L)+SUMIF(BRAN!$V:$V,data!D238,BRAN!$J:$J)))</f>
        <v/>
      </c>
      <c r="C238" s="572" t="str">
        <f t="shared" si="14"/>
        <v/>
      </c>
      <c r="D238" s="573" t="str">
        <f>IFERROR(VLOOKUP(E238,Map!$B:$F,4,0),"")&amp;IFERROR(VLOOKUP(E238,Map!$B:$F,5,0),"")</f>
        <v/>
      </c>
      <c r="E238" s="574" t="str">
        <f t="shared" si="15"/>
        <v/>
      </c>
    </row>
    <row r="239" spans="2:5">
      <c r="B239" s="571" t="str">
        <f>IF(F239="","",(SUMIF(INTGRATE!$Y:$Y,data!D239,INTGRATE!$L:$L)+SUMIF(BRAN!$V:$V,data!D239,BRAN!$J:$J)))</f>
        <v/>
      </c>
      <c r="C239" s="572" t="str">
        <f t="shared" si="14"/>
        <v/>
      </c>
      <c r="D239" s="573" t="str">
        <f>IFERROR(VLOOKUP(E239,Map!$B:$F,4,0),"")&amp;IFERROR(VLOOKUP(E239,Map!$B:$F,5,0),"")</f>
        <v/>
      </c>
      <c r="E239" s="574" t="str">
        <f t="shared" si="15"/>
        <v/>
      </c>
    </row>
    <row r="240" spans="2:5">
      <c r="B240" s="571" t="str">
        <f>IF(F240="","",(SUMIF(INTGRATE!$Y:$Y,data!D240,INTGRATE!$L:$L)+SUMIF(BRAN!$V:$V,data!D240,BRAN!$J:$J)))</f>
        <v/>
      </c>
      <c r="C240" s="572" t="str">
        <f t="shared" si="14"/>
        <v/>
      </c>
      <c r="D240" s="573" t="str">
        <f>IFERROR(VLOOKUP(E240,Map!$B:$F,4,0),"")&amp;IFERROR(VLOOKUP(E240,Map!$B:$F,5,0),"")</f>
        <v/>
      </c>
      <c r="E240" s="574" t="str">
        <f t="shared" si="15"/>
        <v/>
      </c>
    </row>
    <row r="241" spans="2:5">
      <c r="B241" s="571" t="str">
        <f>IF(F241="","",(SUMIF(INTGRATE!$Y:$Y,data!D241,INTGRATE!$L:$L)+SUMIF(BRAN!$V:$V,data!D241,BRAN!$J:$J)))</f>
        <v/>
      </c>
      <c r="C241" s="572" t="str">
        <f t="shared" si="14"/>
        <v/>
      </c>
      <c r="D241" s="573" t="str">
        <f>IFERROR(VLOOKUP(E241,Map!$B:$F,4,0),"")&amp;IFERROR(VLOOKUP(E241,Map!$B:$F,5,0),"")</f>
        <v/>
      </c>
      <c r="E241" s="574" t="str">
        <f t="shared" si="15"/>
        <v/>
      </c>
    </row>
    <row r="242" spans="2:5">
      <c r="B242" s="571" t="str">
        <f>IF(F242="","",(SUMIF(INTGRATE!$Y:$Y,data!D242,INTGRATE!$L:$L)+SUMIF(BRAN!$V:$V,data!D242,BRAN!$J:$J)))</f>
        <v/>
      </c>
      <c r="C242" s="572" t="str">
        <f t="shared" si="14"/>
        <v/>
      </c>
      <c r="D242" s="573" t="str">
        <f>IFERROR(VLOOKUP(E242,Map!$B:$F,4,0),"")&amp;IFERROR(VLOOKUP(E242,Map!$B:$F,5,0),"")</f>
        <v/>
      </c>
      <c r="E242" s="574" t="str">
        <f t="shared" si="15"/>
        <v/>
      </c>
    </row>
    <row r="243" spans="2:5">
      <c r="B243" s="571" t="str">
        <f>IF(F243="","",(SUMIF(INTGRATE!$Y:$Y,data!D243,INTGRATE!$L:$L)+SUMIF(BRAN!$V:$V,data!D243,BRAN!$J:$J)))</f>
        <v/>
      </c>
      <c r="C243" s="572" t="str">
        <f t="shared" si="14"/>
        <v/>
      </c>
      <c r="D243" s="573" t="str">
        <f>IFERROR(VLOOKUP(E243,Map!$B:$F,4,0),"")&amp;IFERROR(VLOOKUP(E243,Map!$B:$F,5,0),"")</f>
        <v/>
      </c>
      <c r="E243" s="574" t="str">
        <f t="shared" si="15"/>
        <v/>
      </c>
    </row>
    <row r="244" spans="2:5">
      <c r="B244" s="571" t="str">
        <f>IF(F244="","",(SUMIF(INTGRATE!$Y:$Y,data!D244,INTGRATE!$L:$L)+SUMIF(BRAN!$V:$V,data!D244,BRAN!$J:$J)))</f>
        <v/>
      </c>
      <c r="C244" s="572" t="str">
        <f t="shared" si="14"/>
        <v/>
      </c>
      <c r="D244" s="573" t="str">
        <f>IFERROR(VLOOKUP(E244,Map!$B:$F,4,0),"")&amp;IFERROR(VLOOKUP(E244,Map!$B:$F,5,0),"")</f>
        <v/>
      </c>
      <c r="E244" s="574" t="str">
        <f t="shared" si="15"/>
        <v/>
      </c>
    </row>
    <row r="245" spans="2:5">
      <c r="B245" s="571" t="str">
        <f>IF(F245="","",(SUMIF(INTGRATE!$Y:$Y,data!D245,INTGRATE!$L:$L)+SUMIF(BRAN!$V:$V,data!D245,BRAN!$J:$J)))</f>
        <v/>
      </c>
      <c r="C245" s="572" t="str">
        <f t="shared" si="14"/>
        <v/>
      </c>
      <c r="D245" s="573" t="str">
        <f>IFERROR(VLOOKUP(E245,Map!$B:$F,4,0),"")&amp;IFERROR(VLOOKUP(E245,Map!$B:$F,5,0),"")</f>
        <v/>
      </c>
      <c r="E245" s="574" t="str">
        <f t="shared" si="15"/>
        <v/>
      </c>
    </row>
    <row r="246" spans="2:5">
      <c r="B246" s="571" t="str">
        <f>IF(F246="","",(SUMIF(INTGRATE!$Y:$Y,data!D246,INTGRATE!$L:$L)+SUMIF(BRAN!$V:$V,data!D246,BRAN!$J:$J)))</f>
        <v/>
      </c>
      <c r="C246" s="572" t="str">
        <f t="shared" si="14"/>
        <v/>
      </c>
      <c r="D246" s="573" t="str">
        <f>IFERROR(VLOOKUP(E246,Map!$B:$F,4,0),"")&amp;IFERROR(VLOOKUP(E246,Map!$B:$F,5,0),"")</f>
        <v/>
      </c>
      <c r="E246" s="574" t="str">
        <f t="shared" si="15"/>
        <v/>
      </c>
    </row>
    <row r="247" spans="2:5">
      <c r="B247" s="571" t="str">
        <f>IF(F247="","",(SUMIF(INTGRATE!$Y:$Y,data!D247,INTGRATE!$L:$L)+SUMIF(BRAN!$V:$V,data!D247,BRAN!$J:$J)))</f>
        <v/>
      </c>
      <c r="C247" s="572" t="str">
        <f t="shared" si="14"/>
        <v/>
      </c>
      <c r="D247" s="573" t="str">
        <f>IFERROR(VLOOKUP(E247,Map!$B:$F,4,0),"")&amp;IFERROR(VLOOKUP(E247,Map!$B:$F,5,0),"")</f>
        <v/>
      </c>
      <c r="E247" s="574" t="str">
        <f t="shared" si="15"/>
        <v/>
      </c>
    </row>
    <row r="248" spans="2:5">
      <c r="B248" s="571" t="str">
        <f>IF(F248="","",(SUMIF(INTGRATE!$Y:$Y,data!D248,INTGRATE!$L:$L)+SUMIF(BRAN!$V:$V,data!D248,BRAN!$J:$J)))</f>
        <v/>
      </c>
      <c r="C248" s="572" t="str">
        <f t="shared" si="14"/>
        <v/>
      </c>
      <c r="D248" s="573" t="str">
        <f>IFERROR(VLOOKUP(E248,Map!$B:$F,4,0),"")&amp;IFERROR(VLOOKUP(E248,Map!$B:$F,5,0),"")</f>
        <v/>
      </c>
      <c r="E248" s="574" t="str">
        <f t="shared" si="15"/>
        <v/>
      </c>
    </row>
    <row r="249" spans="2:5">
      <c r="B249" s="571" t="str">
        <f>IF(F249="","",(SUMIF(INTGRATE!$Y:$Y,data!D249,INTGRATE!$L:$L)+SUMIF(BRAN!$V:$V,data!D249,BRAN!$J:$J)))</f>
        <v/>
      </c>
      <c r="C249" s="572" t="str">
        <f t="shared" si="14"/>
        <v/>
      </c>
      <c r="D249" s="573" t="str">
        <f>IFERROR(VLOOKUP(E249,Map!$B:$F,4,0),"")&amp;IFERROR(VLOOKUP(E249,Map!$B:$F,5,0),"")</f>
        <v/>
      </c>
      <c r="E249" s="574" t="str">
        <f t="shared" si="15"/>
        <v/>
      </c>
    </row>
    <row r="250" spans="2:5">
      <c r="B250" s="571" t="str">
        <f>IF(F250="","",(SUMIF(INTGRATE!$Y:$Y,data!D250,INTGRATE!$L:$L)+SUMIF(BRAN!$V:$V,data!D250,BRAN!$J:$J)))</f>
        <v/>
      </c>
      <c r="C250" s="572" t="str">
        <f t="shared" si="14"/>
        <v/>
      </c>
      <c r="D250" s="573" t="str">
        <f>IFERROR(VLOOKUP(E250,Map!$B:$F,4,0),"")&amp;IFERROR(VLOOKUP(E250,Map!$B:$F,5,0),"")</f>
        <v/>
      </c>
      <c r="E250" s="574" t="str">
        <f t="shared" si="15"/>
        <v/>
      </c>
    </row>
    <row r="251" spans="2:5">
      <c r="B251" s="571" t="str">
        <f>IF(F251="","",(SUMIF(INTGRATE!$Y:$Y,data!D251,INTGRATE!$L:$L)+SUMIF(BRAN!$V:$V,data!D251,BRAN!$J:$J)))</f>
        <v/>
      </c>
      <c r="C251" s="572" t="str">
        <f t="shared" si="14"/>
        <v/>
      </c>
      <c r="D251" s="573" t="str">
        <f>IFERROR(VLOOKUP(E251,Map!$B:$F,4,0),"")&amp;IFERROR(VLOOKUP(E251,Map!$B:$F,5,0),"")</f>
        <v/>
      </c>
      <c r="E251" s="574" t="str">
        <f t="shared" si="15"/>
        <v/>
      </c>
    </row>
    <row r="252" spans="2:5">
      <c r="B252" s="571" t="str">
        <f>IF(F252="","",(SUMIF(INTGRATE!$Y:$Y,data!D252,INTGRATE!$L:$L)+SUMIF(BRAN!$V:$V,data!D252,BRAN!$J:$J)))</f>
        <v/>
      </c>
      <c r="C252" s="572" t="str">
        <f t="shared" si="14"/>
        <v/>
      </c>
      <c r="D252" s="573" t="str">
        <f>IFERROR(VLOOKUP(E252,Map!$B:$F,4,0),"")&amp;IFERROR(VLOOKUP(E252,Map!$B:$F,5,0),"")</f>
        <v/>
      </c>
      <c r="E252" s="574" t="str">
        <f t="shared" si="15"/>
        <v/>
      </c>
    </row>
    <row r="253" spans="2:5">
      <c r="B253" s="571" t="str">
        <f>IF(F253="","",(SUMIF(INTGRATE!$Y:$Y,data!D253,INTGRATE!$L:$L)+SUMIF(BRAN!$V:$V,data!D253,BRAN!$J:$J)))</f>
        <v/>
      </c>
      <c r="C253" s="572" t="str">
        <f t="shared" si="14"/>
        <v/>
      </c>
      <c r="D253" s="573" t="str">
        <f>IFERROR(VLOOKUP(E253,Map!$B:$F,4,0),"")&amp;IFERROR(VLOOKUP(E253,Map!$B:$F,5,0),"")</f>
        <v/>
      </c>
      <c r="E253" s="574" t="str">
        <f t="shared" si="15"/>
        <v/>
      </c>
    </row>
    <row r="254" spans="2:5">
      <c r="B254" s="571" t="str">
        <f>IF(F254="","",(SUMIF(INTGRATE!$Y:$Y,data!D254,INTGRATE!$L:$L)+SUMIF(BRAN!$V:$V,data!D254,BRAN!$J:$J)))</f>
        <v/>
      </c>
      <c r="C254" s="572" t="str">
        <f t="shared" si="14"/>
        <v/>
      </c>
      <c r="D254" s="573" t="str">
        <f>IFERROR(VLOOKUP(E254,Map!$B:$F,4,0),"")&amp;IFERROR(VLOOKUP(E254,Map!$B:$F,5,0),"")</f>
        <v/>
      </c>
      <c r="E254" s="574" t="str">
        <f t="shared" si="15"/>
        <v/>
      </c>
    </row>
    <row r="255" spans="2:5">
      <c r="B255" s="571" t="str">
        <f>IF(F255="","",(SUMIF(INTGRATE!$Y:$Y,data!D255,INTGRATE!$L:$L)+SUMIF(BRAN!$V:$V,data!D255,BRAN!$J:$J)))</f>
        <v/>
      </c>
      <c r="C255" s="572" t="str">
        <f t="shared" ref="C255:C318" si="16">IF(F255="","",B255-K255)</f>
        <v/>
      </c>
      <c r="D255" s="573" t="str">
        <f>IFERROR(VLOOKUP(E255,Map!$B:$F,4,0),"")&amp;IFERROR(VLOOKUP(E255,Map!$B:$F,5,0),"")</f>
        <v/>
      </c>
      <c r="E255" s="574" t="str">
        <f t="shared" si="15"/>
        <v/>
      </c>
    </row>
    <row r="256" spans="2:5">
      <c r="B256" s="571" t="str">
        <f>IF(F256="","",(SUMIF(INTGRATE!$Y:$Y,data!D256,INTGRATE!$L:$L)+SUMIF(BRAN!$V:$V,data!D256,BRAN!$J:$J)))</f>
        <v/>
      </c>
      <c r="C256" s="572" t="str">
        <f t="shared" si="16"/>
        <v/>
      </c>
      <c r="D256" s="573" t="str">
        <f>IFERROR(VLOOKUP(E256,Map!$B:$F,4,0),"")&amp;IFERROR(VLOOKUP(E256,Map!$B:$F,5,0),"")</f>
        <v/>
      </c>
      <c r="E256" s="574" t="str">
        <f t="shared" si="15"/>
        <v/>
      </c>
    </row>
    <row r="257" spans="2:5">
      <c r="B257" s="571" t="str">
        <f>IF(F257="","",(SUMIF(INTGRATE!$Y:$Y,data!D257,INTGRATE!$L:$L)+SUMIF(BRAN!$V:$V,data!D257,BRAN!$J:$J)))</f>
        <v/>
      </c>
      <c r="C257" s="572" t="str">
        <f t="shared" si="16"/>
        <v/>
      </c>
      <c r="D257" s="573" t="str">
        <f>IFERROR(VLOOKUP(E257,Map!$B:$F,4,0),"")&amp;IFERROR(VLOOKUP(E257,Map!$B:$F,5,0),"")</f>
        <v/>
      </c>
      <c r="E257" s="574" t="str">
        <f t="shared" si="15"/>
        <v/>
      </c>
    </row>
    <row r="258" spans="2:5">
      <c r="B258" s="571" t="str">
        <f>IF(F258="","",(SUMIF(INTGRATE!$Y:$Y,data!D258,INTGRATE!$L:$L)+SUMIF(BRAN!$V:$V,data!D258,BRAN!$J:$J)))</f>
        <v/>
      </c>
      <c r="C258" s="572" t="str">
        <f t="shared" si="16"/>
        <v/>
      </c>
      <c r="D258" s="573" t="str">
        <f>IFERROR(VLOOKUP(E258,Map!$B:$F,4,0),"")&amp;IFERROR(VLOOKUP(E258,Map!$B:$F,5,0),"")</f>
        <v/>
      </c>
      <c r="E258" s="574" t="str">
        <f t="shared" si="15"/>
        <v/>
      </c>
    </row>
    <row r="259" spans="2:5">
      <c r="B259" s="571" t="str">
        <f>IF(F259="","",(SUMIF(INTGRATE!$Y:$Y,data!D259,INTGRATE!$L:$L)+SUMIF(BRAN!$V:$V,data!D259,BRAN!$J:$J)))</f>
        <v/>
      </c>
      <c r="C259" s="572" t="str">
        <f t="shared" si="16"/>
        <v/>
      </c>
      <c r="D259" s="573" t="str">
        <f>IFERROR(VLOOKUP(E259,Map!$B:$F,4,0),"")&amp;IFERROR(VLOOKUP(E259,Map!$B:$F,5,0),"")</f>
        <v/>
      </c>
      <c r="E259" s="574" t="str">
        <f t="shared" si="15"/>
        <v/>
      </c>
    </row>
    <row r="260" spans="2:5">
      <c r="B260" s="571" t="str">
        <f>IF(F260="","",(SUMIF(INTGRATE!$Y:$Y,data!D260,INTGRATE!$L:$L)+SUMIF(BRAN!$V:$V,data!D260,BRAN!$J:$J)))</f>
        <v/>
      </c>
      <c r="C260" s="572" t="str">
        <f t="shared" si="16"/>
        <v/>
      </c>
      <c r="D260" s="573" t="str">
        <f>IFERROR(VLOOKUP(E260,Map!$B:$F,4,0),"")&amp;IFERROR(VLOOKUP(E260,Map!$B:$F,5,0),"")</f>
        <v/>
      </c>
      <c r="E260" s="574" t="str">
        <f t="shared" si="15"/>
        <v/>
      </c>
    </row>
    <row r="261" spans="2:5">
      <c r="B261" s="571" t="str">
        <f>IF(F261="","",(SUMIF(INTGRATE!$Y:$Y,data!D261,INTGRATE!$L:$L)+SUMIF(BRAN!$V:$V,data!D261,BRAN!$J:$J)))</f>
        <v/>
      </c>
      <c r="C261" s="572" t="str">
        <f t="shared" si="16"/>
        <v/>
      </c>
      <c r="D261" s="573" t="str">
        <f>IFERROR(VLOOKUP(E261,Map!$B:$F,4,0),"")&amp;IFERROR(VLOOKUP(E261,Map!$B:$F,5,0),"")</f>
        <v/>
      </c>
      <c r="E261" s="574" t="str">
        <f t="shared" si="15"/>
        <v/>
      </c>
    </row>
    <row r="262" spans="2:5">
      <c r="B262" s="571" t="str">
        <f>IF(F262="","",(SUMIF(INTGRATE!$Y:$Y,data!D262,INTGRATE!$L:$L)+SUMIF(BRAN!$V:$V,data!D262,BRAN!$J:$J)))</f>
        <v/>
      </c>
      <c r="C262" s="572" t="str">
        <f t="shared" si="16"/>
        <v/>
      </c>
      <c r="D262" s="573" t="str">
        <f>IFERROR(VLOOKUP(E262,Map!$B:$F,4,0),"")&amp;IFERROR(VLOOKUP(E262,Map!$B:$F,5,0),"")</f>
        <v/>
      </c>
      <c r="E262" s="574" t="str">
        <f t="shared" si="15"/>
        <v/>
      </c>
    </row>
    <row r="263" spans="2:5">
      <c r="B263" s="571" t="str">
        <f>IF(F263="","",(SUMIF(INTGRATE!$Y:$Y,data!D263,INTGRATE!$L:$L)+SUMIF(BRAN!$V:$V,data!D263,BRAN!$J:$J)))</f>
        <v/>
      </c>
      <c r="C263" s="572" t="str">
        <f t="shared" si="16"/>
        <v/>
      </c>
      <c r="D263" s="573" t="str">
        <f>IFERROR(VLOOKUP(E263,Map!$B:$F,4,0),"")&amp;IFERROR(VLOOKUP(E263,Map!$B:$F,5,0),"")</f>
        <v/>
      </c>
      <c r="E263" s="574" t="str">
        <f t="shared" si="15"/>
        <v/>
      </c>
    </row>
    <row r="264" spans="2:5">
      <c r="B264" s="571" t="str">
        <f>IF(F264="","",(SUMIF(INTGRATE!$Y:$Y,data!D264,INTGRATE!$L:$L)+SUMIF(BRAN!$V:$V,data!D264,BRAN!$J:$J)))</f>
        <v/>
      </c>
      <c r="C264" s="572" t="str">
        <f t="shared" si="16"/>
        <v/>
      </c>
      <c r="D264" s="573" t="str">
        <f>IFERROR(VLOOKUP(E264,Map!$B:$F,4,0),"")&amp;IFERROR(VLOOKUP(E264,Map!$B:$F,5,0),"")</f>
        <v/>
      </c>
      <c r="E264" s="574" t="str">
        <f t="shared" si="15"/>
        <v/>
      </c>
    </row>
    <row r="265" spans="2:5">
      <c r="B265" s="571" t="str">
        <f>IF(F265="","",(SUMIF(INTGRATE!$Y:$Y,data!D265,INTGRATE!$L:$L)+SUMIF(BRAN!$V:$V,data!D265,BRAN!$J:$J)))</f>
        <v/>
      </c>
      <c r="C265" s="572" t="str">
        <f t="shared" si="16"/>
        <v/>
      </c>
      <c r="D265" s="573" t="str">
        <f>IFERROR(VLOOKUP(E265,Map!$B:$F,4,0),"")&amp;IFERROR(VLOOKUP(E265,Map!$B:$F,5,0),"")</f>
        <v/>
      </c>
      <c r="E265" s="574" t="str">
        <f t="shared" si="15"/>
        <v/>
      </c>
    </row>
    <row r="266" spans="2:5">
      <c r="B266" s="571" t="str">
        <f>IF(F266="","",(SUMIF(INTGRATE!$Y:$Y,data!D266,INTGRATE!$L:$L)+SUMIF(BRAN!$V:$V,data!D266,BRAN!$J:$J)))</f>
        <v/>
      </c>
      <c r="C266" s="572" t="str">
        <f t="shared" si="16"/>
        <v/>
      </c>
      <c r="D266" s="573" t="str">
        <f>IFERROR(VLOOKUP(E266,Map!$B:$F,4,0),"")&amp;IFERROR(VLOOKUP(E266,Map!$B:$F,5,0),"")</f>
        <v/>
      </c>
      <c r="E266" s="574" t="str">
        <f t="shared" si="15"/>
        <v/>
      </c>
    </row>
    <row r="267" spans="2:5">
      <c r="B267" s="571" t="str">
        <f>IF(F267="","",(SUMIF(INTGRATE!$Y:$Y,data!D267,INTGRATE!$L:$L)+SUMIF(BRAN!$V:$V,data!D267,BRAN!$J:$J)))</f>
        <v/>
      </c>
      <c r="C267" s="572" t="str">
        <f t="shared" si="16"/>
        <v/>
      </c>
      <c r="D267" s="573" t="str">
        <f>IFERROR(VLOOKUP(E267,Map!$B:$F,4,0),"")&amp;IFERROR(VLOOKUP(E267,Map!$B:$F,5,0),"")</f>
        <v/>
      </c>
      <c r="E267" s="574" t="str">
        <f t="shared" si="15"/>
        <v/>
      </c>
    </row>
    <row r="268" spans="2:5">
      <c r="B268" s="571" t="str">
        <f>IF(F268="","",(SUMIF(INTGRATE!$Y:$Y,data!D268,INTGRATE!$L:$L)+SUMIF(BRAN!$V:$V,data!D268,BRAN!$J:$J)))</f>
        <v/>
      </c>
      <c r="C268" s="572" t="str">
        <f t="shared" si="16"/>
        <v/>
      </c>
      <c r="D268" s="573" t="str">
        <f>IFERROR(VLOOKUP(E268,Map!$B:$F,4,0),"")&amp;IFERROR(VLOOKUP(E268,Map!$B:$F,5,0),"")</f>
        <v/>
      </c>
      <c r="E268" s="574" t="str">
        <f t="shared" si="15"/>
        <v/>
      </c>
    </row>
    <row r="269" spans="2:5">
      <c r="B269" s="571" t="str">
        <f>IF(F269="","",(SUMIF(INTGRATE!$Y:$Y,data!D269,INTGRATE!$L:$L)+SUMIF(BRAN!$V:$V,data!D269,BRAN!$J:$J)))</f>
        <v/>
      </c>
      <c r="C269" s="572" t="str">
        <f t="shared" si="16"/>
        <v/>
      </c>
      <c r="D269" s="573" t="str">
        <f>IFERROR(VLOOKUP(E269,Map!$B:$F,4,0),"")&amp;IFERROR(VLOOKUP(E269,Map!$B:$F,5,0),"")</f>
        <v/>
      </c>
      <c r="E269" s="574" t="str">
        <f t="shared" si="15"/>
        <v/>
      </c>
    </row>
    <row r="270" spans="2:5">
      <c r="B270" s="571" t="str">
        <f>IF(F270="","",(SUMIF(INTGRATE!$Y:$Y,data!D270,INTGRATE!$L:$L)+SUMIF(BRAN!$V:$V,data!D270,BRAN!$J:$J)))</f>
        <v/>
      </c>
      <c r="C270" s="572" t="str">
        <f t="shared" si="16"/>
        <v/>
      </c>
      <c r="D270" s="573" t="str">
        <f>IFERROR(VLOOKUP(E270,Map!$B:$F,4,0),"")&amp;IFERROR(VLOOKUP(E270,Map!$B:$F,5,0),"")</f>
        <v/>
      </c>
      <c r="E270" s="574" t="str">
        <f t="shared" si="15"/>
        <v/>
      </c>
    </row>
    <row r="271" spans="2:5">
      <c r="B271" s="571" t="str">
        <f>IF(F271="","",(SUMIF(INTGRATE!$Y:$Y,data!D271,INTGRATE!$L:$L)+SUMIF(BRAN!$V:$V,data!D271,BRAN!$J:$J)))</f>
        <v/>
      </c>
      <c r="C271" s="572" t="str">
        <f t="shared" si="16"/>
        <v/>
      </c>
      <c r="D271" s="573" t="str">
        <f>IFERROR(VLOOKUP(E271,Map!$B:$F,4,0),"")&amp;IFERROR(VLOOKUP(E271,Map!$B:$F,5,0),"")</f>
        <v/>
      </c>
      <c r="E271" s="574" t="str">
        <f t="shared" si="15"/>
        <v/>
      </c>
    </row>
    <row r="272" spans="2:5">
      <c r="B272" s="571" t="str">
        <f>IF(F272="","",(SUMIF(INTGRATE!$Y:$Y,data!D272,INTGRATE!$L:$L)+SUMIF(BRAN!$V:$V,data!D272,BRAN!$J:$J)))</f>
        <v/>
      </c>
      <c r="C272" s="572" t="str">
        <f t="shared" si="16"/>
        <v/>
      </c>
      <c r="D272" s="573" t="str">
        <f>IFERROR(VLOOKUP(E272,Map!$B:$F,4,0),"")&amp;IFERROR(VLOOKUP(E272,Map!$B:$F,5,0),"")</f>
        <v/>
      </c>
      <c r="E272" s="574" t="str">
        <f t="shared" si="15"/>
        <v/>
      </c>
    </row>
    <row r="273" spans="2:5">
      <c r="B273" s="571" t="str">
        <f>IF(F273="","",(SUMIF(INTGRATE!$Y:$Y,data!D273,INTGRATE!$L:$L)+SUMIF(BRAN!$V:$V,data!D273,BRAN!$J:$J)))</f>
        <v/>
      </c>
      <c r="C273" s="572" t="str">
        <f t="shared" si="16"/>
        <v/>
      </c>
      <c r="D273" s="573" t="str">
        <f>IFERROR(VLOOKUP(E273,Map!$B:$F,4,0),"")&amp;IFERROR(VLOOKUP(E273,Map!$B:$F,5,0),"")</f>
        <v/>
      </c>
      <c r="E273" s="574" t="str">
        <f t="shared" si="15"/>
        <v/>
      </c>
    </row>
    <row r="274" spans="2:5">
      <c r="B274" s="571" t="str">
        <f>IF(F274="","",(SUMIF(INTGRATE!$Y:$Y,data!D274,INTGRATE!$L:$L)+SUMIF(BRAN!$V:$V,data!D274,BRAN!$J:$J)))</f>
        <v/>
      </c>
      <c r="C274" s="572" t="str">
        <f t="shared" si="16"/>
        <v/>
      </c>
      <c r="D274" s="573" t="str">
        <f>IFERROR(VLOOKUP(E274,Map!$B:$F,4,0),"")&amp;IFERROR(VLOOKUP(E274,Map!$B:$F,5,0),"")</f>
        <v/>
      </c>
      <c r="E274" s="574" t="str">
        <f t="shared" si="15"/>
        <v/>
      </c>
    </row>
    <row r="275" spans="2:5">
      <c r="B275" s="571" t="str">
        <f>IF(F275="","",(SUMIF(INTGRATE!$Y:$Y,data!D275,INTGRATE!$L:$L)+SUMIF(BRAN!$V:$V,data!D275,BRAN!$J:$J)))</f>
        <v/>
      </c>
      <c r="C275" s="572" t="str">
        <f t="shared" si="16"/>
        <v/>
      </c>
      <c r="D275" s="573" t="str">
        <f>IFERROR(VLOOKUP(E275,Map!$B:$F,4,0),"")&amp;IFERROR(VLOOKUP(E275,Map!$B:$F,5,0),"")</f>
        <v/>
      </c>
      <c r="E275" s="574" t="str">
        <f t="shared" si="15"/>
        <v/>
      </c>
    </row>
    <row r="276" spans="2:5">
      <c r="B276" s="571" t="str">
        <f>IF(F276="","",(SUMIF(INTGRATE!$Y:$Y,data!D276,INTGRATE!$L:$L)+SUMIF(BRAN!$V:$V,data!D276,BRAN!$J:$J)))</f>
        <v/>
      </c>
      <c r="C276" s="572" t="str">
        <f t="shared" si="16"/>
        <v/>
      </c>
      <c r="D276" s="573" t="str">
        <f>IFERROR(VLOOKUP(E276,Map!$B:$F,4,0),"")&amp;IFERROR(VLOOKUP(E276,Map!$B:$F,5,0),"")</f>
        <v/>
      </c>
      <c r="E276" s="574" t="str">
        <f t="shared" si="15"/>
        <v/>
      </c>
    </row>
    <row r="277" spans="2:5">
      <c r="B277" s="571" t="str">
        <f>IF(F277="","",(SUMIF(INTGRATE!$Y:$Y,data!D277,INTGRATE!$L:$L)+SUMIF(BRAN!$V:$V,data!D277,BRAN!$J:$J)))</f>
        <v/>
      </c>
      <c r="C277" s="572" t="str">
        <f t="shared" si="16"/>
        <v/>
      </c>
      <c r="D277" s="573" t="str">
        <f>IFERROR(VLOOKUP(E277,Map!$B:$F,4,0),"")&amp;IFERROR(VLOOKUP(E277,Map!$B:$F,5,0),"")</f>
        <v/>
      </c>
      <c r="E277" s="574" t="str">
        <f t="shared" si="15"/>
        <v/>
      </c>
    </row>
    <row r="278" spans="2:5">
      <c r="B278" s="571" t="str">
        <f>IF(F278="","",(SUMIF(INTGRATE!$Y:$Y,data!D278,INTGRATE!$L:$L)+SUMIF(BRAN!$V:$V,data!D278,BRAN!$J:$J)))</f>
        <v/>
      </c>
      <c r="C278" s="572" t="str">
        <f t="shared" si="16"/>
        <v/>
      </c>
      <c r="D278" s="573" t="str">
        <f>IFERROR(VLOOKUP(E278,Map!$B:$F,4,0),"")&amp;IFERROR(VLOOKUP(E278,Map!$B:$F,5,0),"")</f>
        <v/>
      </c>
      <c r="E278" s="574" t="str">
        <f t="shared" si="15"/>
        <v/>
      </c>
    </row>
    <row r="279" spans="2:5">
      <c r="B279" s="571" t="str">
        <f>IF(F279="","",(SUMIF(INTGRATE!$Y:$Y,data!D279,INTGRATE!$L:$L)+SUMIF(BRAN!$V:$V,data!D279,BRAN!$J:$J)))</f>
        <v/>
      </c>
      <c r="C279" s="572" t="str">
        <f t="shared" si="16"/>
        <v/>
      </c>
      <c r="D279" s="573" t="str">
        <f>IFERROR(VLOOKUP(E279,Map!$B:$F,4,0),"")&amp;IFERROR(VLOOKUP(E279,Map!$B:$F,5,0),"")</f>
        <v/>
      </c>
      <c r="E279" s="574" t="str">
        <f t="shared" si="15"/>
        <v/>
      </c>
    </row>
    <row r="280" spans="2:5">
      <c r="B280" s="571" t="str">
        <f>IF(F280="","",(SUMIF(INTGRATE!$Y:$Y,data!D280,INTGRATE!$L:$L)+SUMIF(BRAN!$V:$V,data!D280,BRAN!$J:$J)))</f>
        <v/>
      </c>
      <c r="C280" s="572" t="str">
        <f t="shared" si="16"/>
        <v/>
      </c>
      <c r="D280" s="573" t="str">
        <f>IFERROR(VLOOKUP(E280,Map!$B:$F,4,0),"")&amp;IFERROR(VLOOKUP(E280,Map!$B:$F,5,0),"")</f>
        <v/>
      </c>
      <c r="E280" s="574" t="str">
        <f t="shared" si="15"/>
        <v/>
      </c>
    </row>
    <row r="281" spans="2:5">
      <c r="B281" s="571" t="str">
        <f>IF(F281="","",(SUMIF(INTGRATE!$Y:$Y,data!D281,INTGRATE!$L:$L)+SUMIF(BRAN!$V:$V,data!D281,BRAN!$J:$J)))</f>
        <v/>
      </c>
      <c r="C281" s="572" t="str">
        <f t="shared" si="16"/>
        <v/>
      </c>
      <c r="D281" s="573" t="str">
        <f>IFERROR(VLOOKUP(E281,Map!$B:$F,4,0),"")&amp;IFERROR(VLOOKUP(E281,Map!$B:$F,5,0),"")</f>
        <v/>
      </c>
      <c r="E281" s="574" t="str">
        <f t="shared" si="15"/>
        <v/>
      </c>
    </row>
    <row r="282" spans="2:5">
      <c r="B282" s="571" t="str">
        <f>IF(F282="","",(SUMIF(INTGRATE!$Y:$Y,data!D282,INTGRATE!$L:$L)+SUMIF(BRAN!$V:$V,data!D282,BRAN!$J:$J)))</f>
        <v/>
      </c>
      <c r="C282" s="572" t="str">
        <f t="shared" si="16"/>
        <v/>
      </c>
      <c r="D282" s="573" t="str">
        <f>IFERROR(VLOOKUP(E282,Map!$B:$F,4,0),"")&amp;IFERROR(VLOOKUP(E282,Map!$B:$F,5,0),"")</f>
        <v/>
      </c>
      <c r="E282" s="574" t="str">
        <f t="shared" si="15"/>
        <v/>
      </c>
    </row>
    <row r="283" spans="2:5">
      <c r="B283" s="571" t="str">
        <f>IF(F283="","",(SUMIF(INTGRATE!$Y:$Y,data!D283,INTGRATE!$L:$L)+SUMIF(BRAN!$V:$V,data!D283,BRAN!$J:$J)))</f>
        <v/>
      </c>
      <c r="C283" s="572" t="str">
        <f t="shared" si="16"/>
        <v/>
      </c>
      <c r="D283" s="573" t="str">
        <f>IFERROR(VLOOKUP(E283,Map!$B:$F,4,0),"")&amp;IFERROR(VLOOKUP(E283,Map!$B:$F,5,0),"")</f>
        <v/>
      </c>
      <c r="E283" s="574" t="str">
        <f t="shared" si="15"/>
        <v/>
      </c>
    </row>
    <row r="284" spans="2:5">
      <c r="B284" s="571" t="str">
        <f>IF(F284="","",(SUMIF(INTGRATE!$Y:$Y,data!D284,INTGRATE!$L:$L)+SUMIF(BRAN!$V:$V,data!D284,BRAN!$J:$J)))</f>
        <v/>
      </c>
      <c r="C284" s="572" t="str">
        <f t="shared" si="16"/>
        <v/>
      </c>
      <c r="D284" s="573" t="str">
        <f>IFERROR(VLOOKUP(E284,Map!$B:$F,4,0),"")&amp;IFERROR(VLOOKUP(E284,Map!$B:$F,5,0),"")</f>
        <v/>
      </c>
      <c r="E284" s="574" t="str">
        <f t="shared" si="15"/>
        <v/>
      </c>
    </row>
    <row r="285" spans="2:5">
      <c r="B285" s="571" t="str">
        <f>IF(F285="","",(SUMIF(INTGRATE!$Y:$Y,data!D285,INTGRATE!$L:$L)+SUMIF(BRAN!$V:$V,data!D285,BRAN!$J:$J)))</f>
        <v/>
      </c>
      <c r="C285" s="572" t="str">
        <f t="shared" si="16"/>
        <v/>
      </c>
      <c r="D285" s="573" t="str">
        <f>IFERROR(VLOOKUP(E285,Map!$B:$F,4,0),"")&amp;IFERROR(VLOOKUP(E285,Map!$B:$F,5,0),"")</f>
        <v/>
      </c>
      <c r="E285" s="574" t="str">
        <f t="shared" si="15"/>
        <v/>
      </c>
    </row>
    <row r="286" spans="2:5">
      <c r="B286" s="571" t="str">
        <f>IF(F286="","",(SUMIF(INTGRATE!$Y:$Y,data!D286,INTGRATE!$L:$L)+SUMIF(BRAN!$V:$V,data!D286,BRAN!$J:$J)))</f>
        <v/>
      </c>
      <c r="C286" s="572" t="str">
        <f t="shared" si="16"/>
        <v/>
      </c>
      <c r="D286" s="573" t="str">
        <f>IFERROR(VLOOKUP(E286,Map!$B:$F,4,0),"")&amp;IFERROR(VLOOKUP(E286,Map!$B:$F,5,0),"")</f>
        <v/>
      </c>
      <c r="E286" s="574" t="str">
        <f t="shared" si="15"/>
        <v/>
      </c>
    </row>
    <row r="287" spans="2:5">
      <c r="B287" s="571" t="str">
        <f>IF(F287="","",(SUMIF(INTGRATE!$Y:$Y,data!D287,INTGRATE!$L:$L)+SUMIF(BRAN!$V:$V,data!D287,BRAN!$J:$J)))</f>
        <v/>
      </c>
      <c r="C287" s="572" t="str">
        <f t="shared" si="16"/>
        <v/>
      </c>
      <c r="D287" s="573" t="str">
        <f>IFERROR(VLOOKUP(E287,Map!$B:$F,4,0),"")&amp;IFERROR(VLOOKUP(E287,Map!$B:$F,5,0),"")</f>
        <v/>
      </c>
      <c r="E287" s="574" t="str">
        <f t="shared" si="15"/>
        <v/>
      </c>
    </row>
    <row r="288" spans="2:5">
      <c r="B288" s="571" t="str">
        <f>IF(F288="","",(SUMIF(INTGRATE!$Y:$Y,data!D288,INTGRATE!$L:$L)+SUMIF(BRAN!$V:$V,data!D288,BRAN!$J:$J)))</f>
        <v/>
      </c>
      <c r="C288" s="572" t="str">
        <f t="shared" si="16"/>
        <v/>
      </c>
      <c r="D288" s="573" t="str">
        <f>IFERROR(VLOOKUP(E288,Map!$B:$F,4,0),"")&amp;IFERROR(VLOOKUP(E288,Map!$B:$F,5,0),"")</f>
        <v/>
      </c>
      <c r="E288" s="574" t="str">
        <f t="shared" ref="E288:E351" si="17">IF(MID(F288,10,2)="99",F288&amp;H288,LEFT(F288,14))</f>
        <v/>
      </c>
    </row>
    <row r="289" spans="2:5">
      <c r="B289" s="571" t="str">
        <f>IF(F289="","",(SUMIF(INTGRATE!$Y:$Y,data!D289,INTGRATE!$L:$L)+SUMIF(BRAN!$V:$V,data!D289,BRAN!$J:$J)))</f>
        <v/>
      </c>
      <c r="C289" s="572" t="str">
        <f t="shared" si="16"/>
        <v/>
      </c>
      <c r="D289" s="573" t="str">
        <f>IFERROR(VLOOKUP(E289,Map!$B:$F,4,0),"")&amp;IFERROR(VLOOKUP(E289,Map!$B:$F,5,0),"")</f>
        <v/>
      </c>
      <c r="E289" s="574" t="str">
        <f t="shared" si="17"/>
        <v/>
      </c>
    </row>
    <row r="290" spans="2:5">
      <c r="B290" s="571" t="str">
        <f>IF(F290="","",(SUMIF(INTGRATE!$Y:$Y,data!D290,INTGRATE!$L:$L)+SUMIF(BRAN!$V:$V,data!D290,BRAN!$J:$J)))</f>
        <v/>
      </c>
      <c r="C290" s="572" t="str">
        <f t="shared" si="16"/>
        <v/>
      </c>
      <c r="D290" s="573" t="str">
        <f>IFERROR(VLOOKUP(E290,Map!$B:$F,4,0),"")&amp;IFERROR(VLOOKUP(E290,Map!$B:$F,5,0),"")</f>
        <v/>
      </c>
      <c r="E290" s="574" t="str">
        <f t="shared" si="17"/>
        <v/>
      </c>
    </row>
    <row r="291" spans="2:5">
      <c r="B291" s="571" t="str">
        <f>IF(F291="","",(SUMIF(INTGRATE!$Y:$Y,data!D291,INTGRATE!$L:$L)+SUMIF(BRAN!$V:$V,data!D291,BRAN!$J:$J)))</f>
        <v/>
      </c>
      <c r="C291" s="572" t="str">
        <f t="shared" si="16"/>
        <v/>
      </c>
      <c r="D291" s="573" t="str">
        <f>IFERROR(VLOOKUP(E291,Map!$B:$F,4,0),"")&amp;IFERROR(VLOOKUP(E291,Map!$B:$F,5,0),"")</f>
        <v/>
      </c>
      <c r="E291" s="574" t="str">
        <f t="shared" si="17"/>
        <v/>
      </c>
    </row>
    <row r="292" spans="2:5">
      <c r="B292" s="571" t="str">
        <f>IF(F292="","",(SUMIF(INTGRATE!$Y:$Y,data!D292,INTGRATE!$L:$L)+SUMIF(BRAN!$V:$V,data!D292,BRAN!$J:$J)))</f>
        <v/>
      </c>
      <c r="C292" s="572" t="str">
        <f t="shared" si="16"/>
        <v/>
      </c>
      <c r="D292" s="573" t="str">
        <f>IFERROR(VLOOKUP(E292,Map!$B:$F,4,0),"")&amp;IFERROR(VLOOKUP(E292,Map!$B:$F,5,0),"")</f>
        <v/>
      </c>
      <c r="E292" s="574" t="str">
        <f t="shared" si="17"/>
        <v/>
      </c>
    </row>
    <row r="293" spans="2:5">
      <c r="B293" s="571" t="str">
        <f>IF(F293="","",(SUMIF(INTGRATE!$Y:$Y,data!D293,INTGRATE!$L:$L)+SUMIF(BRAN!$V:$V,data!D293,BRAN!$J:$J)))</f>
        <v/>
      </c>
      <c r="C293" s="572" t="str">
        <f t="shared" si="16"/>
        <v/>
      </c>
      <c r="D293" s="573" t="str">
        <f>IFERROR(VLOOKUP(E293,Map!$B:$F,4,0),"")&amp;IFERROR(VLOOKUP(E293,Map!$B:$F,5,0),"")</f>
        <v/>
      </c>
      <c r="E293" s="574" t="str">
        <f t="shared" si="17"/>
        <v/>
      </c>
    </row>
    <row r="294" spans="2:5">
      <c r="B294" s="571" t="str">
        <f>IF(F294="","",(SUMIF(INTGRATE!$Y:$Y,data!D294,INTGRATE!$L:$L)+SUMIF(BRAN!$V:$V,data!D294,BRAN!$J:$J)))</f>
        <v/>
      </c>
      <c r="C294" s="572" t="str">
        <f t="shared" si="16"/>
        <v/>
      </c>
      <c r="D294" s="573" t="str">
        <f>IFERROR(VLOOKUP(E294,Map!$B:$F,4,0),"")&amp;IFERROR(VLOOKUP(E294,Map!$B:$F,5,0),"")</f>
        <v/>
      </c>
      <c r="E294" s="574" t="str">
        <f t="shared" si="17"/>
        <v/>
      </c>
    </row>
    <row r="295" spans="2:5">
      <c r="B295" s="571" t="str">
        <f>IF(F295="","",(SUMIF(INTGRATE!$Y:$Y,data!D295,INTGRATE!$L:$L)+SUMIF(BRAN!$V:$V,data!D295,BRAN!$J:$J)))</f>
        <v/>
      </c>
      <c r="C295" s="572" t="str">
        <f t="shared" si="16"/>
        <v/>
      </c>
      <c r="D295" s="573" t="str">
        <f>IFERROR(VLOOKUP(E295,Map!$B:$F,4,0),"")&amp;IFERROR(VLOOKUP(E295,Map!$B:$F,5,0),"")</f>
        <v/>
      </c>
      <c r="E295" s="574" t="str">
        <f t="shared" si="17"/>
        <v/>
      </c>
    </row>
    <row r="296" spans="2:5">
      <c r="B296" s="571" t="str">
        <f>IF(F296="","",(SUMIF(INTGRATE!$Y:$Y,data!D296,INTGRATE!$L:$L)+SUMIF(BRAN!$V:$V,data!D296,BRAN!$J:$J)))</f>
        <v/>
      </c>
      <c r="C296" s="572" t="str">
        <f t="shared" si="16"/>
        <v/>
      </c>
      <c r="D296" s="573" t="str">
        <f>IFERROR(VLOOKUP(E296,Map!$B:$F,4,0),"")&amp;IFERROR(VLOOKUP(E296,Map!$B:$F,5,0),"")</f>
        <v/>
      </c>
      <c r="E296" s="574" t="str">
        <f t="shared" si="17"/>
        <v/>
      </c>
    </row>
    <row r="297" spans="2:5">
      <c r="B297" s="571" t="str">
        <f>IF(F297="","",(SUMIF(INTGRATE!$Y:$Y,data!D297,INTGRATE!$L:$L)+SUMIF(BRAN!$V:$V,data!D297,BRAN!$J:$J)))</f>
        <v/>
      </c>
      <c r="C297" s="572" t="str">
        <f t="shared" si="16"/>
        <v/>
      </c>
      <c r="D297" s="573" t="str">
        <f>IFERROR(VLOOKUP(E297,Map!$B:$F,4,0),"")&amp;IFERROR(VLOOKUP(E297,Map!$B:$F,5,0),"")</f>
        <v/>
      </c>
      <c r="E297" s="574" t="str">
        <f t="shared" si="17"/>
        <v/>
      </c>
    </row>
    <row r="298" spans="2:5">
      <c r="B298" s="571" t="str">
        <f>IF(F298="","",(SUMIF(INTGRATE!$Y:$Y,data!D298,INTGRATE!$L:$L)+SUMIF(BRAN!$V:$V,data!D298,BRAN!$J:$J)))</f>
        <v/>
      </c>
      <c r="C298" s="572" t="str">
        <f t="shared" si="16"/>
        <v/>
      </c>
      <c r="D298" s="573" t="str">
        <f>IFERROR(VLOOKUP(E298,Map!$B:$F,4,0),"")&amp;IFERROR(VLOOKUP(E298,Map!$B:$F,5,0),"")</f>
        <v/>
      </c>
      <c r="E298" s="574" t="str">
        <f t="shared" si="17"/>
        <v/>
      </c>
    </row>
    <row r="299" spans="2:5">
      <c r="B299" s="571" t="str">
        <f>IF(F299="","",(SUMIF(INTGRATE!$Y:$Y,data!D299,INTGRATE!$L:$L)+SUMIF(BRAN!$V:$V,data!D299,BRAN!$J:$J)))</f>
        <v/>
      </c>
      <c r="C299" s="572" t="str">
        <f t="shared" si="16"/>
        <v/>
      </c>
      <c r="D299" s="573" t="str">
        <f>IFERROR(VLOOKUP(E299,Map!$B:$F,4,0),"")&amp;IFERROR(VLOOKUP(E299,Map!$B:$F,5,0),"")</f>
        <v/>
      </c>
      <c r="E299" s="574" t="str">
        <f t="shared" si="17"/>
        <v/>
      </c>
    </row>
    <row r="300" spans="2:5">
      <c r="B300" s="571" t="str">
        <f>IF(F300="","",(SUMIF(INTGRATE!$Y:$Y,data!D300,INTGRATE!$L:$L)+SUMIF(BRAN!$V:$V,data!D300,BRAN!$J:$J)))</f>
        <v/>
      </c>
      <c r="C300" s="572" t="str">
        <f t="shared" si="16"/>
        <v/>
      </c>
      <c r="D300" s="573" t="str">
        <f>IFERROR(VLOOKUP(E300,Map!$B:$F,4,0),"")&amp;IFERROR(VLOOKUP(E300,Map!$B:$F,5,0),"")</f>
        <v/>
      </c>
      <c r="E300" s="574" t="str">
        <f t="shared" si="17"/>
        <v/>
      </c>
    </row>
    <row r="301" spans="2:5">
      <c r="B301" s="571" t="str">
        <f>IF(F301="","",(SUMIF(INTGRATE!$Y:$Y,data!D301,INTGRATE!$L:$L)+SUMIF(BRAN!$V:$V,data!D301,BRAN!$J:$J)))</f>
        <v/>
      </c>
      <c r="C301" s="572" t="str">
        <f t="shared" si="16"/>
        <v/>
      </c>
      <c r="D301" s="573" t="str">
        <f>IFERROR(VLOOKUP(E301,Map!$B:$F,4,0),"")&amp;IFERROR(VLOOKUP(E301,Map!$B:$F,5,0),"")</f>
        <v/>
      </c>
      <c r="E301" s="574" t="str">
        <f t="shared" si="17"/>
        <v/>
      </c>
    </row>
    <row r="302" spans="2:5">
      <c r="B302" s="571" t="str">
        <f>IF(F302="","",(SUMIF(INTGRATE!$Y:$Y,data!D302,INTGRATE!$L:$L)+SUMIF(BRAN!$V:$V,data!D302,BRAN!$J:$J)))</f>
        <v/>
      </c>
      <c r="C302" s="572" t="str">
        <f t="shared" si="16"/>
        <v/>
      </c>
      <c r="D302" s="573" t="str">
        <f>IFERROR(VLOOKUP(E302,Map!$B:$F,4,0),"")&amp;IFERROR(VLOOKUP(E302,Map!$B:$F,5,0),"")</f>
        <v/>
      </c>
      <c r="E302" s="574" t="str">
        <f t="shared" si="17"/>
        <v/>
      </c>
    </row>
    <row r="303" spans="2:5">
      <c r="B303" s="571" t="str">
        <f>IF(F303="","",(SUMIF(INTGRATE!$Y:$Y,data!D303,INTGRATE!$L:$L)+SUMIF(BRAN!$V:$V,data!D303,BRAN!$J:$J)))</f>
        <v/>
      </c>
      <c r="C303" s="572" t="str">
        <f t="shared" si="16"/>
        <v/>
      </c>
      <c r="D303" s="573" t="str">
        <f>IFERROR(VLOOKUP(E303,Map!$B:$F,4,0),"")&amp;IFERROR(VLOOKUP(E303,Map!$B:$F,5,0),"")</f>
        <v/>
      </c>
      <c r="E303" s="574" t="str">
        <f t="shared" si="17"/>
        <v/>
      </c>
    </row>
    <row r="304" spans="2:5">
      <c r="B304" s="571" t="str">
        <f>IF(F304="","",(SUMIF(INTGRATE!$Y:$Y,data!D304,INTGRATE!$L:$L)+SUMIF(BRAN!$V:$V,data!D304,BRAN!$J:$J)))</f>
        <v/>
      </c>
      <c r="C304" s="572" t="str">
        <f t="shared" si="16"/>
        <v/>
      </c>
      <c r="D304" s="573" t="str">
        <f>IFERROR(VLOOKUP(E304,Map!$B:$F,4,0),"")&amp;IFERROR(VLOOKUP(E304,Map!$B:$F,5,0),"")</f>
        <v/>
      </c>
      <c r="E304" s="574" t="str">
        <f t="shared" si="17"/>
        <v/>
      </c>
    </row>
    <row r="305" spans="2:5">
      <c r="B305" s="571" t="str">
        <f>IF(F305="","",(SUMIF(INTGRATE!$Y:$Y,data!D305,INTGRATE!$L:$L)+SUMIF(BRAN!$V:$V,data!D305,BRAN!$J:$J)))</f>
        <v/>
      </c>
      <c r="C305" s="572" t="str">
        <f t="shared" si="16"/>
        <v/>
      </c>
      <c r="D305" s="573" t="str">
        <f>IFERROR(VLOOKUP(E305,Map!$B:$F,4,0),"")&amp;IFERROR(VLOOKUP(E305,Map!$B:$F,5,0),"")</f>
        <v/>
      </c>
      <c r="E305" s="574" t="str">
        <f t="shared" si="17"/>
        <v/>
      </c>
    </row>
    <row r="306" spans="2:5">
      <c r="B306" s="571" t="str">
        <f>IF(F306="","",(SUMIF(INTGRATE!$Y:$Y,data!D306,INTGRATE!$L:$L)+SUMIF(BRAN!$V:$V,data!D306,BRAN!$J:$J)))</f>
        <v/>
      </c>
      <c r="C306" s="572" t="str">
        <f t="shared" si="16"/>
        <v/>
      </c>
      <c r="D306" s="573" t="str">
        <f>IFERROR(VLOOKUP(E306,Map!$B:$F,4,0),"")&amp;IFERROR(VLOOKUP(E306,Map!$B:$F,5,0),"")</f>
        <v/>
      </c>
      <c r="E306" s="574" t="str">
        <f t="shared" si="17"/>
        <v/>
      </c>
    </row>
    <row r="307" spans="2:5">
      <c r="B307" s="571" t="str">
        <f>IF(F307="","",(SUMIF(INTGRATE!$Y:$Y,data!D307,INTGRATE!$L:$L)+SUMIF(BRAN!$V:$V,data!D307,BRAN!$J:$J)))</f>
        <v/>
      </c>
      <c r="C307" s="572" t="str">
        <f t="shared" si="16"/>
        <v/>
      </c>
      <c r="D307" s="573" t="str">
        <f>IFERROR(VLOOKUP(E307,Map!$B:$F,4,0),"")&amp;IFERROR(VLOOKUP(E307,Map!$B:$F,5,0),"")</f>
        <v/>
      </c>
      <c r="E307" s="574" t="str">
        <f t="shared" si="17"/>
        <v/>
      </c>
    </row>
    <row r="308" spans="2:5">
      <c r="B308" s="571" t="str">
        <f>IF(F308="","",(SUMIF(INTGRATE!$Y:$Y,data!D308,INTGRATE!$L:$L)+SUMIF(BRAN!$V:$V,data!D308,BRAN!$J:$J)))</f>
        <v/>
      </c>
      <c r="C308" s="572" t="str">
        <f t="shared" si="16"/>
        <v/>
      </c>
      <c r="D308" s="573" t="str">
        <f>IFERROR(VLOOKUP(E308,Map!$B:$F,4,0),"")&amp;IFERROR(VLOOKUP(E308,Map!$B:$F,5,0),"")</f>
        <v/>
      </c>
      <c r="E308" s="574" t="str">
        <f t="shared" si="17"/>
        <v/>
      </c>
    </row>
    <row r="309" spans="2:5">
      <c r="B309" s="571" t="str">
        <f>IF(F309="","",(SUMIF(INTGRATE!$Y:$Y,data!D309,INTGRATE!$L:$L)+SUMIF(BRAN!$V:$V,data!D309,BRAN!$J:$J)))</f>
        <v/>
      </c>
      <c r="C309" s="572" t="str">
        <f t="shared" si="16"/>
        <v/>
      </c>
      <c r="D309" s="573" t="str">
        <f>IFERROR(VLOOKUP(E309,Map!$B:$F,4,0),"")&amp;IFERROR(VLOOKUP(E309,Map!$B:$F,5,0),"")</f>
        <v/>
      </c>
      <c r="E309" s="574" t="str">
        <f t="shared" si="17"/>
        <v/>
      </c>
    </row>
    <row r="310" spans="2:5">
      <c r="B310" s="571" t="str">
        <f>IF(F310="","",(SUMIF(INTGRATE!$Y:$Y,data!D310,INTGRATE!$L:$L)+SUMIF(BRAN!$V:$V,data!D310,BRAN!$J:$J)))</f>
        <v/>
      </c>
      <c r="C310" s="572" t="str">
        <f t="shared" si="16"/>
        <v/>
      </c>
      <c r="D310" s="573" t="str">
        <f>IFERROR(VLOOKUP(E310,Map!$B:$F,4,0),"")&amp;IFERROR(VLOOKUP(E310,Map!$B:$F,5,0),"")</f>
        <v/>
      </c>
      <c r="E310" s="574" t="str">
        <f t="shared" si="17"/>
        <v/>
      </c>
    </row>
    <row r="311" spans="2:5">
      <c r="B311" s="571" t="str">
        <f>IF(F311="","",(SUMIF(INTGRATE!$Y:$Y,data!D311,INTGRATE!$L:$L)+SUMIF(BRAN!$V:$V,data!D311,BRAN!$J:$J)))</f>
        <v/>
      </c>
      <c r="C311" s="572" t="str">
        <f t="shared" si="16"/>
        <v/>
      </c>
      <c r="D311" s="573" t="str">
        <f>IFERROR(VLOOKUP(E311,Map!$B:$F,4,0),"")&amp;IFERROR(VLOOKUP(E311,Map!$B:$F,5,0),"")</f>
        <v/>
      </c>
      <c r="E311" s="574" t="str">
        <f t="shared" si="17"/>
        <v/>
      </c>
    </row>
    <row r="312" spans="2:5">
      <c r="B312" s="571" t="str">
        <f>IF(F312="","",(SUMIF(INTGRATE!$Y:$Y,data!D312,INTGRATE!$L:$L)+SUMIF(BRAN!$V:$V,data!D312,BRAN!$J:$J)))</f>
        <v/>
      </c>
      <c r="C312" s="572" t="str">
        <f t="shared" si="16"/>
        <v/>
      </c>
      <c r="D312" s="573" t="str">
        <f>IFERROR(VLOOKUP(E312,Map!$B:$F,4,0),"")&amp;IFERROR(VLOOKUP(E312,Map!$B:$F,5,0),"")</f>
        <v/>
      </c>
      <c r="E312" s="574" t="str">
        <f t="shared" si="17"/>
        <v/>
      </c>
    </row>
    <row r="313" spans="2:5">
      <c r="B313" s="571" t="str">
        <f>IF(F313="","",(SUMIF(INTGRATE!$Y:$Y,data!D313,INTGRATE!$L:$L)+SUMIF(BRAN!$V:$V,data!D313,BRAN!$J:$J)))</f>
        <v/>
      </c>
      <c r="C313" s="572" t="str">
        <f t="shared" si="16"/>
        <v/>
      </c>
      <c r="D313" s="573" t="str">
        <f>IFERROR(VLOOKUP(E313,Map!$B:$F,4,0),"")&amp;IFERROR(VLOOKUP(E313,Map!$B:$F,5,0),"")</f>
        <v/>
      </c>
      <c r="E313" s="574" t="str">
        <f t="shared" si="17"/>
        <v/>
      </c>
    </row>
    <row r="314" spans="2:5">
      <c r="B314" s="571" t="str">
        <f>IF(F314="","",(SUMIF(INTGRATE!$Y:$Y,data!D314,INTGRATE!$L:$L)+SUMIF(BRAN!$V:$V,data!D314,BRAN!$J:$J)))</f>
        <v/>
      </c>
      <c r="C314" s="572" t="str">
        <f t="shared" si="16"/>
        <v/>
      </c>
      <c r="D314" s="573" t="str">
        <f>IFERROR(VLOOKUP(E314,Map!$B:$F,4,0),"")&amp;IFERROR(VLOOKUP(E314,Map!$B:$F,5,0),"")</f>
        <v/>
      </c>
      <c r="E314" s="574" t="str">
        <f t="shared" si="17"/>
        <v/>
      </c>
    </row>
    <row r="315" spans="2:5">
      <c r="B315" s="571" t="str">
        <f>IF(F315="","",(SUMIF(INTGRATE!$Y:$Y,data!D315,INTGRATE!$L:$L)+SUMIF(BRAN!$V:$V,data!D315,BRAN!$J:$J)))</f>
        <v/>
      </c>
      <c r="C315" s="572" t="str">
        <f t="shared" si="16"/>
        <v/>
      </c>
      <c r="D315" s="573" t="str">
        <f>IFERROR(VLOOKUP(E315,Map!$B:$F,4,0),"")&amp;IFERROR(VLOOKUP(E315,Map!$B:$F,5,0),"")</f>
        <v/>
      </c>
      <c r="E315" s="574" t="str">
        <f t="shared" si="17"/>
        <v/>
      </c>
    </row>
    <row r="316" spans="2:5">
      <c r="B316" s="571" t="str">
        <f>IF(F316="","",(SUMIF(INTGRATE!$Y:$Y,data!D316,INTGRATE!$L:$L)+SUMIF(BRAN!$V:$V,data!D316,BRAN!$J:$J)))</f>
        <v/>
      </c>
      <c r="C316" s="572" t="str">
        <f t="shared" si="16"/>
        <v/>
      </c>
      <c r="D316" s="573" t="str">
        <f>IFERROR(VLOOKUP(E316,Map!$B:$F,4,0),"")&amp;IFERROR(VLOOKUP(E316,Map!$B:$F,5,0),"")</f>
        <v/>
      </c>
      <c r="E316" s="574" t="str">
        <f t="shared" si="17"/>
        <v/>
      </c>
    </row>
    <row r="317" spans="2:5">
      <c r="B317" s="571" t="str">
        <f>IF(F317="","",(SUMIF(INTGRATE!$Y:$Y,data!D317,INTGRATE!$L:$L)+SUMIF(BRAN!$V:$V,data!D317,BRAN!$J:$J)))</f>
        <v/>
      </c>
      <c r="C317" s="572" t="str">
        <f t="shared" si="16"/>
        <v/>
      </c>
      <c r="D317" s="573" t="str">
        <f>IFERROR(VLOOKUP(E317,Map!$B:$F,4,0),"")&amp;IFERROR(VLOOKUP(E317,Map!$B:$F,5,0),"")</f>
        <v/>
      </c>
      <c r="E317" s="574" t="str">
        <f t="shared" si="17"/>
        <v/>
      </c>
    </row>
    <row r="318" spans="2:5">
      <c r="B318" s="571" t="str">
        <f>IF(F318="","",(SUMIF(INTGRATE!$Y:$Y,data!D318,INTGRATE!$L:$L)+SUMIF(BRAN!$V:$V,data!D318,BRAN!$J:$J)))</f>
        <v/>
      </c>
      <c r="C318" s="572" t="str">
        <f t="shared" si="16"/>
        <v/>
      </c>
      <c r="D318" s="573" t="str">
        <f>IFERROR(VLOOKUP(E318,Map!$B:$F,4,0),"")&amp;IFERROR(VLOOKUP(E318,Map!$B:$F,5,0),"")</f>
        <v/>
      </c>
      <c r="E318" s="574" t="str">
        <f t="shared" si="17"/>
        <v/>
      </c>
    </row>
    <row r="319" spans="2:5">
      <c r="B319" s="571" t="str">
        <f>IF(F319="","",(SUMIF(INTGRATE!$Y:$Y,data!D319,INTGRATE!$L:$L)+SUMIF(BRAN!$V:$V,data!D319,BRAN!$J:$J)))</f>
        <v/>
      </c>
      <c r="C319" s="572" t="str">
        <f t="shared" ref="C319:C382" si="18">IF(F319="","",B319-K319)</f>
        <v/>
      </c>
      <c r="D319" s="573" t="str">
        <f>IFERROR(VLOOKUP(E319,Map!$B:$F,4,0),"")&amp;IFERROR(VLOOKUP(E319,Map!$B:$F,5,0),"")</f>
        <v/>
      </c>
      <c r="E319" s="574" t="str">
        <f t="shared" si="17"/>
        <v/>
      </c>
    </row>
    <row r="320" spans="2:5">
      <c r="B320" s="571" t="str">
        <f>IF(F320="","",(SUMIF(INTGRATE!$Y:$Y,data!D320,INTGRATE!$L:$L)+SUMIF(BRAN!$V:$V,data!D320,BRAN!$J:$J)))</f>
        <v/>
      </c>
      <c r="C320" s="572" t="str">
        <f t="shared" si="18"/>
        <v/>
      </c>
      <c r="D320" s="573" t="str">
        <f>IFERROR(VLOOKUP(E320,Map!$B:$F,4,0),"")&amp;IFERROR(VLOOKUP(E320,Map!$B:$F,5,0),"")</f>
        <v/>
      </c>
      <c r="E320" s="574" t="str">
        <f t="shared" si="17"/>
        <v/>
      </c>
    </row>
    <row r="321" spans="2:5">
      <c r="B321" s="571" t="str">
        <f>IF(F321="","",(SUMIF(INTGRATE!$Y:$Y,data!D321,INTGRATE!$L:$L)+SUMIF(BRAN!$V:$V,data!D321,BRAN!$J:$J)))</f>
        <v/>
      </c>
      <c r="C321" s="572" t="str">
        <f t="shared" si="18"/>
        <v/>
      </c>
      <c r="D321" s="573" t="str">
        <f>IFERROR(VLOOKUP(E321,Map!$B:$F,4,0),"")&amp;IFERROR(VLOOKUP(E321,Map!$B:$F,5,0),"")</f>
        <v/>
      </c>
      <c r="E321" s="574" t="str">
        <f t="shared" si="17"/>
        <v/>
      </c>
    </row>
    <row r="322" spans="2:5">
      <c r="B322" s="571" t="str">
        <f>IF(F322="","",(SUMIF(INTGRATE!$Y:$Y,data!D322,INTGRATE!$L:$L)+SUMIF(BRAN!$V:$V,data!D322,BRAN!$J:$J)))</f>
        <v/>
      </c>
      <c r="C322" s="572" t="str">
        <f t="shared" si="18"/>
        <v/>
      </c>
      <c r="D322" s="573" t="str">
        <f>IFERROR(VLOOKUP(E322,Map!$B:$F,4,0),"")&amp;IFERROR(VLOOKUP(E322,Map!$B:$F,5,0),"")</f>
        <v/>
      </c>
      <c r="E322" s="574" t="str">
        <f t="shared" si="17"/>
        <v/>
      </c>
    </row>
    <row r="323" spans="2:5">
      <c r="B323" s="571" t="str">
        <f>IF(F323="","",(SUMIF(INTGRATE!$Y:$Y,data!D323,INTGRATE!$L:$L)+SUMIF(BRAN!$V:$V,data!D323,BRAN!$J:$J)))</f>
        <v/>
      </c>
      <c r="C323" s="572" t="str">
        <f t="shared" si="18"/>
        <v/>
      </c>
      <c r="D323" s="573" t="str">
        <f>IFERROR(VLOOKUP(E323,Map!$B:$F,4,0),"")&amp;IFERROR(VLOOKUP(E323,Map!$B:$F,5,0),"")</f>
        <v/>
      </c>
      <c r="E323" s="574" t="str">
        <f t="shared" si="17"/>
        <v/>
      </c>
    </row>
    <row r="324" spans="2:5">
      <c r="B324" s="571" t="str">
        <f>IF(F324="","",(SUMIF(INTGRATE!$Y:$Y,data!D324,INTGRATE!$L:$L)+SUMIF(BRAN!$V:$V,data!D324,BRAN!$J:$J)))</f>
        <v/>
      </c>
      <c r="C324" s="572" t="str">
        <f t="shared" si="18"/>
        <v/>
      </c>
      <c r="D324" s="573" t="str">
        <f>IFERROR(VLOOKUP(E324,Map!$B:$F,4,0),"")&amp;IFERROR(VLOOKUP(E324,Map!$B:$F,5,0),"")</f>
        <v/>
      </c>
      <c r="E324" s="574" t="str">
        <f t="shared" si="17"/>
        <v/>
      </c>
    </row>
    <row r="325" spans="2:5">
      <c r="B325" s="571" t="str">
        <f>IF(F325="","",(SUMIF(INTGRATE!$Y:$Y,data!D325,INTGRATE!$L:$L)+SUMIF(BRAN!$V:$V,data!D325,BRAN!$J:$J)))</f>
        <v/>
      </c>
      <c r="C325" s="572" t="str">
        <f t="shared" si="18"/>
        <v/>
      </c>
      <c r="D325" s="573" t="str">
        <f>IFERROR(VLOOKUP(E325,Map!$B:$F,4,0),"")&amp;IFERROR(VLOOKUP(E325,Map!$B:$F,5,0),"")</f>
        <v/>
      </c>
      <c r="E325" s="574" t="str">
        <f t="shared" si="17"/>
        <v/>
      </c>
    </row>
    <row r="326" spans="2:5">
      <c r="B326" s="571" t="str">
        <f>IF(F326="","",(SUMIF(INTGRATE!$Y:$Y,data!D326,INTGRATE!$L:$L)+SUMIF(BRAN!$V:$V,data!D326,BRAN!$J:$J)))</f>
        <v/>
      </c>
      <c r="C326" s="572" t="str">
        <f t="shared" si="18"/>
        <v/>
      </c>
      <c r="D326" s="573" t="str">
        <f>IFERROR(VLOOKUP(E326,Map!$B:$F,4,0),"")&amp;IFERROR(VLOOKUP(E326,Map!$B:$F,5,0),"")</f>
        <v/>
      </c>
      <c r="E326" s="574" t="str">
        <f t="shared" si="17"/>
        <v/>
      </c>
    </row>
    <row r="327" spans="2:5">
      <c r="B327" s="571" t="str">
        <f>IF(F327="","",(SUMIF(INTGRATE!$Y:$Y,data!D327,INTGRATE!$L:$L)+SUMIF(BRAN!$V:$V,data!D327,BRAN!$J:$J)))</f>
        <v/>
      </c>
      <c r="C327" s="572" t="str">
        <f t="shared" si="18"/>
        <v/>
      </c>
      <c r="D327" s="573" t="str">
        <f>IFERROR(VLOOKUP(E327,Map!$B:$F,4,0),"")&amp;IFERROR(VLOOKUP(E327,Map!$B:$F,5,0),"")</f>
        <v/>
      </c>
      <c r="E327" s="574" t="str">
        <f t="shared" si="17"/>
        <v/>
      </c>
    </row>
    <row r="328" spans="2:5">
      <c r="B328" s="571" t="str">
        <f>IF(F328="","",(SUMIF(INTGRATE!$Y:$Y,data!D328,INTGRATE!$L:$L)+SUMIF(BRAN!$V:$V,data!D328,BRAN!$J:$J)))</f>
        <v/>
      </c>
      <c r="C328" s="572" t="str">
        <f t="shared" si="18"/>
        <v/>
      </c>
      <c r="D328" s="573" t="str">
        <f>IFERROR(VLOOKUP(E328,Map!$B:$F,4,0),"")&amp;IFERROR(VLOOKUP(E328,Map!$B:$F,5,0),"")</f>
        <v/>
      </c>
      <c r="E328" s="574" t="str">
        <f t="shared" si="17"/>
        <v/>
      </c>
    </row>
    <row r="329" spans="2:5">
      <c r="B329" s="571" t="str">
        <f>IF(F329="","",(SUMIF(INTGRATE!$Y:$Y,data!D329,INTGRATE!$L:$L)+SUMIF(BRAN!$V:$V,data!D329,BRAN!$J:$J)))</f>
        <v/>
      </c>
      <c r="C329" s="572" t="str">
        <f t="shared" si="18"/>
        <v/>
      </c>
      <c r="D329" s="573" t="str">
        <f>IFERROR(VLOOKUP(E329,Map!$B:$F,4,0),"")&amp;IFERROR(VLOOKUP(E329,Map!$B:$F,5,0),"")</f>
        <v/>
      </c>
      <c r="E329" s="574" t="str">
        <f t="shared" si="17"/>
        <v/>
      </c>
    </row>
    <row r="330" spans="2:5">
      <c r="B330" s="571" t="str">
        <f>IF(F330="","",(SUMIF(INTGRATE!$Y:$Y,data!D330,INTGRATE!$L:$L)+SUMIF(BRAN!$V:$V,data!D330,BRAN!$J:$J)))</f>
        <v/>
      </c>
      <c r="C330" s="572" t="str">
        <f t="shared" si="18"/>
        <v/>
      </c>
      <c r="D330" s="573" t="str">
        <f>IFERROR(VLOOKUP(E330,Map!$B:$F,4,0),"")&amp;IFERROR(VLOOKUP(E330,Map!$B:$F,5,0),"")</f>
        <v/>
      </c>
      <c r="E330" s="574" t="str">
        <f t="shared" si="17"/>
        <v/>
      </c>
    </row>
    <row r="331" spans="2:5">
      <c r="B331" s="571" t="str">
        <f>IF(F331="","",(SUMIF(INTGRATE!$Y:$Y,data!D331,INTGRATE!$L:$L)+SUMIF(BRAN!$V:$V,data!D331,BRAN!$J:$J)))</f>
        <v/>
      </c>
      <c r="C331" s="572" t="str">
        <f t="shared" si="18"/>
        <v/>
      </c>
      <c r="D331" s="573" t="str">
        <f>IFERROR(VLOOKUP(E331,Map!$B:$F,4,0),"")&amp;IFERROR(VLOOKUP(E331,Map!$B:$F,5,0),"")</f>
        <v/>
      </c>
      <c r="E331" s="574" t="str">
        <f t="shared" si="17"/>
        <v/>
      </c>
    </row>
    <row r="332" spans="2:5">
      <c r="B332" s="571" t="str">
        <f>IF(F332="","",(SUMIF(INTGRATE!$Y:$Y,data!D332,INTGRATE!$L:$L)+SUMIF(BRAN!$V:$V,data!D332,BRAN!$J:$J)))</f>
        <v/>
      </c>
      <c r="C332" s="572" t="str">
        <f t="shared" si="18"/>
        <v/>
      </c>
      <c r="D332" s="573" t="str">
        <f>IFERROR(VLOOKUP(E332,Map!$B:$F,4,0),"")&amp;IFERROR(VLOOKUP(E332,Map!$B:$F,5,0),"")</f>
        <v/>
      </c>
      <c r="E332" s="574" t="str">
        <f t="shared" si="17"/>
        <v/>
      </c>
    </row>
    <row r="333" spans="2:5">
      <c r="B333" s="571" t="str">
        <f>IF(F333="","",(SUMIF(INTGRATE!$Y:$Y,data!D333,INTGRATE!$L:$L)+SUMIF(BRAN!$V:$V,data!D333,BRAN!$J:$J)))</f>
        <v/>
      </c>
      <c r="C333" s="572" t="str">
        <f t="shared" si="18"/>
        <v/>
      </c>
      <c r="D333" s="573" t="str">
        <f>IFERROR(VLOOKUP(E333,Map!$B:$F,4,0),"")&amp;IFERROR(VLOOKUP(E333,Map!$B:$F,5,0),"")</f>
        <v/>
      </c>
      <c r="E333" s="574" t="str">
        <f t="shared" si="17"/>
        <v/>
      </c>
    </row>
    <row r="334" spans="2:5">
      <c r="B334" s="571" t="str">
        <f>IF(F334="","",(SUMIF(INTGRATE!$Y:$Y,data!D334,INTGRATE!$L:$L)+SUMIF(BRAN!$V:$V,data!D334,BRAN!$J:$J)))</f>
        <v/>
      </c>
      <c r="C334" s="572" t="str">
        <f t="shared" si="18"/>
        <v/>
      </c>
      <c r="D334" s="573" t="str">
        <f>IFERROR(VLOOKUP(E334,Map!$B:$F,4,0),"")&amp;IFERROR(VLOOKUP(E334,Map!$B:$F,5,0),"")</f>
        <v/>
      </c>
      <c r="E334" s="574" t="str">
        <f t="shared" si="17"/>
        <v/>
      </c>
    </row>
    <row r="335" spans="2:5">
      <c r="B335" s="571" t="str">
        <f>IF(F335="","",(SUMIF(INTGRATE!$Y:$Y,data!D335,INTGRATE!$L:$L)+SUMIF(BRAN!$V:$V,data!D335,BRAN!$J:$J)))</f>
        <v/>
      </c>
      <c r="C335" s="572" t="str">
        <f t="shared" si="18"/>
        <v/>
      </c>
      <c r="D335" s="573" t="str">
        <f>IFERROR(VLOOKUP(E335,Map!$B:$F,4,0),"")&amp;IFERROR(VLOOKUP(E335,Map!$B:$F,5,0),"")</f>
        <v/>
      </c>
      <c r="E335" s="574" t="str">
        <f t="shared" si="17"/>
        <v/>
      </c>
    </row>
    <row r="336" spans="2:5">
      <c r="B336" s="571" t="str">
        <f>IF(F336="","",(SUMIF(INTGRATE!$Y:$Y,data!D336,INTGRATE!$L:$L)+SUMIF(BRAN!$V:$V,data!D336,BRAN!$J:$J)))</f>
        <v/>
      </c>
      <c r="C336" s="572" t="str">
        <f t="shared" si="18"/>
        <v/>
      </c>
      <c r="D336" s="573" t="str">
        <f>IFERROR(VLOOKUP(E336,Map!$B:$F,4,0),"")&amp;IFERROR(VLOOKUP(E336,Map!$B:$F,5,0),"")</f>
        <v/>
      </c>
      <c r="E336" s="574" t="str">
        <f t="shared" si="17"/>
        <v/>
      </c>
    </row>
    <row r="337" spans="2:5">
      <c r="B337" s="571" t="str">
        <f>IF(F337="","",(SUMIF(INTGRATE!$Y:$Y,data!D337,INTGRATE!$L:$L)+SUMIF(BRAN!$V:$V,data!D337,BRAN!$J:$J)))</f>
        <v/>
      </c>
      <c r="C337" s="572" t="str">
        <f t="shared" si="18"/>
        <v/>
      </c>
      <c r="D337" s="573" t="str">
        <f>IFERROR(VLOOKUP(E337,Map!$B:$F,4,0),"")&amp;IFERROR(VLOOKUP(E337,Map!$B:$F,5,0),"")</f>
        <v/>
      </c>
      <c r="E337" s="574" t="str">
        <f t="shared" si="17"/>
        <v/>
      </c>
    </row>
    <row r="338" spans="2:5">
      <c r="B338" s="571" t="str">
        <f>IF(F338="","",(SUMIF(INTGRATE!$Y:$Y,data!D338,INTGRATE!$L:$L)+SUMIF(BRAN!$V:$V,data!D338,BRAN!$J:$J)))</f>
        <v/>
      </c>
      <c r="C338" s="572" t="str">
        <f t="shared" si="18"/>
        <v/>
      </c>
      <c r="D338" s="573" t="str">
        <f>IFERROR(VLOOKUP(E338,Map!$B:$F,4,0),"")&amp;IFERROR(VLOOKUP(E338,Map!$B:$F,5,0),"")</f>
        <v/>
      </c>
      <c r="E338" s="574" t="str">
        <f t="shared" si="17"/>
        <v/>
      </c>
    </row>
    <row r="339" spans="2:5">
      <c r="B339" s="571" t="str">
        <f>IF(F339="","",(SUMIF(INTGRATE!$Y:$Y,data!D339,INTGRATE!$L:$L)+SUMIF(BRAN!$V:$V,data!D339,BRAN!$J:$J)))</f>
        <v/>
      </c>
      <c r="C339" s="572" t="str">
        <f t="shared" si="18"/>
        <v/>
      </c>
      <c r="D339" s="573" t="str">
        <f>IFERROR(VLOOKUP(E339,Map!$B:$F,4,0),"")&amp;IFERROR(VLOOKUP(E339,Map!$B:$F,5,0),"")</f>
        <v/>
      </c>
      <c r="E339" s="574" t="str">
        <f t="shared" si="17"/>
        <v/>
      </c>
    </row>
    <row r="340" spans="2:5">
      <c r="B340" s="571" t="str">
        <f>IF(F340="","",(SUMIF(INTGRATE!$Y:$Y,data!D340,INTGRATE!$L:$L)+SUMIF(BRAN!$V:$V,data!D340,BRAN!$J:$J)))</f>
        <v/>
      </c>
      <c r="C340" s="572" t="str">
        <f t="shared" si="18"/>
        <v/>
      </c>
      <c r="D340" s="573" t="str">
        <f>IFERROR(VLOOKUP(E340,Map!$B:$F,4,0),"")&amp;IFERROR(VLOOKUP(E340,Map!$B:$F,5,0),"")</f>
        <v/>
      </c>
      <c r="E340" s="574" t="str">
        <f t="shared" si="17"/>
        <v/>
      </c>
    </row>
    <row r="341" spans="2:5">
      <c r="B341" s="571" t="str">
        <f>IF(F341="","",(SUMIF(INTGRATE!$Y:$Y,data!D341,INTGRATE!$L:$L)+SUMIF(BRAN!$V:$V,data!D341,BRAN!$J:$J)))</f>
        <v/>
      </c>
      <c r="C341" s="572" t="str">
        <f t="shared" si="18"/>
        <v/>
      </c>
      <c r="D341" s="573" t="str">
        <f>IFERROR(VLOOKUP(E341,Map!$B:$F,4,0),"")&amp;IFERROR(VLOOKUP(E341,Map!$B:$F,5,0),"")</f>
        <v/>
      </c>
      <c r="E341" s="574" t="str">
        <f t="shared" si="17"/>
        <v/>
      </c>
    </row>
    <row r="342" spans="2:5">
      <c r="B342" s="571" t="str">
        <f>IF(F342="","",(SUMIF(INTGRATE!$Y:$Y,data!D342,INTGRATE!$L:$L)+SUMIF(BRAN!$V:$V,data!D342,BRAN!$J:$J)))</f>
        <v/>
      </c>
      <c r="C342" s="572" t="str">
        <f t="shared" si="18"/>
        <v/>
      </c>
      <c r="D342" s="573" t="str">
        <f>IFERROR(VLOOKUP(E342,Map!$B:$F,4,0),"")&amp;IFERROR(VLOOKUP(E342,Map!$B:$F,5,0),"")</f>
        <v/>
      </c>
      <c r="E342" s="574" t="str">
        <f t="shared" si="17"/>
        <v/>
      </c>
    </row>
    <row r="343" spans="2:5">
      <c r="B343" s="571" t="str">
        <f>IF(F343="","",(SUMIF(INTGRATE!$Y:$Y,data!D343,INTGRATE!$L:$L)+SUMIF(BRAN!$V:$V,data!D343,BRAN!$J:$J)))</f>
        <v/>
      </c>
      <c r="C343" s="572" t="str">
        <f t="shared" si="18"/>
        <v/>
      </c>
      <c r="D343" s="573" t="str">
        <f>IFERROR(VLOOKUP(E343,Map!$B:$F,4,0),"")&amp;IFERROR(VLOOKUP(E343,Map!$B:$F,5,0),"")</f>
        <v/>
      </c>
      <c r="E343" s="574" t="str">
        <f t="shared" si="17"/>
        <v/>
      </c>
    </row>
    <row r="344" spans="2:5">
      <c r="B344" s="571" t="str">
        <f>IF(F344="","",(SUMIF(INTGRATE!$Y:$Y,data!D344,INTGRATE!$L:$L)+SUMIF(BRAN!$V:$V,data!D344,BRAN!$J:$J)))</f>
        <v/>
      </c>
      <c r="C344" s="572" t="str">
        <f t="shared" si="18"/>
        <v/>
      </c>
      <c r="D344" s="573" t="str">
        <f>IFERROR(VLOOKUP(E344,Map!$B:$F,4,0),"")&amp;IFERROR(VLOOKUP(E344,Map!$B:$F,5,0),"")</f>
        <v/>
      </c>
      <c r="E344" s="574" t="str">
        <f t="shared" si="17"/>
        <v/>
      </c>
    </row>
    <row r="345" spans="2:5">
      <c r="B345" s="571" t="str">
        <f>IF(F345="","",(SUMIF(INTGRATE!$Y:$Y,data!D345,INTGRATE!$L:$L)+SUMIF(BRAN!$V:$V,data!D345,BRAN!$J:$J)))</f>
        <v/>
      </c>
      <c r="C345" s="572" t="str">
        <f t="shared" si="18"/>
        <v/>
      </c>
      <c r="D345" s="573" t="str">
        <f>IFERROR(VLOOKUP(E345,Map!$B:$F,4,0),"")&amp;IFERROR(VLOOKUP(E345,Map!$B:$F,5,0),"")</f>
        <v/>
      </c>
      <c r="E345" s="574" t="str">
        <f t="shared" si="17"/>
        <v/>
      </c>
    </row>
    <row r="346" spans="2:5">
      <c r="B346" s="571" t="str">
        <f>IF(F346="","",(SUMIF(INTGRATE!$Y:$Y,data!D346,INTGRATE!$L:$L)+SUMIF(BRAN!$V:$V,data!D346,BRAN!$J:$J)))</f>
        <v/>
      </c>
      <c r="C346" s="572" t="str">
        <f t="shared" si="18"/>
        <v/>
      </c>
      <c r="D346" s="573" t="str">
        <f>IFERROR(VLOOKUP(E346,Map!$B:$F,4,0),"")&amp;IFERROR(VLOOKUP(E346,Map!$B:$F,5,0),"")</f>
        <v/>
      </c>
      <c r="E346" s="574" t="str">
        <f t="shared" si="17"/>
        <v/>
      </c>
    </row>
    <row r="347" spans="2:5">
      <c r="B347" s="571" t="str">
        <f>IF(F347="","",(SUMIF(INTGRATE!$Y:$Y,data!D347,INTGRATE!$L:$L)+SUMIF(BRAN!$V:$V,data!D347,BRAN!$J:$J)))</f>
        <v/>
      </c>
      <c r="C347" s="572" t="str">
        <f t="shared" si="18"/>
        <v/>
      </c>
      <c r="D347" s="573" t="str">
        <f>IFERROR(VLOOKUP(E347,Map!$B:$F,4,0),"")&amp;IFERROR(VLOOKUP(E347,Map!$B:$F,5,0),"")</f>
        <v/>
      </c>
      <c r="E347" s="574" t="str">
        <f t="shared" si="17"/>
        <v/>
      </c>
    </row>
    <row r="348" spans="2:5">
      <c r="B348" s="571" t="str">
        <f>IF(F348="","",(SUMIF(INTGRATE!$Y:$Y,data!D348,INTGRATE!$L:$L)+SUMIF(BRAN!$V:$V,data!D348,BRAN!$J:$J)))</f>
        <v/>
      </c>
      <c r="C348" s="572" t="str">
        <f t="shared" si="18"/>
        <v/>
      </c>
      <c r="D348" s="573" t="str">
        <f>IFERROR(VLOOKUP(E348,Map!$B:$F,4,0),"")&amp;IFERROR(VLOOKUP(E348,Map!$B:$F,5,0),"")</f>
        <v/>
      </c>
      <c r="E348" s="574" t="str">
        <f t="shared" si="17"/>
        <v/>
      </c>
    </row>
    <row r="349" spans="2:5">
      <c r="B349" s="571" t="str">
        <f>IF(F349="","",(SUMIF(INTGRATE!$Y:$Y,data!D349,INTGRATE!$L:$L)+SUMIF(BRAN!$V:$V,data!D349,BRAN!$J:$J)))</f>
        <v/>
      </c>
      <c r="C349" s="572" t="str">
        <f t="shared" si="18"/>
        <v/>
      </c>
      <c r="D349" s="573" t="str">
        <f>IFERROR(VLOOKUP(E349,Map!$B:$F,4,0),"")&amp;IFERROR(VLOOKUP(E349,Map!$B:$F,5,0),"")</f>
        <v/>
      </c>
      <c r="E349" s="574" t="str">
        <f t="shared" si="17"/>
        <v/>
      </c>
    </row>
    <row r="350" spans="2:5">
      <c r="B350" s="571" t="str">
        <f>IF(F350="","",(SUMIF(INTGRATE!$Y:$Y,data!D350,INTGRATE!$L:$L)+SUMIF(BRAN!$V:$V,data!D350,BRAN!$J:$J)))</f>
        <v/>
      </c>
      <c r="C350" s="572" t="str">
        <f t="shared" si="18"/>
        <v/>
      </c>
      <c r="D350" s="573" t="str">
        <f>IFERROR(VLOOKUP(E350,Map!$B:$F,4,0),"")&amp;IFERROR(VLOOKUP(E350,Map!$B:$F,5,0),"")</f>
        <v/>
      </c>
      <c r="E350" s="574" t="str">
        <f t="shared" si="17"/>
        <v/>
      </c>
    </row>
    <row r="351" spans="2:5">
      <c r="B351" s="571" t="str">
        <f>IF(F351="","",(SUMIF(INTGRATE!$Y:$Y,data!D351,INTGRATE!$L:$L)+SUMIF(BRAN!$V:$V,data!D351,BRAN!$J:$J)))</f>
        <v/>
      </c>
      <c r="C351" s="572" t="str">
        <f t="shared" si="18"/>
        <v/>
      </c>
      <c r="D351" s="573" t="str">
        <f>IFERROR(VLOOKUP(E351,Map!$B:$F,4,0),"")&amp;IFERROR(VLOOKUP(E351,Map!$B:$F,5,0),"")</f>
        <v/>
      </c>
      <c r="E351" s="574" t="str">
        <f t="shared" si="17"/>
        <v/>
      </c>
    </row>
    <row r="352" spans="2:5">
      <c r="B352" s="571" t="str">
        <f>IF(F352="","",(SUMIF(INTGRATE!$Y:$Y,data!D352,INTGRATE!$L:$L)+SUMIF(BRAN!$V:$V,data!D352,BRAN!$J:$J)))</f>
        <v/>
      </c>
      <c r="C352" s="572" t="str">
        <f t="shared" si="18"/>
        <v/>
      </c>
      <c r="D352" s="573" t="str">
        <f>IFERROR(VLOOKUP(E352,Map!$B:$F,4,0),"")&amp;IFERROR(VLOOKUP(E352,Map!$B:$F,5,0),"")</f>
        <v/>
      </c>
      <c r="E352" s="574" t="str">
        <f t="shared" ref="E352:E415" si="19">IF(MID(F352,10,2)="99",F352&amp;H352,LEFT(F352,14))</f>
        <v/>
      </c>
    </row>
    <row r="353" spans="2:5">
      <c r="B353" s="571" t="str">
        <f>IF(F353="","",(SUMIF(INTGRATE!$Y:$Y,data!D353,INTGRATE!$L:$L)+SUMIF(BRAN!$V:$V,data!D353,BRAN!$J:$J)))</f>
        <v/>
      </c>
      <c r="C353" s="572" t="str">
        <f t="shared" si="18"/>
        <v/>
      </c>
      <c r="D353" s="573" t="str">
        <f>IFERROR(VLOOKUP(E353,Map!$B:$F,4,0),"")&amp;IFERROR(VLOOKUP(E353,Map!$B:$F,5,0),"")</f>
        <v/>
      </c>
      <c r="E353" s="574" t="str">
        <f t="shared" si="19"/>
        <v/>
      </c>
    </row>
    <row r="354" spans="2:5">
      <c r="B354" s="571" t="str">
        <f>IF(F354="","",(SUMIF(INTGRATE!$Y:$Y,data!D354,INTGRATE!$L:$L)+SUMIF(BRAN!$V:$V,data!D354,BRAN!$J:$J)))</f>
        <v/>
      </c>
      <c r="C354" s="572" t="str">
        <f t="shared" si="18"/>
        <v/>
      </c>
      <c r="D354" s="573" t="str">
        <f>IFERROR(VLOOKUP(E354,Map!$B:$F,4,0),"")&amp;IFERROR(VLOOKUP(E354,Map!$B:$F,5,0),"")</f>
        <v/>
      </c>
      <c r="E354" s="574" t="str">
        <f t="shared" si="19"/>
        <v/>
      </c>
    </row>
    <row r="355" spans="2:5">
      <c r="B355" s="571" t="str">
        <f>IF(F355="","",(SUMIF(INTGRATE!$Y:$Y,data!D355,INTGRATE!$L:$L)+SUMIF(BRAN!$V:$V,data!D355,BRAN!$J:$J)))</f>
        <v/>
      </c>
      <c r="C355" s="572" t="str">
        <f t="shared" si="18"/>
        <v/>
      </c>
      <c r="D355" s="573" t="str">
        <f>IFERROR(VLOOKUP(E355,Map!$B:$F,4,0),"")&amp;IFERROR(VLOOKUP(E355,Map!$B:$F,5,0),"")</f>
        <v/>
      </c>
      <c r="E355" s="574" t="str">
        <f t="shared" si="19"/>
        <v/>
      </c>
    </row>
    <row r="356" spans="2:5">
      <c r="B356" s="571" t="str">
        <f>IF(F356="","",(SUMIF(INTGRATE!$Y:$Y,data!D356,INTGRATE!$L:$L)+SUMIF(BRAN!$V:$V,data!D356,BRAN!$J:$J)))</f>
        <v/>
      </c>
      <c r="C356" s="572" t="str">
        <f t="shared" si="18"/>
        <v/>
      </c>
      <c r="D356" s="573" t="str">
        <f>IFERROR(VLOOKUP(E356,Map!$B:$F,4,0),"")&amp;IFERROR(VLOOKUP(E356,Map!$B:$F,5,0),"")</f>
        <v/>
      </c>
      <c r="E356" s="574" t="str">
        <f t="shared" si="19"/>
        <v/>
      </c>
    </row>
    <row r="357" spans="2:5">
      <c r="B357" s="571" t="str">
        <f>IF(F357="","",(SUMIF(INTGRATE!$Y:$Y,data!D357,INTGRATE!$L:$L)+SUMIF(BRAN!$V:$V,data!D357,BRAN!$J:$J)))</f>
        <v/>
      </c>
      <c r="C357" s="572" t="str">
        <f t="shared" si="18"/>
        <v/>
      </c>
      <c r="D357" s="573" t="str">
        <f>IFERROR(VLOOKUP(E357,Map!$B:$F,4,0),"")&amp;IFERROR(VLOOKUP(E357,Map!$B:$F,5,0),"")</f>
        <v/>
      </c>
      <c r="E357" s="574" t="str">
        <f t="shared" si="19"/>
        <v/>
      </c>
    </row>
    <row r="358" spans="2:5">
      <c r="B358" s="571" t="str">
        <f>IF(F358="","",(SUMIF(INTGRATE!$Y:$Y,data!D358,INTGRATE!$L:$L)+SUMIF(BRAN!$V:$V,data!D358,BRAN!$J:$J)))</f>
        <v/>
      </c>
      <c r="C358" s="572" t="str">
        <f t="shared" si="18"/>
        <v/>
      </c>
      <c r="D358" s="573" t="str">
        <f>IFERROR(VLOOKUP(E358,Map!$B:$F,4,0),"")&amp;IFERROR(VLOOKUP(E358,Map!$B:$F,5,0),"")</f>
        <v/>
      </c>
      <c r="E358" s="574" t="str">
        <f t="shared" si="19"/>
        <v/>
      </c>
    </row>
    <row r="359" spans="2:5">
      <c r="B359" s="571" t="str">
        <f>IF(F359="","",(SUMIF(INTGRATE!$Y:$Y,data!D359,INTGRATE!$L:$L)+SUMIF(BRAN!$V:$V,data!D359,BRAN!$J:$J)))</f>
        <v/>
      </c>
      <c r="C359" s="572" t="str">
        <f t="shared" si="18"/>
        <v/>
      </c>
      <c r="D359" s="573" t="str">
        <f>IFERROR(VLOOKUP(E359,Map!$B:$F,4,0),"")&amp;IFERROR(VLOOKUP(E359,Map!$B:$F,5,0),"")</f>
        <v/>
      </c>
      <c r="E359" s="574" t="str">
        <f t="shared" si="19"/>
        <v/>
      </c>
    </row>
    <row r="360" spans="2:5">
      <c r="B360" s="571" t="str">
        <f>IF(F360="","",(SUMIF(INTGRATE!$Y:$Y,data!D360,INTGRATE!$L:$L)+SUMIF(BRAN!$V:$V,data!D360,BRAN!$J:$J)))</f>
        <v/>
      </c>
      <c r="C360" s="572" t="str">
        <f t="shared" si="18"/>
        <v/>
      </c>
      <c r="D360" s="573" t="str">
        <f>IFERROR(VLOOKUP(E360,Map!$B:$F,4,0),"")&amp;IFERROR(VLOOKUP(E360,Map!$B:$F,5,0),"")</f>
        <v/>
      </c>
      <c r="E360" s="574" t="str">
        <f t="shared" si="19"/>
        <v/>
      </c>
    </row>
    <row r="361" spans="2:5">
      <c r="B361" s="571" t="str">
        <f>IF(F361="","",(SUMIF(INTGRATE!$Y:$Y,data!D361,INTGRATE!$L:$L)+SUMIF(BRAN!$V:$V,data!D361,BRAN!$J:$J)))</f>
        <v/>
      </c>
      <c r="C361" s="572" t="str">
        <f t="shared" si="18"/>
        <v/>
      </c>
      <c r="D361" s="573" t="str">
        <f>IFERROR(VLOOKUP(E361,Map!$B:$F,4,0),"")&amp;IFERROR(VLOOKUP(E361,Map!$B:$F,5,0),"")</f>
        <v/>
      </c>
      <c r="E361" s="574" t="str">
        <f t="shared" si="19"/>
        <v/>
      </c>
    </row>
    <row r="362" spans="2:5">
      <c r="B362" s="571" t="str">
        <f>IF(F362="","",(SUMIF(INTGRATE!$Y:$Y,data!D362,INTGRATE!$L:$L)+SUMIF(BRAN!$V:$V,data!D362,BRAN!$J:$J)))</f>
        <v/>
      </c>
      <c r="C362" s="572" t="str">
        <f t="shared" si="18"/>
        <v/>
      </c>
      <c r="D362" s="573" t="str">
        <f>IFERROR(VLOOKUP(E362,Map!$B:$F,4,0),"")&amp;IFERROR(VLOOKUP(E362,Map!$B:$F,5,0),"")</f>
        <v/>
      </c>
      <c r="E362" s="574" t="str">
        <f t="shared" si="19"/>
        <v/>
      </c>
    </row>
    <row r="363" spans="2:5">
      <c r="B363" s="571" t="str">
        <f>IF(F363="","",(SUMIF(INTGRATE!$Y:$Y,data!D363,INTGRATE!$L:$L)+SUMIF(BRAN!$V:$V,data!D363,BRAN!$J:$J)))</f>
        <v/>
      </c>
      <c r="C363" s="572" t="str">
        <f t="shared" si="18"/>
        <v/>
      </c>
      <c r="D363" s="573" t="str">
        <f>IFERROR(VLOOKUP(E363,Map!$B:$F,4,0),"")&amp;IFERROR(VLOOKUP(E363,Map!$B:$F,5,0),"")</f>
        <v/>
      </c>
      <c r="E363" s="574" t="str">
        <f t="shared" si="19"/>
        <v/>
      </c>
    </row>
    <row r="364" spans="2:5">
      <c r="B364" s="571" t="str">
        <f>IF(F364="","",(SUMIF(INTGRATE!$Y:$Y,data!D364,INTGRATE!$L:$L)+SUMIF(BRAN!$V:$V,data!D364,BRAN!$J:$J)))</f>
        <v/>
      </c>
      <c r="C364" s="572" t="str">
        <f t="shared" si="18"/>
        <v/>
      </c>
      <c r="D364" s="573" t="str">
        <f>IFERROR(VLOOKUP(E364,Map!$B:$F,4,0),"")&amp;IFERROR(VLOOKUP(E364,Map!$B:$F,5,0),"")</f>
        <v/>
      </c>
      <c r="E364" s="574" t="str">
        <f t="shared" si="19"/>
        <v/>
      </c>
    </row>
    <row r="365" spans="2:5">
      <c r="B365" s="571" t="str">
        <f>IF(F365="","",(SUMIF(INTGRATE!$Y:$Y,data!D365,INTGRATE!$L:$L)+SUMIF(BRAN!$V:$V,data!D365,BRAN!$J:$J)))</f>
        <v/>
      </c>
      <c r="C365" s="572" t="str">
        <f t="shared" si="18"/>
        <v/>
      </c>
      <c r="D365" s="573" t="str">
        <f>IFERROR(VLOOKUP(E365,Map!$B:$F,4,0),"")&amp;IFERROR(VLOOKUP(E365,Map!$B:$F,5,0),"")</f>
        <v/>
      </c>
      <c r="E365" s="574" t="str">
        <f t="shared" si="19"/>
        <v/>
      </c>
    </row>
    <row r="366" spans="2:5">
      <c r="B366" s="571" t="str">
        <f>IF(F366="","",(SUMIF(INTGRATE!$Y:$Y,data!D366,INTGRATE!$L:$L)+SUMIF(BRAN!$V:$V,data!D366,BRAN!$J:$J)))</f>
        <v/>
      </c>
      <c r="C366" s="572" t="str">
        <f t="shared" si="18"/>
        <v/>
      </c>
      <c r="D366" s="573" t="str">
        <f>IFERROR(VLOOKUP(E366,Map!$B:$F,4,0),"")&amp;IFERROR(VLOOKUP(E366,Map!$B:$F,5,0),"")</f>
        <v/>
      </c>
      <c r="E366" s="574" t="str">
        <f t="shared" si="19"/>
        <v/>
      </c>
    </row>
    <row r="367" spans="2:5">
      <c r="B367" s="571" t="str">
        <f>IF(F367="","",(SUMIF(INTGRATE!$Y:$Y,data!D367,INTGRATE!$L:$L)+SUMIF(BRAN!$V:$V,data!D367,BRAN!$J:$J)))</f>
        <v/>
      </c>
      <c r="C367" s="572" t="str">
        <f t="shared" si="18"/>
        <v/>
      </c>
      <c r="D367" s="573" t="str">
        <f>IFERROR(VLOOKUP(E367,Map!$B:$F,4,0),"")&amp;IFERROR(VLOOKUP(E367,Map!$B:$F,5,0),"")</f>
        <v/>
      </c>
      <c r="E367" s="574" t="str">
        <f t="shared" si="19"/>
        <v/>
      </c>
    </row>
    <row r="368" spans="2:5">
      <c r="B368" s="571" t="str">
        <f>IF(F368="","",(SUMIF(INTGRATE!$Y:$Y,data!D368,INTGRATE!$L:$L)+SUMIF(BRAN!$V:$V,data!D368,BRAN!$J:$J)))</f>
        <v/>
      </c>
      <c r="C368" s="572" t="str">
        <f t="shared" si="18"/>
        <v/>
      </c>
      <c r="D368" s="573" t="str">
        <f>IFERROR(VLOOKUP(E368,Map!$B:$F,4,0),"")&amp;IFERROR(VLOOKUP(E368,Map!$B:$F,5,0),"")</f>
        <v/>
      </c>
      <c r="E368" s="574" t="str">
        <f t="shared" si="19"/>
        <v/>
      </c>
    </row>
    <row r="369" spans="2:5">
      <c r="B369" s="571" t="str">
        <f>IF(F369="","",(SUMIF(INTGRATE!$Y:$Y,data!D369,INTGRATE!$L:$L)+SUMIF(BRAN!$V:$V,data!D369,BRAN!$J:$J)))</f>
        <v/>
      </c>
      <c r="C369" s="572" t="str">
        <f t="shared" si="18"/>
        <v/>
      </c>
      <c r="D369" s="573" t="str">
        <f>IFERROR(VLOOKUP(E369,Map!$B:$F,4,0),"")&amp;IFERROR(VLOOKUP(E369,Map!$B:$F,5,0),"")</f>
        <v/>
      </c>
      <c r="E369" s="574" t="str">
        <f t="shared" si="19"/>
        <v/>
      </c>
    </row>
    <row r="370" spans="2:5">
      <c r="B370" s="571" t="str">
        <f>IF(F370="","",(SUMIF(INTGRATE!$Y:$Y,data!D370,INTGRATE!$L:$L)+SUMIF(BRAN!$V:$V,data!D370,BRAN!$J:$J)))</f>
        <v/>
      </c>
      <c r="C370" s="572" t="str">
        <f t="shared" si="18"/>
        <v/>
      </c>
      <c r="D370" s="573" t="str">
        <f>IFERROR(VLOOKUP(E370,Map!$B:$F,4,0),"")&amp;IFERROR(VLOOKUP(E370,Map!$B:$F,5,0),"")</f>
        <v/>
      </c>
      <c r="E370" s="574" t="str">
        <f t="shared" si="19"/>
        <v/>
      </c>
    </row>
    <row r="371" spans="2:5">
      <c r="B371" s="571" t="str">
        <f>IF(F371="","",(SUMIF(INTGRATE!$Y:$Y,data!D371,INTGRATE!$L:$L)+SUMIF(BRAN!$V:$V,data!D371,BRAN!$J:$J)))</f>
        <v/>
      </c>
      <c r="C371" s="572" t="str">
        <f t="shared" si="18"/>
        <v/>
      </c>
      <c r="D371" s="573" t="str">
        <f>IFERROR(VLOOKUP(E371,Map!$B:$F,4,0),"")&amp;IFERROR(VLOOKUP(E371,Map!$B:$F,5,0),"")</f>
        <v/>
      </c>
      <c r="E371" s="574" t="str">
        <f t="shared" si="19"/>
        <v/>
      </c>
    </row>
    <row r="372" spans="2:5">
      <c r="B372" s="571" t="str">
        <f>IF(F372="","",(SUMIF(INTGRATE!$Y:$Y,data!D372,INTGRATE!$L:$L)+SUMIF(BRAN!$V:$V,data!D372,BRAN!$J:$J)))</f>
        <v/>
      </c>
      <c r="C372" s="572" t="str">
        <f t="shared" si="18"/>
        <v/>
      </c>
      <c r="D372" s="573" t="str">
        <f>IFERROR(VLOOKUP(E372,Map!$B:$F,4,0),"")&amp;IFERROR(VLOOKUP(E372,Map!$B:$F,5,0),"")</f>
        <v/>
      </c>
      <c r="E372" s="574" t="str">
        <f t="shared" si="19"/>
        <v/>
      </c>
    </row>
    <row r="373" spans="2:5">
      <c r="B373" s="571" t="str">
        <f>IF(F373="","",(SUMIF(INTGRATE!$Y:$Y,data!D373,INTGRATE!$L:$L)+SUMIF(BRAN!$V:$V,data!D373,BRAN!$J:$J)))</f>
        <v/>
      </c>
      <c r="C373" s="572" t="str">
        <f t="shared" si="18"/>
        <v/>
      </c>
      <c r="D373" s="573" t="str">
        <f>IFERROR(VLOOKUP(E373,Map!$B:$F,4,0),"")&amp;IFERROR(VLOOKUP(E373,Map!$B:$F,5,0),"")</f>
        <v/>
      </c>
      <c r="E373" s="574" t="str">
        <f t="shared" si="19"/>
        <v/>
      </c>
    </row>
    <row r="374" spans="2:5">
      <c r="B374" s="571" t="str">
        <f>IF(F374="","",(SUMIF(INTGRATE!$Y:$Y,data!D374,INTGRATE!$L:$L)+SUMIF(BRAN!$V:$V,data!D374,BRAN!$J:$J)))</f>
        <v/>
      </c>
      <c r="C374" s="572" t="str">
        <f t="shared" si="18"/>
        <v/>
      </c>
      <c r="D374" s="573" t="str">
        <f>IFERROR(VLOOKUP(E374,Map!$B:$F,4,0),"")&amp;IFERROR(VLOOKUP(E374,Map!$B:$F,5,0),"")</f>
        <v/>
      </c>
      <c r="E374" s="574" t="str">
        <f t="shared" si="19"/>
        <v/>
      </c>
    </row>
    <row r="375" spans="2:5">
      <c r="B375" s="571" t="str">
        <f>IF(F375="","",(SUMIF(INTGRATE!$Y:$Y,data!D375,INTGRATE!$L:$L)+SUMIF(BRAN!$V:$V,data!D375,BRAN!$J:$J)))</f>
        <v/>
      </c>
      <c r="C375" s="572" t="str">
        <f t="shared" si="18"/>
        <v/>
      </c>
      <c r="D375" s="573" t="str">
        <f>IFERROR(VLOOKUP(E375,Map!$B:$F,4,0),"")&amp;IFERROR(VLOOKUP(E375,Map!$B:$F,5,0),"")</f>
        <v/>
      </c>
      <c r="E375" s="574" t="str">
        <f t="shared" si="19"/>
        <v/>
      </c>
    </row>
    <row r="376" spans="2:5">
      <c r="B376" s="571" t="str">
        <f>IF(F376="","",(SUMIF(INTGRATE!$Y:$Y,data!D376,INTGRATE!$L:$L)+SUMIF(BRAN!$V:$V,data!D376,BRAN!$J:$J)))</f>
        <v/>
      </c>
      <c r="C376" s="572" t="str">
        <f t="shared" si="18"/>
        <v/>
      </c>
      <c r="D376" s="573" t="str">
        <f>IFERROR(VLOOKUP(E376,Map!$B:$F,4,0),"")&amp;IFERROR(VLOOKUP(E376,Map!$B:$F,5,0),"")</f>
        <v/>
      </c>
      <c r="E376" s="574" t="str">
        <f t="shared" si="19"/>
        <v/>
      </c>
    </row>
    <row r="377" spans="2:5">
      <c r="B377" s="571" t="str">
        <f>IF(F377="","",(SUMIF(INTGRATE!$Y:$Y,data!D377,INTGRATE!$L:$L)+SUMIF(BRAN!$V:$V,data!D377,BRAN!$J:$J)))</f>
        <v/>
      </c>
      <c r="C377" s="572" t="str">
        <f t="shared" si="18"/>
        <v/>
      </c>
      <c r="D377" s="573" t="str">
        <f>IFERROR(VLOOKUP(E377,Map!$B:$F,4,0),"")&amp;IFERROR(VLOOKUP(E377,Map!$B:$F,5,0),"")</f>
        <v/>
      </c>
      <c r="E377" s="574" t="str">
        <f t="shared" si="19"/>
        <v/>
      </c>
    </row>
    <row r="378" spans="2:5">
      <c r="B378" s="571" t="str">
        <f>IF(F378="","",(SUMIF(INTGRATE!$Y:$Y,data!D378,INTGRATE!$L:$L)+SUMIF(BRAN!$V:$V,data!D378,BRAN!$J:$J)))</f>
        <v/>
      </c>
      <c r="C378" s="572" t="str">
        <f t="shared" si="18"/>
        <v/>
      </c>
      <c r="D378" s="573" t="str">
        <f>IFERROR(VLOOKUP(E378,Map!$B:$F,4,0),"")&amp;IFERROR(VLOOKUP(E378,Map!$B:$F,5,0),"")</f>
        <v/>
      </c>
      <c r="E378" s="574" t="str">
        <f t="shared" si="19"/>
        <v/>
      </c>
    </row>
    <row r="379" spans="2:5">
      <c r="B379" s="571" t="str">
        <f>IF(F379="","",(SUMIF(INTGRATE!$Y:$Y,data!D379,INTGRATE!$L:$L)+SUMIF(BRAN!$V:$V,data!D379,BRAN!$J:$J)))</f>
        <v/>
      </c>
      <c r="C379" s="572" t="str">
        <f t="shared" si="18"/>
        <v/>
      </c>
      <c r="D379" s="573" t="str">
        <f>IFERROR(VLOOKUP(E379,Map!$B:$F,4,0),"")&amp;IFERROR(VLOOKUP(E379,Map!$B:$F,5,0),"")</f>
        <v/>
      </c>
      <c r="E379" s="574" t="str">
        <f t="shared" si="19"/>
        <v/>
      </c>
    </row>
    <row r="380" spans="2:5">
      <c r="B380" s="571" t="str">
        <f>IF(F380="","",(SUMIF(INTGRATE!$Y:$Y,data!D380,INTGRATE!$L:$L)+SUMIF(BRAN!$V:$V,data!D380,BRAN!$J:$J)))</f>
        <v/>
      </c>
      <c r="C380" s="572" t="str">
        <f t="shared" si="18"/>
        <v/>
      </c>
      <c r="D380" s="573" t="str">
        <f>IFERROR(VLOOKUP(E380,Map!$B:$F,4,0),"")&amp;IFERROR(VLOOKUP(E380,Map!$B:$F,5,0),"")</f>
        <v/>
      </c>
      <c r="E380" s="574" t="str">
        <f t="shared" si="19"/>
        <v/>
      </c>
    </row>
    <row r="381" spans="2:5">
      <c r="B381" s="571" t="str">
        <f>IF(F381="","",(SUMIF(INTGRATE!$Y:$Y,data!D381,INTGRATE!$L:$L)+SUMIF(BRAN!$V:$V,data!D381,BRAN!$J:$J)))</f>
        <v/>
      </c>
      <c r="C381" s="572" t="str">
        <f t="shared" si="18"/>
        <v/>
      </c>
      <c r="D381" s="573" t="str">
        <f>IFERROR(VLOOKUP(E381,Map!$B:$F,4,0),"")&amp;IFERROR(VLOOKUP(E381,Map!$B:$F,5,0),"")</f>
        <v/>
      </c>
      <c r="E381" s="574" t="str">
        <f t="shared" si="19"/>
        <v/>
      </c>
    </row>
    <row r="382" spans="2:5">
      <c r="B382" s="571" t="str">
        <f>IF(F382="","",(SUMIF(INTGRATE!$Y:$Y,data!D382,INTGRATE!$L:$L)+SUMIF(BRAN!$V:$V,data!D382,BRAN!$J:$J)))</f>
        <v/>
      </c>
      <c r="C382" s="572" t="str">
        <f t="shared" si="18"/>
        <v/>
      </c>
      <c r="D382" s="573" t="str">
        <f>IFERROR(VLOOKUP(E382,Map!$B:$F,4,0),"")&amp;IFERROR(VLOOKUP(E382,Map!$B:$F,5,0),"")</f>
        <v/>
      </c>
      <c r="E382" s="574" t="str">
        <f t="shared" si="19"/>
        <v/>
      </c>
    </row>
    <row r="383" spans="2:5">
      <c r="B383" s="571" t="str">
        <f>IF(F383="","",(SUMIF(INTGRATE!$Y:$Y,data!D383,INTGRATE!$L:$L)+SUMIF(BRAN!$V:$V,data!D383,BRAN!$J:$J)))</f>
        <v/>
      </c>
      <c r="C383" s="572" t="str">
        <f t="shared" ref="C383:C446" si="20">IF(F383="","",B383-K383)</f>
        <v/>
      </c>
      <c r="D383" s="573" t="str">
        <f>IFERROR(VLOOKUP(E383,Map!$B:$F,4,0),"")&amp;IFERROR(VLOOKUP(E383,Map!$B:$F,5,0),"")</f>
        <v/>
      </c>
      <c r="E383" s="574" t="str">
        <f t="shared" si="19"/>
        <v/>
      </c>
    </row>
    <row r="384" spans="2:5">
      <c r="B384" s="571" t="str">
        <f>IF(F384="","",(SUMIF(INTGRATE!$Y:$Y,data!D384,INTGRATE!$L:$L)+SUMIF(BRAN!$V:$V,data!D384,BRAN!$J:$J)))</f>
        <v/>
      </c>
      <c r="C384" s="572" t="str">
        <f t="shared" si="20"/>
        <v/>
      </c>
      <c r="D384" s="573" t="str">
        <f>IFERROR(VLOOKUP(E384,Map!$B:$F,4,0),"")&amp;IFERROR(VLOOKUP(E384,Map!$B:$F,5,0),"")</f>
        <v/>
      </c>
      <c r="E384" s="574" t="str">
        <f t="shared" si="19"/>
        <v/>
      </c>
    </row>
    <row r="385" spans="2:5">
      <c r="B385" s="571" t="str">
        <f>IF(F385="","",(SUMIF(INTGRATE!$Y:$Y,data!D385,INTGRATE!$L:$L)+SUMIF(BRAN!$V:$V,data!D385,BRAN!$J:$J)))</f>
        <v/>
      </c>
      <c r="C385" s="572" t="str">
        <f t="shared" si="20"/>
        <v/>
      </c>
      <c r="D385" s="573" t="str">
        <f>IFERROR(VLOOKUP(E385,Map!$B:$F,4,0),"")&amp;IFERROR(VLOOKUP(E385,Map!$B:$F,5,0),"")</f>
        <v/>
      </c>
      <c r="E385" s="574" t="str">
        <f t="shared" si="19"/>
        <v/>
      </c>
    </row>
    <row r="386" spans="2:5">
      <c r="B386" s="571" t="str">
        <f>IF(F386="","",(SUMIF(INTGRATE!$Y:$Y,data!D386,INTGRATE!$L:$L)+SUMIF(BRAN!$V:$V,data!D386,BRAN!$J:$J)))</f>
        <v/>
      </c>
      <c r="C386" s="572" t="str">
        <f t="shared" si="20"/>
        <v/>
      </c>
      <c r="D386" s="573" t="str">
        <f>IFERROR(VLOOKUP(E386,Map!$B:$F,4,0),"")&amp;IFERROR(VLOOKUP(E386,Map!$B:$F,5,0),"")</f>
        <v/>
      </c>
      <c r="E386" s="574" t="str">
        <f t="shared" si="19"/>
        <v/>
      </c>
    </row>
    <row r="387" spans="2:5">
      <c r="B387" s="571" t="str">
        <f>IF(F387="","",(SUMIF(INTGRATE!$Y:$Y,data!D387,INTGRATE!$L:$L)+SUMIF(BRAN!$V:$V,data!D387,BRAN!$J:$J)))</f>
        <v/>
      </c>
      <c r="C387" s="572" t="str">
        <f t="shared" si="20"/>
        <v/>
      </c>
      <c r="D387" s="573" t="str">
        <f>IFERROR(VLOOKUP(E387,Map!$B:$F,4,0),"")&amp;IFERROR(VLOOKUP(E387,Map!$B:$F,5,0),"")</f>
        <v/>
      </c>
      <c r="E387" s="574" t="str">
        <f t="shared" si="19"/>
        <v/>
      </c>
    </row>
    <row r="388" spans="2:5">
      <c r="B388" s="571" t="str">
        <f>IF(F388="","",(SUMIF(INTGRATE!$Y:$Y,data!D388,INTGRATE!$L:$L)+SUMIF(BRAN!$V:$V,data!D388,BRAN!$J:$J)))</f>
        <v/>
      </c>
      <c r="C388" s="572" t="str">
        <f t="shared" si="20"/>
        <v/>
      </c>
      <c r="D388" s="573" t="str">
        <f>IFERROR(VLOOKUP(E388,Map!$B:$F,4,0),"")&amp;IFERROR(VLOOKUP(E388,Map!$B:$F,5,0),"")</f>
        <v/>
      </c>
      <c r="E388" s="574" t="str">
        <f t="shared" si="19"/>
        <v/>
      </c>
    </row>
    <row r="389" spans="2:5">
      <c r="B389" s="571" t="str">
        <f>IF(F389="","",(SUMIF(INTGRATE!$Y:$Y,data!D389,INTGRATE!$L:$L)+SUMIF(BRAN!$V:$V,data!D389,BRAN!$J:$J)))</f>
        <v/>
      </c>
      <c r="C389" s="572" t="str">
        <f t="shared" si="20"/>
        <v/>
      </c>
      <c r="D389" s="573" t="str">
        <f>IFERROR(VLOOKUP(E389,Map!$B:$F,4,0),"")&amp;IFERROR(VLOOKUP(E389,Map!$B:$F,5,0),"")</f>
        <v/>
      </c>
      <c r="E389" s="574" t="str">
        <f t="shared" si="19"/>
        <v/>
      </c>
    </row>
    <row r="390" spans="2:5">
      <c r="B390" s="571" t="str">
        <f>IF(F390="","",(SUMIF(INTGRATE!$Y:$Y,data!D390,INTGRATE!$L:$L)+SUMIF(BRAN!$V:$V,data!D390,BRAN!$J:$J)))</f>
        <v/>
      </c>
      <c r="C390" s="572" t="str">
        <f t="shared" si="20"/>
        <v/>
      </c>
      <c r="D390" s="573" t="str">
        <f>IFERROR(VLOOKUP(E390,Map!$B:$F,4,0),"")&amp;IFERROR(VLOOKUP(E390,Map!$B:$F,5,0),"")</f>
        <v/>
      </c>
      <c r="E390" s="574" t="str">
        <f t="shared" si="19"/>
        <v/>
      </c>
    </row>
    <row r="391" spans="2:5">
      <c r="B391" s="571" t="str">
        <f>IF(F391="","",(SUMIF(INTGRATE!$Y:$Y,data!D391,INTGRATE!$L:$L)+SUMIF(BRAN!$V:$V,data!D391,BRAN!$J:$J)))</f>
        <v/>
      </c>
      <c r="C391" s="572" t="str">
        <f t="shared" si="20"/>
        <v/>
      </c>
      <c r="D391" s="573" t="str">
        <f>IFERROR(VLOOKUP(E391,Map!$B:$F,4,0),"")&amp;IFERROR(VLOOKUP(E391,Map!$B:$F,5,0),"")</f>
        <v/>
      </c>
      <c r="E391" s="574" t="str">
        <f t="shared" si="19"/>
        <v/>
      </c>
    </row>
    <row r="392" spans="2:5">
      <c r="B392" s="571" t="str">
        <f>IF(F392="","",(SUMIF(INTGRATE!$Y:$Y,data!D392,INTGRATE!$L:$L)+SUMIF(BRAN!$V:$V,data!D392,BRAN!$J:$J)))</f>
        <v/>
      </c>
      <c r="C392" s="572" t="str">
        <f t="shared" si="20"/>
        <v/>
      </c>
      <c r="D392" s="573" t="str">
        <f>IFERROR(VLOOKUP(E392,Map!$B:$F,4,0),"")&amp;IFERROR(VLOOKUP(E392,Map!$B:$F,5,0),"")</f>
        <v/>
      </c>
      <c r="E392" s="574" t="str">
        <f t="shared" si="19"/>
        <v/>
      </c>
    </row>
    <row r="393" spans="2:5">
      <c r="B393" s="571" t="str">
        <f>IF(F393="","",(SUMIF(INTGRATE!$Y:$Y,data!D393,INTGRATE!$L:$L)+SUMIF(BRAN!$V:$V,data!D393,BRAN!$J:$J)))</f>
        <v/>
      </c>
      <c r="C393" s="572" t="str">
        <f t="shared" si="20"/>
        <v/>
      </c>
      <c r="D393" s="573" t="str">
        <f>IFERROR(VLOOKUP(E393,Map!$B:$F,4,0),"")&amp;IFERROR(VLOOKUP(E393,Map!$B:$F,5,0),"")</f>
        <v/>
      </c>
      <c r="E393" s="574" t="str">
        <f t="shared" si="19"/>
        <v/>
      </c>
    </row>
    <row r="394" spans="2:5">
      <c r="B394" s="571" t="str">
        <f>IF(F394="","",(SUMIF(INTGRATE!$Y:$Y,data!D394,INTGRATE!$L:$L)+SUMIF(BRAN!$V:$V,data!D394,BRAN!$J:$J)))</f>
        <v/>
      </c>
      <c r="C394" s="572" t="str">
        <f t="shared" si="20"/>
        <v/>
      </c>
      <c r="D394" s="573" t="str">
        <f>IFERROR(VLOOKUP(E394,Map!$B:$F,4,0),"")&amp;IFERROR(VLOOKUP(E394,Map!$B:$F,5,0),"")</f>
        <v/>
      </c>
      <c r="E394" s="574" t="str">
        <f t="shared" si="19"/>
        <v/>
      </c>
    </row>
    <row r="395" spans="2:5">
      <c r="B395" s="571" t="str">
        <f>IF(F395="","",(SUMIF(INTGRATE!$Y:$Y,data!D395,INTGRATE!$L:$L)+SUMIF(BRAN!$V:$V,data!D395,BRAN!$J:$J)))</f>
        <v/>
      </c>
      <c r="C395" s="572" t="str">
        <f t="shared" si="20"/>
        <v/>
      </c>
      <c r="D395" s="573" t="str">
        <f>IFERROR(VLOOKUP(E395,Map!$B:$F,4,0),"")&amp;IFERROR(VLOOKUP(E395,Map!$B:$F,5,0),"")</f>
        <v/>
      </c>
      <c r="E395" s="574" t="str">
        <f t="shared" si="19"/>
        <v/>
      </c>
    </row>
    <row r="396" spans="2:5">
      <c r="B396" s="571" t="str">
        <f>IF(F396="","",(SUMIF(INTGRATE!$Y:$Y,data!D396,INTGRATE!$L:$L)+SUMIF(BRAN!$V:$V,data!D396,BRAN!$J:$J)))</f>
        <v/>
      </c>
      <c r="C396" s="572" t="str">
        <f t="shared" si="20"/>
        <v/>
      </c>
      <c r="D396" s="573" t="str">
        <f>IFERROR(VLOOKUP(E396,Map!$B:$F,4,0),"")&amp;IFERROR(VLOOKUP(E396,Map!$B:$F,5,0),"")</f>
        <v/>
      </c>
      <c r="E396" s="574" t="str">
        <f t="shared" si="19"/>
        <v/>
      </c>
    </row>
    <row r="397" spans="2:5">
      <c r="B397" s="571" t="str">
        <f>IF(F397="","",(SUMIF(INTGRATE!$Y:$Y,data!D397,INTGRATE!$L:$L)+SUMIF(BRAN!$V:$V,data!D397,BRAN!$J:$J)))</f>
        <v/>
      </c>
      <c r="C397" s="572" t="str">
        <f t="shared" si="20"/>
        <v/>
      </c>
      <c r="D397" s="573" t="str">
        <f>IFERROR(VLOOKUP(E397,Map!$B:$F,4,0),"")&amp;IFERROR(VLOOKUP(E397,Map!$B:$F,5,0),"")</f>
        <v/>
      </c>
      <c r="E397" s="574" t="str">
        <f t="shared" si="19"/>
        <v/>
      </c>
    </row>
    <row r="398" spans="2:5">
      <c r="B398" s="571" t="str">
        <f>IF(F398="","",(SUMIF(INTGRATE!$Y:$Y,data!D398,INTGRATE!$L:$L)+SUMIF(BRAN!$V:$V,data!D398,BRAN!$J:$J)))</f>
        <v/>
      </c>
      <c r="C398" s="572" t="str">
        <f t="shared" si="20"/>
        <v/>
      </c>
      <c r="D398" s="573" t="str">
        <f>IFERROR(VLOOKUP(E398,Map!$B:$F,4,0),"")&amp;IFERROR(VLOOKUP(E398,Map!$B:$F,5,0),"")</f>
        <v/>
      </c>
      <c r="E398" s="574" t="str">
        <f t="shared" si="19"/>
        <v/>
      </c>
    </row>
    <row r="399" spans="2:5">
      <c r="B399" s="571" t="str">
        <f>IF(F399="","",(SUMIF(INTGRATE!$Y:$Y,data!D399,INTGRATE!$L:$L)+SUMIF(BRAN!$V:$V,data!D399,BRAN!$J:$J)))</f>
        <v/>
      </c>
      <c r="C399" s="572" t="str">
        <f t="shared" si="20"/>
        <v/>
      </c>
      <c r="D399" s="573" t="str">
        <f>IFERROR(VLOOKUP(E399,Map!$B:$F,4,0),"")&amp;IFERROR(VLOOKUP(E399,Map!$B:$F,5,0),"")</f>
        <v/>
      </c>
      <c r="E399" s="574" t="str">
        <f t="shared" si="19"/>
        <v/>
      </c>
    </row>
    <row r="400" spans="2:5">
      <c r="B400" s="571" t="str">
        <f>IF(F400="","",(SUMIF(INTGRATE!$Y:$Y,data!D400,INTGRATE!$L:$L)+SUMIF(BRAN!$V:$V,data!D400,BRAN!$J:$J)))</f>
        <v/>
      </c>
      <c r="C400" s="572" t="str">
        <f t="shared" si="20"/>
        <v/>
      </c>
      <c r="D400" s="573" t="str">
        <f>IFERROR(VLOOKUP(E400,Map!$B:$F,4,0),"")&amp;IFERROR(VLOOKUP(E400,Map!$B:$F,5,0),"")</f>
        <v/>
      </c>
      <c r="E400" s="574" t="str">
        <f t="shared" si="19"/>
        <v/>
      </c>
    </row>
    <row r="401" spans="2:5">
      <c r="B401" s="571" t="str">
        <f>IF(F401="","",(SUMIF(INTGRATE!$Y:$Y,data!D401,INTGRATE!$L:$L)+SUMIF(BRAN!$V:$V,data!D401,BRAN!$J:$J)))</f>
        <v/>
      </c>
      <c r="C401" s="572" t="str">
        <f t="shared" si="20"/>
        <v/>
      </c>
      <c r="D401" s="573" t="str">
        <f>IFERROR(VLOOKUP(E401,Map!$B:$F,4,0),"")&amp;IFERROR(VLOOKUP(E401,Map!$B:$F,5,0),"")</f>
        <v/>
      </c>
      <c r="E401" s="574" t="str">
        <f t="shared" si="19"/>
        <v/>
      </c>
    </row>
    <row r="402" spans="2:5">
      <c r="B402" s="571" t="str">
        <f>IF(F402="","",(SUMIF(INTGRATE!$Y:$Y,data!D402,INTGRATE!$L:$L)+SUMIF(BRAN!$V:$V,data!D402,BRAN!$J:$J)))</f>
        <v/>
      </c>
      <c r="C402" s="572" t="str">
        <f t="shared" si="20"/>
        <v/>
      </c>
      <c r="D402" s="573" t="str">
        <f>IFERROR(VLOOKUP(E402,Map!$B:$F,4,0),"")&amp;IFERROR(VLOOKUP(E402,Map!$B:$F,5,0),"")</f>
        <v/>
      </c>
      <c r="E402" s="574" t="str">
        <f t="shared" si="19"/>
        <v/>
      </c>
    </row>
    <row r="403" spans="2:5">
      <c r="B403" s="571" t="str">
        <f>IF(F403="","",(SUMIF(INTGRATE!$Y:$Y,data!D403,INTGRATE!$L:$L)+SUMIF(BRAN!$V:$V,data!D403,BRAN!$J:$J)))</f>
        <v/>
      </c>
      <c r="C403" s="572" t="str">
        <f t="shared" si="20"/>
        <v/>
      </c>
      <c r="D403" s="573" t="str">
        <f>IFERROR(VLOOKUP(E403,Map!$B:$F,4,0),"")&amp;IFERROR(VLOOKUP(E403,Map!$B:$F,5,0),"")</f>
        <v/>
      </c>
      <c r="E403" s="574" t="str">
        <f t="shared" si="19"/>
        <v/>
      </c>
    </row>
    <row r="404" spans="2:5">
      <c r="B404" s="571" t="str">
        <f>IF(F404="","",(SUMIF(INTGRATE!$Y:$Y,data!D404,INTGRATE!$L:$L)+SUMIF(BRAN!$V:$V,data!D404,BRAN!$J:$J)))</f>
        <v/>
      </c>
      <c r="C404" s="572" t="str">
        <f t="shared" si="20"/>
        <v/>
      </c>
      <c r="D404" s="573" t="str">
        <f>IFERROR(VLOOKUP(E404,Map!$B:$F,4,0),"")&amp;IFERROR(VLOOKUP(E404,Map!$B:$F,5,0),"")</f>
        <v/>
      </c>
      <c r="E404" s="574" t="str">
        <f t="shared" si="19"/>
        <v/>
      </c>
    </row>
    <row r="405" spans="2:5">
      <c r="B405" s="571" t="str">
        <f>IF(F405="","",(SUMIF(INTGRATE!$Y:$Y,data!D405,INTGRATE!$L:$L)+SUMIF(BRAN!$V:$V,data!D405,BRAN!$J:$J)))</f>
        <v/>
      </c>
      <c r="C405" s="572" t="str">
        <f t="shared" si="20"/>
        <v/>
      </c>
      <c r="D405" s="573" t="str">
        <f>IFERROR(VLOOKUP(E405,Map!$B:$F,4,0),"")&amp;IFERROR(VLOOKUP(E405,Map!$B:$F,5,0),"")</f>
        <v/>
      </c>
      <c r="E405" s="574" t="str">
        <f t="shared" si="19"/>
        <v/>
      </c>
    </row>
    <row r="406" spans="2:5">
      <c r="B406" s="571" t="str">
        <f>IF(F406="","",(SUMIF(INTGRATE!$Y:$Y,data!D406,INTGRATE!$L:$L)+SUMIF(BRAN!$V:$V,data!D406,BRAN!$J:$J)))</f>
        <v/>
      </c>
      <c r="C406" s="572" t="str">
        <f t="shared" si="20"/>
        <v/>
      </c>
      <c r="D406" s="573" t="str">
        <f>IFERROR(VLOOKUP(E406,Map!$B:$F,4,0),"")&amp;IFERROR(VLOOKUP(E406,Map!$B:$F,5,0),"")</f>
        <v/>
      </c>
      <c r="E406" s="574" t="str">
        <f t="shared" si="19"/>
        <v/>
      </c>
    </row>
    <row r="407" spans="2:5">
      <c r="B407" s="571" t="str">
        <f>IF(F407="","",(SUMIF(INTGRATE!$Y:$Y,data!D407,INTGRATE!$L:$L)+SUMIF(BRAN!$V:$V,data!D407,BRAN!$J:$J)))</f>
        <v/>
      </c>
      <c r="C407" s="572" t="str">
        <f t="shared" si="20"/>
        <v/>
      </c>
      <c r="D407" s="573" t="str">
        <f>IFERROR(VLOOKUP(E407,Map!$B:$F,4,0),"")&amp;IFERROR(VLOOKUP(E407,Map!$B:$F,5,0),"")</f>
        <v/>
      </c>
      <c r="E407" s="574" t="str">
        <f t="shared" si="19"/>
        <v/>
      </c>
    </row>
    <row r="408" spans="2:5">
      <c r="B408" s="571" t="str">
        <f>IF(F408="","",(SUMIF(INTGRATE!$Y:$Y,data!D408,INTGRATE!$L:$L)+SUMIF(BRAN!$V:$V,data!D408,BRAN!$J:$J)))</f>
        <v/>
      </c>
      <c r="C408" s="572" t="str">
        <f t="shared" si="20"/>
        <v/>
      </c>
      <c r="D408" s="573" t="str">
        <f>IFERROR(VLOOKUP(E408,Map!$B:$F,4,0),"")&amp;IFERROR(VLOOKUP(E408,Map!$B:$F,5,0),"")</f>
        <v/>
      </c>
      <c r="E408" s="574" t="str">
        <f t="shared" si="19"/>
        <v/>
      </c>
    </row>
    <row r="409" spans="2:5">
      <c r="B409" s="571" t="str">
        <f>IF(F409="","",(SUMIF(INTGRATE!$Y:$Y,data!D409,INTGRATE!$L:$L)+SUMIF(BRAN!$V:$V,data!D409,BRAN!$J:$J)))</f>
        <v/>
      </c>
      <c r="C409" s="572" t="str">
        <f t="shared" si="20"/>
        <v/>
      </c>
      <c r="D409" s="573" t="str">
        <f>IFERROR(VLOOKUP(E409,Map!$B:$F,4,0),"")&amp;IFERROR(VLOOKUP(E409,Map!$B:$F,5,0),"")</f>
        <v/>
      </c>
      <c r="E409" s="574" t="str">
        <f t="shared" si="19"/>
        <v/>
      </c>
    </row>
    <row r="410" spans="2:5">
      <c r="B410" s="571" t="str">
        <f>IF(F410="","",(SUMIF(INTGRATE!$Y:$Y,data!D410,INTGRATE!$L:$L)+SUMIF(BRAN!$V:$V,data!D410,BRAN!$J:$J)))</f>
        <v/>
      </c>
      <c r="C410" s="572" t="str">
        <f t="shared" si="20"/>
        <v/>
      </c>
      <c r="D410" s="573" t="str">
        <f>IFERROR(VLOOKUP(E410,Map!$B:$F,4,0),"")&amp;IFERROR(VLOOKUP(E410,Map!$B:$F,5,0),"")</f>
        <v/>
      </c>
      <c r="E410" s="574" t="str">
        <f t="shared" si="19"/>
        <v/>
      </c>
    </row>
    <row r="411" spans="2:5">
      <c r="B411" s="571" t="str">
        <f>IF(F411="","",(SUMIF(INTGRATE!$Y:$Y,data!D411,INTGRATE!$L:$L)+SUMIF(BRAN!$V:$V,data!D411,BRAN!$J:$J)))</f>
        <v/>
      </c>
      <c r="C411" s="572" t="str">
        <f t="shared" si="20"/>
        <v/>
      </c>
      <c r="D411" s="573" t="str">
        <f>IFERROR(VLOOKUP(E411,Map!$B:$F,4,0),"")&amp;IFERROR(VLOOKUP(E411,Map!$B:$F,5,0),"")</f>
        <v/>
      </c>
      <c r="E411" s="574" t="str">
        <f t="shared" si="19"/>
        <v/>
      </c>
    </row>
    <row r="412" spans="2:5">
      <c r="B412" s="571" t="str">
        <f>IF(F412="","",(SUMIF(INTGRATE!$Y:$Y,data!D412,INTGRATE!$L:$L)+SUMIF(BRAN!$V:$V,data!D412,BRAN!$J:$J)))</f>
        <v/>
      </c>
      <c r="C412" s="572" t="str">
        <f t="shared" si="20"/>
        <v/>
      </c>
      <c r="D412" s="573" t="str">
        <f>IFERROR(VLOOKUP(E412,Map!$B:$F,4,0),"")&amp;IFERROR(VLOOKUP(E412,Map!$B:$F,5,0),"")</f>
        <v/>
      </c>
      <c r="E412" s="574" t="str">
        <f t="shared" si="19"/>
        <v/>
      </c>
    </row>
    <row r="413" spans="2:5">
      <c r="B413" s="571" t="str">
        <f>IF(F413="","",(SUMIF(INTGRATE!$Y:$Y,data!D413,INTGRATE!$L:$L)+SUMIF(BRAN!$V:$V,data!D413,BRAN!$J:$J)))</f>
        <v/>
      </c>
      <c r="C413" s="572" t="str">
        <f t="shared" si="20"/>
        <v/>
      </c>
      <c r="D413" s="573" t="str">
        <f>IFERROR(VLOOKUP(E413,Map!$B:$F,4,0),"")&amp;IFERROR(VLOOKUP(E413,Map!$B:$F,5,0),"")</f>
        <v/>
      </c>
      <c r="E413" s="574" t="str">
        <f t="shared" si="19"/>
        <v/>
      </c>
    </row>
    <row r="414" spans="2:5">
      <c r="B414" s="571" t="str">
        <f>IF(F414="","",(SUMIF(INTGRATE!$Y:$Y,data!D414,INTGRATE!$L:$L)+SUMIF(BRAN!$V:$V,data!D414,BRAN!$J:$J)))</f>
        <v/>
      </c>
      <c r="C414" s="572" t="str">
        <f t="shared" si="20"/>
        <v/>
      </c>
      <c r="D414" s="573" t="str">
        <f>IFERROR(VLOOKUP(E414,Map!$B:$F,4,0),"")&amp;IFERROR(VLOOKUP(E414,Map!$B:$F,5,0),"")</f>
        <v/>
      </c>
      <c r="E414" s="574" t="str">
        <f t="shared" si="19"/>
        <v/>
      </c>
    </row>
    <row r="415" spans="2:5">
      <c r="B415" s="571" t="str">
        <f>IF(F415="","",(SUMIF(INTGRATE!$Y:$Y,data!D415,INTGRATE!$L:$L)+SUMIF(BRAN!$V:$V,data!D415,BRAN!$J:$J)))</f>
        <v/>
      </c>
      <c r="C415" s="572" t="str">
        <f t="shared" si="20"/>
        <v/>
      </c>
      <c r="D415" s="573" t="str">
        <f>IFERROR(VLOOKUP(E415,Map!$B:$F,4,0),"")&amp;IFERROR(VLOOKUP(E415,Map!$B:$F,5,0),"")</f>
        <v/>
      </c>
      <c r="E415" s="574" t="str">
        <f t="shared" si="19"/>
        <v/>
      </c>
    </row>
    <row r="416" spans="2:5">
      <c r="B416" s="571" t="str">
        <f>IF(F416="","",(SUMIF(INTGRATE!$Y:$Y,data!D416,INTGRATE!$L:$L)+SUMIF(BRAN!$V:$V,data!D416,BRAN!$J:$J)))</f>
        <v/>
      </c>
      <c r="C416" s="572" t="str">
        <f t="shared" si="20"/>
        <v/>
      </c>
      <c r="D416" s="573" t="str">
        <f>IFERROR(VLOOKUP(E416,Map!$B:$F,4,0),"")&amp;IFERROR(VLOOKUP(E416,Map!$B:$F,5,0),"")</f>
        <v/>
      </c>
      <c r="E416" s="574" t="str">
        <f t="shared" ref="E416:E479" si="21">IF(MID(F416,10,2)="99",F416&amp;H416,LEFT(F416,14))</f>
        <v/>
      </c>
    </row>
    <row r="417" spans="2:5">
      <c r="B417" s="571" t="str">
        <f>IF(F417="","",(SUMIF(INTGRATE!$Y:$Y,data!D417,INTGRATE!$L:$L)+SUMIF(BRAN!$V:$V,data!D417,BRAN!$J:$J)))</f>
        <v/>
      </c>
      <c r="C417" s="572" t="str">
        <f t="shared" si="20"/>
        <v/>
      </c>
      <c r="D417" s="573" t="str">
        <f>IFERROR(VLOOKUP(E417,Map!$B:$F,4,0),"")&amp;IFERROR(VLOOKUP(E417,Map!$B:$F,5,0),"")</f>
        <v/>
      </c>
      <c r="E417" s="574" t="str">
        <f t="shared" si="21"/>
        <v/>
      </c>
    </row>
    <row r="418" spans="2:5">
      <c r="B418" s="571" t="str">
        <f>IF(F418="","",(SUMIF(INTGRATE!$Y:$Y,data!D418,INTGRATE!$L:$L)+SUMIF(BRAN!$V:$V,data!D418,BRAN!$J:$J)))</f>
        <v/>
      </c>
      <c r="C418" s="572" t="str">
        <f t="shared" si="20"/>
        <v/>
      </c>
      <c r="D418" s="573" t="str">
        <f>IFERROR(VLOOKUP(E418,Map!$B:$F,4,0),"")&amp;IFERROR(VLOOKUP(E418,Map!$B:$F,5,0),"")</f>
        <v/>
      </c>
      <c r="E418" s="574" t="str">
        <f t="shared" si="21"/>
        <v/>
      </c>
    </row>
    <row r="419" spans="2:5">
      <c r="B419" s="571" t="str">
        <f>IF(F419="","",(SUMIF(INTGRATE!$Y:$Y,data!D419,INTGRATE!$L:$L)+SUMIF(BRAN!$V:$V,data!D419,BRAN!$J:$J)))</f>
        <v/>
      </c>
      <c r="C419" s="572" t="str">
        <f t="shared" si="20"/>
        <v/>
      </c>
      <c r="D419" s="573" t="str">
        <f>IFERROR(VLOOKUP(E419,Map!$B:$F,4,0),"")&amp;IFERROR(VLOOKUP(E419,Map!$B:$F,5,0),"")</f>
        <v/>
      </c>
      <c r="E419" s="574" t="str">
        <f t="shared" si="21"/>
        <v/>
      </c>
    </row>
    <row r="420" spans="2:5">
      <c r="B420" s="571" t="str">
        <f>IF(F420="","",(SUMIF(INTGRATE!$Y:$Y,data!D420,INTGRATE!$L:$L)+SUMIF(BRAN!$V:$V,data!D420,BRAN!$J:$J)))</f>
        <v/>
      </c>
      <c r="C420" s="572" t="str">
        <f t="shared" si="20"/>
        <v/>
      </c>
      <c r="D420" s="573" t="str">
        <f>IFERROR(VLOOKUP(E420,Map!$B:$F,4,0),"")&amp;IFERROR(VLOOKUP(E420,Map!$B:$F,5,0),"")</f>
        <v/>
      </c>
      <c r="E420" s="574" t="str">
        <f t="shared" si="21"/>
        <v/>
      </c>
    </row>
    <row r="421" spans="2:5">
      <c r="B421" s="571" t="str">
        <f>IF(F421="","",(SUMIF(INTGRATE!$Y:$Y,data!D421,INTGRATE!$L:$L)+SUMIF(BRAN!$V:$V,data!D421,BRAN!$J:$J)))</f>
        <v/>
      </c>
      <c r="C421" s="572" t="str">
        <f t="shared" si="20"/>
        <v/>
      </c>
      <c r="D421" s="573" t="str">
        <f>IFERROR(VLOOKUP(E421,Map!$B:$F,4,0),"")&amp;IFERROR(VLOOKUP(E421,Map!$B:$F,5,0),"")</f>
        <v/>
      </c>
      <c r="E421" s="574" t="str">
        <f t="shared" si="21"/>
        <v/>
      </c>
    </row>
    <row r="422" spans="2:5">
      <c r="B422" s="571" t="str">
        <f>IF(F422="","",(SUMIF(INTGRATE!$Y:$Y,data!D422,INTGRATE!$L:$L)+SUMIF(BRAN!$V:$V,data!D422,BRAN!$J:$J)))</f>
        <v/>
      </c>
      <c r="C422" s="572" t="str">
        <f t="shared" si="20"/>
        <v/>
      </c>
      <c r="D422" s="573" t="str">
        <f>IFERROR(VLOOKUP(E422,Map!$B:$F,4,0),"")&amp;IFERROR(VLOOKUP(E422,Map!$B:$F,5,0),"")</f>
        <v/>
      </c>
      <c r="E422" s="574" t="str">
        <f t="shared" si="21"/>
        <v/>
      </c>
    </row>
    <row r="423" spans="2:5">
      <c r="B423" s="571" t="str">
        <f>IF(F423="","",(SUMIF(INTGRATE!$Y:$Y,data!D423,INTGRATE!$L:$L)+SUMIF(BRAN!$V:$V,data!D423,BRAN!$J:$J)))</f>
        <v/>
      </c>
      <c r="C423" s="572" t="str">
        <f t="shared" si="20"/>
        <v/>
      </c>
      <c r="D423" s="573" t="str">
        <f>IFERROR(VLOOKUP(E423,Map!$B:$F,4,0),"")&amp;IFERROR(VLOOKUP(E423,Map!$B:$F,5,0),"")</f>
        <v/>
      </c>
      <c r="E423" s="574" t="str">
        <f t="shared" si="21"/>
        <v/>
      </c>
    </row>
    <row r="424" spans="2:5">
      <c r="B424" s="571" t="str">
        <f>IF(F424="","",(SUMIF(INTGRATE!$Y:$Y,data!D424,INTGRATE!$L:$L)+SUMIF(BRAN!$V:$V,data!D424,BRAN!$J:$J)))</f>
        <v/>
      </c>
      <c r="C424" s="572" t="str">
        <f t="shared" si="20"/>
        <v/>
      </c>
      <c r="D424" s="573" t="str">
        <f>IFERROR(VLOOKUP(E424,Map!$B:$F,4,0),"")&amp;IFERROR(VLOOKUP(E424,Map!$B:$F,5,0),"")</f>
        <v/>
      </c>
      <c r="E424" s="574" t="str">
        <f t="shared" si="21"/>
        <v/>
      </c>
    </row>
    <row r="425" spans="2:5">
      <c r="B425" s="571" t="str">
        <f>IF(F425="","",(SUMIF(INTGRATE!$Y:$Y,data!D425,INTGRATE!$L:$L)+SUMIF(BRAN!$V:$V,data!D425,BRAN!$J:$J)))</f>
        <v/>
      </c>
      <c r="C425" s="572" t="str">
        <f t="shared" si="20"/>
        <v/>
      </c>
      <c r="D425" s="573" t="str">
        <f>IFERROR(VLOOKUP(E425,Map!$B:$F,4,0),"")&amp;IFERROR(VLOOKUP(E425,Map!$B:$F,5,0),"")</f>
        <v/>
      </c>
      <c r="E425" s="574" t="str">
        <f t="shared" si="21"/>
        <v/>
      </c>
    </row>
    <row r="426" spans="2:5">
      <c r="B426" s="571" t="str">
        <f>IF(F426="","",(SUMIF(INTGRATE!$Y:$Y,data!D426,INTGRATE!$L:$L)+SUMIF(BRAN!$V:$V,data!D426,BRAN!$J:$J)))</f>
        <v/>
      </c>
      <c r="C426" s="572" t="str">
        <f t="shared" si="20"/>
        <v/>
      </c>
      <c r="D426" s="573" t="str">
        <f>IFERROR(VLOOKUP(E426,Map!$B:$F,4,0),"")&amp;IFERROR(VLOOKUP(E426,Map!$B:$F,5,0),"")</f>
        <v/>
      </c>
      <c r="E426" s="574" t="str">
        <f t="shared" si="21"/>
        <v/>
      </c>
    </row>
    <row r="427" spans="2:5">
      <c r="B427" s="571" t="str">
        <f>IF(F427="","",(SUMIF(INTGRATE!$Y:$Y,data!D427,INTGRATE!$L:$L)+SUMIF(BRAN!$V:$V,data!D427,BRAN!$J:$J)))</f>
        <v/>
      </c>
      <c r="C427" s="572" t="str">
        <f t="shared" si="20"/>
        <v/>
      </c>
      <c r="D427" s="573" t="str">
        <f>IFERROR(VLOOKUP(E427,Map!$B:$F,4,0),"")&amp;IFERROR(VLOOKUP(E427,Map!$B:$F,5,0),"")</f>
        <v/>
      </c>
      <c r="E427" s="574" t="str">
        <f t="shared" si="21"/>
        <v/>
      </c>
    </row>
    <row r="428" spans="2:5">
      <c r="B428" s="571" t="str">
        <f>IF(F428="","",(SUMIF(INTGRATE!$Y:$Y,data!D428,INTGRATE!$L:$L)+SUMIF(BRAN!$V:$V,data!D428,BRAN!$J:$J)))</f>
        <v/>
      </c>
      <c r="C428" s="572" t="str">
        <f t="shared" si="20"/>
        <v/>
      </c>
      <c r="D428" s="573" t="str">
        <f>IFERROR(VLOOKUP(E428,Map!$B:$F,4,0),"")&amp;IFERROR(VLOOKUP(E428,Map!$B:$F,5,0),"")</f>
        <v/>
      </c>
      <c r="E428" s="574" t="str">
        <f t="shared" si="21"/>
        <v/>
      </c>
    </row>
    <row r="429" spans="2:5">
      <c r="B429" s="571" t="str">
        <f>IF(F429="","",(SUMIF(INTGRATE!$Y:$Y,data!D429,INTGRATE!$L:$L)+SUMIF(BRAN!$V:$V,data!D429,BRAN!$J:$J)))</f>
        <v/>
      </c>
      <c r="C429" s="572" t="str">
        <f t="shared" si="20"/>
        <v/>
      </c>
      <c r="D429" s="573" t="str">
        <f>IFERROR(VLOOKUP(E429,Map!$B:$F,4,0),"")&amp;IFERROR(VLOOKUP(E429,Map!$B:$F,5,0),"")</f>
        <v/>
      </c>
      <c r="E429" s="574" t="str">
        <f t="shared" si="21"/>
        <v/>
      </c>
    </row>
    <row r="430" spans="2:5">
      <c r="B430" s="571" t="str">
        <f>IF(F430="","",(SUMIF(INTGRATE!$Y:$Y,data!D430,INTGRATE!$L:$L)+SUMIF(BRAN!$V:$V,data!D430,BRAN!$J:$J)))</f>
        <v/>
      </c>
      <c r="C430" s="572" t="str">
        <f t="shared" si="20"/>
        <v/>
      </c>
      <c r="D430" s="573" t="str">
        <f>IFERROR(VLOOKUP(E430,Map!$B:$F,4,0),"")&amp;IFERROR(VLOOKUP(E430,Map!$B:$F,5,0),"")</f>
        <v/>
      </c>
      <c r="E430" s="574" t="str">
        <f t="shared" si="21"/>
        <v/>
      </c>
    </row>
    <row r="431" spans="2:5">
      <c r="B431" s="571" t="str">
        <f>IF(F431="","",(SUMIF(INTGRATE!$Y:$Y,data!D431,INTGRATE!$L:$L)+SUMIF(BRAN!$V:$V,data!D431,BRAN!$J:$J)))</f>
        <v/>
      </c>
      <c r="C431" s="572" t="str">
        <f t="shared" si="20"/>
        <v/>
      </c>
      <c r="D431" s="573" t="str">
        <f>IFERROR(VLOOKUP(E431,Map!$B:$F,4,0),"")&amp;IFERROR(VLOOKUP(E431,Map!$B:$F,5,0),"")</f>
        <v/>
      </c>
      <c r="E431" s="574" t="str">
        <f t="shared" si="21"/>
        <v/>
      </c>
    </row>
    <row r="432" spans="2:5">
      <c r="B432" s="571" t="str">
        <f>IF(F432="","",(SUMIF(INTGRATE!$Y:$Y,data!D432,INTGRATE!$L:$L)+SUMIF(BRAN!$V:$V,data!D432,BRAN!$J:$J)))</f>
        <v/>
      </c>
      <c r="C432" s="572" t="str">
        <f t="shared" si="20"/>
        <v/>
      </c>
      <c r="D432" s="573" t="str">
        <f>IFERROR(VLOOKUP(E432,Map!$B:$F,4,0),"")&amp;IFERROR(VLOOKUP(E432,Map!$B:$F,5,0),"")</f>
        <v/>
      </c>
      <c r="E432" s="574" t="str">
        <f t="shared" si="21"/>
        <v/>
      </c>
    </row>
    <row r="433" spans="2:5">
      <c r="B433" s="571" t="str">
        <f>IF(F433="","",(SUMIF(INTGRATE!$Y:$Y,data!D433,INTGRATE!$L:$L)+SUMIF(BRAN!$V:$V,data!D433,BRAN!$J:$J)))</f>
        <v/>
      </c>
      <c r="C433" s="572" t="str">
        <f t="shared" si="20"/>
        <v/>
      </c>
      <c r="D433" s="573" t="str">
        <f>IFERROR(VLOOKUP(E433,Map!$B:$F,4,0),"")&amp;IFERROR(VLOOKUP(E433,Map!$B:$F,5,0),"")</f>
        <v/>
      </c>
      <c r="E433" s="574" t="str">
        <f t="shared" si="21"/>
        <v/>
      </c>
    </row>
    <row r="434" spans="2:5">
      <c r="B434" s="571" t="str">
        <f>IF(F434="","",(SUMIF(INTGRATE!$Y:$Y,data!D434,INTGRATE!$L:$L)+SUMIF(BRAN!$V:$V,data!D434,BRAN!$J:$J)))</f>
        <v/>
      </c>
      <c r="C434" s="572" t="str">
        <f t="shared" si="20"/>
        <v/>
      </c>
      <c r="D434" s="573" t="str">
        <f>IFERROR(VLOOKUP(E434,Map!$B:$F,4,0),"")&amp;IFERROR(VLOOKUP(E434,Map!$B:$F,5,0),"")</f>
        <v/>
      </c>
      <c r="E434" s="574" t="str">
        <f t="shared" si="21"/>
        <v/>
      </c>
    </row>
    <row r="435" spans="2:5">
      <c r="B435" s="571" t="str">
        <f>IF(F435="","",(SUMIF(INTGRATE!$Y:$Y,data!D435,INTGRATE!$L:$L)+SUMIF(BRAN!$V:$V,data!D435,BRAN!$J:$J)))</f>
        <v/>
      </c>
      <c r="C435" s="572" t="str">
        <f t="shared" si="20"/>
        <v/>
      </c>
      <c r="D435" s="573" t="str">
        <f>IFERROR(VLOOKUP(E435,Map!$B:$F,4,0),"")&amp;IFERROR(VLOOKUP(E435,Map!$B:$F,5,0),"")</f>
        <v/>
      </c>
      <c r="E435" s="574" t="str">
        <f t="shared" si="21"/>
        <v/>
      </c>
    </row>
    <row r="436" spans="2:5">
      <c r="B436" s="571" t="str">
        <f>IF(F436="","",(SUMIF(INTGRATE!$Y:$Y,data!D436,INTGRATE!$L:$L)+SUMIF(BRAN!$V:$V,data!D436,BRAN!$J:$J)))</f>
        <v/>
      </c>
      <c r="C436" s="572" t="str">
        <f t="shared" si="20"/>
        <v/>
      </c>
      <c r="D436" s="573" t="str">
        <f>IFERROR(VLOOKUP(E436,Map!$B:$F,4,0),"")&amp;IFERROR(VLOOKUP(E436,Map!$B:$F,5,0),"")</f>
        <v/>
      </c>
      <c r="E436" s="574" t="str">
        <f t="shared" si="21"/>
        <v/>
      </c>
    </row>
    <row r="437" spans="2:5">
      <c r="B437" s="571" t="str">
        <f>IF(F437="","",(SUMIF(INTGRATE!$Y:$Y,data!D437,INTGRATE!$L:$L)+SUMIF(BRAN!$V:$V,data!D437,BRAN!$J:$J)))</f>
        <v/>
      </c>
      <c r="C437" s="572" t="str">
        <f t="shared" si="20"/>
        <v/>
      </c>
      <c r="D437" s="573" t="str">
        <f>IFERROR(VLOOKUP(E437,Map!$B:$F,4,0),"")&amp;IFERROR(VLOOKUP(E437,Map!$B:$F,5,0),"")</f>
        <v/>
      </c>
      <c r="E437" s="574" t="str">
        <f t="shared" si="21"/>
        <v/>
      </c>
    </row>
    <row r="438" spans="2:5">
      <c r="B438" s="571" t="str">
        <f>IF(F438="","",(SUMIF(INTGRATE!$Y:$Y,data!D438,INTGRATE!$L:$L)+SUMIF(BRAN!$V:$V,data!D438,BRAN!$J:$J)))</f>
        <v/>
      </c>
      <c r="C438" s="572" t="str">
        <f t="shared" si="20"/>
        <v/>
      </c>
      <c r="D438" s="573" t="str">
        <f>IFERROR(VLOOKUP(E438,Map!$B:$F,4,0),"")&amp;IFERROR(VLOOKUP(E438,Map!$B:$F,5,0),"")</f>
        <v/>
      </c>
      <c r="E438" s="574" t="str">
        <f t="shared" si="21"/>
        <v/>
      </c>
    </row>
    <row r="439" spans="2:5">
      <c r="B439" s="571" t="str">
        <f>IF(F439="","",(SUMIF(INTGRATE!$Y:$Y,data!D439,INTGRATE!$L:$L)+SUMIF(BRAN!$V:$V,data!D439,BRAN!$J:$J)))</f>
        <v/>
      </c>
      <c r="C439" s="572" t="str">
        <f t="shared" si="20"/>
        <v/>
      </c>
      <c r="D439" s="573" t="str">
        <f>IFERROR(VLOOKUP(E439,Map!$B:$F,4,0),"")&amp;IFERROR(VLOOKUP(E439,Map!$B:$F,5,0),"")</f>
        <v/>
      </c>
      <c r="E439" s="574" t="str">
        <f t="shared" si="21"/>
        <v/>
      </c>
    </row>
    <row r="440" spans="2:5">
      <c r="B440" s="571" t="str">
        <f>IF(F440="","",(SUMIF(INTGRATE!$Y:$Y,data!D440,INTGRATE!$L:$L)+SUMIF(BRAN!$V:$V,data!D440,BRAN!$J:$J)))</f>
        <v/>
      </c>
      <c r="C440" s="572" t="str">
        <f t="shared" si="20"/>
        <v/>
      </c>
      <c r="D440" s="573" t="str">
        <f>IFERROR(VLOOKUP(E440,Map!$B:$F,4,0),"")&amp;IFERROR(VLOOKUP(E440,Map!$B:$F,5,0),"")</f>
        <v/>
      </c>
      <c r="E440" s="574" t="str">
        <f t="shared" si="21"/>
        <v/>
      </c>
    </row>
    <row r="441" spans="2:5">
      <c r="B441" s="571" t="str">
        <f>IF(F441="","",(SUMIF(INTGRATE!$Y:$Y,data!D441,INTGRATE!$L:$L)+SUMIF(BRAN!$V:$V,data!D441,BRAN!$J:$J)))</f>
        <v/>
      </c>
      <c r="C441" s="572" t="str">
        <f t="shared" si="20"/>
        <v/>
      </c>
      <c r="D441" s="573" t="str">
        <f>IFERROR(VLOOKUP(E441,Map!$B:$F,4,0),"")&amp;IFERROR(VLOOKUP(E441,Map!$B:$F,5,0),"")</f>
        <v/>
      </c>
      <c r="E441" s="574" t="str">
        <f t="shared" si="21"/>
        <v/>
      </c>
    </row>
    <row r="442" spans="2:5">
      <c r="B442" s="571" t="str">
        <f>IF(F442="","",(SUMIF(INTGRATE!$Y:$Y,data!D442,INTGRATE!$L:$L)+SUMIF(BRAN!$V:$V,data!D442,BRAN!$J:$J)))</f>
        <v/>
      </c>
      <c r="C442" s="572" t="str">
        <f t="shared" si="20"/>
        <v/>
      </c>
      <c r="D442" s="573" t="str">
        <f>IFERROR(VLOOKUP(E442,Map!$B:$F,4,0),"")&amp;IFERROR(VLOOKUP(E442,Map!$B:$F,5,0),"")</f>
        <v/>
      </c>
      <c r="E442" s="574" t="str">
        <f t="shared" si="21"/>
        <v/>
      </c>
    </row>
    <row r="443" spans="2:5">
      <c r="B443" s="571" t="str">
        <f>IF(F443="","",(SUMIF(INTGRATE!$Y:$Y,data!D443,INTGRATE!$L:$L)+SUMIF(BRAN!$V:$V,data!D443,BRAN!$J:$J)))</f>
        <v/>
      </c>
      <c r="C443" s="572" t="str">
        <f t="shared" si="20"/>
        <v/>
      </c>
      <c r="D443" s="573" t="str">
        <f>IFERROR(VLOOKUP(E443,Map!$B:$F,4,0),"")&amp;IFERROR(VLOOKUP(E443,Map!$B:$F,5,0),"")</f>
        <v/>
      </c>
      <c r="E443" s="574" t="str">
        <f t="shared" si="21"/>
        <v/>
      </c>
    </row>
    <row r="444" spans="2:5">
      <c r="B444" s="571" t="str">
        <f>IF(F444="","",(SUMIF(INTGRATE!$Y:$Y,data!D444,INTGRATE!$L:$L)+SUMIF(BRAN!$V:$V,data!D444,BRAN!$J:$J)))</f>
        <v/>
      </c>
      <c r="C444" s="572" t="str">
        <f t="shared" si="20"/>
        <v/>
      </c>
      <c r="D444" s="573" t="str">
        <f>IFERROR(VLOOKUP(E444,Map!$B:$F,4,0),"")&amp;IFERROR(VLOOKUP(E444,Map!$B:$F,5,0),"")</f>
        <v/>
      </c>
      <c r="E444" s="574" t="str">
        <f t="shared" si="21"/>
        <v/>
      </c>
    </row>
    <row r="445" spans="2:5">
      <c r="B445" s="571" t="str">
        <f>IF(F445="","",(SUMIF(INTGRATE!$Y:$Y,data!D445,INTGRATE!$L:$L)+SUMIF(BRAN!$V:$V,data!D445,BRAN!$J:$J)))</f>
        <v/>
      </c>
      <c r="C445" s="572" t="str">
        <f t="shared" si="20"/>
        <v/>
      </c>
      <c r="D445" s="573" t="str">
        <f>IFERROR(VLOOKUP(E445,Map!$B:$F,4,0),"")&amp;IFERROR(VLOOKUP(E445,Map!$B:$F,5,0),"")</f>
        <v/>
      </c>
      <c r="E445" s="574" t="str">
        <f t="shared" si="21"/>
        <v/>
      </c>
    </row>
    <row r="446" spans="2:5">
      <c r="B446" s="571" t="str">
        <f>IF(F446="","",(SUMIF(INTGRATE!$Y:$Y,data!D446,INTGRATE!$L:$L)+SUMIF(BRAN!$V:$V,data!D446,BRAN!$J:$J)))</f>
        <v/>
      </c>
      <c r="C446" s="572" t="str">
        <f t="shared" si="20"/>
        <v/>
      </c>
      <c r="D446" s="573" t="str">
        <f>IFERROR(VLOOKUP(E446,Map!$B:$F,4,0),"")&amp;IFERROR(VLOOKUP(E446,Map!$B:$F,5,0),"")</f>
        <v/>
      </c>
      <c r="E446" s="574" t="str">
        <f t="shared" si="21"/>
        <v/>
      </c>
    </row>
    <row r="447" spans="2:5">
      <c r="B447" s="571" t="str">
        <f>IF(F447="","",(SUMIF(INTGRATE!$Y:$Y,data!D447,INTGRATE!$L:$L)+SUMIF(BRAN!$V:$V,data!D447,BRAN!$J:$J)))</f>
        <v/>
      </c>
      <c r="C447" s="572" t="str">
        <f t="shared" ref="C447:C510" si="22">IF(F447="","",B447-K447)</f>
        <v/>
      </c>
      <c r="D447" s="573" t="str">
        <f>IFERROR(VLOOKUP(E447,Map!$B:$F,4,0),"")&amp;IFERROR(VLOOKUP(E447,Map!$B:$F,5,0),"")</f>
        <v/>
      </c>
      <c r="E447" s="574" t="str">
        <f t="shared" si="21"/>
        <v/>
      </c>
    </row>
    <row r="448" spans="2:5">
      <c r="B448" s="571" t="str">
        <f>IF(F448="","",(SUMIF(INTGRATE!$Y:$Y,data!D448,INTGRATE!$L:$L)+SUMIF(BRAN!$V:$V,data!D448,BRAN!$J:$J)))</f>
        <v/>
      </c>
      <c r="C448" s="572" t="str">
        <f t="shared" si="22"/>
        <v/>
      </c>
      <c r="D448" s="573" t="str">
        <f>IFERROR(VLOOKUP(E448,Map!$B:$F,4,0),"")&amp;IFERROR(VLOOKUP(E448,Map!$B:$F,5,0),"")</f>
        <v/>
      </c>
      <c r="E448" s="574" t="str">
        <f t="shared" si="21"/>
        <v/>
      </c>
    </row>
    <row r="449" spans="2:5">
      <c r="B449" s="571" t="str">
        <f>IF(F449="","",(SUMIF(INTGRATE!$Y:$Y,data!D449,INTGRATE!$L:$L)+SUMIF(BRAN!$V:$V,data!D449,BRAN!$J:$J)))</f>
        <v/>
      </c>
      <c r="C449" s="572" t="str">
        <f t="shared" si="22"/>
        <v/>
      </c>
      <c r="D449" s="573" t="str">
        <f>IFERROR(VLOOKUP(E449,Map!$B:$F,4,0),"")&amp;IFERROR(VLOOKUP(E449,Map!$B:$F,5,0),"")</f>
        <v/>
      </c>
      <c r="E449" s="574" t="str">
        <f t="shared" si="21"/>
        <v/>
      </c>
    </row>
    <row r="450" spans="2:5">
      <c r="B450" s="571" t="str">
        <f>IF(F450="","",(SUMIF(INTGRATE!$Y:$Y,data!D450,INTGRATE!$L:$L)+SUMIF(BRAN!$V:$V,data!D450,BRAN!$J:$J)))</f>
        <v/>
      </c>
      <c r="C450" s="572" t="str">
        <f t="shared" si="22"/>
        <v/>
      </c>
      <c r="D450" s="573" t="str">
        <f>IFERROR(VLOOKUP(E450,Map!$B:$F,4,0),"")&amp;IFERROR(VLOOKUP(E450,Map!$B:$F,5,0),"")</f>
        <v/>
      </c>
      <c r="E450" s="574" t="str">
        <f t="shared" si="21"/>
        <v/>
      </c>
    </row>
    <row r="451" spans="2:5">
      <c r="B451" s="571" t="str">
        <f>IF(F451="","",(SUMIF(INTGRATE!$Y:$Y,data!D451,INTGRATE!$L:$L)+SUMIF(BRAN!$V:$V,data!D451,BRAN!$J:$J)))</f>
        <v/>
      </c>
      <c r="C451" s="572" t="str">
        <f t="shared" si="22"/>
        <v/>
      </c>
      <c r="D451" s="573" t="str">
        <f>IFERROR(VLOOKUP(E451,Map!$B:$F,4,0),"")&amp;IFERROR(VLOOKUP(E451,Map!$B:$F,5,0),"")</f>
        <v/>
      </c>
      <c r="E451" s="574" t="str">
        <f t="shared" si="21"/>
        <v/>
      </c>
    </row>
    <row r="452" spans="2:5">
      <c r="B452" s="571" t="str">
        <f>IF(F452="","",(SUMIF(INTGRATE!$Y:$Y,data!D452,INTGRATE!$L:$L)+SUMIF(BRAN!$V:$V,data!D452,BRAN!$J:$J)))</f>
        <v/>
      </c>
      <c r="C452" s="572" t="str">
        <f t="shared" si="22"/>
        <v/>
      </c>
      <c r="D452" s="573" t="str">
        <f>IFERROR(VLOOKUP(E452,Map!$B:$F,4,0),"")&amp;IFERROR(VLOOKUP(E452,Map!$B:$F,5,0),"")</f>
        <v/>
      </c>
      <c r="E452" s="574" t="str">
        <f t="shared" si="21"/>
        <v/>
      </c>
    </row>
    <row r="453" spans="2:5">
      <c r="B453" s="571" t="str">
        <f>IF(F453="","",(SUMIF(INTGRATE!$Y:$Y,data!D453,INTGRATE!$L:$L)+SUMIF(BRAN!$V:$V,data!D453,BRAN!$J:$J)))</f>
        <v/>
      </c>
      <c r="C453" s="572" t="str">
        <f t="shared" si="22"/>
        <v/>
      </c>
      <c r="D453" s="573" t="str">
        <f>IFERROR(VLOOKUP(E453,Map!$B:$F,4,0),"")&amp;IFERROR(VLOOKUP(E453,Map!$B:$F,5,0),"")</f>
        <v/>
      </c>
      <c r="E453" s="574" t="str">
        <f t="shared" si="21"/>
        <v/>
      </c>
    </row>
    <row r="454" spans="2:5">
      <c r="B454" s="571" t="str">
        <f>IF(F454="","",(SUMIF(INTGRATE!$Y:$Y,data!D454,INTGRATE!$L:$L)+SUMIF(BRAN!$V:$V,data!D454,BRAN!$J:$J)))</f>
        <v/>
      </c>
      <c r="C454" s="572" t="str">
        <f t="shared" si="22"/>
        <v/>
      </c>
      <c r="D454" s="573" t="str">
        <f>IFERROR(VLOOKUP(E454,Map!$B:$F,4,0),"")&amp;IFERROR(VLOOKUP(E454,Map!$B:$F,5,0),"")</f>
        <v/>
      </c>
      <c r="E454" s="574" t="str">
        <f t="shared" si="21"/>
        <v/>
      </c>
    </row>
    <row r="455" spans="2:5">
      <c r="B455" s="571" t="str">
        <f>IF(F455="","",(SUMIF(INTGRATE!$Y:$Y,data!D455,INTGRATE!$L:$L)+SUMIF(BRAN!$V:$V,data!D455,BRAN!$J:$J)))</f>
        <v/>
      </c>
      <c r="C455" s="572" t="str">
        <f t="shared" si="22"/>
        <v/>
      </c>
      <c r="D455" s="573" t="str">
        <f>IFERROR(VLOOKUP(E455,Map!$B:$F,4,0),"")&amp;IFERROR(VLOOKUP(E455,Map!$B:$F,5,0),"")</f>
        <v/>
      </c>
      <c r="E455" s="574" t="str">
        <f t="shared" si="21"/>
        <v/>
      </c>
    </row>
    <row r="456" spans="2:5">
      <c r="B456" s="571" t="str">
        <f>IF(F456="","",(SUMIF(INTGRATE!$Y:$Y,data!D456,INTGRATE!$L:$L)+SUMIF(BRAN!$V:$V,data!D456,BRAN!$J:$J)))</f>
        <v/>
      </c>
      <c r="C456" s="572" t="str">
        <f t="shared" si="22"/>
        <v/>
      </c>
      <c r="D456" s="573" t="str">
        <f>IFERROR(VLOOKUP(E456,Map!$B:$F,4,0),"")&amp;IFERROR(VLOOKUP(E456,Map!$B:$F,5,0),"")</f>
        <v/>
      </c>
      <c r="E456" s="574" t="str">
        <f t="shared" si="21"/>
        <v/>
      </c>
    </row>
    <row r="457" spans="2:5">
      <c r="B457" s="571" t="str">
        <f>IF(F457="","",(SUMIF(INTGRATE!$Y:$Y,data!D457,INTGRATE!$L:$L)+SUMIF(BRAN!$V:$V,data!D457,BRAN!$J:$J)))</f>
        <v/>
      </c>
      <c r="C457" s="572" t="str">
        <f t="shared" si="22"/>
        <v/>
      </c>
      <c r="D457" s="573" t="str">
        <f>IFERROR(VLOOKUP(E457,Map!$B:$F,4,0),"")&amp;IFERROR(VLOOKUP(E457,Map!$B:$F,5,0),"")</f>
        <v/>
      </c>
      <c r="E457" s="574" t="str">
        <f t="shared" si="21"/>
        <v/>
      </c>
    </row>
    <row r="458" spans="2:5">
      <c r="B458" s="571" t="str">
        <f>IF(F458="","",(SUMIF(INTGRATE!$Y:$Y,data!D458,INTGRATE!$L:$L)+SUMIF(BRAN!$V:$V,data!D458,BRAN!$J:$J)))</f>
        <v/>
      </c>
      <c r="C458" s="572" t="str">
        <f t="shared" si="22"/>
        <v/>
      </c>
      <c r="D458" s="573" t="str">
        <f>IFERROR(VLOOKUP(E458,Map!$B:$F,4,0),"")&amp;IFERROR(VLOOKUP(E458,Map!$B:$F,5,0),"")</f>
        <v/>
      </c>
      <c r="E458" s="574" t="str">
        <f t="shared" si="21"/>
        <v/>
      </c>
    </row>
    <row r="459" spans="2:5">
      <c r="B459" s="571" t="str">
        <f>IF(F459="","",(SUMIF(INTGRATE!$Y:$Y,data!D459,INTGRATE!$L:$L)+SUMIF(BRAN!$V:$V,data!D459,BRAN!$J:$J)))</f>
        <v/>
      </c>
      <c r="C459" s="572" t="str">
        <f t="shared" si="22"/>
        <v/>
      </c>
      <c r="D459" s="573" t="str">
        <f>IFERROR(VLOOKUP(E459,Map!$B:$F,4,0),"")&amp;IFERROR(VLOOKUP(E459,Map!$B:$F,5,0),"")</f>
        <v/>
      </c>
      <c r="E459" s="574" t="str">
        <f t="shared" si="21"/>
        <v/>
      </c>
    </row>
    <row r="460" spans="2:5">
      <c r="B460" s="571" t="str">
        <f>IF(F460="","",(SUMIF(INTGRATE!$Y:$Y,data!D460,INTGRATE!$L:$L)+SUMIF(BRAN!$V:$V,data!D460,BRAN!$J:$J)))</f>
        <v/>
      </c>
      <c r="C460" s="572" t="str">
        <f t="shared" si="22"/>
        <v/>
      </c>
      <c r="D460" s="573" t="str">
        <f>IFERROR(VLOOKUP(E460,Map!$B:$F,4,0),"")&amp;IFERROR(VLOOKUP(E460,Map!$B:$F,5,0),"")</f>
        <v/>
      </c>
      <c r="E460" s="574" t="str">
        <f t="shared" si="21"/>
        <v/>
      </c>
    </row>
    <row r="461" spans="2:5">
      <c r="B461" s="571" t="str">
        <f>IF(F461="","",(SUMIF(INTGRATE!$Y:$Y,data!D461,INTGRATE!$L:$L)+SUMIF(BRAN!$V:$V,data!D461,BRAN!$J:$J)))</f>
        <v/>
      </c>
      <c r="C461" s="572" t="str">
        <f t="shared" si="22"/>
        <v/>
      </c>
      <c r="D461" s="573" t="str">
        <f>IFERROR(VLOOKUP(E461,Map!$B:$F,4,0),"")&amp;IFERROR(VLOOKUP(E461,Map!$B:$F,5,0),"")</f>
        <v/>
      </c>
      <c r="E461" s="574" t="str">
        <f t="shared" si="21"/>
        <v/>
      </c>
    </row>
    <row r="462" spans="2:5">
      <c r="B462" s="571" t="str">
        <f>IF(F462="","",(SUMIF(INTGRATE!$Y:$Y,data!D462,INTGRATE!$L:$L)+SUMIF(BRAN!$V:$V,data!D462,BRAN!$J:$J)))</f>
        <v/>
      </c>
      <c r="C462" s="572" t="str">
        <f t="shared" si="22"/>
        <v/>
      </c>
      <c r="D462" s="573" t="str">
        <f>IFERROR(VLOOKUP(E462,Map!$B:$F,4,0),"")&amp;IFERROR(VLOOKUP(E462,Map!$B:$F,5,0),"")</f>
        <v/>
      </c>
      <c r="E462" s="574" t="str">
        <f t="shared" si="21"/>
        <v/>
      </c>
    </row>
    <row r="463" spans="2:5">
      <c r="B463" s="571" t="str">
        <f>IF(F463="","",(SUMIF(INTGRATE!$Y:$Y,data!D463,INTGRATE!$L:$L)+SUMIF(BRAN!$V:$V,data!D463,BRAN!$J:$J)))</f>
        <v/>
      </c>
      <c r="C463" s="572" t="str">
        <f t="shared" si="22"/>
        <v/>
      </c>
      <c r="D463" s="573" t="str">
        <f>IFERROR(VLOOKUP(E463,Map!$B:$F,4,0),"")&amp;IFERROR(VLOOKUP(E463,Map!$B:$F,5,0),"")</f>
        <v/>
      </c>
      <c r="E463" s="574" t="str">
        <f t="shared" si="21"/>
        <v/>
      </c>
    </row>
    <row r="464" spans="2:5">
      <c r="B464" s="571" t="str">
        <f>IF(F464="","",(SUMIF(INTGRATE!$Y:$Y,data!D464,INTGRATE!$L:$L)+SUMIF(BRAN!$V:$V,data!D464,BRAN!$J:$J)))</f>
        <v/>
      </c>
      <c r="C464" s="572" t="str">
        <f t="shared" si="22"/>
        <v/>
      </c>
      <c r="D464" s="573" t="str">
        <f>IFERROR(VLOOKUP(E464,Map!$B:$F,4,0),"")&amp;IFERROR(VLOOKUP(E464,Map!$B:$F,5,0),"")</f>
        <v/>
      </c>
      <c r="E464" s="574" t="str">
        <f t="shared" si="21"/>
        <v/>
      </c>
    </row>
    <row r="465" spans="2:5">
      <c r="B465" s="571" t="str">
        <f>IF(F465="","",(SUMIF(INTGRATE!$Y:$Y,data!D465,INTGRATE!$L:$L)+SUMIF(BRAN!$V:$V,data!D465,BRAN!$J:$J)))</f>
        <v/>
      </c>
      <c r="C465" s="572" t="str">
        <f t="shared" si="22"/>
        <v/>
      </c>
      <c r="D465" s="573" t="str">
        <f>IFERROR(VLOOKUP(E465,Map!$B:$F,4,0),"")&amp;IFERROR(VLOOKUP(E465,Map!$B:$F,5,0),"")</f>
        <v/>
      </c>
      <c r="E465" s="574" t="str">
        <f t="shared" si="21"/>
        <v/>
      </c>
    </row>
    <row r="466" spans="2:5">
      <c r="B466" s="571" t="str">
        <f>IF(F466="","",(SUMIF(INTGRATE!$Y:$Y,data!D466,INTGRATE!$L:$L)+SUMIF(BRAN!$V:$V,data!D466,BRAN!$J:$J)))</f>
        <v/>
      </c>
      <c r="C466" s="572" t="str">
        <f t="shared" si="22"/>
        <v/>
      </c>
      <c r="D466" s="573" t="str">
        <f>IFERROR(VLOOKUP(E466,Map!$B:$F,4,0),"")&amp;IFERROR(VLOOKUP(E466,Map!$B:$F,5,0),"")</f>
        <v/>
      </c>
      <c r="E466" s="574" t="str">
        <f t="shared" si="21"/>
        <v/>
      </c>
    </row>
    <row r="467" spans="2:5">
      <c r="B467" s="571" t="str">
        <f>IF(F467="","",(SUMIF(INTGRATE!$Y:$Y,data!D467,INTGRATE!$L:$L)+SUMIF(BRAN!$V:$V,data!D467,BRAN!$J:$J)))</f>
        <v/>
      </c>
      <c r="C467" s="572" t="str">
        <f t="shared" si="22"/>
        <v/>
      </c>
      <c r="D467" s="573" t="str">
        <f>IFERROR(VLOOKUP(E467,Map!$B:$F,4,0),"")&amp;IFERROR(VLOOKUP(E467,Map!$B:$F,5,0),"")</f>
        <v/>
      </c>
      <c r="E467" s="574" t="str">
        <f t="shared" si="21"/>
        <v/>
      </c>
    </row>
    <row r="468" spans="2:5">
      <c r="B468" s="571" t="str">
        <f>IF(F468="","",(SUMIF(INTGRATE!$Y:$Y,data!D468,INTGRATE!$L:$L)+SUMIF(BRAN!$V:$V,data!D468,BRAN!$J:$J)))</f>
        <v/>
      </c>
      <c r="C468" s="572" t="str">
        <f t="shared" si="22"/>
        <v/>
      </c>
      <c r="D468" s="573" t="str">
        <f>IFERROR(VLOOKUP(E468,Map!$B:$F,4,0),"")&amp;IFERROR(VLOOKUP(E468,Map!$B:$F,5,0),"")</f>
        <v/>
      </c>
      <c r="E468" s="574" t="str">
        <f t="shared" si="21"/>
        <v/>
      </c>
    </row>
    <row r="469" spans="2:5">
      <c r="B469" s="571" t="str">
        <f>IF(F469="","",(SUMIF(INTGRATE!$Y:$Y,data!D469,INTGRATE!$L:$L)+SUMIF(BRAN!$V:$V,data!D469,BRAN!$J:$J)))</f>
        <v/>
      </c>
      <c r="C469" s="572" t="str">
        <f t="shared" si="22"/>
        <v/>
      </c>
      <c r="D469" s="573" t="str">
        <f>IFERROR(VLOOKUP(E469,Map!$B:$F,4,0),"")&amp;IFERROR(VLOOKUP(E469,Map!$B:$F,5,0),"")</f>
        <v/>
      </c>
      <c r="E469" s="574" t="str">
        <f t="shared" si="21"/>
        <v/>
      </c>
    </row>
    <row r="470" spans="2:5">
      <c r="B470" s="571" t="str">
        <f>IF(F470="","",(SUMIF(INTGRATE!$Y:$Y,data!D470,INTGRATE!$L:$L)+SUMIF(BRAN!$V:$V,data!D470,BRAN!$J:$J)))</f>
        <v/>
      </c>
      <c r="C470" s="572" t="str">
        <f t="shared" si="22"/>
        <v/>
      </c>
      <c r="D470" s="573" t="str">
        <f>IFERROR(VLOOKUP(E470,Map!$B:$F,4,0),"")&amp;IFERROR(VLOOKUP(E470,Map!$B:$F,5,0),"")</f>
        <v/>
      </c>
      <c r="E470" s="574" t="str">
        <f t="shared" si="21"/>
        <v/>
      </c>
    </row>
    <row r="471" spans="2:5">
      <c r="B471" s="571" t="str">
        <f>IF(F471="","",(SUMIF(INTGRATE!$Y:$Y,data!D471,INTGRATE!$L:$L)+SUMIF(BRAN!$V:$V,data!D471,BRAN!$J:$J)))</f>
        <v/>
      </c>
      <c r="C471" s="572" t="str">
        <f t="shared" si="22"/>
        <v/>
      </c>
      <c r="D471" s="573" t="str">
        <f>IFERROR(VLOOKUP(E471,Map!$B:$F,4,0),"")&amp;IFERROR(VLOOKUP(E471,Map!$B:$F,5,0),"")</f>
        <v/>
      </c>
      <c r="E471" s="574" t="str">
        <f t="shared" si="21"/>
        <v/>
      </c>
    </row>
    <row r="472" spans="2:5">
      <c r="B472" s="571" t="str">
        <f>IF(F472="","",(SUMIF(INTGRATE!$Y:$Y,data!D472,INTGRATE!$L:$L)+SUMIF(BRAN!$V:$V,data!D472,BRAN!$J:$J)))</f>
        <v/>
      </c>
      <c r="C472" s="572" t="str">
        <f t="shared" si="22"/>
        <v/>
      </c>
      <c r="D472" s="573" t="str">
        <f>IFERROR(VLOOKUP(E472,Map!$B:$F,4,0),"")&amp;IFERROR(VLOOKUP(E472,Map!$B:$F,5,0),"")</f>
        <v/>
      </c>
      <c r="E472" s="574" t="str">
        <f t="shared" si="21"/>
        <v/>
      </c>
    </row>
    <row r="473" spans="2:5">
      <c r="B473" s="571" t="str">
        <f>IF(F473="","",(SUMIF(INTGRATE!$Y:$Y,data!D473,INTGRATE!$L:$L)+SUMIF(BRAN!$V:$V,data!D473,BRAN!$J:$J)))</f>
        <v/>
      </c>
      <c r="C473" s="572" t="str">
        <f t="shared" si="22"/>
        <v/>
      </c>
      <c r="D473" s="573" t="str">
        <f>IFERROR(VLOOKUP(E473,Map!$B:$F,4,0),"")&amp;IFERROR(VLOOKUP(E473,Map!$B:$F,5,0),"")</f>
        <v/>
      </c>
      <c r="E473" s="574" t="str">
        <f t="shared" si="21"/>
        <v/>
      </c>
    </row>
    <row r="474" spans="2:5">
      <c r="B474" s="571" t="str">
        <f>IF(F474="","",(SUMIF(INTGRATE!$Y:$Y,data!D474,INTGRATE!$L:$L)+SUMIF(BRAN!$V:$V,data!D474,BRAN!$J:$J)))</f>
        <v/>
      </c>
      <c r="C474" s="572" t="str">
        <f t="shared" si="22"/>
        <v/>
      </c>
      <c r="D474" s="573" t="str">
        <f>IFERROR(VLOOKUP(E474,Map!$B:$F,4,0),"")&amp;IFERROR(VLOOKUP(E474,Map!$B:$F,5,0),"")</f>
        <v/>
      </c>
      <c r="E474" s="574" t="str">
        <f t="shared" si="21"/>
        <v/>
      </c>
    </row>
    <row r="475" spans="2:5">
      <c r="B475" s="571" t="str">
        <f>IF(F475="","",(SUMIF(INTGRATE!$Y:$Y,data!D475,INTGRATE!$L:$L)+SUMIF(BRAN!$V:$V,data!D475,BRAN!$J:$J)))</f>
        <v/>
      </c>
      <c r="C475" s="572" t="str">
        <f t="shared" si="22"/>
        <v/>
      </c>
      <c r="D475" s="573" t="str">
        <f>IFERROR(VLOOKUP(E475,Map!$B:$F,4,0),"")&amp;IFERROR(VLOOKUP(E475,Map!$B:$F,5,0),"")</f>
        <v/>
      </c>
      <c r="E475" s="574" t="str">
        <f t="shared" si="21"/>
        <v/>
      </c>
    </row>
    <row r="476" spans="2:5">
      <c r="B476" s="571" t="str">
        <f>IF(F476="","",(SUMIF(INTGRATE!$Y:$Y,data!D476,INTGRATE!$L:$L)+SUMIF(BRAN!$V:$V,data!D476,BRAN!$J:$J)))</f>
        <v/>
      </c>
      <c r="C476" s="572" t="str">
        <f t="shared" si="22"/>
        <v/>
      </c>
      <c r="D476" s="573" t="str">
        <f>IFERROR(VLOOKUP(E476,Map!$B:$F,4,0),"")&amp;IFERROR(VLOOKUP(E476,Map!$B:$F,5,0),"")</f>
        <v/>
      </c>
      <c r="E476" s="574" t="str">
        <f t="shared" si="21"/>
        <v/>
      </c>
    </row>
    <row r="477" spans="2:5">
      <c r="B477" s="571" t="str">
        <f>IF(F477="","",(SUMIF(INTGRATE!$Y:$Y,data!D477,INTGRATE!$L:$L)+SUMIF(BRAN!$V:$V,data!D477,BRAN!$J:$J)))</f>
        <v/>
      </c>
      <c r="C477" s="572" t="str">
        <f t="shared" si="22"/>
        <v/>
      </c>
      <c r="D477" s="573" t="str">
        <f>IFERROR(VLOOKUP(E477,Map!$B:$F,4,0),"")&amp;IFERROR(VLOOKUP(E477,Map!$B:$F,5,0),"")</f>
        <v/>
      </c>
      <c r="E477" s="574" t="str">
        <f t="shared" si="21"/>
        <v/>
      </c>
    </row>
    <row r="478" spans="2:5">
      <c r="B478" s="571" t="str">
        <f>IF(F478="","",(SUMIF(INTGRATE!$Y:$Y,data!D478,INTGRATE!$L:$L)+SUMIF(BRAN!$V:$V,data!D478,BRAN!$J:$J)))</f>
        <v/>
      </c>
      <c r="C478" s="572" t="str">
        <f t="shared" si="22"/>
        <v/>
      </c>
      <c r="D478" s="573" t="str">
        <f>IFERROR(VLOOKUP(E478,Map!$B:$F,4,0),"")&amp;IFERROR(VLOOKUP(E478,Map!$B:$F,5,0),"")</f>
        <v/>
      </c>
      <c r="E478" s="574" t="str">
        <f t="shared" si="21"/>
        <v/>
      </c>
    </row>
    <row r="479" spans="2:5">
      <c r="B479" s="571" t="str">
        <f>IF(F479="","",(SUMIF(INTGRATE!$Y:$Y,data!D479,INTGRATE!$L:$L)+SUMIF(BRAN!$V:$V,data!D479,BRAN!$J:$J)))</f>
        <v/>
      </c>
      <c r="C479" s="572" t="str">
        <f t="shared" si="22"/>
        <v/>
      </c>
      <c r="D479" s="573" t="str">
        <f>IFERROR(VLOOKUP(E479,Map!$B:$F,4,0),"")&amp;IFERROR(VLOOKUP(E479,Map!$B:$F,5,0),"")</f>
        <v/>
      </c>
      <c r="E479" s="574" t="str">
        <f t="shared" si="21"/>
        <v/>
      </c>
    </row>
    <row r="480" spans="2:5">
      <c r="B480" s="571" t="str">
        <f>IF(F480="","",(SUMIF(INTGRATE!$Y:$Y,data!D480,INTGRATE!$L:$L)+SUMIF(BRAN!$V:$V,data!D480,BRAN!$J:$J)))</f>
        <v/>
      </c>
      <c r="C480" s="572" t="str">
        <f t="shared" si="22"/>
        <v/>
      </c>
      <c r="D480" s="573" t="str">
        <f>IFERROR(VLOOKUP(E480,Map!$B:$F,4,0),"")&amp;IFERROR(VLOOKUP(E480,Map!$B:$F,5,0),"")</f>
        <v/>
      </c>
      <c r="E480" s="574" t="str">
        <f t="shared" ref="E480:E543" si="23">IF(MID(F480,10,2)="99",F480&amp;H480,LEFT(F480,14))</f>
        <v/>
      </c>
    </row>
    <row r="481" spans="2:5">
      <c r="B481" s="571" t="str">
        <f>IF(F481="","",(SUMIF(INTGRATE!$Y:$Y,data!D481,INTGRATE!$L:$L)+SUMIF(BRAN!$V:$V,data!D481,BRAN!$J:$J)))</f>
        <v/>
      </c>
      <c r="C481" s="572" t="str">
        <f t="shared" si="22"/>
        <v/>
      </c>
      <c r="D481" s="573" t="str">
        <f>IFERROR(VLOOKUP(E481,Map!$B:$F,4,0),"")&amp;IFERROR(VLOOKUP(E481,Map!$B:$F,5,0),"")</f>
        <v/>
      </c>
      <c r="E481" s="574" t="str">
        <f t="shared" si="23"/>
        <v/>
      </c>
    </row>
    <row r="482" spans="2:5">
      <c r="B482" s="571" t="str">
        <f>IF(F482="","",(SUMIF(INTGRATE!$Y:$Y,data!D482,INTGRATE!$L:$L)+SUMIF(BRAN!$V:$V,data!D482,BRAN!$J:$J)))</f>
        <v/>
      </c>
      <c r="C482" s="572" t="str">
        <f t="shared" si="22"/>
        <v/>
      </c>
      <c r="D482" s="573" t="str">
        <f>IFERROR(VLOOKUP(E482,Map!$B:$F,4,0),"")&amp;IFERROR(VLOOKUP(E482,Map!$B:$F,5,0),"")</f>
        <v/>
      </c>
      <c r="E482" s="574" t="str">
        <f t="shared" si="23"/>
        <v/>
      </c>
    </row>
    <row r="483" spans="2:5">
      <c r="B483" s="571" t="str">
        <f>IF(F483="","",(SUMIF(INTGRATE!$Y:$Y,data!D483,INTGRATE!$L:$L)+SUMIF(BRAN!$V:$V,data!D483,BRAN!$J:$J)))</f>
        <v/>
      </c>
      <c r="C483" s="572" t="str">
        <f t="shared" si="22"/>
        <v/>
      </c>
      <c r="D483" s="573" t="str">
        <f>IFERROR(VLOOKUP(E483,Map!$B:$F,4,0),"")&amp;IFERROR(VLOOKUP(E483,Map!$B:$F,5,0),"")</f>
        <v/>
      </c>
      <c r="E483" s="574" t="str">
        <f t="shared" si="23"/>
        <v/>
      </c>
    </row>
    <row r="484" spans="2:5">
      <c r="B484" s="571" t="str">
        <f>IF(F484="","",(SUMIF(INTGRATE!$Y:$Y,data!D484,INTGRATE!$L:$L)+SUMIF(BRAN!$V:$V,data!D484,BRAN!$J:$J)))</f>
        <v/>
      </c>
      <c r="C484" s="572" t="str">
        <f t="shared" si="22"/>
        <v/>
      </c>
      <c r="D484" s="573" t="str">
        <f>IFERROR(VLOOKUP(E484,Map!$B:$F,4,0),"")&amp;IFERROR(VLOOKUP(E484,Map!$B:$F,5,0),"")</f>
        <v/>
      </c>
      <c r="E484" s="574" t="str">
        <f t="shared" si="23"/>
        <v/>
      </c>
    </row>
    <row r="485" spans="2:5">
      <c r="B485" s="571" t="str">
        <f>IF(F485="","",(SUMIF(INTGRATE!$Y:$Y,data!D485,INTGRATE!$L:$L)+SUMIF(BRAN!$V:$V,data!D485,BRAN!$J:$J)))</f>
        <v/>
      </c>
      <c r="C485" s="572" t="str">
        <f t="shared" si="22"/>
        <v/>
      </c>
      <c r="D485" s="573" t="str">
        <f>IFERROR(VLOOKUP(E485,Map!$B:$F,4,0),"")&amp;IFERROR(VLOOKUP(E485,Map!$B:$F,5,0),"")</f>
        <v/>
      </c>
      <c r="E485" s="574" t="str">
        <f t="shared" si="23"/>
        <v/>
      </c>
    </row>
    <row r="486" spans="2:5">
      <c r="B486" s="571" t="str">
        <f>IF(F486="","",(SUMIF(INTGRATE!$Y:$Y,data!D486,INTGRATE!$L:$L)+SUMIF(BRAN!$V:$V,data!D486,BRAN!$J:$J)))</f>
        <v/>
      </c>
      <c r="C486" s="572" t="str">
        <f t="shared" si="22"/>
        <v/>
      </c>
      <c r="D486" s="573" t="str">
        <f>IFERROR(VLOOKUP(E486,Map!$B:$F,4,0),"")&amp;IFERROR(VLOOKUP(E486,Map!$B:$F,5,0),"")</f>
        <v/>
      </c>
      <c r="E486" s="574" t="str">
        <f t="shared" si="23"/>
        <v/>
      </c>
    </row>
    <row r="487" spans="2:5">
      <c r="B487" s="571" t="str">
        <f>IF(F487="","",(SUMIF(INTGRATE!$Y:$Y,data!D487,INTGRATE!$L:$L)+SUMIF(BRAN!$V:$V,data!D487,BRAN!$J:$J)))</f>
        <v/>
      </c>
      <c r="C487" s="572" t="str">
        <f t="shared" si="22"/>
        <v/>
      </c>
      <c r="D487" s="573" t="str">
        <f>IFERROR(VLOOKUP(E487,Map!$B:$F,4,0),"")&amp;IFERROR(VLOOKUP(E487,Map!$B:$F,5,0),"")</f>
        <v/>
      </c>
      <c r="E487" s="574" t="str">
        <f t="shared" si="23"/>
        <v/>
      </c>
    </row>
    <row r="488" spans="2:5">
      <c r="B488" s="571" t="str">
        <f>IF(F488="","",(SUMIF(INTGRATE!$Y:$Y,data!D488,INTGRATE!$L:$L)+SUMIF(BRAN!$V:$V,data!D488,BRAN!$J:$J)))</f>
        <v/>
      </c>
      <c r="C488" s="572" t="str">
        <f t="shared" si="22"/>
        <v/>
      </c>
      <c r="D488" s="573" t="str">
        <f>IFERROR(VLOOKUP(E488,Map!$B:$F,4,0),"")&amp;IFERROR(VLOOKUP(E488,Map!$B:$F,5,0),"")</f>
        <v/>
      </c>
      <c r="E488" s="574" t="str">
        <f t="shared" si="23"/>
        <v/>
      </c>
    </row>
    <row r="489" spans="2:5">
      <c r="B489" s="571" t="str">
        <f>IF(F489="","",(SUMIF(INTGRATE!$Y:$Y,data!D489,INTGRATE!$L:$L)+SUMIF(BRAN!$V:$V,data!D489,BRAN!$J:$J)))</f>
        <v/>
      </c>
      <c r="C489" s="572" t="str">
        <f t="shared" si="22"/>
        <v/>
      </c>
      <c r="D489" s="573" t="str">
        <f>IFERROR(VLOOKUP(E489,Map!$B:$F,4,0),"")&amp;IFERROR(VLOOKUP(E489,Map!$B:$F,5,0),"")</f>
        <v/>
      </c>
      <c r="E489" s="574" t="str">
        <f t="shared" si="23"/>
        <v/>
      </c>
    </row>
    <row r="490" spans="2:5">
      <c r="B490" s="571" t="str">
        <f>IF(F490="","",(SUMIF(INTGRATE!$Y:$Y,data!D490,INTGRATE!$L:$L)+SUMIF(BRAN!$V:$V,data!D490,BRAN!$J:$J)))</f>
        <v/>
      </c>
      <c r="C490" s="572" t="str">
        <f t="shared" si="22"/>
        <v/>
      </c>
      <c r="D490" s="573" t="str">
        <f>IFERROR(VLOOKUP(E490,Map!$B:$F,4,0),"")&amp;IFERROR(VLOOKUP(E490,Map!$B:$F,5,0),"")</f>
        <v/>
      </c>
      <c r="E490" s="574" t="str">
        <f t="shared" si="23"/>
        <v/>
      </c>
    </row>
    <row r="491" spans="2:5">
      <c r="B491" s="571" t="str">
        <f>IF(F491="","",(SUMIF(INTGRATE!$Y:$Y,data!D491,INTGRATE!$L:$L)+SUMIF(BRAN!$V:$V,data!D491,BRAN!$J:$J)))</f>
        <v/>
      </c>
      <c r="C491" s="572" t="str">
        <f t="shared" si="22"/>
        <v/>
      </c>
      <c r="D491" s="573" t="str">
        <f>IFERROR(VLOOKUP(E491,Map!$B:$F,4,0),"")&amp;IFERROR(VLOOKUP(E491,Map!$B:$F,5,0),"")</f>
        <v/>
      </c>
      <c r="E491" s="574" t="str">
        <f t="shared" si="23"/>
        <v/>
      </c>
    </row>
    <row r="492" spans="2:5">
      <c r="B492" s="571" t="str">
        <f>IF(F492="","",(SUMIF(INTGRATE!$Y:$Y,data!D492,INTGRATE!$L:$L)+SUMIF(BRAN!$V:$V,data!D492,BRAN!$J:$J)))</f>
        <v/>
      </c>
      <c r="C492" s="572" t="str">
        <f t="shared" si="22"/>
        <v/>
      </c>
      <c r="D492" s="573" t="str">
        <f>IFERROR(VLOOKUP(E492,Map!$B:$F,4,0),"")&amp;IFERROR(VLOOKUP(E492,Map!$B:$F,5,0),"")</f>
        <v/>
      </c>
      <c r="E492" s="574" t="str">
        <f t="shared" si="23"/>
        <v/>
      </c>
    </row>
    <row r="493" spans="2:5">
      <c r="B493" s="571" t="str">
        <f>IF(F493="","",(SUMIF(INTGRATE!$Y:$Y,data!D493,INTGRATE!$L:$L)+SUMIF(BRAN!$V:$V,data!D493,BRAN!$J:$J)))</f>
        <v/>
      </c>
      <c r="C493" s="572" t="str">
        <f t="shared" si="22"/>
        <v/>
      </c>
      <c r="D493" s="573" t="str">
        <f>IFERROR(VLOOKUP(E493,Map!$B:$F,4,0),"")&amp;IFERROR(VLOOKUP(E493,Map!$B:$F,5,0),"")</f>
        <v/>
      </c>
      <c r="E493" s="574" t="str">
        <f t="shared" si="23"/>
        <v/>
      </c>
    </row>
    <row r="494" spans="2:5">
      <c r="B494" s="571" t="str">
        <f>IF(F494="","",(SUMIF(INTGRATE!$Y:$Y,data!D494,INTGRATE!$L:$L)+SUMIF(BRAN!$V:$V,data!D494,BRAN!$J:$J)))</f>
        <v/>
      </c>
      <c r="C494" s="572" t="str">
        <f t="shared" si="22"/>
        <v/>
      </c>
      <c r="D494" s="573" t="str">
        <f>IFERROR(VLOOKUP(E494,Map!$B:$F,4,0),"")&amp;IFERROR(VLOOKUP(E494,Map!$B:$F,5,0),"")</f>
        <v/>
      </c>
      <c r="E494" s="574" t="str">
        <f t="shared" si="23"/>
        <v/>
      </c>
    </row>
    <row r="495" spans="2:5">
      <c r="B495" s="571" t="str">
        <f>IF(F495="","",(SUMIF(INTGRATE!$Y:$Y,data!D495,INTGRATE!$L:$L)+SUMIF(BRAN!$V:$V,data!D495,BRAN!$J:$J)))</f>
        <v/>
      </c>
      <c r="C495" s="572" t="str">
        <f t="shared" si="22"/>
        <v/>
      </c>
      <c r="D495" s="573" t="str">
        <f>IFERROR(VLOOKUP(E495,Map!$B:$F,4,0),"")&amp;IFERROR(VLOOKUP(E495,Map!$B:$F,5,0),"")</f>
        <v/>
      </c>
      <c r="E495" s="574" t="str">
        <f t="shared" si="23"/>
        <v/>
      </c>
    </row>
    <row r="496" spans="2:5">
      <c r="B496" s="571" t="str">
        <f>IF(F496="","",(SUMIF(INTGRATE!$Y:$Y,data!D496,INTGRATE!$L:$L)+SUMIF(BRAN!$V:$V,data!D496,BRAN!$J:$J)))</f>
        <v/>
      </c>
      <c r="C496" s="572" t="str">
        <f t="shared" si="22"/>
        <v/>
      </c>
      <c r="D496" s="573" t="str">
        <f>IFERROR(VLOOKUP(E496,Map!$B:$F,4,0),"")&amp;IFERROR(VLOOKUP(E496,Map!$B:$F,5,0),"")</f>
        <v/>
      </c>
      <c r="E496" s="574" t="str">
        <f t="shared" si="23"/>
        <v/>
      </c>
    </row>
    <row r="497" spans="2:5">
      <c r="B497" s="571" t="str">
        <f>IF(F497="","",(SUMIF(INTGRATE!$Y:$Y,data!D497,INTGRATE!$L:$L)+SUMIF(BRAN!$V:$V,data!D497,BRAN!$J:$J)))</f>
        <v/>
      </c>
      <c r="C497" s="572" t="str">
        <f t="shared" si="22"/>
        <v/>
      </c>
      <c r="D497" s="573" t="str">
        <f>IFERROR(VLOOKUP(E497,Map!$B:$F,4,0),"")&amp;IFERROR(VLOOKUP(E497,Map!$B:$F,5,0),"")</f>
        <v/>
      </c>
      <c r="E497" s="574" t="str">
        <f t="shared" si="23"/>
        <v/>
      </c>
    </row>
    <row r="498" spans="2:5">
      <c r="B498" s="571" t="str">
        <f>IF(F498="","",(SUMIF(INTGRATE!$Y:$Y,data!D498,INTGRATE!$L:$L)+SUMIF(BRAN!$V:$V,data!D498,BRAN!$J:$J)))</f>
        <v/>
      </c>
      <c r="C498" s="572" t="str">
        <f t="shared" si="22"/>
        <v/>
      </c>
      <c r="D498" s="573" t="str">
        <f>IFERROR(VLOOKUP(E498,Map!$B:$F,4,0),"")&amp;IFERROR(VLOOKUP(E498,Map!$B:$F,5,0),"")</f>
        <v/>
      </c>
      <c r="E498" s="574" t="str">
        <f t="shared" si="23"/>
        <v/>
      </c>
    </row>
    <row r="499" spans="2:5">
      <c r="B499" s="571" t="str">
        <f>IF(F499="","",(SUMIF(INTGRATE!$Y:$Y,data!D499,INTGRATE!$L:$L)+SUMIF(BRAN!$V:$V,data!D499,BRAN!$J:$J)))</f>
        <v/>
      </c>
      <c r="C499" s="572" t="str">
        <f t="shared" si="22"/>
        <v/>
      </c>
      <c r="D499" s="573" t="str">
        <f>IFERROR(VLOOKUP(E499,Map!$B:$F,4,0),"")&amp;IFERROR(VLOOKUP(E499,Map!$B:$F,5,0),"")</f>
        <v/>
      </c>
      <c r="E499" s="574" t="str">
        <f t="shared" si="23"/>
        <v/>
      </c>
    </row>
    <row r="500" spans="2:5">
      <c r="B500" s="571" t="str">
        <f>IF(F500="","",(SUMIF(INTGRATE!$Y:$Y,data!D500,INTGRATE!$L:$L)+SUMIF(BRAN!$V:$V,data!D500,BRAN!$J:$J)))</f>
        <v/>
      </c>
      <c r="C500" s="572" t="str">
        <f t="shared" si="22"/>
        <v/>
      </c>
      <c r="D500" s="573" t="str">
        <f>IFERROR(VLOOKUP(E500,Map!$B:$F,4,0),"")&amp;IFERROR(VLOOKUP(E500,Map!$B:$F,5,0),"")</f>
        <v/>
      </c>
      <c r="E500" s="574" t="str">
        <f t="shared" si="23"/>
        <v/>
      </c>
    </row>
    <row r="501" spans="2:5">
      <c r="B501" s="571" t="str">
        <f>IF(F501="","",(SUMIF(INTGRATE!$Y:$Y,data!D501,INTGRATE!$L:$L)+SUMIF(BRAN!$V:$V,data!D501,BRAN!$J:$J)))</f>
        <v/>
      </c>
      <c r="C501" s="572" t="str">
        <f t="shared" si="22"/>
        <v/>
      </c>
      <c r="D501" s="573" t="str">
        <f>IFERROR(VLOOKUP(E501,Map!$B:$F,4,0),"")&amp;IFERROR(VLOOKUP(E501,Map!$B:$F,5,0),"")</f>
        <v/>
      </c>
      <c r="E501" s="574" t="str">
        <f t="shared" si="23"/>
        <v/>
      </c>
    </row>
    <row r="502" spans="2:5">
      <c r="B502" s="571" t="str">
        <f>IF(F502="","",(SUMIF(INTGRATE!$Y:$Y,data!D502,INTGRATE!$L:$L)+SUMIF(BRAN!$V:$V,data!D502,BRAN!$J:$J)))</f>
        <v/>
      </c>
      <c r="C502" s="572" t="str">
        <f t="shared" si="22"/>
        <v/>
      </c>
      <c r="D502" s="573" t="str">
        <f>IFERROR(VLOOKUP(E502,Map!$B:$F,4,0),"")&amp;IFERROR(VLOOKUP(E502,Map!$B:$F,5,0),"")</f>
        <v/>
      </c>
      <c r="E502" s="574" t="str">
        <f t="shared" si="23"/>
        <v/>
      </c>
    </row>
    <row r="503" spans="2:5">
      <c r="B503" s="571" t="str">
        <f>IF(F503="","",(SUMIF(INTGRATE!$Y:$Y,data!D503,INTGRATE!$L:$L)+SUMIF(BRAN!$V:$V,data!D503,BRAN!$J:$J)))</f>
        <v/>
      </c>
      <c r="C503" s="572" t="str">
        <f t="shared" si="22"/>
        <v/>
      </c>
      <c r="D503" s="573" t="str">
        <f>IFERROR(VLOOKUP(E503,Map!$B:$F,4,0),"")&amp;IFERROR(VLOOKUP(E503,Map!$B:$F,5,0),"")</f>
        <v/>
      </c>
      <c r="E503" s="574" t="str">
        <f t="shared" si="23"/>
        <v/>
      </c>
    </row>
    <row r="504" spans="2:5">
      <c r="B504" s="571" t="str">
        <f>IF(F504="","",(SUMIF(INTGRATE!$Y:$Y,data!D504,INTGRATE!$L:$L)+SUMIF(BRAN!$V:$V,data!D504,BRAN!$J:$J)))</f>
        <v/>
      </c>
      <c r="C504" s="572" t="str">
        <f t="shared" si="22"/>
        <v/>
      </c>
      <c r="D504" s="573" t="str">
        <f>IFERROR(VLOOKUP(E504,Map!$B:$F,4,0),"")&amp;IFERROR(VLOOKUP(E504,Map!$B:$F,5,0),"")</f>
        <v/>
      </c>
      <c r="E504" s="574" t="str">
        <f t="shared" si="23"/>
        <v/>
      </c>
    </row>
    <row r="505" spans="2:5">
      <c r="B505" s="571" t="str">
        <f>IF(F505="","",(SUMIF(INTGRATE!$Y:$Y,data!D505,INTGRATE!$L:$L)+SUMIF(BRAN!$V:$V,data!D505,BRAN!$J:$J)))</f>
        <v/>
      </c>
      <c r="C505" s="572" t="str">
        <f t="shared" si="22"/>
        <v/>
      </c>
      <c r="D505" s="573" t="str">
        <f>IFERROR(VLOOKUP(E505,Map!$B:$F,4,0),"")&amp;IFERROR(VLOOKUP(E505,Map!$B:$F,5,0),"")</f>
        <v/>
      </c>
      <c r="E505" s="574" t="str">
        <f t="shared" si="23"/>
        <v/>
      </c>
    </row>
    <row r="506" spans="2:5">
      <c r="B506" s="571" t="str">
        <f>IF(F506="","",(SUMIF(INTGRATE!$Y:$Y,data!D506,INTGRATE!$L:$L)+SUMIF(BRAN!$V:$V,data!D506,BRAN!$J:$J)))</f>
        <v/>
      </c>
      <c r="C506" s="572" t="str">
        <f t="shared" si="22"/>
        <v/>
      </c>
      <c r="D506" s="573" t="str">
        <f>IFERROR(VLOOKUP(E506,Map!$B:$F,4,0),"")&amp;IFERROR(VLOOKUP(E506,Map!$B:$F,5,0),"")</f>
        <v/>
      </c>
      <c r="E506" s="574" t="str">
        <f t="shared" si="23"/>
        <v/>
      </c>
    </row>
    <row r="507" spans="2:5">
      <c r="B507" s="571" t="str">
        <f>IF(F507="","",(SUMIF(INTGRATE!$Y:$Y,data!D507,INTGRATE!$L:$L)+SUMIF(BRAN!$V:$V,data!D507,BRAN!$J:$J)))</f>
        <v/>
      </c>
      <c r="C507" s="572" t="str">
        <f t="shared" si="22"/>
        <v/>
      </c>
      <c r="D507" s="573" t="str">
        <f>IFERROR(VLOOKUP(E507,Map!$B:$F,4,0),"")&amp;IFERROR(VLOOKUP(E507,Map!$B:$F,5,0),"")</f>
        <v/>
      </c>
      <c r="E507" s="574" t="str">
        <f t="shared" si="23"/>
        <v/>
      </c>
    </row>
    <row r="508" spans="2:5">
      <c r="B508" s="571" t="str">
        <f>IF(F508="","",(SUMIF(INTGRATE!$Y:$Y,data!D508,INTGRATE!$L:$L)+SUMIF(BRAN!$V:$V,data!D508,BRAN!$J:$J)))</f>
        <v/>
      </c>
      <c r="C508" s="572" t="str">
        <f t="shared" si="22"/>
        <v/>
      </c>
      <c r="D508" s="573" t="str">
        <f>IFERROR(VLOOKUP(E508,Map!$B:$F,4,0),"")&amp;IFERROR(VLOOKUP(E508,Map!$B:$F,5,0),"")</f>
        <v/>
      </c>
      <c r="E508" s="574" t="str">
        <f t="shared" si="23"/>
        <v/>
      </c>
    </row>
    <row r="509" spans="2:5">
      <c r="B509" s="571" t="str">
        <f>IF(F509="","",(SUMIF(INTGRATE!$Y:$Y,data!D509,INTGRATE!$L:$L)+SUMIF(BRAN!$V:$V,data!D509,BRAN!$J:$J)))</f>
        <v/>
      </c>
      <c r="C509" s="572" t="str">
        <f t="shared" si="22"/>
        <v/>
      </c>
      <c r="D509" s="573" t="str">
        <f>IFERROR(VLOOKUP(E509,Map!$B:$F,4,0),"")&amp;IFERROR(VLOOKUP(E509,Map!$B:$F,5,0),"")</f>
        <v/>
      </c>
      <c r="E509" s="574" t="str">
        <f t="shared" si="23"/>
        <v/>
      </c>
    </row>
    <row r="510" spans="2:5">
      <c r="B510" s="571" t="str">
        <f>IF(F510="","",(SUMIF(INTGRATE!$Y:$Y,data!D510,INTGRATE!$L:$L)+SUMIF(BRAN!$V:$V,data!D510,BRAN!$J:$J)))</f>
        <v/>
      </c>
      <c r="C510" s="572" t="str">
        <f t="shared" si="22"/>
        <v/>
      </c>
      <c r="D510" s="573" t="str">
        <f>IFERROR(VLOOKUP(E510,Map!$B:$F,4,0),"")&amp;IFERROR(VLOOKUP(E510,Map!$B:$F,5,0),"")</f>
        <v/>
      </c>
      <c r="E510" s="574" t="str">
        <f t="shared" si="23"/>
        <v/>
      </c>
    </row>
    <row r="511" spans="2:5">
      <c r="B511" s="571" t="str">
        <f>IF(F511="","",(SUMIF(INTGRATE!$Y:$Y,data!D511,INTGRATE!$L:$L)+SUMIF(BRAN!$V:$V,data!D511,BRAN!$J:$J)))</f>
        <v/>
      </c>
      <c r="C511" s="572" t="str">
        <f t="shared" ref="C511:C574" si="24">IF(F511="","",B511-K511)</f>
        <v/>
      </c>
      <c r="D511" s="573" t="str">
        <f>IFERROR(VLOOKUP(E511,Map!$B:$F,4,0),"")&amp;IFERROR(VLOOKUP(E511,Map!$B:$F,5,0),"")</f>
        <v/>
      </c>
      <c r="E511" s="574" t="str">
        <f t="shared" si="23"/>
        <v/>
      </c>
    </row>
    <row r="512" spans="2:5">
      <c r="B512" s="571" t="str">
        <f>IF(F512="","",(SUMIF(INTGRATE!$Y:$Y,data!D512,INTGRATE!$L:$L)+SUMIF(BRAN!$V:$V,data!D512,BRAN!$J:$J)))</f>
        <v/>
      </c>
      <c r="C512" s="572" t="str">
        <f t="shared" si="24"/>
        <v/>
      </c>
      <c r="D512" s="573" t="str">
        <f>IFERROR(VLOOKUP(E512,Map!$B:$F,4,0),"")&amp;IFERROR(VLOOKUP(E512,Map!$B:$F,5,0),"")</f>
        <v/>
      </c>
      <c r="E512" s="574" t="str">
        <f t="shared" si="23"/>
        <v/>
      </c>
    </row>
    <row r="513" spans="2:5">
      <c r="B513" s="571" t="str">
        <f>IF(F513="","",(SUMIF(INTGRATE!$Y:$Y,data!D513,INTGRATE!$L:$L)+SUMIF(BRAN!$V:$V,data!D513,BRAN!$J:$J)))</f>
        <v/>
      </c>
      <c r="C513" s="572" t="str">
        <f t="shared" si="24"/>
        <v/>
      </c>
      <c r="D513" s="573" t="str">
        <f>IFERROR(VLOOKUP(E513,Map!$B:$F,4,0),"")&amp;IFERROR(VLOOKUP(E513,Map!$B:$F,5,0),"")</f>
        <v/>
      </c>
      <c r="E513" s="574" t="str">
        <f t="shared" si="23"/>
        <v/>
      </c>
    </row>
    <row r="514" spans="2:5">
      <c r="B514" s="571" t="str">
        <f>IF(F514="","",(SUMIF(INTGRATE!$Y:$Y,data!D514,INTGRATE!$L:$L)+SUMIF(BRAN!$V:$V,data!D514,BRAN!$J:$J)))</f>
        <v/>
      </c>
      <c r="C514" s="572" t="str">
        <f t="shared" si="24"/>
        <v/>
      </c>
      <c r="D514" s="573" t="str">
        <f>IFERROR(VLOOKUP(E514,Map!$B:$F,4,0),"")&amp;IFERROR(VLOOKUP(E514,Map!$B:$F,5,0),"")</f>
        <v/>
      </c>
      <c r="E514" s="574" t="str">
        <f t="shared" si="23"/>
        <v/>
      </c>
    </row>
    <row r="515" spans="2:5">
      <c r="B515" s="571" t="str">
        <f>IF(F515="","",(SUMIF(INTGRATE!$Y:$Y,data!D515,INTGRATE!$L:$L)+SUMIF(BRAN!$V:$V,data!D515,BRAN!$J:$J)))</f>
        <v/>
      </c>
      <c r="C515" s="572" t="str">
        <f t="shared" si="24"/>
        <v/>
      </c>
      <c r="D515" s="573" t="str">
        <f>IFERROR(VLOOKUP(E515,Map!$B:$F,4,0),"")&amp;IFERROR(VLOOKUP(E515,Map!$B:$F,5,0),"")</f>
        <v/>
      </c>
      <c r="E515" s="574" t="str">
        <f t="shared" si="23"/>
        <v/>
      </c>
    </row>
    <row r="516" spans="2:5">
      <c r="B516" s="571" t="str">
        <f>IF(F516="","",(SUMIF(INTGRATE!$Y:$Y,data!D516,INTGRATE!$L:$L)+SUMIF(BRAN!$V:$V,data!D516,BRAN!$J:$J)))</f>
        <v/>
      </c>
      <c r="C516" s="572" t="str">
        <f t="shared" si="24"/>
        <v/>
      </c>
      <c r="D516" s="573" t="str">
        <f>IFERROR(VLOOKUP(E516,Map!$B:$F,4,0),"")&amp;IFERROR(VLOOKUP(E516,Map!$B:$F,5,0),"")</f>
        <v/>
      </c>
      <c r="E516" s="574" t="str">
        <f t="shared" si="23"/>
        <v/>
      </c>
    </row>
    <row r="517" spans="2:5">
      <c r="B517" s="571" t="str">
        <f>IF(F517="","",(SUMIF(INTGRATE!$Y:$Y,data!D517,INTGRATE!$L:$L)+SUMIF(BRAN!$V:$V,data!D517,BRAN!$J:$J)))</f>
        <v/>
      </c>
      <c r="C517" s="572" t="str">
        <f t="shared" si="24"/>
        <v/>
      </c>
      <c r="D517" s="573" t="str">
        <f>IFERROR(VLOOKUP(E517,Map!$B:$F,4,0),"")&amp;IFERROR(VLOOKUP(E517,Map!$B:$F,5,0),"")</f>
        <v/>
      </c>
      <c r="E517" s="574" t="str">
        <f t="shared" si="23"/>
        <v/>
      </c>
    </row>
    <row r="518" spans="2:5">
      <c r="B518" s="571" t="str">
        <f>IF(F518="","",(SUMIF(INTGRATE!$Y:$Y,data!D518,INTGRATE!$L:$L)+SUMIF(BRAN!$V:$V,data!D518,BRAN!$J:$J)))</f>
        <v/>
      </c>
      <c r="C518" s="572" t="str">
        <f t="shared" si="24"/>
        <v/>
      </c>
      <c r="D518" s="573" t="str">
        <f>IFERROR(VLOOKUP(E518,Map!$B:$F,4,0),"")&amp;IFERROR(VLOOKUP(E518,Map!$B:$F,5,0),"")</f>
        <v/>
      </c>
      <c r="E518" s="574" t="str">
        <f t="shared" si="23"/>
        <v/>
      </c>
    </row>
    <row r="519" spans="2:5">
      <c r="B519" s="571" t="str">
        <f>IF(F519="","",(SUMIF(INTGRATE!$Y:$Y,data!D519,INTGRATE!$L:$L)+SUMIF(BRAN!$V:$V,data!D519,BRAN!$J:$J)))</f>
        <v/>
      </c>
      <c r="C519" s="572" t="str">
        <f t="shared" si="24"/>
        <v/>
      </c>
      <c r="D519" s="573" t="str">
        <f>IFERROR(VLOOKUP(E519,Map!$B:$F,4,0),"")&amp;IFERROR(VLOOKUP(E519,Map!$B:$F,5,0),"")</f>
        <v/>
      </c>
      <c r="E519" s="574" t="str">
        <f t="shared" si="23"/>
        <v/>
      </c>
    </row>
    <row r="520" spans="2:5">
      <c r="B520" s="571" t="str">
        <f>IF(F520="","",(SUMIF(INTGRATE!$Y:$Y,data!D520,INTGRATE!$L:$L)+SUMIF(BRAN!$V:$V,data!D520,BRAN!$J:$J)))</f>
        <v/>
      </c>
      <c r="C520" s="572" t="str">
        <f t="shared" si="24"/>
        <v/>
      </c>
      <c r="D520" s="573" t="str">
        <f>IFERROR(VLOOKUP(E520,Map!$B:$F,4,0),"")&amp;IFERROR(VLOOKUP(E520,Map!$B:$F,5,0),"")</f>
        <v/>
      </c>
      <c r="E520" s="574" t="str">
        <f t="shared" si="23"/>
        <v/>
      </c>
    </row>
    <row r="521" spans="2:5">
      <c r="B521" s="571" t="str">
        <f>IF(F521="","",(SUMIF(INTGRATE!$Y:$Y,data!D521,INTGRATE!$L:$L)+SUMIF(BRAN!$V:$V,data!D521,BRAN!$J:$J)))</f>
        <v/>
      </c>
      <c r="C521" s="572" t="str">
        <f t="shared" si="24"/>
        <v/>
      </c>
      <c r="D521" s="573" t="str">
        <f>IFERROR(VLOOKUP(E521,Map!$B:$F,4,0),"")&amp;IFERROR(VLOOKUP(E521,Map!$B:$F,5,0),"")</f>
        <v/>
      </c>
      <c r="E521" s="574" t="str">
        <f t="shared" si="23"/>
        <v/>
      </c>
    </row>
    <row r="522" spans="2:5">
      <c r="B522" s="571" t="str">
        <f>IF(F522="","",(SUMIF(INTGRATE!$Y:$Y,data!D522,INTGRATE!$L:$L)+SUMIF(BRAN!$V:$V,data!D522,BRAN!$J:$J)))</f>
        <v/>
      </c>
      <c r="C522" s="572" t="str">
        <f t="shared" si="24"/>
        <v/>
      </c>
      <c r="D522" s="573" t="str">
        <f>IFERROR(VLOOKUP(E522,Map!$B:$F,4,0),"")&amp;IFERROR(VLOOKUP(E522,Map!$B:$F,5,0),"")</f>
        <v/>
      </c>
      <c r="E522" s="574" t="str">
        <f t="shared" si="23"/>
        <v/>
      </c>
    </row>
    <row r="523" spans="2:5">
      <c r="B523" s="571" t="str">
        <f>IF(F523="","",(SUMIF(INTGRATE!$Y:$Y,data!D523,INTGRATE!$L:$L)+SUMIF(BRAN!$V:$V,data!D523,BRAN!$J:$J)))</f>
        <v/>
      </c>
      <c r="C523" s="572" t="str">
        <f t="shared" si="24"/>
        <v/>
      </c>
      <c r="D523" s="573" t="str">
        <f>IFERROR(VLOOKUP(E523,Map!$B:$F,4,0),"")&amp;IFERROR(VLOOKUP(E523,Map!$B:$F,5,0),"")</f>
        <v/>
      </c>
      <c r="E523" s="574" t="str">
        <f t="shared" si="23"/>
        <v/>
      </c>
    </row>
    <row r="524" spans="2:5">
      <c r="B524" s="571" t="str">
        <f>IF(F524="","",(SUMIF(INTGRATE!$Y:$Y,data!D524,INTGRATE!$L:$L)+SUMIF(BRAN!$V:$V,data!D524,BRAN!$J:$J)))</f>
        <v/>
      </c>
      <c r="C524" s="572" t="str">
        <f t="shared" si="24"/>
        <v/>
      </c>
      <c r="D524" s="573" t="str">
        <f>IFERROR(VLOOKUP(E524,Map!$B:$F,4,0),"")&amp;IFERROR(VLOOKUP(E524,Map!$B:$F,5,0),"")</f>
        <v/>
      </c>
      <c r="E524" s="574" t="str">
        <f t="shared" si="23"/>
        <v/>
      </c>
    </row>
    <row r="525" spans="2:5">
      <c r="B525" s="571" t="str">
        <f>IF(F525="","",(SUMIF(INTGRATE!$Y:$Y,data!D525,INTGRATE!$L:$L)+SUMIF(BRAN!$V:$V,data!D525,BRAN!$J:$J)))</f>
        <v/>
      </c>
      <c r="C525" s="572" t="str">
        <f t="shared" si="24"/>
        <v/>
      </c>
      <c r="D525" s="573" t="str">
        <f>IFERROR(VLOOKUP(E525,Map!$B:$F,4,0),"")&amp;IFERROR(VLOOKUP(E525,Map!$B:$F,5,0),"")</f>
        <v/>
      </c>
      <c r="E525" s="574" t="str">
        <f t="shared" si="23"/>
        <v/>
      </c>
    </row>
    <row r="526" spans="2:5">
      <c r="B526" s="571" t="str">
        <f>IF(F526="","",(SUMIF(INTGRATE!$Y:$Y,data!D526,INTGRATE!$L:$L)+SUMIF(BRAN!$V:$V,data!D526,BRAN!$J:$J)))</f>
        <v/>
      </c>
      <c r="C526" s="572" t="str">
        <f t="shared" si="24"/>
        <v/>
      </c>
      <c r="D526" s="573" t="str">
        <f>IFERROR(VLOOKUP(E526,Map!$B:$F,4,0),"")&amp;IFERROR(VLOOKUP(E526,Map!$B:$F,5,0),"")</f>
        <v/>
      </c>
      <c r="E526" s="574" t="str">
        <f t="shared" si="23"/>
        <v/>
      </c>
    </row>
    <row r="527" spans="2:5">
      <c r="B527" s="571" t="str">
        <f>IF(F527="","",(SUMIF(INTGRATE!$Y:$Y,data!D527,INTGRATE!$L:$L)+SUMIF(BRAN!$V:$V,data!D527,BRAN!$J:$J)))</f>
        <v/>
      </c>
      <c r="C527" s="572" t="str">
        <f t="shared" si="24"/>
        <v/>
      </c>
      <c r="D527" s="573" t="str">
        <f>IFERROR(VLOOKUP(E527,Map!$B:$F,4,0),"")&amp;IFERROR(VLOOKUP(E527,Map!$B:$F,5,0),"")</f>
        <v/>
      </c>
      <c r="E527" s="574" t="str">
        <f t="shared" si="23"/>
        <v/>
      </c>
    </row>
    <row r="528" spans="2:5">
      <c r="B528" s="571" t="str">
        <f>IF(F528="","",(SUMIF(INTGRATE!$Y:$Y,data!D528,INTGRATE!$L:$L)+SUMIF(BRAN!$V:$V,data!D528,BRAN!$J:$J)))</f>
        <v/>
      </c>
      <c r="C528" s="572" t="str">
        <f t="shared" si="24"/>
        <v/>
      </c>
      <c r="D528" s="573" t="str">
        <f>IFERROR(VLOOKUP(E528,Map!$B:$F,4,0),"")&amp;IFERROR(VLOOKUP(E528,Map!$B:$F,5,0),"")</f>
        <v/>
      </c>
      <c r="E528" s="574" t="str">
        <f t="shared" si="23"/>
        <v/>
      </c>
    </row>
    <row r="529" spans="2:5">
      <c r="B529" s="571" t="str">
        <f>IF(F529="","",(SUMIF(INTGRATE!$Y:$Y,data!D529,INTGRATE!$L:$L)+SUMIF(BRAN!$V:$V,data!D529,BRAN!$J:$J)))</f>
        <v/>
      </c>
      <c r="C529" s="572" t="str">
        <f t="shared" si="24"/>
        <v/>
      </c>
      <c r="D529" s="573" t="str">
        <f>IFERROR(VLOOKUP(E529,Map!$B:$F,4,0),"")&amp;IFERROR(VLOOKUP(E529,Map!$B:$F,5,0),"")</f>
        <v/>
      </c>
      <c r="E529" s="574" t="str">
        <f t="shared" si="23"/>
        <v/>
      </c>
    </row>
    <row r="530" spans="2:5">
      <c r="B530" s="571" t="str">
        <f>IF(F530="","",(SUMIF(INTGRATE!$Y:$Y,data!D530,INTGRATE!$L:$L)+SUMIF(BRAN!$V:$V,data!D530,BRAN!$J:$J)))</f>
        <v/>
      </c>
      <c r="C530" s="572" t="str">
        <f t="shared" si="24"/>
        <v/>
      </c>
      <c r="D530" s="573" t="str">
        <f>IFERROR(VLOOKUP(E530,Map!$B:$F,4,0),"")&amp;IFERROR(VLOOKUP(E530,Map!$B:$F,5,0),"")</f>
        <v/>
      </c>
      <c r="E530" s="574" t="str">
        <f t="shared" si="23"/>
        <v/>
      </c>
    </row>
    <row r="531" spans="2:5">
      <c r="B531" s="571" t="str">
        <f>IF(F531="","",(SUMIF(INTGRATE!$Y:$Y,data!D531,INTGRATE!$L:$L)+SUMIF(BRAN!$V:$V,data!D531,BRAN!$J:$J)))</f>
        <v/>
      </c>
      <c r="C531" s="572" t="str">
        <f t="shared" si="24"/>
        <v/>
      </c>
      <c r="D531" s="573" t="str">
        <f>IFERROR(VLOOKUP(E531,Map!$B:$F,4,0),"")&amp;IFERROR(VLOOKUP(E531,Map!$B:$F,5,0),"")</f>
        <v/>
      </c>
      <c r="E531" s="574" t="str">
        <f t="shared" si="23"/>
        <v/>
      </c>
    </row>
    <row r="532" spans="2:5">
      <c r="B532" s="571" t="str">
        <f>IF(F532="","",(SUMIF(INTGRATE!$Y:$Y,data!D532,INTGRATE!$L:$L)+SUMIF(BRAN!$V:$V,data!D532,BRAN!$J:$J)))</f>
        <v/>
      </c>
      <c r="C532" s="572" t="str">
        <f t="shared" si="24"/>
        <v/>
      </c>
      <c r="D532" s="573" t="str">
        <f>IFERROR(VLOOKUP(E532,Map!$B:$F,4,0),"")&amp;IFERROR(VLOOKUP(E532,Map!$B:$F,5,0),"")</f>
        <v/>
      </c>
      <c r="E532" s="574" t="str">
        <f t="shared" si="23"/>
        <v/>
      </c>
    </row>
    <row r="533" spans="2:5">
      <c r="B533" s="571" t="str">
        <f>IF(F533="","",(SUMIF(INTGRATE!$Y:$Y,data!D533,INTGRATE!$L:$L)+SUMIF(BRAN!$V:$V,data!D533,BRAN!$J:$J)))</f>
        <v/>
      </c>
      <c r="C533" s="572" t="str">
        <f t="shared" si="24"/>
        <v/>
      </c>
      <c r="D533" s="573" t="str">
        <f>IFERROR(VLOOKUP(E533,Map!$B:$F,4,0),"")&amp;IFERROR(VLOOKUP(E533,Map!$B:$F,5,0),"")</f>
        <v/>
      </c>
      <c r="E533" s="574" t="str">
        <f t="shared" si="23"/>
        <v/>
      </c>
    </row>
    <row r="534" spans="2:5">
      <c r="B534" s="571" t="str">
        <f>IF(F534="","",(SUMIF(INTGRATE!$Y:$Y,data!D534,INTGRATE!$L:$L)+SUMIF(BRAN!$V:$V,data!D534,BRAN!$J:$J)))</f>
        <v/>
      </c>
      <c r="C534" s="572" t="str">
        <f t="shared" si="24"/>
        <v/>
      </c>
      <c r="D534" s="573" t="str">
        <f>IFERROR(VLOOKUP(E534,Map!$B:$F,4,0),"")&amp;IFERROR(VLOOKUP(E534,Map!$B:$F,5,0),"")</f>
        <v/>
      </c>
      <c r="E534" s="574" t="str">
        <f t="shared" si="23"/>
        <v/>
      </c>
    </row>
    <row r="535" spans="2:5">
      <c r="B535" s="571" t="str">
        <f>IF(F535="","",(SUMIF(INTGRATE!$Y:$Y,data!D535,INTGRATE!$L:$L)+SUMIF(BRAN!$V:$V,data!D535,BRAN!$J:$J)))</f>
        <v/>
      </c>
      <c r="C535" s="572" t="str">
        <f t="shared" si="24"/>
        <v/>
      </c>
      <c r="D535" s="573" t="str">
        <f>IFERROR(VLOOKUP(E535,Map!$B:$F,4,0),"")&amp;IFERROR(VLOOKUP(E535,Map!$B:$F,5,0),"")</f>
        <v/>
      </c>
      <c r="E535" s="574" t="str">
        <f t="shared" si="23"/>
        <v/>
      </c>
    </row>
    <row r="536" spans="2:5">
      <c r="B536" s="571" t="str">
        <f>IF(F536="","",(SUMIF(INTGRATE!$Y:$Y,data!D536,INTGRATE!$L:$L)+SUMIF(BRAN!$V:$V,data!D536,BRAN!$J:$J)))</f>
        <v/>
      </c>
      <c r="C536" s="572" t="str">
        <f t="shared" si="24"/>
        <v/>
      </c>
      <c r="D536" s="573" t="str">
        <f>IFERROR(VLOOKUP(E536,Map!$B:$F,4,0),"")&amp;IFERROR(VLOOKUP(E536,Map!$B:$F,5,0),"")</f>
        <v/>
      </c>
      <c r="E536" s="574" t="str">
        <f t="shared" si="23"/>
        <v/>
      </c>
    </row>
    <row r="537" spans="2:5">
      <c r="B537" s="571" t="str">
        <f>IF(F537="","",(SUMIF(INTGRATE!$Y:$Y,data!D537,INTGRATE!$L:$L)+SUMIF(BRAN!$V:$V,data!D537,BRAN!$J:$J)))</f>
        <v/>
      </c>
      <c r="C537" s="572" t="str">
        <f t="shared" si="24"/>
        <v/>
      </c>
      <c r="D537" s="573" t="str">
        <f>IFERROR(VLOOKUP(E537,Map!$B:$F,4,0),"")&amp;IFERROR(VLOOKUP(E537,Map!$B:$F,5,0),"")</f>
        <v/>
      </c>
      <c r="E537" s="574" t="str">
        <f t="shared" si="23"/>
        <v/>
      </c>
    </row>
    <row r="538" spans="2:5">
      <c r="B538" s="571" t="str">
        <f>IF(F538="","",(SUMIF(INTGRATE!$Y:$Y,data!D538,INTGRATE!$L:$L)+SUMIF(BRAN!$V:$V,data!D538,BRAN!$J:$J)))</f>
        <v/>
      </c>
      <c r="C538" s="572" t="str">
        <f t="shared" si="24"/>
        <v/>
      </c>
      <c r="D538" s="573" t="str">
        <f>IFERROR(VLOOKUP(E538,Map!$B:$F,4,0),"")&amp;IFERROR(VLOOKUP(E538,Map!$B:$F,5,0),"")</f>
        <v/>
      </c>
      <c r="E538" s="574" t="str">
        <f t="shared" si="23"/>
        <v/>
      </c>
    </row>
    <row r="539" spans="2:5">
      <c r="B539" s="571" t="str">
        <f>IF(F539="","",(SUMIF(INTGRATE!$Y:$Y,data!D539,INTGRATE!$L:$L)+SUMIF(BRAN!$V:$V,data!D539,BRAN!$J:$J)))</f>
        <v/>
      </c>
      <c r="C539" s="572" t="str">
        <f t="shared" si="24"/>
        <v/>
      </c>
      <c r="D539" s="573" t="str">
        <f>IFERROR(VLOOKUP(E539,Map!$B:$F,4,0),"")&amp;IFERROR(VLOOKUP(E539,Map!$B:$F,5,0),"")</f>
        <v/>
      </c>
      <c r="E539" s="574" t="str">
        <f t="shared" si="23"/>
        <v/>
      </c>
    </row>
    <row r="540" spans="2:5">
      <c r="B540" s="571" t="str">
        <f>IF(F540="","",(SUMIF(INTGRATE!$Y:$Y,data!D540,INTGRATE!$L:$L)+SUMIF(BRAN!$V:$V,data!D540,BRAN!$J:$J)))</f>
        <v/>
      </c>
      <c r="C540" s="572" t="str">
        <f t="shared" si="24"/>
        <v/>
      </c>
      <c r="D540" s="573" t="str">
        <f>IFERROR(VLOOKUP(E540,Map!$B:$F,4,0),"")&amp;IFERROR(VLOOKUP(E540,Map!$B:$F,5,0),"")</f>
        <v/>
      </c>
      <c r="E540" s="574" t="str">
        <f t="shared" si="23"/>
        <v/>
      </c>
    </row>
    <row r="541" spans="2:5">
      <c r="B541" s="571" t="str">
        <f>IF(F541="","",(SUMIF(INTGRATE!$Y:$Y,data!D541,INTGRATE!$L:$L)+SUMIF(BRAN!$V:$V,data!D541,BRAN!$J:$J)))</f>
        <v/>
      </c>
      <c r="C541" s="572" t="str">
        <f t="shared" si="24"/>
        <v/>
      </c>
      <c r="D541" s="573" t="str">
        <f>IFERROR(VLOOKUP(E541,Map!$B:$F,4,0),"")&amp;IFERROR(VLOOKUP(E541,Map!$B:$F,5,0),"")</f>
        <v/>
      </c>
      <c r="E541" s="574" t="str">
        <f t="shared" si="23"/>
        <v/>
      </c>
    </row>
    <row r="542" spans="2:5">
      <c r="B542" s="571" t="str">
        <f>IF(F542="","",(SUMIF(INTGRATE!$Y:$Y,data!D542,INTGRATE!$L:$L)+SUMIF(BRAN!$V:$V,data!D542,BRAN!$J:$J)))</f>
        <v/>
      </c>
      <c r="C542" s="572" t="str">
        <f t="shared" si="24"/>
        <v/>
      </c>
      <c r="D542" s="573" t="str">
        <f>IFERROR(VLOOKUP(E542,Map!$B:$F,4,0),"")&amp;IFERROR(VLOOKUP(E542,Map!$B:$F,5,0),"")</f>
        <v/>
      </c>
      <c r="E542" s="574" t="str">
        <f t="shared" si="23"/>
        <v/>
      </c>
    </row>
    <row r="543" spans="2:5">
      <c r="B543" s="571" t="str">
        <f>IF(F543="","",(SUMIF(INTGRATE!$Y:$Y,data!D543,INTGRATE!$L:$L)+SUMIF(BRAN!$V:$V,data!D543,BRAN!$J:$J)))</f>
        <v/>
      </c>
      <c r="C543" s="572" t="str">
        <f t="shared" si="24"/>
        <v/>
      </c>
      <c r="D543" s="573" t="str">
        <f>IFERROR(VLOOKUP(E543,Map!$B:$F,4,0),"")&amp;IFERROR(VLOOKUP(E543,Map!$B:$F,5,0),"")</f>
        <v/>
      </c>
      <c r="E543" s="574" t="str">
        <f t="shared" si="23"/>
        <v/>
      </c>
    </row>
    <row r="544" spans="2:5">
      <c r="B544" s="571" t="str">
        <f>IF(F544="","",(SUMIF(INTGRATE!$Y:$Y,data!D544,INTGRATE!$L:$L)+SUMIF(BRAN!$V:$V,data!D544,BRAN!$J:$J)))</f>
        <v/>
      </c>
      <c r="C544" s="572" t="str">
        <f t="shared" si="24"/>
        <v/>
      </c>
      <c r="D544" s="573" t="str">
        <f>IFERROR(VLOOKUP(E544,Map!$B:$F,4,0),"")&amp;IFERROR(VLOOKUP(E544,Map!$B:$F,5,0),"")</f>
        <v/>
      </c>
      <c r="E544" s="574" t="str">
        <f t="shared" ref="E544:E607" si="25">IF(MID(F544,10,2)="99",F544&amp;H544,LEFT(F544,14))</f>
        <v/>
      </c>
    </row>
    <row r="545" spans="2:5">
      <c r="B545" s="571" t="str">
        <f>IF(F545="","",(SUMIF(INTGRATE!$Y:$Y,data!D545,INTGRATE!$L:$L)+SUMIF(BRAN!$V:$V,data!D545,BRAN!$J:$J)))</f>
        <v/>
      </c>
      <c r="C545" s="572" t="str">
        <f t="shared" si="24"/>
        <v/>
      </c>
      <c r="D545" s="573" t="str">
        <f>IFERROR(VLOOKUP(E545,Map!$B:$F,4,0),"")&amp;IFERROR(VLOOKUP(E545,Map!$B:$F,5,0),"")</f>
        <v/>
      </c>
      <c r="E545" s="574" t="str">
        <f t="shared" si="25"/>
        <v/>
      </c>
    </row>
    <row r="546" spans="2:5">
      <c r="B546" s="571" t="str">
        <f>IF(F546="","",(SUMIF(INTGRATE!$Y:$Y,data!D546,INTGRATE!$L:$L)+SUMIF(BRAN!$V:$V,data!D546,BRAN!$J:$J)))</f>
        <v/>
      </c>
      <c r="C546" s="572" t="str">
        <f t="shared" si="24"/>
        <v/>
      </c>
      <c r="D546" s="573" t="str">
        <f>IFERROR(VLOOKUP(E546,Map!$B:$F,4,0),"")&amp;IFERROR(VLOOKUP(E546,Map!$B:$F,5,0),"")</f>
        <v/>
      </c>
      <c r="E546" s="574" t="str">
        <f t="shared" si="25"/>
        <v/>
      </c>
    </row>
    <row r="547" spans="2:5">
      <c r="B547" s="571" t="str">
        <f>IF(F547="","",(SUMIF(INTGRATE!$Y:$Y,data!D547,INTGRATE!$L:$L)+SUMIF(BRAN!$V:$V,data!D547,BRAN!$J:$J)))</f>
        <v/>
      </c>
      <c r="C547" s="572" t="str">
        <f t="shared" si="24"/>
        <v/>
      </c>
      <c r="D547" s="573" t="str">
        <f>IFERROR(VLOOKUP(E547,Map!$B:$F,4,0),"")&amp;IFERROR(VLOOKUP(E547,Map!$B:$F,5,0),"")</f>
        <v/>
      </c>
      <c r="E547" s="574" t="str">
        <f t="shared" si="25"/>
        <v/>
      </c>
    </row>
    <row r="548" spans="2:5">
      <c r="B548" s="571" t="str">
        <f>IF(F548="","",(SUMIF(INTGRATE!$Y:$Y,data!D548,INTGRATE!$L:$L)+SUMIF(BRAN!$V:$V,data!D548,BRAN!$J:$J)))</f>
        <v/>
      </c>
      <c r="C548" s="572" t="str">
        <f t="shared" si="24"/>
        <v/>
      </c>
      <c r="D548" s="573" t="str">
        <f>IFERROR(VLOOKUP(E548,Map!$B:$F,4,0),"")&amp;IFERROR(VLOOKUP(E548,Map!$B:$F,5,0),"")</f>
        <v/>
      </c>
      <c r="E548" s="574" t="str">
        <f t="shared" si="25"/>
        <v/>
      </c>
    </row>
    <row r="549" spans="2:5">
      <c r="B549" s="571" t="str">
        <f>IF(F549="","",(SUMIF(INTGRATE!$Y:$Y,data!D549,INTGRATE!$L:$L)+SUMIF(BRAN!$V:$V,data!D549,BRAN!$J:$J)))</f>
        <v/>
      </c>
      <c r="C549" s="572" t="str">
        <f t="shared" si="24"/>
        <v/>
      </c>
      <c r="D549" s="573" t="str">
        <f>IFERROR(VLOOKUP(E549,Map!$B:$F,4,0),"")&amp;IFERROR(VLOOKUP(E549,Map!$B:$F,5,0),"")</f>
        <v/>
      </c>
      <c r="E549" s="574" t="str">
        <f t="shared" si="25"/>
        <v/>
      </c>
    </row>
    <row r="550" spans="2:5">
      <c r="B550" s="571" t="str">
        <f>IF(F550="","",(SUMIF(INTGRATE!$Y:$Y,data!D550,INTGRATE!$L:$L)+SUMIF(BRAN!$V:$V,data!D550,BRAN!$J:$J)))</f>
        <v/>
      </c>
      <c r="C550" s="572" t="str">
        <f t="shared" si="24"/>
        <v/>
      </c>
      <c r="D550" s="573" t="str">
        <f>IFERROR(VLOOKUP(E550,Map!$B:$F,4,0),"")&amp;IFERROR(VLOOKUP(E550,Map!$B:$F,5,0),"")</f>
        <v/>
      </c>
      <c r="E550" s="574" t="str">
        <f t="shared" si="25"/>
        <v/>
      </c>
    </row>
    <row r="551" spans="2:5">
      <c r="B551" s="571" t="str">
        <f>IF(F551="","",(SUMIF(INTGRATE!$Y:$Y,data!D551,INTGRATE!$L:$L)+SUMIF(BRAN!$V:$V,data!D551,BRAN!$J:$J)))</f>
        <v/>
      </c>
      <c r="C551" s="572" t="str">
        <f t="shared" si="24"/>
        <v/>
      </c>
      <c r="D551" s="573" t="str">
        <f>IFERROR(VLOOKUP(E551,Map!$B:$F,4,0),"")&amp;IFERROR(VLOOKUP(E551,Map!$B:$F,5,0),"")</f>
        <v/>
      </c>
      <c r="E551" s="574" t="str">
        <f t="shared" si="25"/>
        <v/>
      </c>
    </row>
    <row r="552" spans="2:5">
      <c r="B552" s="571" t="str">
        <f>IF(F552="","",(SUMIF(INTGRATE!$Y:$Y,data!D552,INTGRATE!$L:$L)+SUMIF(BRAN!$V:$V,data!D552,BRAN!$J:$J)))</f>
        <v/>
      </c>
      <c r="C552" s="572" t="str">
        <f t="shared" si="24"/>
        <v/>
      </c>
      <c r="D552" s="573" t="str">
        <f>IFERROR(VLOOKUP(E552,Map!$B:$F,4,0),"")&amp;IFERROR(VLOOKUP(E552,Map!$B:$F,5,0),"")</f>
        <v/>
      </c>
      <c r="E552" s="574" t="str">
        <f t="shared" si="25"/>
        <v/>
      </c>
    </row>
    <row r="553" spans="2:5">
      <c r="B553" s="571" t="str">
        <f>IF(F553="","",(SUMIF(INTGRATE!$Y:$Y,data!D553,INTGRATE!$L:$L)+SUMIF(BRAN!$V:$V,data!D553,BRAN!$J:$J)))</f>
        <v/>
      </c>
      <c r="C553" s="572" t="str">
        <f t="shared" si="24"/>
        <v/>
      </c>
      <c r="D553" s="573" t="str">
        <f>IFERROR(VLOOKUP(E553,Map!$B:$F,4,0),"")&amp;IFERROR(VLOOKUP(E553,Map!$B:$F,5,0),"")</f>
        <v/>
      </c>
      <c r="E553" s="574" t="str">
        <f t="shared" si="25"/>
        <v/>
      </c>
    </row>
    <row r="554" spans="2:5">
      <c r="B554" s="571" t="str">
        <f>IF(F554="","",(SUMIF(INTGRATE!$Y:$Y,data!D554,INTGRATE!$L:$L)+SUMIF(BRAN!$V:$V,data!D554,BRAN!$J:$J)))</f>
        <v/>
      </c>
      <c r="C554" s="572" t="str">
        <f t="shared" si="24"/>
        <v/>
      </c>
      <c r="D554" s="573" t="str">
        <f>IFERROR(VLOOKUP(E554,Map!$B:$F,4,0),"")&amp;IFERROR(VLOOKUP(E554,Map!$B:$F,5,0),"")</f>
        <v/>
      </c>
      <c r="E554" s="574" t="str">
        <f t="shared" si="25"/>
        <v/>
      </c>
    </row>
    <row r="555" spans="2:5">
      <c r="B555" s="571" t="str">
        <f>IF(F555="","",(SUMIF(INTGRATE!$Y:$Y,data!D555,INTGRATE!$L:$L)+SUMIF(BRAN!$V:$V,data!D555,BRAN!$J:$J)))</f>
        <v/>
      </c>
      <c r="C555" s="572" t="str">
        <f t="shared" si="24"/>
        <v/>
      </c>
      <c r="D555" s="573" t="str">
        <f>IFERROR(VLOOKUP(E555,Map!$B:$F,4,0),"")&amp;IFERROR(VLOOKUP(E555,Map!$B:$F,5,0),"")</f>
        <v/>
      </c>
      <c r="E555" s="574" t="str">
        <f t="shared" si="25"/>
        <v/>
      </c>
    </row>
    <row r="556" spans="2:5">
      <c r="B556" s="571" t="str">
        <f>IF(F556="","",(SUMIF(INTGRATE!$Y:$Y,data!D556,INTGRATE!$L:$L)+SUMIF(BRAN!$V:$V,data!D556,BRAN!$J:$J)))</f>
        <v/>
      </c>
      <c r="C556" s="572" t="str">
        <f t="shared" si="24"/>
        <v/>
      </c>
      <c r="D556" s="573" t="str">
        <f>IFERROR(VLOOKUP(E556,Map!$B:$F,4,0),"")&amp;IFERROR(VLOOKUP(E556,Map!$B:$F,5,0),"")</f>
        <v/>
      </c>
      <c r="E556" s="574" t="str">
        <f t="shared" si="25"/>
        <v/>
      </c>
    </row>
    <row r="557" spans="2:5">
      <c r="B557" s="571" t="str">
        <f>IF(F557="","",(SUMIF(INTGRATE!$Y:$Y,data!D557,INTGRATE!$L:$L)+SUMIF(BRAN!$V:$V,data!D557,BRAN!$J:$J)))</f>
        <v/>
      </c>
      <c r="C557" s="572" t="str">
        <f t="shared" si="24"/>
        <v/>
      </c>
      <c r="D557" s="573" t="str">
        <f>IFERROR(VLOOKUP(E557,Map!$B:$F,4,0),"")&amp;IFERROR(VLOOKUP(E557,Map!$B:$F,5,0),"")</f>
        <v/>
      </c>
      <c r="E557" s="574" t="str">
        <f t="shared" si="25"/>
        <v/>
      </c>
    </row>
    <row r="558" spans="2:5">
      <c r="B558" s="571" t="str">
        <f>IF(F558="","",(SUMIF(INTGRATE!$Y:$Y,data!D558,INTGRATE!$L:$L)+SUMIF(BRAN!$V:$V,data!D558,BRAN!$J:$J)))</f>
        <v/>
      </c>
      <c r="C558" s="572" t="str">
        <f t="shared" si="24"/>
        <v/>
      </c>
      <c r="D558" s="573" t="str">
        <f>IFERROR(VLOOKUP(E558,Map!$B:$F,4,0),"")&amp;IFERROR(VLOOKUP(E558,Map!$B:$F,5,0),"")</f>
        <v/>
      </c>
      <c r="E558" s="574" t="str">
        <f t="shared" si="25"/>
        <v/>
      </c>
    </row>
    <row r="559" spans="2:5">
      <c r="B559" s="571" t="str">
        <f>IF(F559="","",(SUMIF(INTGRATE!$Y:$Y,data!D559,INTGRATE!$L:$L)+SUMIF(BRAN!$V:$V,data!D559,BRAN!$J:$J)))</f>
        <v/>
      </c>
      <c r="C559" s="572" t="str">
        <f t="shared" si="24"/>
        <v/>
      </c>
      <c r="D559" s="573" t="str">
        <f>IFERROR(VLOOKUP(E559,Map!$B:$F,4,0),"")&amp;IFERROR(VLOOKUP(E559,Map!$B:$F,5,0),"")</f>
        <v/>
      </c>
      <c r="E559" s="574" t="str">
        <f t="shared" si="25"/>
        <v/>
      </c>
    </row>
    <row r="560" spans="2:5">
      <c r="B560" s="571" t="str">
        <f>IF(F560="","",(SUMIF(INTGRATE!$Y:$Y,data!D560,INTGRATE!$L:$L)+SUMIF(BRAN!$V:$V,data!D560,BRAN!$J:$J)))</f>
        <v/>
      </c>
      <c r="C560" s="572" t="str">
        <f t="shared" si="24"/>
        <v/>
      </c>
      <c r="D560" s="573" t="str">
        <f>IFERROR(VLOOKUP(E560,Map!$B:$F,4,0),"")&amp;IFERROR(VLOOKUP(E560,Map!$B:$F,5,0),"")</f>
        <v/>
      </c>
      <c r="E560" s="574" t="str">
        <f t="shared" si="25"/>
        <v/>
      </c>
    </row>
    <row r="561" spans="2:5">
      <c r="B561" s="571" t="str">
        <f>IF(F561="","",(SUMIF(INTGRATE!$Y:$Y,data!D561,INTGRATE!$L:$L)+SUMIF(BRAN!$V:$V,data!D561,BRAN!$J:$J)))</f>
        <v/>
      </c>
      <c r="C561" s="572" t="str">
        <f t="shared" si="24"/>
        <v/>
      </c>
      <c r="D561" s="573" t="str">
        <f>IFERROR(VLOOKUP(E561,Map!$B:$F,4,0),"")&amp;IFERROR(VLOOKUP(E561,Map!$B:$F,5,0),"")</f>
        <v/>
      </c>
      <c r="E561" s="574" t="str">
        <f t="shared" si="25"/>
        <v/>
      </c>
    </row>
    <row r="562" spans="2:5">
      <c r="B562" s="571" t="str">
        <f>IF(F562="","",(SUMIF(INTGRATE!$Y:$Y,data!D562,INTGRATE!$L:$L)+SUMIF(BRAN!$V:$V,data!D562,BRAN!$J:$J)))</f>
        <v/>
      </c>
      <c r="C562" s="572" t="str">
        <f t="shared" si="24"/>
        <v/>
      </c>
      <c r="D562" s="573" t="str">
        <f>IFERROR(VLOOKUP(E562,Map!$B:$F,4,0),"")&amp;IFERROR(VLOOKUP(E562,Map!$B:$F,5,0),"")</f>
        <v/>
      </c>
      <c r="E562" s="574" t="str">
        <f t="shared" si="25"/>
        <v/>
      </c>
    </row>
    <row r="563" spans="2:5">
      <c r="B563" s="571" t="str">
        <f>IF(F563="","",(SUMIF(INTGRATE!$Y:$Y,data!D563,INTGRATE!$L:$L)+SUMIF(BRAN!$V:$V,data!D563,BRAN!$J:$J)))</f>
        <v/>
      </c>
      <c r="C563" s="572" t="str">
        <f t="shared" si="24"/>
        <v/>
      </c>
      <c r="D563" s="573" t="str">
        <f>IFERROR(VLOOKUP(E563,Map!$B:$F,4,0),"")&amp;IFERROR(VLOOKUP(E563,Map!$B:$F,5,0),"")</f>
        <v/>
      </c>
      <c r="E563" s="574" t="str">
        <f t="shared" si="25"/>
        <v/>
      </c>
    </row>
    <row r="564" spans="2:5">
      <c r="B564" s="571" t="str">
        <f>IF(F564="","",(SUMIF(INTGRATE!$Y:$Y,data!D564,INTGRATE!$L:$L)+SUMIF(BRAN!$V:$V,data!D564,BRAN!$J:$J)))</f>
        <v/>
      </c>
      <c r="C564" s="572" t="str">
        <f t="shared" si="24"/>
        <v/>
      </c>
      <c r="D564" s="573" t="str">
        <f>IFERROR(VLOOKUP(E564,Map!$B:$F,4,0),"")&amp;IFERROR(VLOOKUP(E564,Map!$B:$F,5,0),"")</f>
        <v/>
      </c>
      <c r="E564" s="574" t="str">
        <f t="shared" si="25"/>
        <v/>
      </c>
    </row>
    <row r="565" spans="2:5">
      <c r="B565" s="571" t="str">
        <f>IF(F565="","",(SUMIF(INTGRATE!$Y:$Y,data!D565,INTGRATE!$L:$L)+SUMIF(BRAN!$V:$V,data!D565,BRAN!$J:$J)))</f>
        <v/>
      </c>
      <c r="C565" s="572" t="str">
        <f t="shared" si="24"/>
        <v/>
      </c>
      <c r="D565" s="573" t="str">
        <f>IFERROR(VLOOKUP(E565,Map!$B:$F,4,0),"")&amp;IFERROR(VLOOKUP(E565,Map!$B:$F,5,0),"")</f>
        <v/>
      </c>
      <c r="E565" s="574" t="str">
        <f t="shared" si="25"/>
        <v/>
      </c>
    </row>
    <row r="566" spans="2:5">
      <c r="B566" s="571" t="str">
        <f>IF(F566="","",(SUMIF(INTGRATE!$Y:$Y,data!D566,INTGRATE!$L:$L)+SUMIF(BRAN!$V:$V,data!D566,BRAN!$J:$J)))</f>
        <v/>
      </c>
      <c r="C566" s="572" t="str">
        <f t="shared" si="24"/>
        <v/>
      </c>
      <c r="D566" s="573" t="str">
        <f>IFERROR(VLOOKUP(E566,Map!$B:$F,4,0),"")&amp;IFERROR(VLOOKUP(E566,Map!$B:$F,5,0),"")</f>
        <v/>
      </c>
      <c r="E566" s="574" t="str">
        <f t="shared" si="25"/>
        <v/>
      </c>
    </row>
    <row r="567" spans="2:5">
      <c r="B567" s="571" t="str">
        <f>IF(F567="","",(SUMIF(INTGRATE!$Y:$Y,data!D567,INTGRATE!$L:$L)+SUMIF(BRAN!$V:$V,data!D567,BRAN!$J:$J)))</f>
        <v/>
      </c>
      <c r="C567" s="572" t="str">
        <f t="shared" si="24"/>
        <v/>
      </c>
      <c r="D567" s="573" t="str">
        <f>IFERROR(VLOOKUP(E567,Map!$B:$F,4,0),"")&amp;IFERROR(VLOOKUP(E567,Map!$B:$F,5,0),"")</f>
        <v/>
      </c>
      <c r="E567" s="574" t="str">
        <f t="shared" si="25"/>
        <v/>
      </c>
    </row>
    <row r="568" spans="2:5">
      <c r="B568" s="571" t="str">
        <f>IF(F568="","",(SUMIF(INTGRATE!$Y:$Y,data!D568,INTGRATE!$L:$L)+SUMIF(BRAN!$V:$V,data!D568,BRAN!$J:$J)))</f>
        <v/>
      </c>
      <c r="C568" s="572" t="str">
        <f t="shared" si="24"/>
        <v/>
      </c>
      <c r="D568" s="573" t="str">
        <f>IFERROR(VLOOKUP(E568,Map!$B:$F,4,0),"")&amp;IFERROR(VLOOKUP(E568,Map!$B:$F,5,0),"")</f>
        <v/>
      </c>
      <c r="E568" s="574" t="str">
        <f t="shared" si="25"/>
        <v/>
      </c>
    </row>
    <row r="569" spans="2:5">
      <c r="B569" s="571" t="str">
        <f>IF(F569="","",(SUMIF(INTGRATE!$Y:$Y,data!D569,INTGRATE!$L:$L)+SUMIF(BRAN!$V:$V,data!D569,BRAN!$J:$J)))</f>
        <v/>
      </c>
      <c r="C569" s="572" t="str">
        <f t="shared" si="24"/>
        <v/>
      </c>
      <c r="D569" s="573" t="str">
        <f>IFERROR(VLOOKUP(E569,Map!$B:$F,4,0),"")&amp;IFERROR(VLOOKUP(E569,Map!$B:$F,5,0),"")</f>
        <v/>
      </c>
      <c r="E569" s="574" t="str">
        <f t="shared" si="25"/>
        <v/>
      </c>
    </row>
    <row r="570" spans="2:5">
      <c r="B570" s="571" t="str">
        <f>IF(F570="","",(SUMIF(INTGRATE!$Y:$Y,data!D570,INTGRATE!$L:$L)+SUMIF(BRAN!$V:$V,data!D570,BRAN!$J:$J)))</f>
        <v/>
      </c>
      <c r="C570" s="572" t="str">
        <f t="shared" si="24"/>
        <v/>
      </c>
      <c r="D570" s="573" t="str">
        <f>IFERROR(VLOOKUP(E570,Map!$B:$F,4,0),"")&amp;IFERROR(VLOOKUP(E570,Map!$B:$F,5,0),"")</f>
        <v/>
      </c>
      <c r="E570" s="574" t="str">
        <f t="shared" si="25"/>
        <v/>
      </c>
    </row>
    <row r="571" spans="2:5">
      <c r="B571" s="571" t="str">
        <f>IF(F571="","",(SUMIF(INTGRATE!$Y:$Y,data!D571,INTGRATE!$L:$L)+SUMIF(BRAN!$V:$V,data!D571,BRAN!$J:$J)))</f>
        <v/>
      </c>
      <c r="C571" s="572" t="str">
        <f t="shared" si="24"/>
        <v/>
      </c>
      <c r="D571" s="573" t="str">
        <f>IFERROR(VLOOKUP(E571,Map!$B:$F,4,0),"")&amp;IFERROR(VLOOKUP(E571,Map!$B:$F,5,0),"")</f>
        <v/>
      </c>
      <c r="E571" s="574" t="str">
        <f t="shared" si="25"/>
        <v/>
      </c>
    </row>
    <row r="572" spans="2:5">
      <c r="B572" s="571" t="str">
        <f>IF(F572="","",(SUMIF(INTGRATE!$Y:$Y,data!D572,INTGRATE!$L:$L)+SUMIF(BRAN!$V:$V,data!D572,BRAN!$J:$J)))</f>
        <v/>
      </c>
      <c r="C572" s="572" t="str">
        <f t="shared" si="24"/>
        <v/>
      </c>
      <c r="D572" s="573" t="str">
        <f>IFERROR(VLOOKUP(E572,Map!$B:$F,4,0),"")&amp;IFERROR(VLOOKUP(E572,Map!$B:$F,5,0),"")</f>
        <v/>
      </c>
      <c r="E572" s="574" t="str">
        <f t="shared" si="25"/>
        <v/>
      </c>
    </row>
    <row r="573" spans="2:5">
      <c r="B573" s="571" t="str">
        <f>IF(F573="","",(SUMIF(INTGRATE!$Y:$Y,data!D573,INTGRATE!$L:$L)+SUMIF(BRAN!$V:$V,data!D573,BRAN!$J:$J)))</f>
        <v/>
      </c>
      <c r="C573" s="572" t="str">
        <f t="shared" si="24"/>
        <v/>
      </c>
      <c r="D573" s="573" t="str">
        <f>IFERROR(VLOOKUP(E573,Map!$B:$F,4,0),"")&amp;IFERROR(VLOOKUP(E573,Map!$B:$F,5,0),"")</f>
        <v/>
      </c>
      <c r="E573" s="574" t="str">
        <f t="shared" si="25"/>
        <v/>
      </c>
    </row>
    <row r="574" spans="2:5">
      <c r="B574" s="571" t="str">
        <f>IF(F574="","",(SUMIF(INTGRATE!$Y:$Y,data!D574,INTGRATE!$L:$L)+SUMIF(BRAN!$V:$V,data!D574,BRAN!$J:$J)))</f>
        <v/>
      </c>
      <c r="C574" s="572" t="str">
        <f t="shared" si="24"/>
        <v/>
      </c>
      <c r="D574" s="573" t="str">
        <f>IFERROR(VLOOKUP(E574,Map!$B:$F,4,0),"")&amp;IFERROR(VLOOKUP(E574,Map!$B:$F,5,0),"")</f>
        <v/>
      </c>
      <c r="E574" s="574" t="str">
        <f t="shared" si="25"/>
        <v/>
      </c>
    </row>
    <row r="575" spans="2:5">
      <c r="B575" s="571" t="str">
        <f>IF(F575="","",(SUMIF(INTGRATE!$Y:$Y,data!D575,INTGRATE!$L:$L)+SUMIF(BRAN!$V:$V,data!D575,BRAN!$J:$J)))</f>
        <v/>
      </c>
      <c r="C575" s="572" t="str">
        <f t="shared" ref="C575:C638" si="26">IF(F575="","",B575-K575)</f>
        <v/>
      </c>
      <c r="D575" s="573" t="str">
        <f>IFERROR(VLOOKUP(E575,Map!$B:$F,4,0),"")&amp;IFERROR(VLOOKUP(E575,Map!$B:$F,5,0),"")</f>
        <v/>
      </c>
      <c r="E575" s="574" t="str">
        <f t="shared" si="25"/>
        <v/>
      </c>
    </row>
    <row r="576" spans="2:5">
      <c r="B576" s="571" t="str">
        <f>IF(F576="","",(SUMIF(INTGRATE!$Y:$Y,data!D576,INTGRATE!$L:$L)+SUMIF(BRAN!$V:$V,data!D576,BRAN!$J:$J)))</f>
        <v/>
      </c>
      <c r="C576" s="572" t="str">
        <f t="shared" si="26"/>
        <v/>
      </c>
      <c r="D576" s="573" t="str">
        <f>IFERROR(VLOOKUP(E576,Map!$B:$F,4,0),"")&amp;IFERROR(VLOOKUP(E576,Map!$B:$F,5,0),"")</f>
        <v/>
      </c>
      <c r="E576" s="574" t="str">
        <f t="shared" si="25"/>
        <v/>
      </c>
    </row>
    <row r="577" spans="2:5">
      <c r="B577" s="571" t="str">
        <f>IF(F577="","",(SUMIF(INTGRATE!$Y:$Y,data!D577,INTGRATE!$L:$L)+SUMIF(BRAN!$V:$V,data!D577,BRAN!$J:$J)))</f>
        <v/>
      </c>
      <c r="C577" s="572" t="str">
        <f t="shared" si="26"/>
        <v/>
      </c>
      <c r="D577" s="573" t="str">
        <f>IFERROR(VLOOKUP(E577,Map!$B:$F,4,0),"")&amp;IFERROR(VLOOKUP(E577,Map!$B:$F,5,0),"")</f>
        <v/>
      </c>
      <c r="E577" s="574" t="str">
        <f t="shared" si="25"/>
        <v/>
      </c>
    </row>
    <row r="578" spans="2:5">
      <c r="B578" s="571" t="str">
        <f>IF(F578="","",(SUMIF(INTGRATE!$Y:$Y,data!D578,INTGRATE!$L:$L)+SUMIF(BRAN!$V:$V,data!D578,BRAN!$J:$J)))</f>
        <v/>
      </c>
      <c r="C578" s="572" t="str">
        <f t="shared" si="26"/>
        <v/>
      </c>
      <c r="D578" s="573" t="str">
        <f>IFERROR(VLOOKUP(E578,Map!$B:$F,4,0),"")&amp;IFERROR(VLOOKUP(E578,Map!$B:$F,5,0),"")</f>
        <v/>
      </c>
      <c r="E578" s="574" t="str">
        <f t="shared" si="25"/>
        <v/>
      </c>
    </row>
    <row r="579" spans="2:5">
      <c r="B579" s="571" t="str">
        <f>IF(F579="","",(SUMIF(INTGRATE!$Y:$Y,data!D579,INTGRATE!$L:$L)+SUMIF(BRAN!$V:$V,data!D579,BRAN!$J:$J)))</f>
        <v/>
      </c>
      <c r="C579" s="572" t="str">
        <f t="shared" si="26"/>
        <v/>
      </c>
      <c r="D579" s="573" t="str">
        <f>IFERROR(VLOOKUP(E579,Map!$B:$F,4,0),"")&amp;IFERROR(VLOOKUP(E579,Map!$B:$F,5,0),"")</f>
        <v/>
      </c>
      <c r="E579" s="574" t="str">
        <f t="shared" si="25"/>
        <v/>
      </c>
    </row>
    <row r="580" spans="2:5">
      <c r="B580" s="571" t="str">
        <f>IF(F580="","",(SUMIF(INTGRATE!$Y:$Y,data!D580,INTGRATE!$L:$L)+SUMIF(BRAN!$V:$V,data!D580,BRAN!$J:$J)))</f>
        <v/>
      </c>
      <c r="C580" s="572" t="str">
        <f t="shared" si="26"/>
        <v/>
      </c>
      <c r="D580" s="573" t="str">
        <f>IFERROR(VLOOKUP(E580,Map!$B:$F,4,0),"")&amp;IFERROR(VLOOKUP(E580,Map!$B:$F,5,0),"")</f>
        <v/>
      </c>
      <c r="E580" s="574" t="str">
        <f t="shared" si="25"/>
        <v/>
      </c>
    </row>
    <row r="581" spans="2:5">
      <c r="B581" s="571" t="str">
        <f>IF(F581="","",(SUMIF(INTGRATE!$Y:$Y,data!D581,INTGRATE!$L:$L)+SUMIF(BRAN!$V:$V,data!D581,BRAN!$J:$J)))</f>
        <v/>
      </c>
      <c r="C581" s="572" t="str">
        <f t="shared" si="26"/>
        <v/>
      </c>
      <c r="D581" s="573" t="str">
        <f>IFERROR(VLOOKUP(E581,Map!$B:$F,4,0),"")&amp;IFERROR(VLOOKUP(E581,Map!$B:$F,5,0),"")</f>
        <v/>
      </c>
      <c r="E581" s="574" t="str">
        <f t="shared" si="25"/>
        <v/>
      </c>
    </row>
    <row r="582" spans="2:5">
      <c r="B582" s="571" t="str">
        <f>IF(F582="","",(SUMIF(INTGRATE!$Y:$Y,data!D582,INTGRATE!$L:$L)+SUMIF(BRAN!$V:$V,data!D582,BRAN!$J:$J)))</f>
        <v/>
      </c>
      <c r="C582" s="572" t="str">
        <f t="shared" si="26"/>
        <v/>
      </c>
      <c r="D582" s="573" t="str">
        <f>IFERROR(VLOOKUP(E582,Map!$B:$F,4,0),"")&amp;IFERROR(VLOOKUP(E582,Map!$B:$F,5,0),"")</f>
        <v/>
      </c>
      <c r="E582" s="574" t="str">
        <f t="shared" si="25"/>
        <v/>
      </c>
    </row>
    <row r="583" spans="2:5">
      <c r="B583" s="571" t="str">
        <f>IF(F583="","",(SUMIF(INTGRATE!$Y:$Y,data!D583,INTGRATE!$L:$L)+SUMIF(BRAN!$V:$V,data!D583,BRAN!$J:$J)))</f>
        <v/>
      </c>
      <c r="C583" s="572" t="str">
        <f t="shared" si="26"/>
        <v/>
      </c>
      <c r="D583" s="573" t="str">
        <f>IFERROR(VLOOKUP(E583,Map!$B:$F,4,0),"")&amp;IFERROR(VLOOKUP(E583,Map!$B:$F,5,0),"")</f>
        <v/>
      </c>
      <c r="E583" s="574" t="str">
        <f t="shared" si="25"/>
        <v/>
      </c>
    </row>
    <row r="584" spans="2:5">
      <c r="B584" s="571" t="str">
        <f>IF(F584="","",(SUMIF(INTGRATE!$Y:$Y,data!D584,INTGRATE!$L:$L)+SUMIF(BRAN!$V:$V,data!D584,BRAN!$J:$J)))</f>
        <v/>
      </c>
      <c r="C584" s="572" t="str">
        <f t="shared" si="26"/>
        <v/>
      </c>
      <c r="D584" s="573" t="str">
        <f>IFERROR(VLOOKUP(E584,Map!$B:$F,4,0),"")&amp;IFERROR(VLOOKUP(E584,Map!$B:$F,5,0),"")</f>
        <v/>
      </c>
      <c r="E584" s="574" t="str">
        <f t="shared" si="25"/>
        <v/>
      </c>
    </row>
    <row r="585" spans="2:5">
      <c r="B585" s="571" t="str">
        <f>IF(F585="","",(SUMIF(INTGRATE!$Y:$Y,data!D585,INTGRATE!$L:$L)+SUMIF(BRAN!$V:$V,data!D585,BRAN!$J:$J)))</f>
        <v/>
      </c>
      <c r="C585" s="572" t="str">
        <f t="shared" si="26"/>
        <v/>
      </c>
      <c r="D585" s="573" t="str">
        <f>IFERROR(VLOOKUP(E585,Map!$B:$F,4,0),"")&amp;IFERROR(VLOOKUP(E585,Map!$B:$F,5,0),"")</f>
        <v/>
      </c>
      <c r="E585" s="574" t="str">
        <f t="shared" si="25"/>
        <v/>
      </c>
    </row>
    <row r="586" spans="2:5">
      <c r="B586" s="571" t="str">
        <f>IF(F586="","",(SUMIF(INTGRATE!$Y:$Y,data!D586,INTGRATE!$L:$L)+SUMIF(BRAN!$V:$V,data!D586,BRAN!$J:$J)))</f>
        <v/>
      </c>
      <c r="C586" s="572" t="str">
        <f t="shared" si="26"/>
        <v/>
      </c>
      <c r="D586" s="573" t="str">
        <f>IFERROR(VLOOKUP(E586,Map!$B:$F,4,0),"")&amp;IFERROR(VLOOKUP(E586,Map!$B:$F,5,0),"")</f>
        <v/>
      </c>
      <c r="E586" s="574" t="str">
        <f t="shared" si="25"/>
        <v/>
      </c>
    </row>
    <row r="587" spans="2:5">
      <c r="B587" s="571" t="str">
        <f>IF(F587="","",(SUMIF(INTGRATE!$Y:$Y,data!D587,INTGRATE!$L:$L)+SUMIF(BRAN!$V:$V,data!D587,BRAN!$J:$J)))</f>
        <v/>
      </c>
      <c r="C587" s="572" t="str">
        <f t="shared" si="26"/>
        <v/>
      </c>
      <c r="D587" s="573" t="str">
        <f>IFERROR(VLOOKUP(E587,Map!$B:$F,4,0),"")&amp;IFERROR(VLOOKUP(E587,Map!$B:$F,5,0),"")</f>
        <v/>
      </c>
      <c r="E587" s="574" t="str">
        <f t="shared" si="25"/>
        <v/>
      </c>
    </row>
    <row r="588" spans="2:5">
      <c r="B588" s="571" t="str">
        <f>IF(F588="","",(SUMIF(INTGRATE!$Y:$Y,data!D588,INTGRATE!$L:$L)+SUMIF(BRAN!$V:$V,data!D588,BRAN!$J:$J)))</f>
        <v/>
      </c>
      <c r="C588" s="572" t="str">
        <f t="shared" si="26"/>
        <v/>
      </c>
      <c r="D588" s="573" t="str">
        <f>IFERROR(VLOOKUP(E588,Map!$B:$F,4,0),"")&amp;IFERROR(VLOOKUP(E588,Map!$B:$F,5,0),"")</f>
        <v/>
      </c>
      <c r="E588" s="574" t="str">
        <f t="shared" si="25"/>
        <v/>
      </c>
    </row>
    <row r="589" spans="2:5">
      <c r="B589" s="571" t="str">
        <f>IF(F589="","",(SUMIF(INTGRATE!$Y:$Y,data!D589,INTGRATE!$L:$L)+SUMIF(BRAN!$V:$V,data!D589,BRAN!$J:$J)))</f>
        <v/>
      </c>
      <c r="C589" s="572" t="str">
        <f t="shared" si="26"/>
        <v/>
      </c>
      <c r="D589" s="573" t="str">
        <f>IFERROR(VLOOKUP(E589,Map!$B:$F,4,0),"")&amp;IFERROR(VLOOKUP(E589,Map!$B:$F,5,0),"")</f>
        <v/>
      </c>
      <c r="E589" s="574" t="str">
        <f t="shared" si="25"/>
        <v/>
      </c>
    </row>
    <row r="590" spans="2:5">
      <c r="B590" s="571" t="str">
        <f>IF(F590="","",(SUMIF(INTGRATE!$Y:$Y,data!D590,INTGRATE!$L:$L)+SUMIF(BRAN!$V:$V,data!D590,BRAN!$J:$J)))</f>
        <v/>
      </c>
      <c r="C590" s="572" t="str">
        <f t="shared" si="26"/>
        <v/>
      </c>
      <c r="D590" s="573" t="str">
        <f>IFERROR(VLOOKUP(E590,Map!$B:$F,4,0),"")&amp;IFERROR(VLOOKUP(E590,Map!$B:$F,5,0),"")</f>
        <v/>
      </c>
      <c r="E590" s="574" t="str">
        <f t="shared" si="25"/>
        <v/>
      </c>
    </row>
    <row r="591" spans="2:5">
      <c r="B591" s="571" t="str">
        <f>IF(F591="","",(SUMIF(INTGRATE!$Y:$Y,data!D591,INTGRATE!$L:$L)+SUMIF(BRAN!$V:$V,data!D591,BRAN!$J:$J)))</f>
        <v/>
      </c>
      <c r="C591" s="572" t="str">
        <f t="shared" si="26"/>
        <v/>
      </c>
      <c r="D591" s="573" t="str">
        <f>IFERROR(VLOOKUP(E591,Map!$B:$F,4,0),"")&amp;IFERROR(VLOOKUP(E591,Map!$B:$F,5,0),"")</f>
        <v/>
      </c>
      <c r="E591" s="574" t="str">
        <f t="shared" si="25"/>
        <v/>
      </c>
    </row>
    <row r="592" spans="2:5">
      <c r="B592" s="571" t="str">
        <f>IF(F592="","",(SUMIF(INTGRATE!$Y:$Y,data!D592,INTGRATE!$L:$L)+SUMIF(BRAN!$V:$V,data!D592,BRAN!$J:$J)))</f>
        <v/>
      </c>
      <c r="C592" s="572" t="str">
        <f t="shared" si="26"/>
        <v/>
      </c>
      <c r="D592" s="573" t="str">
        <f>IFERROR(VLOOKUP(E592,Map!$B:$F,4,0),"")&amp;IFERROR(VLOOKUP(E592,Map!$B:$F,5,0),"")</f>
        <v/>
      </c>
      <c r="E592" s="574" t="str">
        <f t="shared" si="25"/>
        <v/>
      </c>
    </row>
    <row r="593" spans="2:5">
      <c r="B593" s="571" t="str">
        <f>IF(F593="","",(SUMIF(INTGRATE!$Y:$Y,data!D593,INTGRATE!$L:$L)+SUMIF(BRAN!$V:$V,data!D593,BRAN!$J:$J)))</f>
        <v/>
      </c>
      <c r="C593" s="572" t="str">
        <f t="shared" si="26"/>
        <v/>
      </c>
      <c r="D593" s="573" t="str">
        <f>IFERROR(VLOOKUP(E593,Map!$B:$F,4,0),"")&amp;IFERROR(VLOOKUP(E593,Map!$B:$F,5,0),"")</f>
        <v/>
      </c>
      <c r="E593" s="574" t="str">
        <f t="shared" si="25"/>
        <v/>
      </c>
    </row>
    <row r="594" spans="2:5">
      <c r="B594" s="571" t="str">
        <f>IF(F594="","",(SUMIF(INTGRATE!$Y:$Y,data!D594,INTGRATE!$L:$L)+SUMIF(BRAN!$V:$V,data!D594,BRAN!$J:$J)))</f>
        <v/>
      </c>
      <c r="C594" s="572" t="str">
        <f t="shared" si="26"/>
        <v/>
      </c>
      <c r="D594" s="573" t="str">
        <f>IFERROR(VLOOKUP(E594,Map!$B:$F,4,0),"")&amp;IFERROR(VLOOKUP(E594,Map!$B:$F,5,0),"")</f>
        <v/>
      </c>
      <c r="E594" s="574" t="str">
        <f t="shared" si="25"/>
        <v/>
      </c>
    </row>
    <row r="595" spans="2:5">
      <c r="B595" s="571" t="str">
        <f>IF(F595="","",(SUMIF(INTGRATE!$Y:$Y,data!D595,INTGRATE!$L:$L)+SUMIF(BRAN!$V:$V,data!D595,BRAN!$J:$J)))</f>
        <v/>
      </c>
      <c r="C595" s="572" t="str">
        <f t="shared" si="26"/>
        <v/>
      </c>
      <c r="D595" s="573" t="str">
        <f>IFERROR(VLOOKUP(E595,Map!$B:$F,4,0),"")&amp;IFERROR(VLOOKUP(E595,Map!$B:$F,5,0),"")</f>
        <v/>
      </c>
      <c r="E595" s="574" t="str">
        <f t="shared" si="25"/>
        <v/>
      </c>
    </row>
    <row r="596" spans="2:5">
      <c r="B596" s="571" t="str">
        <f>IF(F596="","",(SUMIF(INTGRATE!$Y:$Y,data!D596,INTGRATE!$L:$L)+SUMIF(BRAN!$V:$V,data!D596,BRAN!$J:$J)))</f>
        <v/>
      </c>
      <c r="C596" s="572" t="str">
        <f t="shared" si="26"/>
        <v/>
      </c>
      <c r="D596" s="573" t="str">
        <f>IFERROR(VLOOKUP(E596,Map!$B:$F,4,0),"")&amp;IFERROR(VLOOKUP(E596,Map!$B:$F,5,0),"")</f>
        <v/>
      </c>
      <c r="E596" s="574" t="str">
        <f t="shared" si="25"/>
        <v/>
      </c>
    </row>
    <row r="597" spans="2:5">
      <c r="B597" s="571" t="str">
        <f>IF(F597="","",(SUMIF(INTGRATE!$Y:$Y,data!D597,INTGRATE!$L:$L)+SUMIF(BRAN!$V:$V,data!D597,BRAN!$J:$J)))</f>
        <v/>
      </c>
      <c r="C597" s="572" t="str">
        <f t="shared" si="26"/>
        <v/>
      </c>
      <c r="D597" s="573" t="str">
        <f>IFERROR(VLOOKUP(E597,Map!$B:$F,4,0),"")&amp;IFERROR(VLOOKUP(E597,Map!$B:$F,5,0),"")</f>
        <v/>
      </c>
      <c r="E597" s="574" t="str">
        <f t="shared" si="25"/>
        <v/>
      </c>
    </row>
    <row r="598" spans="2:5">
      <c r="B598" s="571" t="str">
        <f>IF(F598="","",(SUMIF(INTGRATE!$Y:$Y,data!D598,INTGRATE!$L:$L)+SUMIF(BRAN!$V:$V,data!D598,BRAN!$J:$J)))</f>
        <v/>
      </c>
      <c r="C598" s="572" t="str">
        <f t="shared" si="26"/>
        <v/>
      </c>
      <c r="D598" s="573" t="str">
        <f>IFERROR(VLOOKUP(E598,Map!$B:$F,4,0),"")&amp;IFERROR(VLOOKUP(E598,Map!$B:$F,5,0),"")</f>
        <v/>
      </c>
      <c r="E598" s="574" t="str">
        <f t="shared" si="25"/>
        <v/>
      </c>
    </row>
    <row r="599" spans="2:5">
      <c r="B599" s="571" t="str">
        <f>IF(F599="","",(SUMIF(INTGRATE!$Y:$Y,data!D599,INTGRATE!$L:$L)+SUMIF(BRAN!$V:$V,data!D599,BRAN!$J:$J)))</f>
        <v/>
      </c>
      <c r="C599" s="572" t="str">
        <f t="shared" si="26"/>
        <v/>
      </c>
      <c r="D599" s="573" t="str">
        <f>IFERROR(VLOOKUP(E599,Map!$B:$F,4,0),"")&amp;IFERROR(VLOOKUP(E599,Map!$B:$F,5,0),"")</f>
        <v/>
      </c>
      <c r="E599" s="574" t="str">
        <f t="shared" si="25"/>
        <v/>
      </c>
    </row>
    <row r="600" spans="2:5">
      <c r="B600" s="571" t="str">
        <f>IF(F600="","",(SUMIF(INTGRATE!$Y:$Y,data!D600,INTGRATE!$L:$L)+SUMIF(BRAN!$V:$V,data!D600,BRAN!$J:$J)))</f>
        <v/>
      </c>
      <c r="C600" s="572" t="str">
        <f t="shared" si="26"/>
        <v/>
      </c>
      <c r="D600" s="573" t="str">
        <f>IFERROR(VLOOKUP(E600,Map!$B:$F,4,0),"")&amp;IFERROR(VLOOKUP(E600,Map!$B:$F,5,0),"")</f>
        <v/>
      </c>
      <c r="E600" s="574" t="str">
        <f t="shared" si="25"/>
        <v/>
      </c>
    </row>
    <row r="601" spans="2:5">
      <c r="B601" s="571" t="str">
        <f>IF(F601="","",(SUMIF(INTGRATE!$Y:$Y,data!D601,INTGRATE!$L:$L)+SUMIF(BRAN!$V:$V,data!D601,BRAN!$J:$J)))</f>
        <v/>
      </c>
      <c r="C601" s="572" t="str">
        <f t="shared" si="26"/>
        <v/>
      </c>
      <c r="D601" s="573" t="str">
        <f>IFERROR(VLOOKUP(E601,Map!$B:$F,4,0),"")&amp;IFERROR(VLOOKUP(E601,Map!$B:$F,5,0),"")</f>
        <v/>
      </c>
      <c r="E601" s="574" t="str">
        <f t="shared" si="25"/>
        <v/>
      </c>
    </row>
    <row r="602" spans="2:5">
      <c r="B602" s="571" t="str">
        <f>IF(F602="","",(SUMIF(INTGRATE!$Y:$Y,data!D602,INTGRATE!$L:$L)+SUMIF(BRAN!$V:$V,data!D602,BRAN!$J:$J)))</f>
        <v/>
      </c>
      <c r="C602" s="572" t="str">
        <f t="shared" si="26"/>
        <v/>
      </c>
      <c r="D602" s="573" t="str">
        <f>IFERROR(VLOOKUP(E602,Map!$B:$F,4,0),"")&amp;IFERROR(VLOOKUP(E602,Map!$B:$F,5,0),"")</f>
        <v/>
      </c>
      <c r="E602" s="574" t="str">
        <f t="shared" si="25"/>
        <v/>
      </c>
    </row>
    <row r="603" spans="2:5">
      <c r="B603" s="571" t="str">
        <f>IF(F603="","",(SUMIF(INTGRATE!$Y:$Y,data!D603,INTGRATE!$L:$L)+SUMIF(BRAN!$V:$V,data!D603,BRAN!$J:$J)))</f>
        <v/>
      </c>
      <c r="C603" s="572" t="str">
        <f t="shared" si="26"/>
        <v/>
      </c>
      <c r="D603" s="573" t="str">
        <f>IFERROR(VLOOKUP(E603,Map!$B:$F,4,0),"")&amp;IFERROR(VLOOKUP(E603,Map!$B:$F,5,0),"")</f>
        <v/>
      </c>
      <c r="E603" s="574" t="str">
        <f t="shared" si="25"/>
        <v/>
      </c>
    </row>
    <row r="604" spans="2:5">
      <c r="B604" s="571" t="str">
        <f>IF(F604="","",(SUMIF(INTGRATE!$Y:$Y,data!D604,INTGRATE!$L:$L)+SUMIF(BRAN!$V:$V,data!D604,BRAN!$J:$J)))</f>
        <v/>
      </c>
      <c r="C604" s="572" t="str">
        <f t="shared" si="26"/>
        <v/>
      </c>
      <c r="D604" s="573" t="str">
        <f>IFERROR(VLOOKUP(E604,Map!$B:$F,4,0),"")&amp;IFERROR(VLOOKUP(E604,Map!$B:$F,5,0),"")</f>
        <v/>
      </c>
      <c r="E604" s="574" t="str">
        <f t="shared" si="25"/>
        <v/>
      </c>
    </row>
    <row r="605" spans="2:5">
      <c r="B605" s="571" t="str">
        <f>IF(F605="","",(SUMIF(INTGRATE!$Y:$Y,data!D605,INTGRATE!$L:$L)+SUMIF(BRAN!$V:$V,data!D605,BRAN!$J:$J)))</f>
        <v/>
      </c>
      <c r="C605" s="572" t="str">
        <f t="shared" si="26"/>
        <v/>
      </c>
      <c r="D605" s="573" t="str">
        <f>IFERROR(VLOOKUP(E605,Map!$B:$F,4,0),"")&amp;IFERROR(VLOOKUP(E605,Map!$B:$F,5,0),"")</f>
        <v/>
      </c>
      <c r="E605" s="574" t="str">
        <f t="shared" si="25"/>
        <v/>
      </c>
    </row>
    <row r="606" spans="2:5">
      <c r="B606" s="571" t="str">
        <f>IF(F606="","",(SUMIF(INTGRATE!$Y:$Y,data!D606,INTGRATE!$L:$L)+SUMIF(BRAN!$V:$V,data!D606,BRAN!$J:$J)))</f>
        <v/>
      </c>
      <c r="C606" s="572" t="str">
        <f t="shared" si="26"/>
        <v/>
      </c>
      <c r="D606" s="573" t="str">
        <f>IFERROR(VLOOKUP(E606,Map!$B:$F,4,0),"")&amp;IFERROR(VLOOKUP(E606,Map!$B:$F,5,0),"")</f>
        <v/>
      </c>
      <c r="E606" s="574" t="str">
        <f t="shared" si="25"/>
        <v/>
      </c>
    </row>
    <row r="607" spans="2:5">
      <c r="B607" s="571" t="str">
        <f>IF(F607="","",(SUMIF(INTGRATE!$Y:$Y,data!D607,INTGRATE!$L:$L)+SUMIF(BRAN!$V:$V,data!D607,BRAN!$J:$J)))</f>
        <v/>
      </c>
      <c r="C607" s="572" t="str">
        <f t="shared" si="26"/>
        <v/>
      </c>
      <c r="D607" s="573" t="str">
        <f>IFERROR(VLOOKUP(E607,Map!$B:$F,4,0),"")&amp;IFERROR(VLOOKUP(E607,Map!$B:$F,5,0),"")</f>
        <v/>
      </c>
      <c r="E607" s="574" t="str">
        <f t="shared" si="25"/>
        <v/>
      </c>
    </row>
    <row r="608" spans="2:5">
      <c r="B608" s="571" t="str">
        <f>IF(F608="","",(SUMIF(INTGRATE!$Y:$Y,data!D608,INTGRATE!$L:$L)+SUMIF(BRAN!$V:$V,data!D608,BRAN!$J:$J)))</f>
        <v/>
      </c>
      <c r="C608" s="572" t="str">
        <f t="shared" si="26"/>
        <v/>
      </c>
      <c r="D608" s="573" t="str">
        <f>IFERROR(VLOOKUP(E608,Map!$B:$F,4,0),"")&amp;IFERROR(VLOOKUP(E608,Map!$B:$F,5,0),"")</f>
        <v/>
      </c>
      <c r="E608" s="574" t="str">
        <f t="shared" ref="E608:E671" si="27">IF(MID(F608,10,2)="99",F608&amp;H608,LEFT(F608,14))</f>
        <v/>
      </c>
    </row>
    <row r="609" spans="2:5">
      <c r="B609" s="571" t="str">
        <f>IF(F609="","",(SUMIF(INTGRATE!$Y:$Y,data!D609,INTGRATE!$L:$L)+SUMIF(BRAN!$V:$V,data!D609,BRAN!$J:$J)))</f>
        <v/>
      </c>
      <c r="C609" s="572" t="str">
        <f t="shared" si="26"/>
        <v/>
      </c>
      <c r="D609" s="573" t="str">
        <f>IFERROR(VLOOKUP(E609,Map!$B:$F,4,0),"")&amp;IFERROR(VLOOKUP(E609,Map!$B:$F,5,0),"")</f>
        <v/>
      </c>
      <c r="E609" s="574" t="str">
        <f t="shared" si="27"/>
        <v/>
      </c>
    </row>
    <row r="610" spans="2:5">
      <c r="B610" s="571" t="str">
        <f>IF(F610="","",(SUMIF(INTGRATE!$Y:$Y,data!D610,INTGRATE!$L:$L)+SUMIF(BRAN!$V:$V,data!D610,BRAN!$J:$J)))</f>
        <v/>
      </c>
      <c r="C610" s="572" t="str">
        <f t="shared" si="26"/>
        <v/>
      </c>
      <c r="D610" s="573" t="str">
        <f>IFERROR(VLOOKUP(E610,Map!$B:$F,4,0),"")&amp;IFERROR(VLOOKUP(E610,Map!$B:$F,5,0),"")</f>
        <v/>
      </c>
      <c r="E610" s="574" t="str">
        <f t="shared" si="27"/>
        <v/>
      </c>
    </row>
    <row r="611" spans="2:5">
      <c r="B611" s="571" t="str">
        <f>IF(F611="","",(SUMIF(INTGRATE!$Y:$Y,data!D611,INTGRATE!$L:$L)+SUMIF(BRAN!$V:$V,data!D611,BRAN!$J:$J)))</f>
        <v/>
      </c>
      <c r="C611" s="572" t="str">
        <f t="shared" si="26"/>
        <v/>
      </c>
      <c r="D611" s="573" t="str">
        <f>IFERROR(VLOOKUP(E611,Map!$B:$F,4,0),"")&amp;IFERROR(VLOOKUP(E611,Map!$B:$F,5,0),"")</f>
        <v/>
      </c>
      <c r="E611" s="574" t="str">
        <f t="shared" si="27"/>
        <v/>
      </c>
    </row>
    <row r="612" spans="2:5">
      <c r="B612" s="571" t="str">
        <f>IF(F612="","",(SUMIF(INTGRATE!$Y:$Y,data!D612,INTGRATE!$L:$L)+SUMIF(BRAN!$V:$V,data!D612,BRAN!$J:$J)))</f>
        <v/>
      </c>
      <c r="C612" s="572" t="str">
        <f t="shared" si="26"/>
        <v/>
      </c>
      <c r="D612" s="573" t="str">
        <f>IFERROR(VLOOKUP(E612,Map!$B:$F,4,0),"")&amp;IFERROR(VLOOKUP(E612,Map!$B:$F,5,0),"")</f>
        <v/>
      </c>
      <c r="E612" s="574" t="str">
        <f t="shared" si="27"/>
        <v/>
      </c>
    </row>
    <row r="613" spans="2:5">
      <c r="B613" s="571" t="str">
        <f>IF(F613="","",(SUMIF(INTGRATE!$Y:$Y,data!D613,INTGRATE!$L:$L)+SUMIF(BRAN!$V:$V,data!D613,BRAN!$J:$J)))</f>
        <v/>
      </c>
      <c r="C613" s="572" t="str">
        <f t="shared" si="26"/>
        <v/>
      </c>
      <c r="D613" s="573" t="str">
        <f>IFERROR(VLOOKUP(E613,Map!$B:$F,4,0),"")&amp;IFERROR(VLOOKUP(E613,Map!$B:$F,5,0),"")</f>
        <v/>
      </c>
      <c r="E613" s="574" t="str">
        <f t="shared" si="27"/>
        <v/>
      </c>
    </row>
    <row r="614" spans="2:5">
      <c r="B614" s="571" t="str">
        <f>IF(F614="","",(SUMIF(INTGRATE!$Y:$Y,data!D614,INTGRATE!$L:$L)+SUMIF(BRAN!$V:$V,data!D614,BRAN!$J:$J)))</f>
        <v/>
      </c>
      <c r="C614" s="572" t="str">
        <f t="shared" si="26"/>
        <v/>
      </c>
      <c r="D614" s="573" t="str">
        <f>IFERROR(VLOOKUP(E614,Map!$B:$F,4,0),"")&amp;IFERROR(VLOOKUP(E614,Map!$B:$F,5,0),"")</f>
        <v/>
      </c>
      <c r="E614" s="574" t="str">
        <f t="shared" si="27"/>
        <v/>
      </c>
    </row>
    <row r="615" spans="2:5">
      <c r="B615" s="571" t="str">
        <f>IF(F615="","",(SUMIF(INTGRATE!$Y:$Y,data!D615,INTGRATE!$L:$L)+SUMIF(BRAN!$V:$V,data!D615,BRAN!$J:$J)))</f>
        <v/>
      </c>
      <c r="C615" s="572" t="str">
        <f t="shared" si="26"/>
        <v/>
      </c>
      <c r="D615" s="573" t="str">
        <f>IFERROR(VLOOKUP(E615,Map!$B:$F,4,0),"")&amp;IFERROR(VLOOKUP(E615,Map!$B:$F,5,0),"")</f>
        <v/>
      </c>
      <c r="E615" s="574" t="str">
        <f t="shared" si="27"/>
        <v/>
      </c>
    </row>
    <row r="616" spans="2:5">
      <c r="B616" s="571" t="str">
        <f>IF(F616="","",(SUMIF(INTGRATE!$Y:$Y,data!D616,INTGRATE!$L:$L)+SUMIF(BRAN!$V:$V,data!D616,BRAN!$J:$J)))</f>
        <v/>
      </c>
      <c r="C616" s="572" t="str">
        <f t="shared" si="26"/>
        <v/>
      </c>
      <c r="D616" s="573" t="str">
        <f>IFERROR(VLOOKUP(E616,Map!$B:$F,4,0),"")&amp;IFERROR(VLOOKUP(E616,Map!$B:$F,5,0),"")</f>
        <v/>
      </c>
      <c r="E616" s="574" t="str">
        <f t="shared" si="27"/>
        <v/>
      </c>
    </row>
    <row r="617" spans="2:5">
      <c r="B617" s="571" t="str">
        <f>IF(F617="","",(SUMIF(INTGRATE!$Y:$Y,data!D617,INTGRATE!$L:$L)+SUMIF(BRAN!$V:$V,data!D617,BRAN!$J:$J)))</f>
        <v/>
      </c>
      <c r="C617" s="572" t="str">
        <f t="shared" si="26"/>
        <v/>
      </c>
      <c r="D617" s="573" t="str">
        <f>IFERROR(VLOOKUP(E617,Map!$B:$F,4,0),"")&amp;IFERROR(VLOOKUP(E617,Map!$B:$F,5,0),"")</f>
        <v/>
      </c>
      <c r="E617" s="574" t="str">
        <f t="shared" si="27"/>
        <v/>
      </c>
    </row>
    <row r="618" spans="2:5">
      <c r="B618" s="571" t="str">
        <f>IF(F618="","",(SUMIF(INTGRATE!$Y:$Y,data!D618,INTGRATE!$L:$L)+SUMIF(BRAN!$V:$V,data!D618,BRAN!$J:$J)))</f>
        <v/>
      </c>
      <c r="C618" s="572" t="str">
        <f t="shared" si="26"/>
        <v/>
      </c>
      <c r="D618" s="573" t="str">
        <f>IFERROR(VLOOKUP(E618,Map!$B:$F,4,0),"")&amp;IFERROR(VLOOKUP(E618,Map!$B:$F,5,0),"")</f>
        <v/>
      </c>
      <c r="E618" s="574" t="str">
        <f t="shared" si="27"/>
        <v/>
      </c>
    </row>
    <row r="619" spans="2:5">
      <c r="B619" s="571" t="str">
        <f>IF(F619="","",(SUMIF(INTGRATE!$Y:$Y,data!D619,INTGRATE!$L:$L)+SUMIF(BRAN!$V:$V,data!D619,BRAN!$J:$J)))</f>
        <v/>
      </c>
      <c r="C619" s="572" t="str">
        <f t="shared" si="26"/>
        <v/>
      </c>
      <c r="D619" s="573" t="str">
        <f>IFERROR(VLOOKUP(E619,Map!$B:$F,4,0),"")&amp;IFERROR(VLOOKUP(E619,Map!$B:$F,5,0),"")</f>
        <v/>
      </c>
      <c r="E619" s="574" t="str">
        <f t="shared" si="27"/>
        <v/>
      </c>
    </row>
    <row r="620" spans="2:5">
      <c r="B620" s="571" t="str">
        <f>IF(F620="","",(SUMIF(INTGRATE!$Y:$Y,data!D620,INTGRATE!$L:$L)+SUMIF(BRAN!$V:$V,data!D620,BRAN!$J:$J)))</f>
        <v/>
      </c>
      <c r="C620" s="572" t="str">
        <f t="shared" si="26"/>
        <v/>
      </c>
      <c r="D620" s="573" t="str">
        <f>IFERROR(VLOOKUP(E620,Map!$B:$F,4,0),"")&amp;IFERROR(VLOOKUP(E620,Map!$B:$F,5,0),"")</f>
        <v/>
      </c>
      <c r="E620" s="574" t="str">
        <f t="shared" si="27"/>
        <v/>
      </c>
    </row>
    <row r="621" spans="2:5">
      <c r="B621" s="571" t="str">
        <f>IF(F621="","",(SUMIF(INTGRATE!$Y:$Y,data!D621,INTGRATE!$L:$L)+SUMIF(BRAN!$V:$V,data!D621,BRAN!$J:$J)))</f>
        <v/>
      </c>
      <c r="C621" s="572" t="str">
        <f t="shared" si="26"/>
        <v/>
      </c>
      <c r="D621" s="573" t="str">
        <f>IFERROR(VLOOKUP(E621,Map!$B:$F,4,0),"")&amp;IFERROR(VLOOKUP(E621,Map!$B:$F,5,0),"")</f>
        <v/>
      </c>
      <c r="E621" s="574" t="str">
        <f t="shared" si="27"/>
        <v/>
      </c>
    </row>
    <row r="622" spans="2:5">
      <c r="B622" s="571" t="str">
        <f>IF(F622="","",(SUMIF(INTGRATE!$Y:$Y,data!D622,INTGRATE!$L:$L)+SUMIF(BRAN!$V:$V,data!D622,BRAN!$J:$J)))</f>
        <v/>
      </c>
      <c r="C622" s="572" t="str">
        <f t="shared" si="26"/>
        <v/>
      </c>
      <c r="D622" s="573" t="str">
        <f>IFERROR(VLOOKUP(E622,Map!$B:$F,4,0),"")&amp;IFERROR(VLOOKUP(E622,Map!$B:$F,5,0),"")</f>
        <v/>
      </c>
      <c r="E622" s="574" t="str">
        <f t="shared" si="27"/>
        <v/>
      </c>
    </row>
    <row r="623" spans="2:5">
      <c r="B623" s="571" t="str">
        <f>IF(F623="","",(SUMIF(INTGRATE!$Y:$Y,data!D623,INTGRATE!$L:$L)+SUMIF(BRAN!$V:$V,data!D623,BRAN!$J:$J)))</f>
        <v/>
      </c>
      <c r="C623" s="572" t="str">
        <f t="shared" si="26"/>
        <v/>
      </c>
      <c r="D623" s="573" t="str">
        <f>IFERROR(VLOOKUP(E623,Map!$B:$F,4,0),"")&amp;IFERROR(VLOOKUP(E623,Map!$B:$F,5,0),"")</f>
        <v/>
      </c>
      <c r="E623" s="574" t="str">
        <f t="shared" si="27"/>
        <v/>
      </c>
    </row>
    <row r="624" spans="2:5">
      <c r="B624" s="571" t="str">
        <f>IF(F624="","",(SUMIF(INTGRATE!$Y:$Y,data!D624,INTGRATE!$L:$L)+SUMIF(BRAN!$V:$V,data!D624,BRAN!$J:$J)))</f>
        <v/>
      </c>
      <c r="C624" s="572" t="str">
        <f t="shared" si="26"/>
        <v/>
      </c>
      <c r="D624" s="573" t="str">
        <f>IFERROR(VLOOKUP(E624,Map!$B:$F,4,0),"")&amp;IFERROR(VLOOKUP(E624,Map!$B:$F,5,0),"")</f>
        <v/>
      </c>
      <c r="E624" s="574" t="str">
        <f t="shared" si="27"/>
        <v/>
      </c>
    </row>
    <row r="625" spans="2:5">
      <c r="B625" s="571" t="str">
        <f>IF(F625="","",(SUMIF(INTGRATE!$Y:$Y,data!D625,INTGRATE!$L:$L)+SUMIF(BRAN!$V:$V,data!D625,BRAN!$J:$J)))</f>
        <v/>
      </c>
      <c r="C625" s="572" t="str">
        <f t="shared" si="26"/>
        <v/>
      </c>
      <c r="D625" s="573" t="str">
        <f>IFERROR(VLOOKUP(E625,Map!$B:$F,4,0),"")&amp;IFERROR(VLOOKUP(E625,Map!$B:$F,5,0),"")</f>
        <v/>
      </c>
      <c r="E625" s="574" t="str">
        <f t="shared" si="27"/>
        <v/>
      </c>
    </row>
    <row r="626" spans="2:5">
      <c r="B626" s="571" t="str">
        <f>IF(F626="","",(SUMIF(INTGRATE!$Y:$Y,data!D626,INTGRATE!$L:$L)+SUMIF(BRAN!$V:$V,data!D626,BRAN!$J:$J)))</f>
        <v/>
      </c>
      <c r="C626" s="572" t="str">
        <f t="shared" si="26"/>
        <v/>
      </c>
      <c r="D626" s="573" t="str">
        <f>IFERROR(VLOOKUP(E626,Map!$B:$F,4,0),"")&amp;IFERROR(VLOOKUP(E626,Map!$B:$F,5,0),"")</f>
        <v/>
      </c>
      <c r="E626" s="574" t="str">
        <f t="shared" si="27"/>
        <v/>
      </c>
    </row>
    <row r="627" spans="2:5">
      <c r="B627" s="571" t="str">
        <f>IF(F627="","",(SUMIF(INTGRATE!$Y:$Y,data!D627,INTGRATE!$L:$L)+SUMIF(BRAN!$V:$V,data!D627,BRAN!$J:$J)))</f>
        <v/>
      </c>
      <c r="C627" s="572" t="str">
        <f t="shared" si="26"/>
        <v/>
      </c>
      <c r="D627" s="573" t="str">
        <f>IFERROR(VLOOKUP(E627,Map!$B:$F,4,0),"")&amp;IFERROR(VLOOKUP(E627,Map!$B:$F,5,0),"")</f>
        <v/>
      </c>
      <c r="E627" s="574" t="str">
        <f t="shared" si="27"/>
        <v/>
      </c>
    </row>
    <row r="628" spans="2:5">
      <c r="B628" s="571" t="str">
        <f>IF(F628="","",(SUMIF(INTGRATE!$Y:$Y,data!D628,INTGRATE!$L:$L)+SUMIF(BRAN!$V:$V,data!D628,BRAN!$J:$J)))</f>
        <v/>
      </c>
      <c r="C628" s="572" t="str">
        <f t="shared" si="26"/>
        <v/>
      </c>
      <c r="D628" s="573" t="str">
        <f>IFERROR(VLOOKUP(E628,Map!$B:$F,4,0),"")&amp;IFERROR(VLOOKUP(E628,Map!$B:$F,5,0),"")</f>
        <v/>
      </c>
      <c r="E628" s="574" t="str">
        <f t="shared" si="27"/>
        <v/>
      </c>
    </row>
    <row r="629" spans="2:5">
      <c r="B629" s="571" t="str">
        <f>IF(F629="","",(SUMIF(INTGRATE!$Y:$Y,data!D629,INTGRATE!$L:$L)+SUMIF(BRAN!$V:$V,data!D629,BRAN!$J:$J)))</f>
        <v/>
      </c>
      <c r="C629" s="572" t="str">
        <f t="shared" si="26"/>
        <v/>
      </c>
      <c r="D629" s="573" t="str">
        <f>IFERROR(VLOOKUP(E629,Map!$B:$F,4,0),"")&amp;IFERROR(VLOOKUP(E629,Map!$B:$F,5,0),"")</f>
        <v/>
      </c>
      <c r="E629" s="574" t="str">
        <f t="shared" si="27"/>
        <v/>
      </c>
    </row>
    <row r="630" spans="2:5">
      <c r="B630" s="571" t="str">
        <f>IF(F630="","",(SUMIF(INTGRATE!$Y:$Y,data!D630,INTGRATE!$L:$L)+SUMIF(BRAN!$V:$V,data!D630,BRAN!$J:$J)))</f>
        <v/>
      </c>
      <c r="C630" s="572" t="str">
        <f t="shared" si="26"/>
        <v/>
      </c>
      <c r="D630" s="573" t="str">
        <f>IFERROR(VLOOKUP(E630,Map!$B:$F,4,0),"")&amp;IFERROR(VLOOKUP(E630,Map!$B:$F,5,0),"")</f>
        <v/>
      </c>
      <c r="E630" s="574" t="str">
        <f t="shared" si="27"/>
        <v/>
      </c>
    </row>
    <row r="631" spans="2:5">
      <c r="B631" s="571" t="str">
        <f>IF(F631="","",(SUMIF(INTGRATE!$Y:$Y,data!D631,INTGRATE!$L:$L)+SUMIF(BRAN!$V:$V,data!D631,BRAN!$J:$J)))</f>
        <v/>
      </c>
      <c r="C631" s="572" t="str">
        <f t="shared" si="26"/>
        <v/>
      </c>
      <c r="D631" s="573" t="str">
        <f>IFERROR(VLOOKUP(E631,Map!$B:$F,4,0),"")&amp;IFERROR(VLOOKUP(E631,Map!$B:$F,5,0),"")</f>
        <v/>
      </c>
      <c r="E631" s="574" t="str">
        <f t="shared" si="27"/>
        <v/>
      </c>
    </row>
    <row r="632" spans="2:5">
      <c r="B632" s="571" t="str">
        <f>IF(F632="","",(SUMIF(INTGRATE!$Y:$Y,data!D632,INTGRATE!$L:$L)+SUMIF(BRAN!$V:$V,data!D632,BRAN!$J:$J)))</f>
        <v/>
      </c>
      <c r="C632" s="572" t="str">
        <f t="shared" si="26"/>
        <v/>
      </c>
      <c r="D632" s="573" t="str">
        <f>IFERROR(VLOOKUP(E632,Map!$B:$F,4,0),"")&amp;IFERROR(VLOOKUP(E632,Map!$B:$F,5,0),"")</f>
        <v/>
      </c>
      <c r="E632" s="574" t="str">
        <f t="shared" si="27"/>
        <v/>
      </c>
    </row>
    <row r="633" spans="2:5">
      <c r="B633" s="571" t="str">
        <f>IF(F633="","",(SUMIF(INTGRATE!$Y:$Y,data!D633,INTGRATE!$L:$L)+SUMIF(BRAN!$V:$V,data!D633,BRAN!$J:$J)))</f>
        <v/>
      </c>
      <c r="C633" s="572" t="str">
        <f t="shared" si="26"/>
        <v/>
      </c>
      <c r="D633" s="573" t="str">
        <f>IFERROR(VLOOKUP(E633,Map!$B:$F,4,0),"")&amp;IFERROR(VLOOKUP(E633,Map!$B:$F,5,0),"")</f>
        <v/>
      </c>
      <c r="E633" s="574" t="str">
        <f t="shared" si="27"/>
        <v/>
      </c>
    </row>
    <row r="634" spans="2:5">
      <c r="B634" s="571" t="str">
        <f>IF(F634="","",(SUMIF(INTGRATE!$Y:$Y,data!D634,INTGRATE!$L:$L)+SUMIF(BRAN!$V:$V,data!D634,BRAN!$J:$J)))</f>
        <v/>
      </c>
      <c r="C634" s="572" t="str">
        <f t="shared" si="26"/>
        <v/>
      </c>
      <c r="D634" s="573" t="str">
        <f>IFERROR(VLOOKUP(E634,Map!$B:$F,4,0),"")&amp;IFERROR(VLOOKUP(E634,Map!$B:$F,5,0),"")</f>
        <v/>
      </c>
      <c r="E634" s="574" t="str">
        <f t="shared" si="27"/>
        <v/>
      </c>
    </row>
    <row r="635" spans="2:5">
      <c r="B635" s="571" t="str">
        <f>IF(F635="","",(SUMIF(INTGRATE!$Y:$Y,data!D635,INTGRATE!$L:$L)+SUMIF(BRAN!$V:$V,data!D635,BRAN!$J:$J)))</f>
        <v/>
      </c>
      <c r="C635" s="572" t="str">
        <f t="shared" si="26"/>
        <v/>
      </c>
      <c r="D635" s="573" t="str">
        <f>IFERROR(VLOOKUP(E635,Map!$B:$F,4,0),"")&amp;IFERROR(VLOOKUP(E635,Map!$B:$F,5,0),"")</f>
        <v/>
      </c>
      <c r="E635" s="574" t="str">
        <f t="shared" si="27"/>
        <v/>
      </c>
    </row>
    <row r="636" spans="2:5">
      <c r="B636" s="571" t="str">
        <f>IF(F636="","",(SUMIF(INTGRATE!$Y:$Y,data!D636,INTGRATE!$L:$L)+SUMIF(BRAN!$V:$V,data!D636,BRAN!$J:$J)))</f>
        <v/>
      </c>
      <c r="C636" s="572" t="str">
        <f t="shared" si="26"/>
        <v/>
      </c>
      <c r="D636" s="573" t="str">
        <f>IFERROR(VLOOKUP(E636,Map!$B:$F,4,0),"")&amp;IFERROR(VLOOKUP(E636,Map!$B:$F,5,0),"")</f>
        <v/>
      </c>
      <c r="E636" s="574" t="str">
        <f t="shared" si="27"/>
        <v/>
      </c>
    </row>
    <row r="637" spans="2:5">
      <c r="B637" s="571" t="str">
        <f>IF(F637="","",(SUMIF(INTGRATE!$Y:$Y,data!D637,INTGRATE!$L:$L)+SUMIF(BRAN!$V:$V,data!D637,BRAN!$J:$J)))</f>
        <v/>
      </c>
      <c r="C637" s="572" t="str">
        <f t="shared" si="26"/>
        <v/>
      </c>
      <c r="D637" s="573" t="str">
        <f>IFERROR(VLOOKUP(E637,Map!$B:$F,4,0),"")&amp;IFERROR(VLOOKUP(E637,Map!$B:$F,5,0),"")</f>
        <v/>
      </c>
      <c r="E637" s="574" t="str">
        <f t="shared" si="27"/>
        <v/>
      </c>
    </row>
    <row r="638" spans="2:5">
      <c r="B638" s="571" t="str">
        <f>IF(F638="","",(SUMIF(INTGRATE!$Y:$Y,data!D638,INTGRATE!$L:$L)+SUMIF(BRAN!$V:$V,data!D638,BRAN!$J:$J)))</f>
        <v/>
      </c>
      <c r="C638" s="572" t="str">
        <f t="shared" si="26"/>
        <v/>
      </c>
      <c r="D638" s="573" t="str">
        <f>IFERROR(VLOOKUP(E638,Map!$B:$F,4,0),"")&amp;IFERROR(VLOOKUP(E638,Map!$B:$F,5,0),"")</f>
        <v/>
      </c>
      <c r="E638" s="574" t="str">
        <f t="shared" si="27"/>
        <v/>
      </c>
    </row>
    <row r="639" spans="2:5">
      <c r="B639" s="571" t="str">
        <f>IF(F639="","",(SUMIF(INTGRATE!$Y:$Y,data!D639,INTGRATE!$L:$L)+SUMIF(BRAN!$V:$V,data!D639,BRAN!$J:$J)))</f>
        <v/>
      </c>
      <c r="C639" s="572" t="str">
        <f t="shared" ref="C639:C702" si="28">IF(F639="","",B639-K639)</f>
        <v/>
      </c>
      <c r="D639" s="573" t="str">
        <f>IFERROR(VLOOKUP(E639,Map!$B:$F,4,0),"")&amp;IFERROR(VLOOKUP(E639,Map!$B:$F,5,0),"")</f>
        <v/>
      </c>
      <c r="E639" s="574" t="str">
        <f t="shared" si="27"/>
        <v/>
      </c>
    </row>
    <row r="640" spans="2:5">
      <c r="B640" s="571" t="str">
        <f>IF(F640="","",(SUMIF(INTGRATE!$Y:$Y,data!D640,INTGRATE!$L:$L)+SUMIF(BRAN!$V:$V,data!D640,BRAN!$J:$J)))</f>
        <v/>
      </c>
      <c r="C640" s="572" t="str">
        <f t="shared" si="28"/>
        <v/>
      </c>
      <c r="D640" s="573" t="str">
        <f>IFERROR(VLOOKUP(E640,Map!$B:$F,4,0),"")&amp;IFERROR(VLOOKUP(E640,Map!$B:$F,5,0),"")</f>
        <v/>
      </c>
      <c r="E640" s="574" t="str">
        <f t="shared" si="27"/>
        <v/>
      </c>
    </row>
    <row r="641" spans="2:5">
      <c r="B641" s="571" t="str">
        <f>IF(F641="","",(SUMIF(INTGRATE!$Y:$Y,data!D641,INTGRATE!$L:$L)+SUMIF(BRAN!$V:$V,data!D641,BRAN!$J:$J)))</f>
        <v/>
      </c>
      <c r="C641" s="572" t="str">
        <f t="shared" si="28"/>
        <v/>
      </c>
      <c r="D641" s="573" t="str">
        <f>IFERROR(VLOOKUP(E641,Map!$B:$F,4,0),"")&amp;IFERROR(VLOOKUP(E641,Map!$B:$F,5,0),"")</f>
        <v/>
      </c>
      <c r="E641" s="574" t="str">
        <f t="shared" si="27"/>
        <v/>
      </c>
    </row>
    <row r="642" spans="2:5">
      <c r="B642" s="571" t="str">
        <f>IF(F642="","",(SUMIF(INTGRATE!$Y:$Y,data!D642,INTGRATE!$L:$L)+SUMIF(BRAN!$V:$V,data!D642,BRAN!$J:$J)))</f>
        <v/>
      </c>
      <c r="C642" s="572" t="str">
        <f t="shared" si="28"/>
        <v/>
      </c>
      <c r="D642" s="573" t="str">
        <f>IFERROR(VLOOKUP(E642,Map!$B:$F,4,0),"")&amp;IFERROR(VLOOKUP(E642,Map!$B:$F,5,0),"")</f>
        <v/>
      </c>
      <c r="E642" s="574" t="str">
        <f t="shared" si="27"/>
        <v/>
      </c>
    </row>
    <row r="643" spans="2:5">
      <c r="B643" s="571" t="str">
        <f>IF(F643="","",(SUMIF(INTGRATE!$Y:$Y,data!D643,INTGRATE!$L:$L)+SUMIF(BRAN!$V:$V,data!D643,BRAN!$J:$J)))</f>
        <v/>
      </c>
      <c r="C643" s="572" t="str">
        <f t="shared" si="28"/>
        <v/>
      </c>
      <c r="D643" s="573" t="str">
        <f>IFERROR(VLOOKUP(E643,Map!$B:$F,4,0),"")&amp;IFERROR(VLOOKUP(E643,Map!$B:$F,5,0),"")</f>
        <v/>
      </c>
      <c r="E643" s="574" t="str">
        <f t="shared" si="27"/>
        <v/>
      </c>
    </row>
    <row r="644" spans="2:5">
      <c r="B644" s="571" t="str">
        <f>IF(F644="","",(SUMIF(INTGRATE!$Y:$Y,data!D644,INTGRATE!$L:$L)+SUMIF(BRAN!$V:$V,data!D644,BRAN!$J:$J)))</f>
        <v/>
      </c>
      <c r="C644" s="572" t="str">
        <f t="shared" si="28"/>
        <v/>
      </c>
      <c r="D644" s="573" t="str">
        <f>IFERROR(VLOOKUP(E644,Map!$B:$F,4,0),"")&amp;IFERROR(VLOOKUP(E644,Map!$B:$F,5,0),"")</f>
        <v/>
      </c>
      <c r="E644" s="574" t="str">
        <f t="shared" si="27"/>
        <v/>
      </c>
    </row>
    <row r="645" spans="2:5">
      <c r="B645" s="571" t="str">
        <f>IF(F645="","",(SUMIF(INTGRATE!$Y:$Y,data!D645,INTGRATE!$L:$L)+SUMIF(BRAN!$V:$V,data!D645,BRAN!$J:$J)))</f>
        <v/>
      </c>
      <c r="C645" s="572" t="str">
        <f t="shared" si="28"/>
        <v/>
      </c>
      <c r="D645" s="573" t="str">
        <f>IFERROR(VLOOKUP(E645,Map!$B:$F,4,0),"")&amp;IFERROR(VLOOKUP(E645,Map!$B:$F,5,0),"")</f>
        <v/>
      </c>
      <c r="E645" s="574" t="str">
        <f t="shared" si="27"/>
        <v/>
      </c>
    </row>
    <row r="646" spans="2:5">
      <c r="B646" s="571" t="str">
        <f>IF(F646="","",(SUMIF(INTGRATE!$Y:$Y,data!D646,INTGRATE!$L:$L)+SUMIF(BRAN!$V:$V,data!D646,BRAN!$J:$J)))</f>
        <v/>
      </c>
      <c r="C646" s="572" t="str">
        <f t="shared" si="28"/>
        <v/>
      </c>
      <c r="D646" s="573" t="str">
        <f>IFERROR(VLOOKUP(E646,Map!$B:$F,4,0),"")&amp;IFERROR(VLOOKUP(E646,Map!$B:$F,5,0),"")</f>
        <v/>
      </c>
      <c r="E646" s="574" t="str">
        <f t="shared" si="27"/>
        <v/>
      </c>
    </row>
    <row r="647" spans="2:5">
      <c r="B647" s="571" t="str">
        <f>IF(F647="","",(SUMIF(INTGRATE!$Y:$Y,data!D647,INTGRATE!$L:$L)+SUMIF(BRAN!$V:$V,data!D647,BRAN!$J:$J)))</f>
        <v/>
      </c>
      <c r="C647" s="572" t="str">
        <f t="shared" si="28"/>
        <v/>
      </c>
      <c r="D647" s="573" t="str">
        <f>IFERROR(VLOOKUP(E647,Map!$B:$F,4,0),"")&amp;IFERROR(VLOOKUP(E647,Map!$B:$F,5,0),"")</f>
        <v/>
      </c>
      <c r="E647" s="574" t="str">
        <f t="shared" si="27"/>
        <v/>
      </c>
    </row>
    <row r="648" spans="2:5">
      <c r="B648" s="571" t="str">
        <f>IF(F648="","",(SUMIF(INTGRATE!$Y:$Y,data!D648,INTGRATE!$L:$L)+SUMIF(BRAN!$V:$V,data!D648,BRAN!$J:$J)))</f>
        <v/>
      </c>
      <c r="C648" s="572" t="str">
        <f t="shared" si="28"/>
        <v/>
      </c>
      <c r="D648" s="573" t="str">
        <f>IFERROR(VLOOKUP(E648,Map!$B:$F,4,0),"")&amp;IFERROR(VLOOKUP(E648,Map!$B:$F,5,0),"")</f>
        <v/>
      </c>
      <c r="E648" s="574" t="str">
        <f t="shared" si="27"/>
        <v/>
      </c>
    </row>
    <row r="649" spans="2:5">
      <c r="B649" s="571" t="str">
        <f>IF(F649="","",(SUMIF(INTGRATE!$Y:$Y,data!D649,INTGRATE!$L:$L)+SUMIF(BRAN!$V:$V,data!D649,BRAN!$J:$J)))</f>
        <v/>
      </c>
      <c r="C649" s="572" t="str">
        <f t="shared" si="28"/>
        <v/>
      </c>
      <c r="D649" s="573" t="str">
        <f>IFERROR(VLOOKUP(E649,Map!$B:$F,4,0),"")&amp;IFERROR(VLOOKUP(E649,Map!$B:$F,5,0),"")</f>
        <v/>
      </c>
      <c r="E649" s="574" t="str">
        <f t="shared" si="27"/>
        <v/>
      </c>
    </row>
    <row r="650" spans="2:5">
      <c r="B650" s="571" t="str">
        <f>IF(F650="","",(SUMIF(INTGRATE!$Y:$Y,data!D650,INTGRATE!$L:$L)+SUMIF(BRAN!$V:$V,data!D650,BRAN!$J:$J)))</f>
        <v/>
      </c>
      <c r="C650" s="572" t="str">
        <f t="shared" si="28"/>
        <v/>
      </c>
      <c r="D650" s="573" t="str">
        <f>IFERROR(VLOOKUP(E650,Map!$B:$F,4,0),"")&amp;IFERROR(VLOOKUP(E650,Map!$B:$F,5,0),"")</f>
        <v/>
      </c>
      <c r="E650" s="574" t="str">
        <f t="shared" si="27"/>
        <v/>
      </c>
    </row>
    <row r="651" spans="2:5">
      <c r="B651" s="571" t="str">
        <f>IF(F651="","",(SUMIF(INTGRATE!$Y:$Y,data!D651,INTGRATE!$L:$L)+SUMIF(BRAN!$V:$V,data!D651,BRAN!$J:$J)))</f>
        <v/>
      </c>
      <c r="C651" s="572" t="str">
        <f t="shared" si="28"/>
        <v/>
      </c>
      <c r="D651" s="573" t="str">
        <f>IFERROR(VLOOKUP(E651,Map!$B:$F,4,0),"")&amp;IFERROR(VLOOKUP(E651,Map!$B:$F,5,0),"")</f>
        <v/>
      </c>
      <c r="E651" s="574" t="str">
        <f t="shared" si="27"/>
        <v/>
      </c>
    </row>
    <row r="652" spans="2:5">
      <c r="B652" s="571" t="str">
        <f>IF(F652="","",(SUMIF(INTGRATE!$Y:$Y,data!D652,INTGRATE!$L:$L)+SUMIF(BRAN!$V:$V,data!D652,BRAN!$J:$J)))</f>
        <v/>
      </c>
      <c r="C652" s="572" t="str">
        <f t="shared" si="28"/>
        <v/>
      </c>
      <c r="D652" s="573" t="str">
        <f>IFERROR(VLOOKUP(E652,Map!$B:$F,4,0),"")&amp;IFERROR(VLOOKUP(E652,Map!$B:$F,5,0),"")</f>
        <v/>
      </c>
      <c r="E652" s="574" t="str">
        <f t="shared" si="27"/>
        <v/>
      </c>
    </row>
    <row r="653" spans="2:5">
      <c r="B653" s="571" t="str">
        <f>IF(F653="","",(SUMIF(INTGRATE!$Y:$Y,data!D653,INTGRATE!$L:$L)+SUMIF(BRAN!$V:$V,data!D653,BRAN!$J:$J)))</f>
        <v/>
      </c>
      <c r="C653" s="572" t="str">
        <f t="shared" si="28"/>
        <v/>
      </c>
      <c r="D653" s="573" t="str">
        <f>IFERROR(VLOOKUP(E653,Map!$B:$F,4,0),"")&amp;IFERROR(VLOOKUP(E653,Map!$B:$F,5,0),"")</f>
        <v/>
      </c>
      <c r="E653" s="574" t="str">
        <f t="shared" si="27"/>
        <v/>
      </c>
    </row>
    <row r="654" spans="2:5">
      <c r="B654" s="571" t="str">
        <f>IF(F654="","",(SUMIF(INTGRATE!$Y:$Y,data!D654,INTGRATE!$L:$L)+SUMIF(BRAN!$V:$V,data!D654,BRAN!$J:$J)))</f>
        <v/>
      </c>
      <c r="C654" s="572" t="str">
        <f t="shared" si="28"/>
        <v/>
      </c>
      <c r="D654" s="573" t="str">
        <f>IFERROR(VLOOKUP(E654,Map!$B:$F,4,0),"")&amp;IFERROR(VLOOKUP(E654,Map!$B:$F,5,0),"")</f>
        <v/>
      </c>
      <c r="E654" s="574" t="str">
        <f t="shared" si="27"/>
        <v/>
      </c>
    </row>
    <row r="655" spans="2:5">
      <c r="B655" s="571" t="str">
        <f>IF(F655="","",(SUMIF(INTGRATE!$Y:$Y,data!D655,INTGRATE!$L:$L)+SUMIF(BRAN!$V:$V,data!D655,BRAN!$J:$J)))</f>
        <v/>
      </c>
      <c r="C655" s="572" t="str">
        <f t="shared" si="28"/>
        <v/>
      </c>
      <c r="D655" s="573" t="str">
        <f>IFERROR(VLOOKUP(E655,Map!$B:$F,4,0),"")&amp;IFERROR(VLOOKUP(E655,Map!$B:$F,5,0),"")</f>
        <v/>
      </c>
      <c r="E655" s="574" t="str">
        <f t="shared" si="27"/>
        <v/>
      </c>
    </row>
    <row r="656" spans="2:5">
      <c r="B656" s="571" t="str">
        <f>IF(F656="","",(SUMIF(INTGRATE!$Y:$Y,data!D656,INTGRATE!$L:$L)+SUMIF(BRAN!$V:$V,data!D656,BRAN!$J:$J)))</f>
        <v/>
      </c>
      <c r="C656" s="572" t="str">
        <f t="shared" si="28"/>
        <v/>
      </c>
      <c r="D656" s="573" t="str">
        <f>IFERROR(VLOOKUP(E656,Map!$B:$F,4,0),"")&amp;IFERROR(VLOOKUP(E656,Map!$B:$F,5,0),"")</f>
        <v/>
      </c>
      <c r="E656" s="574" t="str">
        <f t="shared" si="27"/>
        <v/>
      </c>
    </row>
    <row r="657" spans="2:5">
      <c r="B657" s="571" t="str">
        <f>IF(F657="","",(SUMIF(INTGRATE!$Y:$Y,data!D657,INTGRATE!$L:$L)+SUMIF(BRAN!$V:$V,data!D657,BRAN!$J:$J)))</f>
        <v/>
      </c>
      <c r="C657" s="572" t="str">
        <f t="shared" si="28"/>
        <v/>
      </c>
      <c r="D657" s="573" t="str">
        <f>IFERROR(VLOOKUP(E657,Map!$B:$F,4,0),"")&amp;IFERROR(VLOOKUP(E657,Map!$B:$F,5,0),"")</f>
        <v/>
      </c>
      <c r="E657" s="574" t="str">
        <f t="shared" si="27"/>
        <v/>
      </c>
    </row>
    <row r="658" spans="2:5">
      <c r="B658" s="571" t="str">
        <f>IF(F658="","",(SUMIF(INTGRATE!$Y:$Y,data!D658,INTGRATE!$L:$L)+SUMIF(BRAN!$V:$V,data!D658,BRAN!$J:$J)))</f>
        <v/>
      </c>
      <c r="C658" s="572" t="str">
        <f t="shared" si="28"/>
        <v/>
      </c>
      <c r="D658" s="573" t="str">
        <f>IFERROR(VLOOKUP(E658,Map!$B:$F,4,0),"")&amp;IFERROR(VLOOKUP(E658,Map!$B:$F,5,0),"")</f>
        <v/>
      </c>
      <c r="E658" s="574" t="str">
        <f t="shared" si="27"/>
        <v/>
      </c>
    </row>
    <row r="659" spans="2:5">
      <c r="B659" s="571" t="str">
        <f>IF(F659="","",(SUMIF(INTGRATE!$Y:$Y,data!D659,INTGRATE!$L:$L)+SUMIF(BRAN!$V:$V,data!D659,BRAN!$J:$J)))</f>
        <v/>
      </c>
      <c r="C659" s="572" t="str">
        <f t="shared" si="28"/>
        <v/>
      </c>
      <c r="D659" s="573" t="str">
        <f>IFERROR(VLOOKUP(E659,Map!$B:$F,4,0),"")&amp;IFERROR(VLOOKUP(E659,Map!$B:$F,5,0),"")</f>
        <v/>
      </c>
      <c r="E659" s="574" t="str">
        <f t="shared" si="27"/>
        <v/>
      </c>
    </row>
    <row r="660" spans="2:5">
      <c r="B660" s="571" t="str">
        <f>IF(F660="","",(SUMIF(INTGRATE!$Y:$Y,data!D660,INTGRATE!$L:$L)+SUMIF(BRAN!$V:$V,data!D660,BRAN!$J:$J)))</f>
        <v/>
      </c>
      <c r="C660" s="572" t="str">
        <f t="shared" si="28"/>
        <v/>
      </c>
      <c r="D660" s="573" t="str">
        <f>IFERROR(VLOOKUP(E660,Map!$B:$F,4,0),"")&amp;IFERROR(VLOOKUP(E660,Map!$B:$F,5,0),"")</f>
        <v/>
      </c>
      <c r="E660" s="574" t="str">
        <f t="shared" si="27"/>
        <v/>
      </c>
    </row>
    <row r="661" spans="2:5">
      <c r="B661" s="571" t="str">
        <f>IF(F661="","",(SUMIF(INTGRATE!$Y:$Y,data!D661,INTGRATE!$L:$L)+SUMIF(BRAN!$V:$V,data!D661,BRAN!$J:$J)))</f>
        <v/>
      </c>
      <c r="C661" s="572" t="str">
        <f t="shared" si="28"/>
        <v/>
      </c>
      <c r="D661" s="573" t="str">
        <f>IFERROR(VLOOKUP(E661,Map!$B:$F,4,0),"")&amp;IFERROR(VLOOKUP(E661,Map!$B:$F,5,0),"")</f>
        <v/>
      </c>
      <c r="E661" s="574" t="str">
        <f t="shared" si="27"/>
        <v/>
      </c>
    </row>
    <row r="662" spans="2:5">
      <c r="B662" s="571" t="str">
        <f>IF(F662="","",(SUMIF(INTGRATE!$Y:$Y,data!D662,INTGRATE!$L:$L)+SUMIF(BRAN!$V:$V,data!D662,BRAN!$J:$J)))</f>
        <v/>
      </c>
      <c r="C662" s="572" t="str">
        <f t="shared" si="28"/>
        <v/>
      </c>
      <c r="D662" s="573" t="str">
        <f>IFERROR(VLOOKUP(E662,Map!$B:$F,4,0),"")&amp;IFERROR(VLOOKUP(E662,Map!$B:$F,5,0),"")</f>
        <v/>
      </c>
      <c r="E662" s="574" t="str">
        <f t="shared" si="27"/>
        <v/>
      </c>
    </row>
    <row r="663" spans="2:5">
      <c r="B663" s="571" t="str">
        <f>IF(F663="","",(SUMIF(INTGRATE!$Y:$Y,data!D663,INTGRATE!$L:$L)+SUMIF(BRAN!$V:$V,data!D663,BRAN!$J:$J)))</f>
        <v/>
      </c>
      <c r="C663" s="572" t="str">
        <f t="shared" si="28"/>
        <v/>
      </c>
      <c r="D663" s="573" t="str">
        <f>IFERROR(VLOOKUP(E663,Map!$B:$F,4,0),"")&amp;IFERROR(VLOOKUP(E663,Map!$B:$F,5,0),"")</f>
        <v/>
      </c>
      <c r="E663" s="574" t="str">
        <f t="shared" si="27"/>
        <v/>
      </c>
    </row>
    <row r="664" spans="2:5">
      <c r="B664" s="571" t="str">
        <f>IF(F664="","",(SUMIF(INTGRATE!$Y:$Y,data!D664,INTGRATE!$L:$L)+SUMIF(BRAN!$V:$V,data!D664,BRAN!$J:$J)))</f>
        <v/>
      </c>
      <c r="C664" s="572" t="str">
        <f t="shared" si="28"/>
        <v/>
      </c>
      <c r="D664" s="573" t="str">
        <f>IFERROR(VLOOKUP(E664,Map!$B:$F,4,0),"")&amp;IFERROR(VLOOKUP(E664,Map!$B:$F,5,0),"")</f>
        <v/>
      </c>
      <c r="E664" s="574" t="str">
        <f t="shared" si="27"/>
        <v/>
      </c>
    </row>
    <row r="665" spans="2:5">
      <c r="B665" s="571" t="str">
        <f>IF(F665="","",(SUMIF(INTGRATE!$Y:$Y,data!D665,INTGRATE!$L:$L)+SUMIF(BRAN!$V:$V,data!D665,BRAN!$J:$J)))</f>
        <v/>
      </c>
      <c r="C665" s="572" t="str">
        <f t="shared" si="28"/>
        <v/>
      </c>
      <c r="D665" s="573" t="str">
        <f>IFERROR(VLOOKUP(E665,Map!$B:$F,4,0),"")&amp;IFERROR(VLOOKUP(E665,Map!$B:$F,5,0),"")</f>
        <v/>
      </c>
      <c r="E665" s="574" t="str">
        <f t="shared" si="27"/>
        <v/>
      </c>
    </row>
    <row r="666" spans="2:5">
      <c r="B666" s="571" t="str">
        <f>IF(F666="","",(SUMIF(INTGRATE!$Y:$Y,data!D666,INTGRATE!$L:$L)+SUMIF(BRAN!$V:$V,data!D666,BRAN!$J:$J)))</f>
        <v/>
      </c>
      <c r="C666" s="572" t="str">
        <f t="shared" si="28"/>
        <v/>
      </c>
      <c r="D666" s="573" t="str">
        <f>IFERROR(VLOOKUP(E666,Map!$B:$F,4,0),"")&amp;IFERROR(VLOOKUP(E666,Map!$B:$F,5,0),"")</f>
        <v/>
      </c>
      <c r="E666" s="574" t="str">
        <f t="shared" si="27"/>
        <v/>
      </c>
    </row>
    <row r="667" spans="2:5">
      <c r="B667" s="571" t="str">
        <f>IF(F667="","",(SUMIF(INTGRATE!$Y:$Y,data!D667,INTGRATE!$L:$L)+SUMIF(BRAN!$V:$V,data!D667,BRAN!$J:$J)))</f>
        <v/>
      </c>
      <c r="C667" s="572" t="str">
        <f t="shared" si="28"/>
        <v/>
      </c>
      <c r="D667" s="573" t="str">
        <f>IFERROR(VLOOKUP(E667,Map!$B:$F,4,0),"")&amp;IFERROR(VLOOKUP(E667,Map!$B:$F,5,0),"")</f>
        <v/>
      </c>
      <c r="E667" s="574" t="str">
        <f t="shared" si="27"/>
        <v/>
      </c>
    </row>
    <row r="668" spans="2:5">
      <c r="B668" s="571" t="str">
        <f>IF(F668="","",(SUMIF(INTGRATE!$Y:$Y,data!D668,INTGRATE!$L:$L)+SUMIF(BRAN!$V:$V,data!D668,BRAN!$J:$J)))</f>
        <v/>
      </c>
      <c r="C668" s="572" t="str">
        <f t="shared" si="28"/>
        <v/>
      </c>
      <c r="D668" s="573" t="str">
        <f>IFERROR(VLOOKUP(E668,Map!$B:$F,4,0),"")&amp;IFERROR(VLOOKUP(E668,Map!$B:$F,5,0),"")</f>
        <v/>
      </c>
      <c r="E668" s="574" t="str">
        <f t="shared" si="27"/>
        <v/>
      </c>
    </row>
    <row r="669" spans="2:5">
      <c r="B669" s="571" t="str">
        <f>IF(F669="","",(SUMIF(INTGRATE!$Y:$Y,data!D669,INTGRATE!$L:$L)+SUMIF(BRAN!$V:$V,data!D669,BRAN!$J:$J)))</f>
        <v/>
      </c>
      <c r="C669" s="572" t="str">
        <f t="shared" si="28"/>
        <v/>
      </c>
      <c r="D669" s="573" t="str">
        <f>IFERROR(VLOOKUP(E669,Map!$B:$F,4,0),"")&amp;IFERROR(VLOOKUP(E669,Map!$B:$F,5,0),"")</f>
        <v/>
      </c>
      <c r="E669" s="574" t="str">
        <f t="shared" si="27"/>
        <v/>
      </c>
    </row>
    <row r="670" spans="2:5">
      <c r="B670" s="571" t="str">
        <f>IF(F670="","",(SUMIF(INTGRATE!$Y:$Y,data!D670,INTGRATE!$L:$L)+SUMIF(BRAN!$V:$V,data!D670,BRAN!$J:$J)))</f>
        <v/>
      </c>
      <c r="C670" s="572" t="str">
        <f t="shared" si="28"/>
        <v/>
      </c>
      <c r="D670" s="573" t="str">
        <f>IFERROR(VLOOKUP(E670,Map!$B:$F,4,0),"")&amp;IFERROR(VLOOKUP(E670,Map!$B:$F,5,0),"")</f>
        <v/>
      </c>
      <c r="E670" s="574" t="str">
        <f t="shared" si="27"/>
        <v/>
      </c>
    </row>
    <row r="671" spans="2:5">
      <c r="B671" s="571" t="str">
        <f>IF(F671="","",(SUMIF(INTGRATE!$Y:$Y,data!D671,INTGRATE!$L:$L)+SUMIF(BRAN!$V:$V,data!D671,BRAN!$J:$J)))</f>
        <v/>
      </c>
      <c r="C671" s="572" t="str">
        <f t="shared" si="28"/>
        <v/>
      </c>
      <c r="D671" s="573" t="str">
        <f>IFERROR(VLOOKUP(E671,Map!$B:$F,4,0),"")&amp;IFERROR(VLOOKUP(E671,Map!$B:$F,5,0),"")</f>
        <v/>
      </c>
      <c r="E671" s="574" t="str">
        <f t="shared" si="27"/>
        <v/>
      </c>
    </row>
    <row r="672" spans="2:5">
      <c r="B672" s="571" t="str">
        <f>IF(F672="","",(SUMIF(INTGRATE!$Y:$Y,data!D672,INTGRATE!$L:$L)+SUMIF(BRAN!$V:$V,data!D672,BRAN!$J:$J)))</f>
        <v/>
      </c>
      <c r="C672" s="572" t="str">
        <f t="shared" si="28"/>
        <v/>
      </c>
      <c r="D672" s="573" t="str">
        <f>IFERROR(VLOOKUP(E672,Map!$B:$F,4,0),"")&amp;IFERROR(VLOOKUP(E672,Map!$B:$F,5,0),"")</f>
        <v/>
      </c>
      <c r="E672" s="574" t="str">
        <f t="shared" ref="E672:E735" si="29">IF(MID(F672,10,2)="99",F672&amp;H672,LEFT(F672,14))</f>
        <v/>
      </c>
    </row>
    <row r="673" spans="2:5">
      <c r="B673" s="571" t="str">
        <f>IF(F673="","",(SUMIF(INTGRATE!$Y:$Y,data!D673,INTGRATE!$L:$L)+SUMIF(BRAN!$V:$V,data!D673,BRAN!$J:$J)))</f>
        <v/>
      </c>
      <c r="C673" s="572" t="str">
        <f t="shared" si="28"/>
        <v/>
      </c>
      <c r="D673" s="573" t="str">
        <f>IFERROR(VLOOKUP(E673,Map!$B:$F,4,0),"")&amp;IFERROR(VLOOKUP(E673,Map!$B:$F,5,0),"")</f>
        <v/>
      </c>
      <c r="E673" s="574" t="str">
        <f t="shared" si="29"/>
        <v/>
      </c>
    </row>
    <row r="674" spans="2:5">
      <c r="B674" s="571" t="str">
        <f>IF(F674="","",(SUMIF(INTGRATE!$Y:$Y,data!D674,INTGRATE!$L:$L)+SUMIF(BRAN!$V:$V,data!D674,BRAN!$J:$J)))</f>
        <v/>
      </c>
      <c r="C674" s="572" t="str">
        <f t="shared" si="28"/>
        <v/>
      </c>
      <c r="D674" s="573" t="str">
        <f>IFERROR(VLOOKUP(E674,Map!$B:$F,4,0),"")&amp;IFERROR(VLOOKUP(E674,Map!$B:$F,5,0),"")</f>
        <v/>
      </c>
      <c r="E674" s="574" t="str">
        <f t="shared" si="29"/>
        <v/>
      </c>
    </row>
    <row r="675" spans="2:5">
      <c r="B675" s="571" t="str">
        <f>IF(F675="","",(SUMIF(INTGRATE!$Y:$Y,data!D675,INTGRATE!$L:$L)+SUMIF(BRAN!$V:$V,data!D675,BRAN!$J:$J)))</f>
        <v/>
      </c>
      <c r="C675" s="572" t="str">
        <f t="shared" si="28"/>
        <v/>
      </c>
      <c r="D675" s="573" t="str">
        <f>IFERROR(VLOOKUP(E675,Map!$B:$F,4,0),"")&amp;IFERROR(VLOOKUP(E675,Map!$B:$F,5,0),"")</f>
        <v/>
      </c>
      <c r="E675" s="574" t="str">
        <f t="shared" si="29"/>
        <v/>
      </c>
    </row>
    <row r="676" spans="2:5">
      <c r="B676" s="571" t="str">
        <f>IF(F676="","",(SUMIF(INTGRATE!$Y:$Y,data!D676,INTGRATE!$L:$L)+SUMIF(BRAN!$V:$V,data!D676,BRAN!$J:$J)))</f>
        <v/>
      </c>
      <c r="C676" s="572" t="str">
        <f t="shared" si="28"/>
        <v/>
      </c>
      <c r="D676" s="573" t="str">
        <f>IFERROR(VLOOKUP(E676,Map!$B:$F,4,0),"")&amp;IFERROR(VLOOKUP(E676,Map!$B:$F,5,0),"")</f>
        <v/>
      </c>
      <c r="E676" s="574" t="str">
        <f t="shared" si="29"/>
        <v/>
      </c>
    </row>
    <row r="677" spans="2:5">
      <c r="B677" s="571" t="str">
        <f>IF(F677="","",(SUMIF(INTGRATE!$Y:$Y,data!D677,INTGRATE!$L:$L)+SUMIF(BRAN!$V:$V,data!D677,BRAN!$J:$J)))</f>
        <v/>
      </c>
      <c r="C677" s="572" t="str">
        <f t="shared" si="28"/>
        <v/>
      </c>
      <c r="D677" s="573" t="str">
        <f>IFERROR(VLOOKUP(E677,Map!$B:$F,4,0),"")&amp;IFERROR(VLOOKUP(E677,Map!$B:$F,5,0),"")</f>
        <v/>
      </c>
      <c r="E677" s="574" t="str">
        <f t="shared" si="29"/>
        <v/>
      </c>
    </row>
    <row r="678" spans="2:5">
      <c r="B678" s="571" t="str">
        <f>IF(F678="","",(SUMIF(INTGRATE!$Y:$Y,data!D678,INTGRATE!$L:$L)+SUMIF(BRAN!$V:$V,data!D678,BRAN!$J:$J)))</f>
        <v/>
      </c>
      <c r="C678" s="572" t="str">
        <f t="shared" si="28"/>
        <v/>
      </c>
      <c r="D678" s="573" t="str">
        <f>IFERROR(VLOOKUP(E678,Map!$B:$F,4,0),"")&amp;IFERROR(VLOOKUP(E678,Map!$B:$F,5,0),"")</f>
        <v/>
      </c>
      <c r="E678" s="574" t="str">
        <f t="shared" si="29"/>
        <v/>
      </c>
    </row>
    <row r="679" spans="2:5">
      <c r="B679" s="571" t="str">
        <f>IF(F679="","",(SUMIF(INTGRATE!$Y:$Y,data!D679,INTGRATE!$L:$L)+SUMIF(BRAN!$V:$V,data!D679,BRAN!$J:$J)))</f>
        <v/>
      </c>
      <c r="C679" s="572" t="str">
        <f t="shared" si="28"/>
        <v/>
      </c>
      <c r="D679" s="573" t="str">
        <f>IFERROR(VLOOKUP(E679,Map!$B:$F,4,0),"")&amp;IFERROR(VLOOKUP(E679,Map!$B:$F,5,0),"")</f>
        <v/>
      </c>
      <c r="E679" s="574" t="str">
        <f t="shared" si="29"/>
        <v/>
      </c>
    </row>
    <row r="680" spans="2:5">
      <c r="B680" s="571" t="str">
        <f>IF(F680="","",(SUMIF(INTGRATE!$Y:$Y,data!D680,INTGRATE!$L:$L)+SUMIF(BRAN!$V:$V,data!D680,BRAN!$J:$J)))</f>
        <v/>
      </c>
      <c r="C680" s="572" t="str">
        <f t="shared" si="28"/>
        <v/>
      </c>
      <c r="D680" s="573" t="str">
        <f>IFERROR(VLOOKUP(E680,Map!$B:$F,4,0),"")&amp;IFERROR(VLOOKUP(E680,Map!$B:$F,5,0),"")</f>
        <v/>
      </c>
      <c r="E680" s="574" t="str">
        <f t="shared" si="29"/>
        <v/>
      </c>
    </row>
    <row r="681" spans="2:5">
      <c r="B681" s="571" t="str">
        <f>IF(F681="","",(SUMIF(INTGRATE!$Y:$Y,data!D681,INTGRATE!$L:$L)+SUMIF(BRAN!$V:$V,data!D681,BRAN!$J:$J)))</f>
        <v/>
      </c>
      <c r="C681" s="572" t="str">
        <f t="shared" si="28"/>
        <v/>
      </c>
      <c r="D681" s="573" t="str">
        <f>IFERROR(VLOOKUP(E681,Map!$B:$F,4,0),"")&amp;IFERROR(VLOOKUP(E681,Map!$B:$F,5,0),"")</f>
        <v/>
      </c>
      <c r="E681" s="574" t="str">
        <f t="shared" si="29"/>
        <v/>
      </c>
    </row>
    <row r="682" spans="2:5">
      <c r="B682" s="571" t="str">
        <f>IF(F682="","",(SUMIF(INTGRATE!$Y:$Y,data!D682,INTGRATE!$L:$L)+SUMIF(BRAN!$V:$V,data!D682,BRAN!$J:$J)))</f>
        <v/>
      </c>
      <c r="C682" s="572" t="str">
        <f t="shared" si="28"/>
        <v/>
      </c>
      <c r="D682" s="573" t="str">
        <f>IFERROR(VLOOKUP(E682,Map!$B:$F,4,0),"")&amp;IFERROR(VLOOKUP(E682,Map!$B:$F,5,0),"")</f>
        <v/>
      </c>
      <c r="E682" s="574" t="str">
        <f t="shared" si="29"/>
        <v/>
      </c>
    </row>
    <row r="683" spans="2:5">
      <c r="B683" s="571" t="str">
        <f>IF(F683="","",(SUMIF(INTGRATE!$Y:$Y,data!D683,INTGRATE!$L:$L)+SUMIF(BRAN!$V:$V,data!D683,BRAN!$J:$J)))</f>
        <v/>
      </c>
      <c r="C683" s="572" t="str">
        <f t="shared" si="28"/>
        <v/>
      </c>
      <c r="D683" s="573" t="str">
        <f>IFERROR(VLOOKUP(E683,Map!$B:$F,4,0),"")&amp;IFERROR(VLOOKUP(E683,Map!$B:$F,5,0),"")</f>
        <v/>
      </c>
      <c r="E683" s="574" t="str">
        <f t="shared" si="29"/>
        <v/>
      </c>
    </row>
    <row r="684" spans="2:5">
      <c r="B684" s="571" t="str">
        <f>IF(F684="","",(SUMIF(INTGRATE!$Y:$Y,data!D684,INTGRATE!$L:$L)+SUMIF(BRAN!$V:$V,data!D684,BRAN!$J:$J)))</f>
        <v/>
      </c>
      <c r="C684" s="572" t="str">
        <f t="shared" si="28"/>
        <v/>
      </c>
      <c r="D684" s="573" t="str">
        <f>IFERROR(VLOOKUP(E684,Map!$B:$F,4,0),"")&amp;IFERROR(VLOOKUP(E684,Map!$B:$F,5,0),"")</f>
        <v/>
      </c>
      <c r="E684" s="574" t="str">
        <f t="shared" si="29"/>
        <v/>
      </c>
    </row>
    <row r="685" spans="2:5">
      <c r="B685" s="571" t="str">
        <f>IF(F685="","",(SUMIF(INTGRATE!$Y:$Y,data!D685,INTGRATE!$L:$L)+SUMIF(BRAN!$V:$V,data!D685,BRAN!$J:$J)))</f>
        <v/>
      </c>
      <c r="C685" s="572" t="str">
        <f t="shared" si="28"/>
        <v/>
      </c>
      <c r="D685" s="573" t="str">
        <f>IFERROR(VLOOKUP(E685,Map!$B:$F,4,0),"")&amp;IFERROR(VLOOKUP(E685,Map!$B:$F,5,0),"")</f>
        <v/>
      </c>
      <c r="E685" s="574" t="str">
        <f t="shared" si="29"/>
        <v/>
      </c>
    </row>
    <row r="686" spans="2:5">
      <c r="B686" s="571" t="str">
        <f>IF(F686="","",(SUMIF(INTGRATE!$Y:$Y,data!D686,INTGRATE!$L:$L)+SUMIF(BRAN!$V:$V,data!D686,BRAN!$J:$J)))</f>
        <v/>
      </c>
      <c r="C686" s="572" t="str">
        <f t="shared" si="28"/>
        <v/>
      </c>
      <c r="D686" s="573" t="str">
        <f>IFERROR(VLOOKUP(E686,Map!$B:$F,4,0),"")&amp;IFERROR(VLOOKUP(E686,Map!$B:$F,5,0),"")</f>
        <v/>
      </c>
      <c r="E686" s="574" t="str">
        <f t="shared" si="29"/>
        <v/>
      </c>
    </row>
    <row r="687" spans="2:5">
      <c r="B687" s="571" t="str">
        <f>IF(F687="","",(SUMIF(INTGRATE!$Y:$Y,data!D687,INTGRATE!$L:$L)+SUMIF(BRAN!$V:$V,data!D687,BRAN!$J:$J)))</f>
        <v/>
      </c>
      <c r="C687" s="572" t="str">
        <f t="shared" si="28"/>
        <v/>
      </c>
      <c r="D687" s="573" t="str">
        <f>IFERROR(VLOOKUP(E687,Map!$B:$F,4,0),"")&amp;IFERROR(VLOOKUP(E687,Map!$B:$F,5,0),"")</f>
        <v/>
      </c>
      <c r="E687" s="574" t="str">
        <f t="shared" si="29"/>
        <v/>
      </c>
    </row>
    <row r="688" spans="2:5">
      <c r="B688" s="571" t="str">
        <f>IF(F688="","",(SUMIF(INTGRATE!$Y:$Y,data!D688,INTGRATE!$L:$L)+SUMIF(BRAN!$V:$V,data!D688,BRAN!$J:$J)))</f>
        <v/>
      </c>
      <c r="C688" s="572" t="str">
        <f t="shared" si="28"/>
        <v/>
      </c>
      <c r="D688" s="573" t="str">
        <f>IFERROR(VLOOKUP(E688,Map!$B:$F,4,0),"")&amp;IFERROR(VLOOKUP(E688,Map!$B:$F,5,0),"")</f>
        <v/>
      </c>
      <c r="E688" s="574" t="str">
        <f t="shared" si="29"/>
        <v/>
      </c>
    </row>
    <row r="689" spans="2:5">
      <c r="B689" s="571" t="str">
        <f>IF(F689="","",(SUMIF(INTGRATE!$Y:$Y,data!D689,INTGRATE!$L:$L)+SUMIF(BRAN!$V:$V,data!D689,BRAN!$J:$J)))</f>
        <v/>
      </c>
      <c r="C689" s="572" t="str">
        <f t="shared" si="28"/>
        <v/>
      </c>
      <c r="D689" s="573" t="str">
        <f>IFERROR(VLOOKUP(E689,Map!$B:$F,4,0),"")&amp;IFERROR(VLOOKUP(E689,Map!$B:$F,5,0),"")</f>
        <v/>
      </c>
      <c r="E689" s="574" t="str">
        <f t="shared" si="29"/>
        <v/>
      </c>
    </row>
    <row r="690" spans="2:5">
      <c r="B690" s="571" t="str">
        <f>IF(F690="","",(SUMIF(INTGRATE!$Y:$Y,data!D690,INTGRATE!$L:$L)+SUMIF(BRAN!$V:$V,data!D690,BRAN!$J:$J)))</f>
        <v/>
      </c>
      <c r="C690" s="572" t="str">
        <f t="shared" si="28"/>
        <v/>
      </c>
      <c r="D690" s="573" t="str">
        <f>IFERROR(VLOOKUP(E690,Map!$B:$F,4,0),"")&amp;IFERROR(VLOOKUP(E690,Map!$B:$F,5,0),"")</f>
        <v/>
      </c>
      <c r="E690" s="574" t="str">
        <f t="shared" si="29"/>
        <v/>
      </c>
    </row>
    <row r="691" spans="2:5">
      <c r="B691" s="571" t="str">
        <f>IF(F691="","",(SUMIF(INTGRATE!$Y:$Y,data!D691,INTGRATE!$L:$L)+SUMIF(BRAN!$V:$V,data!D691,BRAN!$J:$J)))</f>
        <v/>
      </c>
      <c r="C691" s="572" t="str">
        <f t="shared" si="28"/>
        <v/>
      </c>
      <c r="D691" s="573" t="str">
        <f>IFERROR(VLOOKUP(E691,Map!$B:$F,4,0),"")&amp;IFERROR(VLOOKUP(E691,Map!$B:$F,5,0),"")</f>
        <v/>
      </c>
      <c r="E691" s="574" t="str">
        <f t="shared" si="29"/>
        <v/>
      </c>
    </row>
    <row r="692" spans="2:5">
      <c r="B692" s="571" t="str">
        <f>IF(F692="","",(SUMIF(INTGRATE!$Y:$Y,data!D692,INTGRATE!$L:$L)+SUMIF(BRAN!$V:$V,data!D692,BRAN!$J:$J)))</f>
        <v/>
      </c>
      <c r="C692" s="572" t="str">
        <f t="shared" si="28"/>
        <v/>
      </c>
      <c r="D692" s="573" t="str">
        <f>IFERROR(VLOOKUP(E692,Map!$B:$F,4,0),"")&amp;IFERROR(VLOOKUP(E692,Map!$B:$F,5,0),"")</f>
        <v/>
      </c>
      <c r="E692" s="574" t="str">
        <f t="shared" si="29"/>
        <v/>
      </c>
    </row>
    <row r="693" spans="2:5">
      <c r="B693" s="571" t="str">
        <f>IF(F693="","",(SUMIF(INTGRATE!$Y:$Y,data!D693,INTGRATE!$L:$L)+SUMIF(BRAN!$V:$V,data!D693,BRAN!$J:$J)))</f>
        <v/>
      </c>
      <c r="C693" s="572" t="str">
        <f t="shared" si="28"/>
        <v/>
      </c>
      <c r="D693" s="573" t="str">
        <f>IFERROR(VLOOKUP(E693,Map!$B:$F,4,0),"")&amp;IFERROR(VLOOKUP(E693,Map!$B:$F,5,0),"")</f>
        <v/>
      </c>
      <c r="E693" s="574" t="str">
        <f t="shared" si="29"/>
        <v/>
      </c>
    </row>
    <row r="694" spans="2:5">
      <c r="B694" s="571" t="str">
        <f>IF(F694="","",(SUMIF(INTGRATE!$Y:$Y,data!D694,INTGRATE!$L:$L)+SUMIF(BRAN!$V:$V,data!D694,BRAN!$J:$J)))</f>
        <v/>
      </c>
      <c r="C694" s="572" t="str">
        <f t="shared" si="28"/>
        <v/>
      </c>
      <c r="D694" s="573" t="str">
        <f>IFERROR(VLOOKUP(E694,Map!$B:$F,4,0),"")&amp;IFERROR(VLOOKUP(E694,Map!$B:$F,5,0),"")</f>
        <v/>
      </c>
      <c r="E694" s="574" t="str">
        <f t="shared" si="29"/>
        <v/>
      </c>
    </row>
    <row r="695" spans="2:5">
      <c r="B695" s="571" t="str">
        <f>IF(F695="","",(SUMIF(INTGRATE!$Y:$Y,data!D695,INTGRATE!$L:$L)+SUMIF(BRAN!$V:$V,data!D695,BRAN!$J:$J)))</f>
        <v/>
      </c>
      <c r="C695" s="572" t="str">
        <f t="shared" si="28"/>
        <v/>
      </c>
      <c r="D695" s="573" t="str">
        <f>IFERROR(VLOOKUP(E695,Map!$B:$F,4,0),"")&amp;IFERROR(VLOOKUP(E695,Map!$B:$F,5,0),"")</f>
        <v/>
      </c>
      <c r="E695" s="574" t="str">
        <f t="shared" si="29"/>
        <v/>
      </c>
    </row>
    <row r="696" spans="2:5">
      <c r="B696" s="571" t="str">
        <f>IF(F696="","",(SUMIF(INTGRATE!$Y:$Y,data!D696,INTGRATE!$L:$L)+SUMIF(BRAN!$V:$V,data!D696,BRAN!$J:$J)))</f>
        <v/>
      </c>
      <c r="C696" s="572" t="str">
        <f t="shared" si="28"/>
        <v/>
      </c>
      <c r="D696" s="573" t="str">
        <f>IFERROR(VLOOKUP(E696,Map!$B:$F,4,0),"")&amp;IFERROR(VLOOKUP(E696,Map!$B:$F,5,0),"")</f>
        <v/>
      </c>
      <c r="E696" s="574" t="str">
        <f t="shared" si="29"/>
        <v/>
      </c>
    </row>
    <row r="697" spans="2:5">
      <c r="B697" s="571" t="str">
        <f>IF(F697="","",(SUMIF(INTGRATE!$Y:$Y,data!D697,INTGRATE!$L:$L)+SUMIF(BRAN!$V:$V,data!D697,BRAN!$J:$J)))</f>
        <v/>
      </c>
      <c r="C697" s="572" t="str">
        <f t="shared" si="28"/>
        <v/>
      </c>
      <c r="D697" s="573" t="str">
        <f>IFERROR(VLOOKUP(E697,Map!$B:$F,4,0),"")&amp;IFERROR(VLOOKUP(E697,Map!$B:$F,5,0),"")</f>
        <v/>
      </c>
      <c r="E697" s="574" t="str">
        <f t="shared" si="29"/>
        <v/>
      </c>
    </row>
    <row r="698" spans="2:5">
      <c r="B698" s="571" t="str">
        <f>IF(F698="","",(SUMIF(INTGRATE!$Y:$Y,data!D698,INTGRATE!$L:$L)+SUMIF(BRAN!$V:$V,data!D698,BRAN!$J:$J)))</f>
        <v/>
      </c>
      <c r="C698" s="572" t="str">
        <f t="shared" si="28"/>
        <v/>
      </c>
      <c r="D698" s="573" t="str">
        <f>IFERROR(VLOOKUP(E698,Map!$B:$F,4,0),"")&amp;IFERROR(VLOOKUP(E698,Map!$B:$F,5,0),"")</f>
        <v/>
      </c>
      <c r="E698" s="574" t="str">
        <f t="shared" si="29"/>
        <v/>
      </c>
    </row>
    <row r="699" spans="2:5">
      <c r="B699" s="571" t="str">
        <f>IF(F699="","",(SUMIF(INTGRATE!$Y:$Y,data!D699,INTGRATE!$L:$L)+SUMIF(BRAN!$V:$V,data!D699,BRAN!$J:$J)))</f>
        <v/>
      </c>
      <c r="C699" s="572" t="str">
        <f t="shared" si="28"/>
        <v/>
      </c>
      <c r="D699" s="573" t="str">
        <f>IFERROR(VLOOKUP(E699,Map!$B:$F,4,0),"")&amp;IFERROR(VLOOKUP(E699,Map!$B:$F,5,0),"")</f>
        <v/>
      </c>
      <c r="E699" s="574" t="str">
        <f t="shared" si="29"/>
        <v/>
      </c>
    </row>
    <row r="700" spans="2:5">
      <c r="B700" s="571" t="str">
        <f>IF(F700="","",(SUMIF(INTGRATE!$Y:$Y,data!D700,INTGRATE!$L:$L)+SUMIF(BRAN!$V:$V,data!D700,BRAN!$J:$J)))</f>
        <v/>
      </c>
      <c r="C700" s="572" t="str">
        <f t="shared" si="28"/>
        <v/>
      </c>
      <c r="D700" s="573" t="str">
        <f>IFERROR(VLOOKUP(E700,Map!$B:$F,4,0),"")&amp;IFERROR(VLOOKUP(E700,Map!$B:$F,5,0),"")</f>
        <v/>
      </c>
      <c r="E700" s="574" t="str">
        <f t="shared" si="29"/>
        <v/>
      </c>
    </row>
    <row r="701" spans="2:5">
      <c r="B701" s="571" t="str">
        <f>IF(F701="","",(SUMIF(INTGRATE!$Y:$Y,data!D701,INTGRATE!$L:$L)+SUMIF(BRAN!$V:$V,data!D701,BRAN!$J:$J)))</f>
        <v/>
      </c>
      <c r="C701" s="572" t="str">
        <f t="shared" si="28"/>
        <v/>
      </c>
      <c r="D701" s="573" t="str">
        <f>IFERROR(VLOOKUP(E701,Map!$B:$F,4,0),"")&amp;IFERROR(VLOOKUP(E701,Map!$B:$F,5,0),"")</f>
        <v/>
      </c>
      <c r="E701" s="574" t="str">
        <f t="shared" si="29"/>
        <v/>
      </c>
    </row>
    <row r="702" spans="2:5">
      <c r="B702" s="571" t="str">
        <f>IF(F702="","",(SUMIF(INTGRATE!$Y:$Y,data!D702,INTGRATE!$L:$L)+SUMIF(BRAN!$V:$V,data!D702,BRAN!$J:$J)))</f>
        <v/>
      </c>
      <c r="C702" s="572" t="str">
        <f t="shared" si="28"/>
        <v/>
      </c>
      <c r="D702" s="573" t="str">
        <f>IFERROR(VLOOKUP(E702,Map!$B:$F,4,0),"")&amp;IFERROR(VLOOKUP(E702,Map!$B:$F,5,0),"")</f>
        <v/>
      </c>
      <c r="E702" s="574" t="str">
        <f t="shared" si="29"/>
        <v/>
      </c>
    </row>
    <row r="703" spans="2:5">
      <c r="B703" s="571" t="str">
        <f>IF(F703="","",(SUMIF(INTGRATE!$Y:$Y,data!D703,INTGRATE!$L:$L)+SUMIF(BRAN!$V:$V,data!D703,BRAN!$J:$J)))</f>
        <v/>
      </c>
      <c r="C703" s="572" t="str">
        <f t="shared" ref="C703:C766" si="30">IF(F703="","",B703-K703)</f>
        <v/>
      </c>
      <c r="D703" s="573" t="str">
        <f>IFERROR(VLOOKUP(E703,Map!$B:$F,4,0),"")&amp;IFERROR(VLOOKUP(E703,Map!$B:$F,5,0),"")</f>
        <v/>
      </c>
      <c r="E703" s="574" t="str">
        <f t="shared" si="29"/>
        <v/>
      </c>
    </row>
    <row r="704" spans="2:5">
      <c r="B704" s="571" t="str">
        <f>IF(F704="","",(SUMIF(INTGRATE!$Y:$Y,data!D704,INTGRATE!$L:$L)+SUMIF(BRAN!$V:$V,data!D704,BRAN!$J:$J)))</f>
        <v/>
      </c>
      <c r="C704" s="572" t="str">
        <f t="shared" si="30"/>
        <v/>
      </c>
      <c r="D704" s="573" t="str">
        <f>IFERROR(VLOOKUP(E704,Map!$B:$F,4,0),"")&amp;IFERROR(VLOOKUP(E704,Map!$B:$F,5,0),"")</f>
        <v/>
      </c>
      <c r="E704" s="574" t="str">
        <f t="shared" si="29"/>
        <v/>
      </c>
    </row>
    <row r="705" spans="2:5">
      <c r="B705" s="571" t="str">
        <f>IF(F705="","",(SUMIF(INTGRATE!$Y:$Y,data!D705,INTGRATE!$L:$L)+SUMIF(BRAN!$V:$V,data!D705,BRAN!$J:$J)))</f>
        <v/>
      </c>
      <c r="C705" s="572" t="str">
        <f t="shared" si="30"/>
        <v/>
      </c>
      <c r="D705" s="573" t="str">
        <f>IFERROR(VLOOKUP(E705,Map!$B:$F,4,0),"")&amp;IFERROR(VLOOKUP(E705,Map!$B:$F,5,0),"")</f>
        <v/>
      </c>
      <c r="E705" s="574" t="str">
        <f t="shared" si="29"/>
        <v/>
      </c>
    </row>
    <row r="706" spans="2:5">
      <c r="B706" s="571" t="str">
        <f>IF(F706="","",(SUMIF(INTGRATE!$Y:$Y,data!D706,INTGRATE!$L:$L)+SUMIF(BRAN!$V:$V,data!D706,BRAN!$J:$J)))</f>
        <v/>
      </c>
      <c r="C706" s="572" t="str">
        <f t="shared" si="30"/>
        <v/>
      </c>
      <c r="D706" s="573" t="str">
        <f>IFERROR(VLOOKUP(E706,Map!$B:$F,4,0),"")&amp;IFERROR(VLOOKUP(E706,Map!$B:$F,5,0),"")</f>
        <v/>
      </c>
      <c r="E706" s="574" t="str">
        <f t="shared" si="29"/>
        <v/>
      </c>
    </row>
    <row r="707" spans="2:5">
      <c r="B707" s="571" t="str">
        <f>IF(F707="","",(SUMIF(INTGRATE!$Y:$Y,data!D707,INTGRATE!$L:$L)+SUMIF(BRAN!$V:$V,data!D707,BRAN!$J:$J)))</f>
        <v/>
      </c>
      <c r="C707" s="572" t="str">
        <f t="shared" si="30"/>
        <v/>
      </c>
      <c r="D707" s="573" t="str">
        <f>IFERROR(VLOOKUP(E707,Map!$B:$F,4,0),"")&amp;IFERROR(VLOOKUP(E707,Map!$B:$F,5,0),"")</f>
        <v/>
      </c>
      <c r="E707" s="574" t="str">
        <f t="shared" si="29"/>
        <v/>
      </c>
    </row>
    <row r="708" spans="2:5">
      <c r="B708" s="571" t="str">
        <f>IF(F708="","",(SUMIF(INTGRATE!$Y:$Y,data!D708,INTGRATE!$L:$L)+SUMIF(BRAN!$V:$V,data!D708,BRAN!$J:$J)))</f>
        <v/>
      </c>
      <c r="C708" s="572" t="str">
        <f t="shared" si="30"/>
        <v/>
      </c>
      <c r="D708" s="573" t="str">
        <f>IFERROR(VLOOKUP(E708,Map!$B:$F,4,0),"")&amp;IFERROR(VLOOKUP(E708,Map!$B:$F,5,0),"")</f>
        <v/>
      </c>
      <c r="E708" s="574" t="str">
        <f t="shared" si="29"/>
        <v/>
      </c>
    </row>
    <row r="709" spans="2:5">
      <c r="B709" s="571" t="str">
        <f>IF(F709="","",(SUMIF(INTGRATE!$Y:$Y,data!D709,INTGRATE!$L:$L)+SUMIF(BRAN!$V:$V,data!D709,BRAN!$J:$J)))</f>
        <v/>
      </c>
      <c r="C709" s="572" t="str">
        <f t="shared" si="30"/>
        <v/>
      </c>
      <c r="D709" s="573" t="str">
        <f>IFERROR(VLOOKUP(E709,Map!$B:$F,4,0),"")&amp;IFERROR(VLOOKUP(E709,Map!$B:$F,5,0),"")</f>
        <v/>
      </c>
      <c r="E709" s="574" t="str">
        <f t="shared" si="29"/>
        <v/>
      </c>
    </row>
    <row r="710" spans="2:5">
      <c r="B710" s="571" t="str">
        <f>IF(F710="","",(SUMIF(INTGRATE!$Y:$Y,data!D710,INTGRATE!$L:$L)+SUMIF(BRAN!$V:$V,data!D710,BRAN!$J:$J)))</f>
        <v/>
      </c>
      <c r="C710" s="572" t="str">
        <f t="shared" si="30"/>
        <v/>
      </c>
      <c r="D710" s="573" t="str">
        <f>IFERROR(VLOOKUP(E710,Map!$B:$F,4,0),"")&amp;IFERROR(VLOOKUP(E710,Map!$B:$F,5,0),"")</f>
        <v/>
      </c>
      <c r="E710" s="574" t="str">
        <f t="shared" si="29"/>
        <v/>
      </c>
    </row>
    <row r="711" spans="2:5">
      <c r="B711" s="571" t="str">
        <f>IF(F711="","",(SUMIF(INTGRATE!$Y:$Y,data!D711,INTGRATE!$L:$L)+SUMIF(BRAN!$V:$V,data!D711,BRAN!$J:$J)))</f>
        <v/>
      </c>
      <c r="C711" s="572" t="str">
        <f t="shared" si="30"/>
        <v/>
      </c>
      <c r="D711" s="573" t="str">
        <f>IFERROR(VLOOKUP(E711,Map!$B:$F,4,0),"")&amp;IFERROR(VLOOKUP(E711,Map!$B:$F,5,0),"")</f>
        <v/>
      </c>
      <c r="E711" s="574" t="str">
        <f t="shared" si="29"/>
        <v/>
      </c>
    </row>
    <row r="712" spans="2:5">
      <c r="B712" s="571" t="str">
        <f>IF(F712="","",(SUMIF(INTGRATE!$Y:$Y,data!D712,INTGRATE!$L:$L)+SUMIF(BRAN!$V:$V,data!D712,BRAN!$J:$J)))</f>
        <v/>
      </c>
      <c r="C712" s="572" t="str">
        <f t="shared" si="30"/>
        <v/>
      </c>
      <c r="D712" s="573" t="str">
        <f>IFERROR(VLOOKUP(E712,Map!$B:$F,4,0),"")&amp;IFERROR(VLOOKUP(E712,Map!$B:$F,5,0),"")</f>
        <v/>
      </c>
      <c r="E712" s="574" t="str">
        <f t="shared" si="29"/>
        <v/>
      </c>
    </row>
    <row r="713" spans="2:5">
      <c r="B713" s="571" t="str">
        <f>IF(F713="","",(SUMIF(INTGRATE!$Y:$Y,data!D713,INTGRATE!$L:$L)+SUMIF(BRAN!$V:$V,data!D713,BRAN!$J:$J)))</f>
        <v/>
      </c>
      <c r="C713" s="572" t="str">
        <f t="shared" si="30"/>
        <v/>
      </c>
      <c r="D713" s="573" t="str">
        <f>IFERROR(VLOOKUP(E713,Map!$B:$F,4,0),"")&amp;IFERROR(VLOOKUP(E713,Map!$B:$F,5,0),"")</f>
        <v/>
      </c>
      <c r="E713" s="574" t="str">
        <f t="shared" si="29"/>
        <v/>
      </c>
    </row>
    <row r="714" spans="2:5">
      <c r="B714" s="571" t="str">
        <f>IF(F714="","",(SUMIF(INTGRATE!$Y:$Y,data!D714,INTGRATE!$L:$L)+SUMIF(BRAN!$V:$V,data!D714,BRAN!$J:$J)))</f>
        <v/>
      </c>
      <c r="C714" s="572" t="str">
        <f t="shared" si="30"/>
        <v/>
      </c>
      <c r="D714" s="573" t="str">
        <f>IFERROR(VLOOKUP(E714,Map!$B:$F,4,0),"")&amp;IFERROR(VLOOKUP(E714,Map!$B:$F,5,0),"")</f>
        <v/>
      </c>
      <c r="E714" s="574" t="str">
        <f t="shared" si="29"/>
        <v/>
      </c>
    </row>
    <row r="715" spans="2:5">
      <c r="B715" s="571" t="str">
        <f>IF(F715="","",(SUMIF(INTGRATE!$Y:$Y,data!D715,INTGRATE!$L:$L)+SUMIF(BRAN!$V:$V,data!D715,BRAN!$J:$J)))</f>
        <v/>
      </c>
      <c r="C715" s="572" t="str">
        <f t="shared" si="30"/>
        <v/>
      </c>
      <c r="D715" s="573" t="str">
        <f>IFERROR(VLOOKUP(E715,Map!$B:$F,4,0),"")&amp;IFERROR(VLOOKUP(E715,Map!$B:$F,5,0),"")</f>
        <v/>
      </c>
      <c r="E715" s="574" t="str">
        <f t="shared" si="29"/>
        <v/>
      </c>
    </row>
    <row r="716" spans="2:5">
      <c r="B716" s="571" t="str">
        <f>IF(F716="","",(SUMIF(INTGRATE!$Y:$Y,data!D716,INTGRATE!$L:$L)+SUMIF(BRAN!$V:$V,data!D716,BRAN!$J:$J)))</f>
        <v/>
      </c>
      <c r="C716" s="572" t="str">
        <f t="shared" si="30"/>
        <v/>
      </c>
      <c r="D716" s="573" t="str">
        <f>IFERROR(VLOOKUP(E716,Map!$B:$F,4,0),"")&amp;IFERROR(VLOOKUP(E716,Map!$B:$F,5,0),"")</f>
        <v/>
      </c>
      <c r="E716" s="574" t="str">
        <f t="shared" si="29"/>
        <v/>
      </c>
    </row>
    <row r="717" spans="2:5">
      <c r="B717" s="571" t="str">
        <f>IF(F717="","",(SUMIF(INTGRATE!$Y:$Y,data!D717,INTGRATE!$L:$L)+SUMIF(BRAN!$V:$V,data!D717,BRAN!$J:$J)))</f>
        <v/>
      </c>
      <c r="C717" s="572" t="str">
        <f t="shared" si="30"/>
        <v/>
      </c>
      <c r="D717" s="573" t="str">
        <f>IFERROR(VLOOKUP(E717,Map!$B:$F,4,0),"")&amp;IFERROR(VLOOKUP(E717,Map!$B:$F,5,0),"")</f>
        <v/>
      </c>
      <c r="E717" s="574" t="str">
        <f t="shared" si="29"/>
        <v/>
      </c>
    </row>
    <row r="718" spans="2:5">
      <c r="B718" s="571" t="str">
        <f>IF(F718="","",(SUMIF(INTGRATE!$Y:$Y,data!D718,INTGRATE!$L:$L)+SUMIF(BRAN!$V:$V,data!D718,BRAN!$J:$J)))</f>
        <v/>
      </c>
      <c r="C718" s="572" t="str">
        <f t="shared" si="30"/>
        <v/>
      </c>
      <c r="D718" s="573" t="str">
        <f>IFERROR(VLOOKUP(E718,Map!$B:$F,4,0),"")&amp;IFERROR(VLOOKUP(E718,Map!$B:$F,5,0),"")</f>
        <v/>
      </c>
      <c r="E718" s="574" t="str">
        <f t="shared" si="29"/>
        <v/>
      </c>
    </row>
    <row r="719" spans="2:5">
      <c r="B719" s="571" t="str">
        <f>IF(F719="","",(SUMIF(INTGRATE!$Y:$Y,data!D719,INTGRATE!$L:$L)+SUMIF(BRAN!$V:$V,data!D719,BRAN!$J:$J)))</f>
        <v/>
      </c>
      <c r="C719" s="572" t="str">
        <f t="shared" si="30"/>
        <v/>
      </c>
      <c r="D719" s="573" t="str">
        <f>IFERROR(VLOOKUP(E719,Map!$B:$F,4,0),"")&amp;IFERROR(VLOOKUP(E719,Map!$B:$F,5,0),"")</f>
        <v/>
      </c>
      <c r="E719" s="574" t="str">
        <f t="shared" si="29"/>
        <v/>
      </c>
    </row>
    <row r="720" spans="2:5">
      <c r="B720" s="571" t="str">
        <f>IF(F720="","",(SUMIF(INTGRATE!$Y:$Y,data!D720,INTGRATE!$L:$L)+SUMIF(BRAN!$V:$V,data!D720,BRAN!$J:$J)))</f>
        <v/>
      </c>
      <c r="C720" s="572" t="str">
        <f t="shared" si="30"/>
        <v/>
      </c>
      <c r="D720" s="573" t="str">
        <f>IFERROR(VLOOKUP(E720,Map!$B:$F,4,0),"")&amp;IFERROR(VLOOKUP(E720,Map!$B:$F,5,0),"")</f>
        <v/>
      </c>
      <c r="E720" s="574" t="str">
        <f t="shared" si="29"/>
        <v/>
      </c>
    </row>
    <row r="721" spans="2:5">
      <c r="B721" s="571" t="str">
        <f>IF(F721="","",(SUMIF(INTGRATE!$Y:$Y,data!D721,INTGRATE!$L:$L)+SUMIF(BRAN!$V:$V,data!D721,BRAN!$J:$J)))</f>
        <v/>
      </c>
      <c r="C721" s="572" t="str">
        <f t="shared" si="30"/>
        <v/>
      </c>
      <c r="D721" s="573" t="str">
        <f>IFERROR(VLOOKUP(E721,Map!$B:$F,4,0),"")&amp;IFERROR(VLOOKUP(E721,Map!$B:$F,5,0),"")</f>
        <v/>
      </c>
      <c r="E721" s="574" t="str">
        <f t="shared" si="29"/>
        <v/>
      </c>
    </row>
    <row r="722" spans="2:5">
      <c r="B722" s="571" t="str">
        <f>IF(F722="","",(SUMIF(INTGRATE!$Y:$Y,data!D722,INTGRATE!$L:$L)+SUMIF(BRAN!$V:$V,data!D722,BRAN!$J:$J)))</f>
        <v/>
      </c>
      <c r="C722" s="572" t="str">
        <f t="shared" si="30"/>
        <v/>
      </c>
      <c r="D722" s="573" t="str">
        <f>IFERROR(VLOOKUP(E722,Map!$B:$F,4,0),"")&amp;IFERROR(VLOOKUP(E722,Map!$B:$F,5,0),"")</f>
        <v/>
      </c>
      <c r="E722" s="574" t="str">
        <f t="shared" si="29"/>
        <v/>
      </c>
    </row>
    <row r="723" spans="2:5">
      <c r="B723" s="571" t="str">
        <f>IF(F723="","",(SUMIF(INTGRATE!$Y:$Y,data!D723,INTGRATE!$L:$L)+SUMIF(BRAN!$V:$V,data!D723,BRAN!$J:$J)))</f>
        <v/>
      </c>
      <c r="C723" s="572" t="str">
        <f t="shared" si="30"/>
        <v/>
      </c>
      <c r="D723" s="573" t="str">
        <f>IFERROR(VLOOKUP(E723,Map!$B:$F,4,0),"")&amp;IFERROR(VLOOKUP(E723,Map!$B:$F,5,0),"")</f>
        <v/>
      </c>
      <c r="E723" s="574" t="str">
        <f t="shared" si="29"/>
        <v/>
      </c>
    </row>
    <row r="724" spans="2:5">
      <c r="B724" s="571" t="str">
        <f>IF(F724="","",(SUMIF(INTGRATE!$Y:$Y,data!D724,INTGRATE!$L:$L)+SUMIF(BRAN!$V:$V,data!D724,BRAN!$J:$J)))</f>
        <v/>
      </c>
      <c r="C724" s="572" t="str">
        <f t="shared" si="30"/>
        <v/>
      </c>
      <c r="D724" s="573" t="str">
        <f>IFERROR(VLOOKUP(E724,Map!$B:$F,4,0),"")&amp;IFERROR(VLOOKUP(E724,Map!$B:$F,5,0),"")</f>
        <v/>
      </c>
      <c r="E724" s="574" t="str">
        <f t="shared" si="29"/>
        <v/>
      </c>
    </row>
    <row r="725" spans="2:5">
      <c r="B725" s="571" t="str">
        <f>IF(F725="","",(SUMIF(INTGRATE!$Y:$Y,data!D725,INTGRATE!$L:$L)+SUMIF(BRAN!$V:$V,data!D725,BRAN!$J:$J)))</f>
        <v/>
      </c>
      <c r="C725" s="572" t="str">
        <f t="shared" si="30"/>
        <v/>
      </c>
      <c r="D725" s="573" t="str">
        <f>IFERROR(VLOOKUP(E725,Map!$B:$F,4,0),"")&amp;IFERROR(VLOOKUP(E725,Map!$B:$F,5,0),"")</f>
        <v/>
      </c>
      <c r="E725" s="574" t="str">
        <f t="shared" si="29"/>
        <v/>
      </c>
    </row>
    <row r="726" spans="2:5">
      <c r="B726" s="571" t="str">
        <f>IF(F726="","",(SUMIF(INTGRATE!$Y:$Y,data!D726,INTGRATE!$L:$L)+SUMIF(BRAN!$V:$V,data!D726,BRAN!$J:$J)))</f>
        <v/>
      </c>
      <c r="C726" s="572" t="str">
        <f t="shared" si="30"/>
        <v/>
      </c>
      <c r="D726" s="573" t="str">
        <f>IFERROR(VLOOKUP(E726,Map!$B:$F,4,0),"")&amp;IFERROR(VLOOKUP(E726,Map!$B:$F,5,0),"")</f>
        <v/>
      </c>
      <c r="E726" s="574" t="str">
        <f t="shared" si="29"/>
        <v/>
      </c>
    </row>
    <row r="727" spans="2:5">
      <c r="B727" s="571" t="str">
        <f>IF(F727="","",(SUMIF(INTGRATE!$Y:$Y,data!D727,INTGRATE!$L:$L)+SUMIF(BRAN!$V:$V,data!D727,BRAN!$J:$J)))</f>
        <v/>
      </c>
      <c r="C727" s="572" t="str">
        <f t="shared" si="30"/>
        <v/>
      </c>
      <c r="D727" s="573" t="str">
        <f>IFERROR(VLOOKUP(E727,Map!$B:$F,4,0),"")&amp;IFERROR(VLOOKUP(E727,Map!$B:$F,5,0),"")</f>
        <v/>
      </c>
      <c r="E727" s="574" t="str">
        <f t="shared" si="29"/>
        <v/>
      </c>
    </row>
    <row r="728" spans="2:5">
      <c r="B728" s="571" t="str">
        <f>IF(F728="","",(SUMIF(INTGRATE!$Y:$Y,data!D728,INTGRATE!$L:$L)+SUMIF(BRAN!$V:$V,data!D728,BRAN!$J:$J)))</f>
        <v/>
      </c>
      <c r="C728" s="572" t="str">
        <f t="shared" si="30"/>
        <v/>
      </c>
      <c r="D728" s="573" t="str">
        <f>IFERROR(VLOOKUP(E728,Map!$B:$F,4,0),"")&amp;IFERROR(VLOOKUP(E728,Map!$B:$F,5,0),"")</f>
        <v/>
      </c>
      <c r="E728" s="574" t="str">
        <f t="shared" si="29"/>
        <v/>
      </c>
    </row>
    <row r="729" spans="2:5">
      <c r="B729" s="571" t="str">
        <f>IF(F729="","",(SUMIF(INTGRATE!$Y:$Y,data!D729,INTGRATE!$L:$L)+SUMIF(BRAN!$V:$V,data!D729,BRAN!$J:$J)))</f>
        <v/>
      </c>
      <c r="C729" s="572" t="str">
        <f t="shared" si="30"/>
        <v/>
      </c>
      <c r="D729" s="573" t="str">
        <f>IFERROR(VLOOKUP(E729,Map!$B:$F,4,0),"")&amp;IFERROR(VLOOKUP(E729,Map!$B:$F,5,0),"")</f>
        <v/>
      </c>
      <c r="E729" s="574" t="str">
        <f t="shared" si="29"/>
        <v/>
      </c>
    </row>
    <row r="730" spans="2:5">
      <c r="B730" s="571" t="str">
        <f>IF(F730="","",(SUMIF(INTGRATE!$Y:$Y,data!D730,INTGRATE!$L:$L)+SUMIF(BRAN!$V:$V,data!D730,BRAN!$J:$J)))</f>
        <v/>
      </c>
      <c r="C730" s="572" t="str">
        <f t="shared" si="30"/>
        <v/>
      </c>
      <c r="D730" s="573" t="str">
        <f>IFERROR(VLOOKUP(E730,Map!$B:$F,4,0),"")&amp;IFERROR(VLOOKUP(E730,Map!$B:$F,5,0),"")</f>
        <v/>
      </c>
      <c r="E730" s="574" t="str">
        <f t="shared" si="29"/>
        <v/>
      </c>
    </row>
    <row r="731" spans="2:5">
      <c r="B731" s="571" t="str">
        <f>IF(F731="","",(SUMIF(INTGRATE!$Y:$Y,data!D731,INTGRATE!$L:$L)+SUMIF(BRAN!$V:$V,data!D731,BRAN!$J:$J)))</f>
        <v/>
      </c>
      <c r="C731" s="572" t="str">
        <f t="shared" si="30"/>
        <v/>
      </c>
      <c r="D731" s="573" t="str">
        <f>IFERROR(VLOOKUP(E731,Map!$B:$F,4,0),"")&amp;IFERROR(VLOOKUP(E731,Map!$B:$F,5,0),"")</f>
        <v/>
      </c>
      <c r="E731" s="574" t="str">
        <f t="shared" si="29"/>
        <v/>
      </c>
    </row>
    <row r="732" spans="2:5">
      <c r="B732" s="571" t="str">
        <f>IF(F732="","",(SUMIF(INTGRATE!$Y:$Y,data!D732,INTGRATE!$L:$L)+SUMIF(BRAN!$V:$V,data!D732,BRAN!$J:$J)))</f>
        <v/>
      </c>
      <c r="C732" s="572" t="str">
        <f t="shared" si="30"/>
        <v/>
      </c>
      <c r="D732" s="573" t="str">
        <f>IFERROR(VLOOKUP(E732,Map!$B:$F,4,0),"")&amp;IFERROR(VLOOKUP(E732,Map!$B:$F,5,0),"")</f>
        <v/>
      </c>
      <c r="E732" s="574" t="str">
        <f t="shared" si="29"/>
        <v/>
      </c>
    </row>
    <row r="733" spans="2:5">
      <c r="B733" s="571" t="str">
        <f>IF(F733="","",(SUMIF(INTGRATE!$Y:$Y,data!D733,INTGRATE!$L:$L)+SUMIF(BRAN!$V:$V,data!D733,BRAN!$J:$J)))</f>
        <v/>
      </c>
      <c r="C733" s="572" t="str">
        <f t="shared" si="30"/>
        <v/>
      </c>
      <c r="D733" s="573" t="str">
        <f>IFERROR(VLOOKUP(E733,Map!$B:$F,4,0),"")&amp;IFERROR(VLOOKUP(E733,Map!$B:$F,5,0),"")</f>
        <v/>
      </c>
      <c r="E733" s="574" t="str">
        <f t="shared" si="29"/>
        <v/>
      </c>
    </row>
    <row r="734" spans="2:5">
      <c r="B734" s="571" t="str">
        <f>IF(F734="","",(SUMIF(INTGRATE!$Y:$Y,data!D734,INTGRATE!$L:$L)+SUMIF(BRAN!$V:$V,data!D734,BRAN!$J:$J)))</f>
        <v/>
      </c>
      <c r="C734" s="572" t="str">
        <f t="shared" si="30"/>
        <v/>
      </c>
      <c r="D734" s="573" t="str">
        <f>IFERROR(VLOOKUP(E734,Map!$B:$F,4,0),"")&amp;IFERROR(VLOOKUP(E734,Map!$B:$F,5,0),"")</f>
        <v/>
      </c>
      <c r="E734" s="574" t="str">
        <f t="shared" si="29"/>
        <v/>
      </c>
    </row>
    <row r="735" spans="2:5">
      <c r="B735" s="571" t="str">
        <f>IF(F735="","",(SUMIF(INTGRATE!$Y:$Y,data!D735,INTGRATE!$L:$L)+SUMIF(BRAN!$V:$V,data!D735,BRAN!$J:$J)))</f>
        <v/>
      </c>
      <c r="C735" s="572" t="str">
        <f t="shared" si="30"/>
        <v/>
      </c>
      <c r="D735" s="573" t="str">
        <f>IFERROR(VLOOKUP(E735,Map!$B:$F,4,0),"")&amp;IFERROR(VLOOKUP(E735,Map!$B:$F,5,0),"")</f>
        <v/>
      </c>
      <c r="E735" s="574" t="str">
        <f t="shared" si="29"/>
        <v/>
      </c>
    </row>
    <row r="736" spans="2:5">
      <c r="B736" s="571" t="str">
        <f>IF(F736="","",(SUMIF(INTGRATE!$Y:$Y,data!D736,INTGRATE!$L:$L)+SUMIF(BRAN!$V:$V,data!D736,BRAN!$J:$J)))</f>
        <v/>
      </c>
      <c r="C736" s="572" t="str">
        <f t="shared" si="30"/>
        <v/>
      </c>
      <c r="D736" s="573" t="str">
        <f>IFERROR(VLOOKUP(E736,Map!$B:$F,4,0),"")&amp;IFERROR(VLOOKUP(E736,Map!$B:$F,5,0),"")</f>
        <v/>
      </c>
      <c r="E736" s="574" t="str">
        <f t="shared" ref="E736:E799" si="31">IF(MID(F736,10,2)="99",F736&amp;H736,LEFT(F736,14))</f>
        <v/>
      </c>
    </row>
    <row r="737" spans="2:5">
      <c r="B737" s="571" t="str">
        <f>IF(F737="","",(SUMIF(INTGRATE!$Y:$Y,data!D737,INTGRATE!$L:$L)+SUMIF(BRAN!$V:$V,data!D737,BRAN!$J:$J)))</f>
        <v/>
      </c>
      <c r="C737" s="572" t="str">
        <f t="shared" si="30"/>
        <v/>
      </c>
      <c r="D737" s="573" t="str">
        <f>IFERROR(VLOOKUP(E737,Map!$B:$F,4,0),"")&amp;IFERROR(VLOOKUP(E737,Map!$B:$F,5,0),"")</f>
        <v/>
      </c>
      <c r="E737" s="574" t="str">
        <f t="shared" si="31"/>
        <v/>
      </c>
    </row>
    <row r="738" spans="2:5">
      <c r="B738" s="571" t="str">
        <f>IF(F738="","",(SUMIF(INTGRATE!$Y:$Y,data!D738,INTGRATE!$L:$L)+SUMIF(BRAN!$V:$V,data!D738,BRAN!$J:$J)))</f>
        <v/>
      </c>
      <c r="C738" s="572" t="str">
        <f t="shared" si="30"/>
        <v/>
      </c>
      <c r="D738" s="573" t="str">
        <f>IFERROR(VLOOKUP(E738,Map!$B:$F,4,0),"")&amp;IFERROR(VLOOKUP(E738,Map!$B:$F,5,0),"")</f>
        <v/>
      </c>
      <c r="E738" s="574" t="str">
        <f t="shared" si="31"/>
        <v/>
      </c>
    </row>
    <row r="739" spans="2:5">
      <c r="B739" s="571" t="str">
        <f>IF(F739="","",(SUMIF(INTGRATE!$Y:$Y,data!D739,INTGRATE!$L:$L)+SUMIF(BRAN!$V:$V,data!D739,BRAN!$J:$J)))</f>
        <v/>
      </c>
      <c r="C739" s="572" t="str">
        <f t="shared" si="30"/>
        <v/>
      </c>
      <c r="D739" s="573" t="str">
        <f>IFERROR(VLOOKUP(E739,Map!$B:$F,4,0),"")&amp;IFERROR(VLOOKUP(E739,Map!$B:$F,5,0),"")</f>
        <v/>
      </c>
      <c r="E739" s="574" t="str">
        <f t="shared" si="31"/>
        <v/>
      </c>
    </row>
    <row r="740" spans="2:5">
      <c r="B740" s="571" t="str">
        <f>IF(F740="","",(SUMIF(INTGRATE!$Y:$Y,data!D740,INTGRATE!$L:$L)+SUMIF(BRAN!$V:$V,data!D740,BRAN!$J:$J)))</f>
        <v/>
      </c>
      <c r="C740" s="572" t="str">
        <f t="shared" si="30"/>
        <v/>
      </c>
      <c r="D740" s="573" t="str">
        <f>IFERROR(VLOOKUP(E740,Map!$B:$F,4,0),"")&amp;IFERROR(VLOOKUP(E740,Map!$B:$F,5,0),"")</f>
        <v/>
      </c>
      <c r="E740" s="574" t="str">
        <f t="shared" si="31"/>
        <v/>
      </c>
    </row>
    <row r="741" spans="2:5">
      <c r="B741" s="571" t="str">
        <f>IF(F741="","",(SUMIF(INTGRATE!$Y:$Y,data!D741,INTGRATE!$L:$L)+SUMIF(BRAN!$V:$V,data!D741,BRAN!$J:$J)))</f>
        <v/>
      </c>
      <c r="C741" s="572" t="str">
        <f t="shared" si="30"/>
        <v/>
      </c>
      <c r="D741" s="573" t="str">
        <f>IFERROR(VLOOKUP(E741,Map!$B:$F,4,0),"")&amp;IFERROR(VLOOKUP(E741,Map!$B:$F,5,0),"")</f>
        <v/>
      </c>
      <c r="E741" s="574" t="str">
        <f t="shared" si="31"/>
        <v/>
      </c>
    </row>
    <row r="742" spans="2:5">
      <c r="B742" s="571" t="str">
        <f>IF(F742="","",(SUMIF(INTGRATE!$Y:$Y,data!D742,INTGRATE!$L:$L)+SUMIF(BRAN!$V:$V,data!D742,BRAN!$J:$J)))</f>
        <v/>
      </c>
      <c r="C742" s="572" t="str">
        <f t="shared" si="30"/>
        <v/>
      </c>
      <c r="D742" s="573" t="str">
        <f>IFERROR(VLOOKUP(E742,Map!$B:$F,4,0),"")&amp;IFERROR(VLOOKUP(E742,Map!$B:$F,5,0),"")</f>
        <v/>
      </c>
      <c r="E742" s="574" t="str">
        <f t="shared" si="31"/>
        <v/>
      </c>
    </row>
    <row r="743" spans="2:5">
      <c r="B743" s="571" t="str">
        <f>IF(F743="","",(SUMIF(INTGRATE!$Y:$Y,data!D743,INTGRATE!$L:$L)+SUMIF(BRAN!$V:$V,data!D743,BRAN!$J:$J)))</f>
        <v/>
      </c>
      <c r="C743" s="572" t="str">
        <f t="shared" si="30"/>
        <v/>
      </c>
      <c r="D743" s="573" t="str">
        <f>IFERROR(VLOOKUP(E743,Map!$B:$F,4,0),"")&amp;IFERROR(VLOOKUP(E743,Map!$B:$F,5,0),"")</f>
        <v/>
      </c>
      <c r="E743" s="574" t="str">
        <f t="shared" si="31"/>
        <v/>
      </c>
    </row>
    <row r="744" spans="2:5">
      <c r="B744" s="571" t="str">
        <f>IF(F744="","",(SUMIF(INTGRATE!$Y:$Y,data!D744,INTGRATE!$L:$L)+SUMIF(BRAN!$V:$V,data!D744,BRAN!$J:$J)))</f>
        <v/>
      </c>
      <c r="C744" s="572" t="str">
        <f t="shared" si="30"/>
        <v/>
      </c>
      <c r="D744" s="573" t="str">
        <f>IFERROR(VLOOKUP(E744,Map!$B:$F,4,0),"")&amp;IFERROR(VLOOKUP(E744,Map!$B:$F,5,0),"")</f>
        <v/>
      </c>
      <c r="E744" s="574" t="str">
        <f t="shared" si="31"/>
        <v/>
      </c>
    </row>
    <row r="745" spans="2:5">
      <c r="B745" s="571" t="str">
        <f>IF(F745="","",(SUMIF(INTGRATE!$Y:$Y,data!D745,INTGRATE!$L:$L)+SUMIF(BRAN!$V:$V,data!D745,BRAN!$J:$J)))</f>
        <v/>
      </c>
      <c r="C745" s="572" t="str">
        <f t="shared" si="30"/>
        <v/>
      </c>
      <c r="D745" s="573" t="str">
        <f>IFERROR(VLOOKUP(E745,Map!$B:$F,4,0),"")&amp;IFERROR(VLOOKUP(E745,Map!$B:$F,5,0),"")</f>
        <v/>
      </c>
      <c r="E745" s="574" t="str">
        <f t="shared" si="31"/>
        <v/>
      </c>
    </row>
    <row r="746" spans="2:5">
      <c r="B746" s="571" t="str">
        <f>IF(F746="","",(SUMIF(INTGRATE!$Y:$Y,data!D746,INTGRATE!$L:$L)+SUMIF(BRAN!$V:$V,data!D746,BRAN!$J:$J)))</f>
        <v/>
      </c>
      <c r="C746" s="572" t="str">
        <f t="shared" si="30"/>
        <v/>
      </c>
      <c r="D746" s="573" t="str">
        <f>IFERROR(VLOOKUP(E746,Map!$B:$F,4,0),"")&amp;IFERROR(VLOOKUP(E746,Map!$B:$F,5,0),"")</f>
        <v/>
      </c>
      <c r="E746" s="574" t="str">
        <f t="shared" si="31"/>
        <v/>
      </c>
    </row>
    <row r="747" spans="2:5">
      <c r="B747" s="571" t="str">
        <f>IF(F747="","",(SUMIF(INTGRATE!$Y:$Y,data!D747,INTGRATE!$L:$L)+SUMIF(BRAN!$V:$V,data!D747,BRAN!$J:$J)))</f>
        <v/>
      </c>
      <c r="C747" s="572" t="str">
        <f t="shared" si="30"/>
        <v/>
      </c>
      <c r="D747" s="573" t="str">
        <f>IFERROR(VLOOKUP(E747,Map!$B:$F,4,0),"")&amp;IFERROR(VLOOKUP(E747,Map!$B:$F,5,0),"")</f>
        <v/>
      </c>
      <c r="E747" s="574" t="str">
        <f t="shared" si="31"/>
        <v/>
      </c>
    </row>
    <row r="748" spans="2:5">
      <c r="B748" s="571" t="str">
        <f>IF(F748="","",(SUMIF(INTGRATE!$Y:$Y,data!D748,INTGRATE!$L:$L)+SUMIF(BRAN!$V:$V,data!D748,BRAN!$J:$J)))</f>
        <v/>
      </c>
      <c r="C748" s="572" t="str">
        <f t="shared" si="30"/>
        <v/>
      </c>
      <c r="D748" s="573" t="str">
        <f>IFERROR(VLOOKUP(E748,Map!$B:$F,4,0),"")&amp;IFERROR(VLOOKUP(E748,Map!$B:$F,5,0),"")</f>
        <v/>
      </c>
      <c r="E748" s="574" t="str">
        <f t="shared" si="31"/>
        <v/>
      </c>
    </row>
    <row r="749" spans="2:5">
      <c r="B749" s="571" t="str">
        <f>IF(F749="","",(SUMIF(INTGRATE!$Y:$Y,data!D749,INTGRATE!$L:$L)+SUMIF(BRAN!$V:$V,data!D749,BRAN!$J:$J)))</f>
        <v/>
      </c>
      <c r="C749" s="572" t="str">
        <f t="shared" si="30"/>
        <v/>
      </c>
      <c r="D749" s="573" t="str">
        <f>IFERROR(VLOOKUP(E749,Map!$B:$F,4,0),"")&amp;IFERROR(VLOOKUP(E749,Map!$B:$F,5,0),"")</f>
        <v/>
      </c>
      <c r="E749" s="574" t="str">
        <f t="shared" si="31"/>
        <v/>
      </c>
    </row>
    <row r="750" spans="2:5">
      <c r="B750" s="571" t="str">
        <f>IF(F750="","",(SUMIF(INTGRATE!$Y:$Y,data!D750,INTGRATE!$L:$L)+SUMIF(BRAN!$V:$V,data!D750,BRAN!$J:$J)))</f>
        <v/>
      </c>
      <c r="C750" s="572" t="str">
        <f t="shared" si="30"/>
        <v/>
      </c>
      <c r="D750" s="573" t="str">
        <f>IFERROR(VLOOKUP(E750,Map!$B:$F,4,0),"")&amp;IFERROR(VLOOKUP(E750,Map!$B:$F,5,0),"")</f>
        <v/>
      </c>
      <c r="E750" s="574" t="str">
        <f t="shared" si="31"/>
        <v/>
      </c>
    </row>
    <row r="751" spans="2:5">
      <c r="B751" s="571" t="str">
        <f>IF(F751="","",(SUMIF(INTGRATE!$Y:$Y,data!D751,INTGRATE!$L:$L)+SUMIF(BRAN!$V:$V,data!D751,BRAN!$J:$J)))</f>
        <v/>
      </c>
      <c r="C751" s="572" t="str">
        <f t="shared" si="30"/>
        <v/>
      </c>
      <c r="D751" s="573" t="str">
        <f>IFERROR(VLOOKUP(E751,Map!$B:$F,4,0),"")&amp;IFERROR(VLOOKUP(E751,Map!$B:$F,5,0),"")</f>
        <v/>
      </c>
      <c r="E751" s="574" t="str">
        <f t="shared" si="31"/>
        <v/>
      </c>
    </row>
    <row r="752" spans="2:5">
      <c r="B752" s="571" t="str">
        <f>IF(F752="","",(SUMIF(INTGRATE!$Y:$Y,data!D752,INTGRATE!$L:$L)+SUMIF(BRAN!$V:$V,data!D752,BRAN!$J:$J)))</f>
        <v/>
      </c>
      <c r="C752" s="572" t="str">
        <f t="shared" si="30"/>
        <v/>
      </c>
      <c r="D752" s="573" t="str">
        <f>IFERROR(VLOOKUP(E752,Map!$B:$F,4,0),"")&amp;IFERROR(VLOOKUP(E752,Map!$B:$F,5,0),"")</f>
        <v/>
      </c>
      <c r="E752" s="574" t="str">
        <f t="shared" si="31"/>
        <v/>
      </c>
    </row>
    <row r="753" spans="2:5">
      <c r="B753" s="571" t="str">
        <f>IF(F753="","",(SUMIF(INTGRATE!$Y:$Y,data!D753,INTGRATE!$L:$L)+SUMIF(BRAN!$V:$V,data!D753,BRAN!$J:$J)))</f>
        <v/>
      </c>
      <c r="C753" s="572" t="str">
        <f t="shared" si="30"/>
        <v/>
      </c>
      <c r="D753" s="573" t="str">
        <f>IFERROR(VLOOKUP(E753,Map!$B:$F,4,0),"")&amp;IFERROR(VLOOKUP(E753,Map!$B:$F,5,0),"")</f>
        <v/>
      </c>
      <c r="E753" s="574" t="str">
        <f t="shared" si="31"/>
        <v/>
      </c>
    </row>
    <row r="754" spans="2:5">
      <c r="B754" s="571" t="str">
        <f>IF(F754="","",(SUMIF(INTGRATE!$Y:$Y,data!D754,INTGRATE!$L:$L)+SUMIF(BRAN!$V:$V,data!D754,BRAN!$J:$J)))</f>
        <v/>
      </c>
      <c r="C754" s="572" t="str">
        <f t="shared" si="30"/>
        <v/>
      </c>
      <c r="D754" s="573" t="str">
        <f>IFERROR(VLOOKUP(E754,Map!$B:$F,4,0),"")&amp;IFERROR(VLOOKUP(E754,Map!$B:$F,5,0),"")</f>
        <v/>
      </c>
      <c r="E754" s="574" t="str">
        <f t="shared" si="31"/>
        <v/>
      </c>
    </row>
    <row r="755" spans="2:5">
      <c r="B755" s="571" t="str">
        <f>IF(F755="","",(SUMIF(INTGRATE!$Y:$Y,data!D755,INTGRATE!$L:$L)+SUMIF(BRAN!$V:$V,data!D755,BRAN!$J:$J)))</f>
        <v/>
      </c>
      <c r="C755" s="572" t="str">
        <f t="shared" si="30"/>
        <v/>
      </c>
      <c r="D755" s="573" t="str">
        <f>IFERROR(VLOOKUP(E755,Map!$B:$F,4,0),"")&amp;IFERROR(VLOOKUP(E755,Map!$B:$F,5,0),"")</f>
        <v/>
      </c>
      <c r="E755" s="574" t="str">
        <f t="shared" si="31"/>
        <v/>
      </c>
    </row>
    <row r="756" spans="2:5">
      <c r="B756" s="571" t="str">
        <f>IF(F756="","",(SUMIF(INTGRATE!$Y:$Y,data!D756,INTGRATE!$L:$L)+SUMIF(BRAN!$V:$V,data!D756,BRAN!$J:$J)))</f>
        <v/>
      </c>
      <c r="C756" s="572" t="str">
        <f t="shared" si="30"/>
        <v/>
      </c>
      <c r="D756" s="573" t="str">
        <f>IFERROR(VLOOKUP(E756,Map!$B:$F,4,0),"")&amp;IFERROR(VLOOKUP(E756,Map!$B:$F,5,0),"")</f>
        <v/>
      </c>
      <c r="E756" s="574" t="str">
        <f t="shared" si="31"/>
        <v/>
      </c>
    </row>
    <row r="757" spans="2:5">
      <c r="B757" s="571" t="str">
        <f>IF(F757="","",(SUMIF(INTGRATE!$Y:$Y,data!D757,INTGRATE!$L:$L)+SUMIF(BRAN!$V:$V,data!D757,BRAN!$J:$J)))</f>
        <v/>
      </c>
      <c r="C757" s="572" t="str">
        <f t="shared" si="30"/>
        <v/>
      </c>
      <c r="D757" s="573" t="str">
        <f>IFERROR(VLOOKUP(E757,Map!$B:$F,4,0),"")&amp;IFERROR(VLOOKUP(E757,Map!$B:$F,5,0),"")</f>
        <v/>
      </c>
      <c r="E757" s="574" t="str">
        <f t="shared" si="31"/>
        <v/>
      </c>
    </row>
    <row r="758" spans="2:5">
      <c r="B758" s="571" t="str">
        <f>IF(F758="","",(SUMIF(INTGRATE!$Y:$Y,data!D758,INTGRATE!$L:$L)+SUMIF(BRAN!$V:$V,data!D758,BRAN!$J:$J)))</f>
        <v/>
      </c>
      <c r="C758" s="572" t="str">
        <f t="shared" si="30"/>
        <v/>
      </c>
      <c r="D758" s="573" t="str">
        <f>IFERROR(VLOOKUP(E758,Map!$B:$F,4,0),"")&amp;IFERROR(VLOOKUP(E758,Map!$B:$F,5,0),"")</f>
        <v/>
      </c>
      <c r="E758" s="574" t="str">
        <f t="shared" si="31"/>
        <v/>
      </c>
    </row>
    <row r="759" spans="2:5">
      <c r="B759" s="571" t="str">
        <f>IF(F759="","",(SUMIF(INTGRATE!$Y:$Y,data!D759,INTGRATE!$L:$L)+SUMIF(BRAN!$V:$V,data!D759,BRAN!$J:$J)))</f>
        <v/>
      </c>
      <c r="C759" s="572" t="str">
        <f t="shared" si="30"/>
        <v/>
      </c>
      <c r="D759" s="573" t="str">
        <f>IFERROR(VLOOKUP(E759,Map!$B:$F,4,0),"")&amp;IFERROR(VLOOKUP(E759,Map!$B:$F,5,0),"")</f>
        <v/>
      </c>
      <c r="E759" s="574" t="str">
        <f t="shared" si="31"/>
        <v/>
      </c>
    </row>
    <row r="760" spans="2:5">
      <c r="B760" s="571" t="str">
        <f>IF(F760="","",(SUMIF(INTGRATE!$Y:$Y,data!D760,INTGRATE!$L:$L)+SUMIF(BRAN!$V:$V,data!D760,BRAN!$J:$J)))</f>
        <v/>
      </c>
      <c r="C760" s="572" t="str">
        <f t="shared" si="30"/>
        <v/>
      </c>
      <c r="D760" s="573" t="str">
        <f>IFERROR(VLOOKUP(E760,Map!$B:$F,4,0),"")&amp;IFERROR(VLOOKUP(E760,Map!$B:$F,5,0),"")</f>
        <v/>
      </c>
      <c r="E760" s="574" t="str">
        <f t="shared" si="31"/>
        <v/>
      </c>
    </row>
    <row r="761" spans="2:5">
      <c r="B761" s="571" t="str">
        <f>IF(F761="","",(SUMIF(INTGRATE!$Y:$Y,data!D761,INTGRATE!$L:$L)+SUMIF(BRAN!$V:$V,data!D761,BRAN!$J:$J)))</f>
        <v/>
      </c>
      <c r="C761" s="572" t="str">
        <f t="shared" si="30"/>
        <v/>
      </c>
      <c r="D761" s="573" t="str">
        <f>IFERROR(VLOOKUP(E761,Map!$B:$F,4,0),"")&amp;IFERROR(VLOOKUP(E761,Map!$B:$F,5,0),"")</f>
        <v/>
      </c>
      <c r="E761" s="574" t="str">
        <f t="shared" si="31"/>
        <v/>
      </c>
    </row>
    <row r="762" spans="2:5">
      <c r="B762" s="571" t="str">
        <f>IF(F762="","",(SUMIF(INTGRATE!$Y:$Y,data!D762,INTGRATE!$L:$L)+SUMIF(BRAN!$V:$V,data!D762,BRAN!$J:$J)))</f>
        <v/>
      </c>
      <c r="C762" s="572" t="str">
        <f t="shared" si="30"/>
        <v/>
      </c>
      <c r="D762" s="573" t="str">
        <f>IFERROR(VLOOKUP(E762,Map!$B:$F,4,0),"")&amp;IFERROR(VLOOKUP(E762,Map!$B:$F,5,0),"")</f>
        <v/>
      </c>
      <c r="E762" s="574" t="str">
        <f t="shared" si="31"/>
        <v/>
      </c>
    </row>
    <row r="763" spans="2:5">
      <c r="B763" s="571" t="str">
        <f>IF(F763="","",(SUMIF(INTGRATE!$Y:$Y,data!D763,INTGRATE!$L:$L)+SUMIF(BRAN!$V:$V,data!D763,BRAN!$J:$J)))</f>
        <v/>
      </c>
      <c r="C763" s="572" t="str">
        <f t="shared" si="30"/>
        <v/>
      </c>
      <c r="D763" s="573" t="str">
        <f>IFERROR(VLOOKUP(E763,Map!$B:$F,4,0),"")&amp;IFERROR(VLOOKUP(E763,Map!$B:$F,5,0),"")</f>
        <v/>
      </c>
      <c r="E763" s="574" t="str">
        <f t="shared" si="31"/>
        <v/>
      </c>
    </row>
    <row r="764" spans="2:5">
      <c r="B764" s="571" t="str">
        <f>IF(F764="","",(SUMIF(INTGRATE!$Y:$Y,data!D764,INTGRATE!$L:$L)+SUMIF(BRAN!$V:$V,data!D764,BRAN!$J:$J)))</f>
        <v/>
      </c>
      <c r="C764" s="572" t="str">
        <f t="shared" si="30"/>
        <v/>
      </c>
      <c r="D764" s="573" t="str">
        <f>IFERROR(VLOOKUP(E764,Map!$B:$F,4,0),"")&amp;IFERROR(VLOOKUP(E764,Map!$B:$F,5,0),"")</f>
        <v/>
      </c>
      <c r="E764" s="574" t="str">
        <f t="shared" si="31"/>
        <v/>
      </c>
    </row>
    <row r="765" spans="2:5">
      <c r="B765" s="571" t="str">
        <f>IF(F765="","",(SUMIF(INTGRATE!$Y:$Y,data!D765,INTGRATE!$L:$L)+SUMIF(BRAN!$V:$V,data!D765,BRAN!$J:$J)))</f>
        <v/>
      </c>
      <c r="C765" s="572" t="str">
        <f t="shared" si="30"/>
        <v/>
      </c>
      <c r="D765" s="573" t="str">
        <f>IFERROR(VLOOKUP(E765,Map!$B:$F,4,0),"")&amp;IFERROR(VLOOKUP(E765,Map!$B:$F,5,0),"")</f>
        <v/>
      </c>
      <c r="E765" s="574" t="str">
        <f t="shared" si="31"/>
        <v/>
      </c>
    </row>
    <row r="766" spans="2:5">
      <c r="B766" s="571" t="str">
        <f>IF(F766="","",(SUMIF(INTGRATE!$Y:$Y,data!D766,INTGRATE!$L:$L)+SUMIF(BRAN!$V:$V,data!D766,BRAN!$J:$J)))</f>
        <v/>
      </c>
      <c r="C766" s="572" t="str">
        <f t="shared" si="30"/>
        <v/>
      </c>
      <c r="D766" s="573" t="str">
        <f>IFERROR(VLOOKUP(E766,Map!$B:$F,4,0),"")&amp;IFERROR(VLOOKUP(E766,Map!$B:$F,5,0),"")</f>
        <v/>
      </c>
      <c r="E766" s="574" t="str">
        <f t="shared" si="31"/>
        <v/>
      </c>
    </row>
    <row r="767" spans="2:5">
      <c r="B767" s="571" t="str">
        <f>IF(F767="","",(SUMIF(INTGRATE!$Y:$Y,data!D767,INTGRATE!$L:$L)+SUMIF(BRAN!$V:$V,data!D767,BRAN!$J:$J)))</f>
        <v/>
      </c>
      <c r="C767" s="572" t="str">
        <f t="shared" ref="C767:C830" si="32">IF(F767="","",B767-K767)</f>
        <v/>
      </c>
      <c r="D767" s="573" t="str">
        <f>IFERROR(VLOOKUP(E767,Map!$B:$F,4,0),"")&amp;IFERROR(VLOOKUP(E767,Map!$B:$F,5,0),"")</f>
        <v/>
      </c>
      <c r="E767" s="574" t="str">
        <f t="shared" si="31"/>
        <v/>
      </c>
    </row>
    <row r="768" spans="2:5">
      <c r="B768" s="571" t="str">
        <f>IF(F768="","",(SUMIF(INTGRATE!$Y:$Y,data!D768,INTGRATE!$L:$L)+SUMIF(BRAN!$V:$V,data!D768,BRAN!$J:$J)))</f>
        <v/>
      </c>
      <c r="C768" s="572" t="str">
        <f t="shared" si="32"/>
        <v/>
      </c>
      <c r="D768" s="573" t="str">
        <f>IFERROR(VLOOKUP(E768,Map!$B:$F,4,0),"")&amp;IFERROR(VLOOKUP(E768,Map!$B:$F,5,0),"")</f>
        <v/>
      </c>
      <c r="E768" s="574" t="str">
        <f t="shared" si="31"/>
        <v/>
      </c>
    </row>
    <row r="769" spans="2:5">
      <c r="B769" s="571" t="str">
        <f>IF(F769="","",(SUMIF(INTGRATE!$Y:$Y,data!D769,INTGRATE!$L:$L)+SUMIF(BRAN!$V:$V,data!D769,BRAN!$J:$J)))</f>
        <v/>
      </c>
      <c r="C769" s="572" t="str">
        <f t="shared" si="32"/>
        <v/>
      </c>
      <c r="D769" s="573" t="str">
        <f>IFERROR(VLOOKUP(E769,Map!$B:$F,4,0),"")&amp;IFERROR(VLOOKUP(E769,Map!$B:$F,5,0),"")</f>
        <v/>
      </c>
      <c r="E769" s="574" t="str">
        <f t="shared" si="31"/>
        <v/>
      </c>
    </row>
    <row r="770" spans="2:5">
      <c r="B770" s="571" t="str">
        <f>IF(F770="","",(SUMIF(INTGRATE!$Y:$Y,data!D770,INTGRATE!$L:$L)+SUMIF(BRAN!$V:$V,data!D770,BRAN!$J:$J)))</f>
        <v/>
      </c>
      <c r="C770" s="572" t="str">
        <f t="shared" si="32"/>
        <v/>
      </c>
      <c r="D770" s="573" t="str">
        <f>IFERROR(VLOOKUP(E770,Map!$B:$F,4,0),"")&amp;IFERROR(VLOOKUP(E770,Map!$B:$F,5,0),"")</f>
        <v/>
      </c>
      <c r="E770" s="574" t="str">
        <f t="shared" si="31"/>
        <v/>
      </c>
    </row>
    <row r="771" spans="2:5">
      <c r="B771" s="571" t="str">
        <f>IF(F771="","",(SUMIF(INTGRATE!$Y:$Y,data!D771,INTGRATE!$L:$L)+SUMIF(BRAN!$V:$V,data!D771,BRAN!$J:$J)))</f>
        <v/>
      </c>
      <c r="C771" s="572" t="str">
        <f t="shared" si="32"/>
        <v/>
      </c>
      <c r="D771" s="573" t="str">
        <f>IFERROR(VLOOKUP(E771,Map!$B:$F,4,0),"")&amp;IFERROR(VLOOKUP(E771,Map!$B:$F,5,0),"")</f>
        <v/>
      </c>
      <c r="E771" s="574" t="str">
        <f t="shared" si="31"/>
        <v/>
      </c>
    </row>
    <row r="772" spans="2:5">
      <c r="B772" s="571" t="str">
        <f>IF(F772="","",(SUMIF(INTGRATE!$Y:$Y,data!D772,INTGRATE!$L:$L)+SUMIF(BRAN!$V:$V,data!D772,BRAN!$J:$J)))</f>
        <v/>
      </c>
      <c r="C772" s="572" t="str">
        <f t="shared" si="32"/>
        <v/>
      </c>
      <c r="D772" s="573" t="str">
        <f>IFERROR(VLOOKUP(E772,Map!$B:$F,4,0),"")&amp;IFERROR(VLOOKUP(E772,Map!$B:$F,5,0),"")</f>
        <v/>
      </c>
      <c r="E772" s="574" t="str">
        <f t="shared" si="31"/>
        <v/>
      </c>
    </row>
    <row r="773" spans="2:5">
      <c r="B773" s="571" t="str">
        <f>IF(F773="","",(SUMIF(INTGRATE!$Y:$Y,data!D773,INTGRATE!$L:$L)+SUMIF(BRAN!$V:$V,data!D773,BRAN!$J:$J)))</f>
        <v/>
      </c>
      <c r="C773" s="572" t="str">
        <f t="shared" si="32"/>
        <v/>
      </c>
      <c r="D773" s="573" t="str">
        <f>IFERROR(VLOOKUP(E773,Map!$B:$F,4,0),"")&amp;IFERROR(VLOOKUP(E773,Map!$B:$F,5,0),"")</f>
        <v/>
      </c>
      <c r="E773" s="574" t="str">
        <f t="shared" si="31"/>
        <v/>
      </c>
    </row>
    <row r="774" spans="2:5">
      <c r="B774" s="571" t="str">
        <f>IF(F774="","",(SUMIF(INTGRATE!$Y:$Y,data!D774,INTGRATE!$L:$L)+SUMIF(BRAN!$V:$V,data!D774,BRAN!$J:$J)))</f>
        <v/>
      </c>
      <c r="C774" s="572" t="str">
        <f t="shared" si="32"/>
        <v/>
      </c>
      <c r="D774" s="573" t="str">
        <f>IFERROR(VLOOKUP(E774,Map!$B:$F,4,0),"")&amp;IFERROR(VLOOKUP(E774,Map!$B:$F,5,0),"")</f>
        <v/>
      </c>
      <c r="E774" s="574" t="str">
        <f t="shared" si="31"/>
        <v/>
      </c>
    </row>
    <row r="775" spans="2:5">
      <c r="B775" s="571" t="str">
        <f>IF(F775="","",(SUMIF(INTGRATE!$Y:$Y,data!D775,INTGRATE!$L:$L)+SUMIF(BRAN!$V:$V,data!D775,BRAN!$J:$J)))</f>
        <v/>
      </c>
      <c r="C775" s="572" t="str">
        <f t="shared" si="32"/>
        <v/>
      </c>
      <c r="D775" s="573" t="str">
        <f>IFERROR(VLOOKUP(E775,Map!$B:$F,4,0),"")&amp;IFERROR(VLOOKUP(E775,Map!$B:$F,5,0),"")</f>
        <v/>
      </c>
      <c r="E775" s="574" t="str">
        <f t="shared" si="31"/>
        <v/>
      </c>
    </row>
    <row r="776" spans="2:5">
      <c r="B776" s="571" t="str">
        <f>IF(F776="","",(SUMIF(INTGRATE!$Y:$Y,data!D776,INTGRATE!$L:$L)+SUMIF(BRAN!$V:$V,data!D776,BRAN!$J:$J)))</f>
        <v/>
      </c>
      <c r="C776" s="572" t="str">
        <f t="shared" si="32"/>
        <v/>
      </c>
      <c r="D776" s="573" t="str">
        <f>IFERROR(VLOOKUP(E776,Map!$B:$F,4,0),"")&amp;IFERROR(VLOOKUP(E776,Map!$B:$F,5,0),"")</f>
        <v/>
      </c>
      <c r="E776" s="574" t="str">
        <f t="shared" si="31"/>
        <v/>
      </c>
    </row>
    <row r="777" spans="2:5">
      <c r="B777" s="571" t="str">
        <f>IF(F777="","",(SUMIF(INTGRATE!$Y:$Y,data!D777,INTGRATE!$L:$L)+SUMIF(BRAN!$V:$V,data!D777,BRAN!$J:$J)))</f>
        <v/>
      </c>
      <c r="C777" s="572" t="str">
        <f t="shared" si="32"/>
        <v/>
      </c>
      <c r="D777" s="573" t="str">
        <f>IFERROR(VLOOKUP(E777,Map!$B:$F,4,0),"")&amp;IFERROR(VLOOKUP(E777,Map!$B:$F,5,0),"")</f>
        <v/>
      </c>
      <c r="E777" s="574" t="str">
        <f t="shared" si="31"/>
        <v/>
      </c>
    </row>
    <row r="778" spans="2:5">
      <c r="B778" s="571" t="str">
        <f>IF(F778="","",(SUMIF(INTGRATE!$Y:$Y,data!D778,INTGRATE!$L:$L)+SUMIF(BRAN!$V:$V,data!D778,BRAN!$J:$J)))</f>
        <v/>
      </c>
      <c r="C778" s="572" t="str">
        <f t="shared" si="32"/>
        <v/>
      </c>
      <c r="D778" s="573" t="str">
        <f>IFERROR(VLOOKUP(E778,Map!$B:$F,4,0),"")&amp;IFERROR(VLOOKUP(E778,Map!$B:$F,5,0),"")</f>
        <v/>
      </c>
      <c r="E778" s="574" t="str">
        <f t="shared" si="31"/>
        <v/>
      </c>
    </row>
    <row r="779" spans="2:5">
      <c r="B779" s="571" t="str">
        <f>IF(F779="","",(SUMIF(INTGRATE!$Y:$Y,data!D779,INTGRATE!$L:$L)+SUMIF(BRAN!$V:$V,data!D779,BRAN!$J:$J)))</f>
        <v/>
      </c>
      <c r="C779" s="572" t="str">
        <f t="shared" si="32"/>
        <v/>
      </c>
      <c r="D779" s="573" t="str">
        <f>IFERROR(VLOOKUP(E779,Map!$B:$F,4,0),"")&amp;IFERROR(VLOOKUP(E779,Map!$B:$F,5,0),"")</f>
        <v/>
      </c>
      <c r="E779" s="574" t="str">
        <f t="shared" si="31"/>
        <v/>
      </c>
    </row>
    <row r="780" spans="2:5">
      <c r="B780" s="571" t="str">
        <f>IF(F780="","",(SUMIF(INTGRATE!$Y:$Y,data!D780,INTGRATE!$L:$L)+SUMIF(BRAN!$V:$V,data!D780,BRAN!$J:$J)))</f>
        <v/>
      </c>
      <c r="C780" s="572" t="str">
        <f t="shared" si="32"/>
        <v/>
      </c>
      <c r="D780" s="573" t="str">
        <f>IFERROR(VLOOKUP(E780,Map!$B:$F,4,0),"")&amp;IFERROR(VLOOKUP(E780,Map!$B:$F,5,0),"")</f>
        <v/>
      </c>
      <c r="E780" s="574" t="str">
        <f t="shared" si="31"/>
        <v/>
      </c>
    </row>
    <row r="781" spans="2:5">
      <c r="B781" s="571" t="str">
        <f>IF(F781="","",(SUMIF(INTGRATE!$Y:$Y,data!D781,INTGRATE!$L:$L)+SUMIF(BRAN!$V:$V,data!D781,BRAN!$J:$J)))</f>
        <v/>
      </c>
      <c r="C781" s="572" t="str">
        <f t="shared" si="32"/>
        <v/>
      </c>
      <c r="D781" s="573" t="str">
        <f>IFERROR(VLOOKUP(E781,Map!$B:$F,4,0),"")&amp;IFERROR(VLOOKUP(E781,Map!$B:$F,5,0),"")</f>
        <v/>
      </c>
      <c r="E781" s="574" t="str">
        <f t="shared" si="31"/>
        <v/>
      </c>
    </row>
    <row r="782" spans="2:5">
      <c r="B782" s="571" t="str">
        <f>IF(F782="","",(SUMIF(INTGRATE!$Y:$Y,data!D782,INTGRATE!$L:$L)+SUMIF(BRAN!$V:$V,data!D782,BRAN!$J:$J)))</f>
        <v/>
      </c>
      <c r="C782" s="572" t="str">
        <f t="shared" si="32"/>
        <v/>
      </c>
      <c r="D782" s="573" t="str">
        <f>IFERROR(VLOOKUP(E782,Map!$B:$F,4,0),"")&amp;IFERROR(VLOOKUP(E782,Map!$B:$F,5,0),"")</f>
        <v/>
      </c>
      <c r="E782" s="574" t="str">
        <f t="shared" si="31"/>
        <v/>
      </c>
    </row>
    <row r="783" spans="2:5">
      <c r="B783" s="571" t="str">
        <f>IF(F783="","",(SUMIF(INTGRATE!$Y:$Y,data!D783,INTGRATE!$L:$L)+SUMIF(BRAN!$V:$V,data!D783,BRAN!$J:$J)))</f>
        <v/>
      </c>
      <c r="C783" s="572" t="str">
        <f t="shared" si="32"/>
        <v/>
      </c>
      <c r="D783" s="573" t="str">
        <f>IFERROR(VLOOKUP(E783,Map!$B:$F,4,0),"")&amp;IFERROR(VLOOKUP(E783,Map!$B:$F,5,0),"")</f>
        <v/>
      </c>
      <c r="E783" s="574" t="str">
        <f t="shared" si="31"/>
        <v/>
      </c>
    </row>
    <row r="784" spans="2:5">
      <c r="B784" s="571" t="str">
        <f>IF(F784="","",(SUMIF(INTGRATE!$Y:$Y,data!D784,INTGRATE!$L:$L)+SUMIF(BRAN!$V:$V,data!D784,BRAN!$J:$J)))</f>
        <v/>
      </c>
      <c r="C784" s="572" t="str">
        <f t="shared" si="32"/>
        <v/>
      </c>
      <c r="D784" s="573" t="str">
        <f>IFERROR(VLOOKUP(E784,Map!$B:$F,4,0),"")&amp;IFERROR(VLOOKUP(E784,Map!$B:$F,5,0),"")</f>
        <v/>
      </c>
      <c r="E784" s="574" t="str">
        <f t="shared" si="31"/>
        <v/>
      </c>
    </row>
    <row r="785" spans="2:5">
      <c r="B785" s="571" t="str">
        <f>IF(F785="","",(SUMIF(INTGRATE!$Y:$Y,data!D785,INTGRATE!$L:$L)+SUMIF(BRAN!$V:$V,data!D785,BRAN!$J:$J)))</f>
        <v/>
      </c>
      <c r="C785" s="572" t="str">
        <f t="shared" si="32"/>
        <v/>
      </c>
      <c r="D785" s="573" t="str">
        <f>IFERROR(VLOOKUP(E785,Map!$B:$F,4,0),"")&amp;IFERROR(VLOOKUP(E785,Map!$B:$F,5,0),"")</f>
        <v/>
      </c>
      <c r="E785" s="574" t="str">
        <f t="shared" si="31"/>
        <v/>
      </c>
    </row>
    <row r="786" spans="2:5">
      <c r="B786" s="571" t="str">
        <f>IF(F786="","",(SUMIF(INTGRATE!$Y:$Y,data!D786,INTGRATE!$L:$L)+SUMIF(BRAN!$V:$V,data!D786,BRAN!$J:$J)))</f>
        <v/>
      </c>
      <c r="C786" s="572" t="str">
        <f t="shared" si="32"/>
        <v/>
      </c>
      <c r="D786" s="573" t="str">
        <f>IFERROR(VLOOKUP(E786,Map!$B:$F,4,0),"")&amp;IFERROR(VLOOKUP(E786,Map!$B:$F,5,0),"")</f>
        <v/>
      </c>
      <c r="E786" s="574" t="str">
        <f t="shared" si="31"/>
        <v/>
      </c>
    </row>
    <row r="787" spans="2:5">
      <c r="B787" s="571" t="str">
        <f>IF(F787="","",(SUMIF(INTGRATE!$Y:$Y,data!D787,INTGRATE!$L:$L)+SUMIF(BRAN!$V:$V,data!D787,BRAN!$J:$J)))</f>
        <v/>
      </c>
      <c r="C787" s="572" t="str">
        <f t="shared" si="32"/>
        <v/>
      </c>
      <c r="D787" s="573" t="str">
        <f>IFERROR(VLOOKUP(E787,Map!$B:$F,4,0),"")&amp;IFERROR(VLOOKUP(E787,Map!$B:$F,5,0),"")</f>
        <v/>
      </c>
      <c r="E787" s="574" t="str">
        <f t="shared" si="31"/>
        <v/>
      </c>
    </row>
    <row r="788" spans="2:5">
      <c r="B788" s="571" t="str">
        <f>IF(F788="","",(SUMIF(INTGRATE!$Y:$Y,data!D788,INTGRATE!$L:$L)+SUMIF(BRAN!$V:$V,data!D788,BRAN!$J:$J)))</f>
        <v/>
      </c>
      <c r="C788" s="572" t="str">
        <f t="shared" si="32"/>
        <v/>
      </c>
      <c r="D788" s="573" t="str">
        <f>IFERROR(VLOOKUP(E788,Map!$B:$F,4,0),"")&amp;IFERROR(VLOOKUP(E788,Map!$B:$F,5,0),"")</f>
        <v/>
      </c>
      <c r="E788" s="574" t="str">
        <f t="shared" si="31"/>
        <v/>
      </c>
    </row>
    <row r="789" spans="2:5">
      <c r="B789" s="571" t="str">
        <f>IF(F789="","",(SUMIF(INTGRATE!$Y:$Y,data!D789,INTGRATE!$L:$L)+SUMIF(BRAN!$V:$V,data!D789,BRAN!$J:$J)))</f>
        <v/>
      </c>
      <c r="C789" s="572" t="str">
        <f t="shared" si="32"/>
        <v/>
      </c>
      <c r="D789" s="573" t="str">
        <f>IFERROR(VLOOKUP(E789,Map!$B:$F,4,0),"")&amp;IFERROR(VLOOKUP(E789,Map!$B:$F,5,0),"")</f>
        <v/>
      </c>
      <c r="E789" s="574" t="str">
        <f t="shared" si="31"/>
        <v/>
      </c>
    </row>
    <row r="790" spans="2:5">
      <c r="B790" s="571" t="str">
        <f>IF(F790="","",(SUMIF(INTGRATE!$Y:$Y,data!D790,INTGRATE!$L:$L)+SUMIF(BRAN!$V:$V,data!D790,BRAN!$J:$J)))</f>
        <v/>
      </c>
      <c r="C790" s="572" t="str">
        <f t="shared" si="32"/>
        <v/>
      </c>
      <c r="D790" s="573" t="str">
        <f>IFERROR(VLOOKUP(E790,Map!$B:$F,4,0),"")&amp;IFERROR(VLOOKUP(E790,Map!$B:$F,5,0),"")</f>
        <v/>
      </c>
      <c r="E790" s="574" t="str">
        <f t="shared" si="31"/>
        <v/>
      </c>
    </row>
    <row r="791" spans="2:5">
      <c r="B791" s="571" t="str">
        <f>IF(F791="","",(SUMIF(INTGRATE!$Y:$Y,data!D791,INTGRATE!$L:$L)+SUMIF(BRAN!$V:$V,data!D791,BRAN!$J:$J)))</f>
        <v/>
      </c>
      <c r="C791" s="572" t="str">
        <f t="shared" si="32"/>
        <v/>
      </c>
      <c r="D791" s="573" t="str">
        <f>IFERROR(VLOOKUP(E791,Map!$B:$F,4,0),"")&amp;IFERROR(VLOOKUP(E791,Map!$B:$F,5,0),"")</f>
        <v/>
      </c>
      <c r="E791" s="574" t="str">
        <f t="shared" si="31"/>
        <v/>
      </c>
    </row>
    <row r="792" spans="2:5">
      <c r="B792" s="571" t="str">
        <f>IF(F792="","",(SUMIF(INTGRATE!$Y:$Y,data!D792,INTGRATE!$L:$L)+SUMIF(BRAN!$V:$V,data!D792,BRAN!$J:$J)))</f>
        <v/>
      </c>
      <c r="C792" s="572" t="str">
        <f t="shared" si="32"/>
        <v/>
      </c>
      <c r="D792" s="573" t="str">
        <f>IFERROR(VLOOKUP(E792,Map!$B:$F,4,0),"")&amp;IFERROR(VLOOKUP(E792,Map!$B:$F,5,0),"")</f>
        <v/>
      </c>
      <c r="E792" s="574" t="str">
        <f t="shared" si="31"/>
        <v/>
      </c>
    </row>
    <row r="793" spans="2:5">
      <c r="B793" s="571" t="str">
        <f>IF(F793="","",(SUMIF(INTGRATE!$Y:$Y,data!D793,INTGRATE!$L:$L)+SUMIF(BRAN!$V:$V,data!D793,BRAN!$J:$J)))</f>
        <v/>
      </c>
      <c r="C793" s="572" t="str">
        <f t="shared" si="32"/>
        <v/>
      </c>
      <c r="D793" s="573" t="str">
        <f>IFERROR(VLOOKUP(E793,Map!$B:$F,4,0),"")&amp;IFERROR(VLOOKUP(E793,Map!$B:$F,5,0),"")</f>
        <v/>
      </c>
      <c r="E793" s="574" t="str">
        <f t="shared" si="31"/>
        <v/>
      </c>
    </row>
    <row r="794" spans="2:5">
      <c r="B794" s="571" t="str">
        <f>IF(F794="","",(SUMIF(INTGRATE!$Y:$Y,data!D794,INTGRATE!$L:$L)+SUMIF(BRAN!$V:$V,data!D794,BRAN!$J:$J)))</f>
        <v/>
      </c>
      <c r="C794" s="572" t="str">
        <f t="shared" si="32"/>
        <v/>
      </c>
      <c r="D794" s="573" t="str">
        <f>IFERROR(VLOOKUP(E794,Map!$B:$F,4,0),"")&amp;IFERROR(VLOOKUP(E794,Map!$B:$F,5,0),"")</f>
        <v/>
      </c>
      <c r="E794" s="574" t="str">
        <f t="shared" si="31"/>
        <v/>
      </c>
    </row>
    <row r="795" spans="2:5">
      <c r="B795" s="571" t="str">
        <f>IF(F795="","",(SUMIF(INTGRATE!$Y:$Y,data!D795,INTGRATE!$L:$L)+SUMIF(BRAN!$V:$V,data!D795,BRAN!$J:$J)))</f>
        <v/>
      </c>
      <c r="C795" s="572" t="str">
        <f t="shared" si="32"/>
        <v/>
      </c>
      <c r="D795" s="573" t="str">
        <f>IFERROR(VLOOKUP(E795,Map!$B:$F,4,0),"")&amp;IFERROR(VLOOKUP(E795,Map!$B:$F,5,0),"")</f>
        <v/>
      </c>
      <c r="E795" s="574" t="str">
        <f t="shared" si="31"/>
        <v/>
      </c>
    </row>
    <row r="796" spans="2:5">
      <c r="B796" s="571" t="str">
        <f>IF(F796="","",(SUMIF(INTGRATE!$Y:$Y,data!D796,INTGRATE!$L:$L)+SUMIF(BRAN!$V:$V,data!D796,BRAN!$J:$J)))</f>
        <v/>
      </c>
      <c r="C796" s="572" t="str">
        <f t="shared" si="32"/>
        <v/>
      </c>
      <c r="D796" s="573" t="str">
        <f>IFERROR(VLOOKUP(E796,Map!$B:$F,4,0),"")&amp;IFERROR(VLOOKUP(E796,Map!$B:$F,5,0),"")</f>
        <v/>
      </c>
      <c r="E796" s="574" t="str">
        <f t="shared" si="31"/>
        <v/>
      </c>
    </row>
    <row r="797" spans="2:5">
      <c r="B797" s="571" t="str">
        <f>IF(F797="","",(SUMIF(INTGRATE!$Y:$Y,data!D797,INTGRATE!$L:$L)+SUMIF(BRAN!$V:$V,data!D797,BRAN!$J:$J)))</f>
        <v/>
      </c>
      <c r="C797" s="572" t="str">
        <f t="shared" si="32"/>
        <v/>
      </c>
      <c r="D797" s="573" t="str">
        <f>IFERROR(VLOOKUP(E797,Map!$B:$F,4,0),"")&amp;IFERROR(VLOOKUP(E797,Map!$B:$F,5,0),"")</f>
        <v/>
      </c>
      <c r="E797" s="574" t="str">
        <f t="shared" si="31"/>
        <v/>
      </c>
    </row>
    <row r="798" spans="2:5">
      <c r="B798" s="571" t="str">
        <f>IF(F798="","",(SUMIF(INTGRATE!$Y:$Y,data!D798,INTGRATE!$L:$L)+SUMIF(BRAN!$V:$V,data!D798,BRAN!$J:$J)))</f>
        <v/>
      </c>
      <c r="C798" s="572" t="str">
        <f t="shared" si="32"/>
        <v/>
      </c>
      <c r="D798" s="573" t="str">
        <f>IFERROR(VLOOKUP(E798,Map!$B:$F,4,0),"")&amp;IFERROR(VLOOKUP(E798,Map!$B:$F,5,0),"")</f>
        <v/>
      </c>
      <c r="E798" s="574" t="str">
        <f t="shared" si="31"/>
        <v/>
      </c>
    </row>
    <row r="799" spans="2:5">
      <c r="B799" s="571" t="str">
        <f>IF(F799="","",(SUMIF(INTGRATE!$Y:$Y,data!D799,INTGRATE!$L:$L)+SUMIF(BRAN!$V:$V,data!D799,BRAN!$J:$J)))</f>
        <v/>
      </c>
      <c r="C799" s="572" t="str">
        <f t="shared" si="32"/>
        <v/>
      </c>
      <c r="D799" s="573" t="str">
        <f>IFERROR(VLOOKUP(E799,Map!$B:$F,4,0),"")&amp;IFERROR(VLOOKUP(E799,Map!$B:$F,5,0),"")</f>
        <v/>
      </c>
      <c r="E799" s="574" t="str">
        <f t="shared" si="31"/>
        <v/>
      </c>
    </row>
    <row r="800" spans="2:5">
      <c r="B800" s="571" t="str">
        <f>IF(F800="","",(SUMIF(INTGRATE!$Y:$Y,data!D800,INTGRATE!$L:$L)+SUMIF(BRAN!$V:$V,data!D800,BRAN!$J:$J)))</f>
        <v/>
      </c>
      <c r="C800" s="572" t="str">
        <f t="shared" si="32"/>
        <v/>
      </c>
      <c r="D800" s="573" t="str">
        <f>IFERROR(VLOOKUP(E800,Map!$B:$F,4,0),"")&amp;IFERROR(VLOOKUP(E800,Map!$B:$F,5,0),"")</f>
        <v/>
      </c>
      <c r="E800" s="574" t="str">
        <f t="shared" ref="E800:E863" si="33">IF(MID(F800,10,2)="99",F800&amp;H800,LEFT(F800,14))</f>
        <v/>
      </c>
    </row>
    <row r="801" spans="2:5">
      <c r="B801" s="571" t="str">
        <f>IF(F801="","",(SUMIF(INTGRATE!$Y:$Y,data!D801,INTGRATE!$L:$L)+SUMIF(BRAN!$V:$V,data!D801,BRAN!$J:$J)))</f>
        <v/>
      </c>
      <c r="C801" s="572" t="str">
        <f t="shared" si="32"/>
        <v/>
      </c>
      <c r="D801" s="573" t="str">
        <f>IFERROR(VLOOKUP(E801,Map!$B:$F,4,0),"")&amp;IFERROR(VLOOKUP(E801,Map!$B:$F,5,0),"")</f>
        <v/>
      </c>
      <c r="E801" s="574" t="str">
        <f t="shared" si="33"/>
        <v/>
      </c>
    </row>
    <row r="802" spans="2:5">
      <c r="B802" s="571" t="str">
        <f>IF(F802="","",(SUMIF(INTGRATE!$Y:$Y,data!D802,INTGRATE!$L:$L)+SUMIF(BRAN!$V:$V,data!D802,BRAN!$J:$J)))</f>
        <v/>
      </c>
      <c r="C802" s="572" t="str">
        <f t="shared" si="32"/>
        <v/>
      </c>
      <c r="D802" s="573" t="str">
        <f>IFERROR(VLOOKUP(E802,Map!$B:$F,4,0),"")&amp;IFERROR(VLOOKUP(E802,Map!$B:$F,5,0),"")</f>
        <v/>
      </c>
      <c r="E802" s="574" t="str">
        <f t="shared" si="33"/>
        <v/>
      </c>
    </row>
    <row r="803" spans="2:5">
      <c r="B803" s="571" t="str">
        <f>IF(F803="","",(SUMIF(INTGRATE!$Y:$Y,data!D803,INTGRATE!$L:$L)+SUMIF(BRAN!$V:$V,data!D803,BRAN!$J:$J)))</f>
        <v/>
      </c>
      <c r="C803" s="572" t="str">
        <f t="shared" si="32"/>
        <v/>
      </c>
      <c r="D803" s="573" t="str">
        <f>IFERROR(VLOOKUP(E803,Map!$B:$F,4,0),"")&amp;IFERROR(VLOOKUP(E803,Map!$B:$F,5,0),"")</f>
        <v/>
      </c>
      <c r="E803" s="574" t="str">
        <f t="shared" si="33"/>
        <v/>
      </c>
    </row>
    <row r="804" spans="2:5">
      <c r="B804" s="571" t="str">
        <f>IF(F804="","",(SUMIF(INTGRATE!$Y:$Y,data!D804,INTGRATE!$L:$L)+SUMIF(BRAN!$V:$V,data!D804,BRAN!$J:$J)))</f>
        <v/>
      </c>
      <c r="C804" s="572" t="str">
        <f t="shared" si="32"/>
        <v/>
      </c>
      <c r="D804" s="573" t="str">
        <f>IFERROR(VLOOKUP(E804,Map!$B:$F,4,0),"")&amp;IFERROR(VLOOKUP(E804,Map!$B:$F,5,0),"")</f>
        <v/>
      </c>
      <c r="E804" s="574" t="str">
        <f t="shared" si="33"/>
        <v/>
      </c>
    </row>
    <row r="805" spans="2:5">
      <c r="B805" s="571" t="str">
        <f>IF(F805="","",(SUMIF(INTGRATE!$Y:$Y,data!D805,INTGRATE!$L:$L)+SUMIF(BRAN!$V:$V,data!D805,BRAN!$J:$J)))</f>
        <v/>
      </c>
      <c r="C805" s="572" t="str">
        <f t="shared" si="32"/>
        <v/>
      </c>
      <c r="D805" s="573" t="str">
        <f>IFERROR(VLOOKUP(E805,Map!$B:$F,4,0),"")&amp;IFERROR(VLOOKUP(E805,Map!$B:$F,5,0),"")</f>
        <v/>
      </c>
      <c r="E805" s="574" t="str">
        <f t="shared" si="33"/>
        <v/>
      </c>
    </row>
    <row r="806" spans="2:5">
      <c r="B806" s="571" t="str">
        <f>IF(F806="","",(SUMIF(INTGRATE!$Y:$Y,data!D806,INTGRATE!$L:$L)+SUMIF(BRAN!$V:$V,data!D806,BRAN!$J:$J)))</f>
        <v/>
      </c>
      <c r="C806" s="572" t="str">
        <f t="shared" si="32"/>
        <v/>
      </c>
      <c r="D806" s="573" t="str">
        <f>IFERROR(VLOOKUP(E806,Map!$B:$F,4,0),"")&amp;IFERROR(VLOOKUP(E806,Map!$B:$F,5,0),"")</f>
        <v/>
      </c>
      <c r="E806" s="574" t="str">
        <f t="shared" si="33"/>
        <v/>
      </c>
    </row>
    <row r="807" spans="2:5">
      <c r="B807" s="571" t="str">
        <f>IF(F807="","",(SUMIF(INTGRATE!$Y:$Y,data!D807,INTGRATE!$L:$L)+SUMIF(BRAN!$V:$V,data!D807,BRAN!$J:$J)))</f>
        <v/>
      </c>
      <c r="C807" s="572" t="str">
        <f t="shared" si="32"/>
        <v/>
      </c>
      <c r="D807" s="573" t="str">
        <f>IFERROR(VLOOKUP(E807,Map!$B:$F,4,0),"")&amp;IFERROR(VLOOKUP(E807,Map!$B:$F,5,0),"")</f>
        <v/>
      </c>
      <c r="E807" s="574" t="str">
        <f t="shared" si="33"/>
        <v/>
      </c>
    </row>
    <row r="808" spans="2:5">
      <c r="B808" s="571" t="str">
        <f>IF(F808="","",(SUMIF(INTGRATE!$Y:$Y,data!D808,INTGRATE!$L:$L)+SUMIF(BRAN!$V:$V,data!D808,BRAN!$J:$J)))</f>
        <v/>
      </c>
      <c r="C808" s="572" t="str">
        <f t="shared" si="32"/>
        <v/>
      </c>
      <c r="D808" s="573" t="str">
        <f>IFERROR(VLOOKUP(E808,Map!$B:$F,4,0),"")&amp;IFERROR(VLOOKUP(E808,Map!$B:$F,5,0),"")</f>
        <v/>
      </c>
      <c r="E808" s="574" t="str">
        <f t="shared" si="33"/>
        <v/>
      </c>
    </row>
    <row r="809" spans="2:5">
      <c r="B809" s="571" t="str">
        <f>IF(F809="","",(SUMIF(INTGRATE!$Y:$Y,data!D809,INTGRATE!$L:$L)+SUMIF(BRAN!$V:$V,data!D809,BRAN!$J:$J)))</f>
        <v/>
      </c>
      <c r="C809" s="572" t="str">
        <f t="shared" si="32"/>
        <v/>
      </c>
      <c r="D809" s="573" t="str">
        <f>IFERROR(VLOOKUP(E809,Map!$B:$F,4,0),"")&amp;IFERROR(VLOOKUP(E809,Map!$B:$F,5,0),"")</f>
        <v/>
      </c>
      <c r="E809" s="574" t="str">
        <f t="shared" si="33"/>
        <v/>
      </c>
    </row>
    <row r="810" spans="2:5">
      <c r="B810" s="571" t="str">
        <f>IF(F810="","",(SUMIF(INTGRATE!$Y:$Y,data!D810,INTGRATE!$L:$L)+SUMIF(BRAN!$V:$V,data!D810,BRAN!$J:$J)))</f>
        <v/>
      </c>
      <c r="C810" s="572" t="str">
        <f t="shared" si="32"/>
        <v/>
      </c>
      <c r="D810" s="573" t="str">
        <f>IFERROR(VLOOKUP(E810,Map!$B:$F,4,0),"")&amp;IFERROR(VLOOKUP(E810,Map!$B:$F,5,0),"")</f>
        <v/>
      </c>
      <c r="E810" s="574" t="str">
        <f t="shared" si="33"/>
        <v/>
      </c>
    </row>
    <row r="811" spans="2:5">
      <c r="B811" s="571" t="str">
        <f>IF(F811="","",(SUMIF(INTGRATE!$Y:$Y,data!D811,INTGRATE!$L:$L)+SUMIF(BRAN!$V:$V,data!D811,BRAN!$J:$J)))</f>
        <v/>
      </c>
      <c r="C811" s="572" t="str">
        <f t="shared" si="32"/>
        <v/>
      </c>
      <c r="D811" s="573" t="str">
        <f>IFERROR(VLOOKUP(E811,Map!$B:$F,4,0),"")&amp;IFERROR(VLOOKUP(E811,Map!$B:$F,5,0),"")</f>
        <v/>
      </c>
      <c r="E811" s="574" t="str">
        <f t="shared" si="33"/>
        <v/>
      </c>
    </row>
    <row r="812" spans="2:5">
      <c r="B812" s="571" t="str">
        <f>IF(F812="","",(SUMIF(INTGRATE!$Y:$Y,data!D812,INTGRATE!$L:$L)+SUMIF(BRAN!$V:$V,data!D812,BRAN!$J:$J)))</f>
        <v/>
      </c>
      <c r="C812" s="572" t="str">
        <f t="shared" si="32"/>
        <v/>
      </c>
      <c r="D812" s="573" t="str">
        <f>IFERROR(VLOOKUP(E812,Map!$B:$F,4,0),"")&amp;IFERROR(VLOOKUP(E812,Map!$B:$F,5,0),"")</f>
        <v/>
      </c>
      <c r="E812" s="574" t="str">
        <f t="shared" si="33"/>
        <v/>
      </c>
    </row>
    <row r="813" spans="2:5">
      <c r="B813" s="571" t="str">
        <f>IF(F813="","",(SUMIF(INTGRATE!$Y:$Y,data!D813,INTGRATE!$L:$L)+SUMIF(BRAN!$V:$V,data!D813,BRAN!$J:$J)))</f>
        <v/>
      </c>
      <c r="C813" s="572" t="str">
        <f t="shared" si="32"/>
        <v/>
      </c>
      <c r="D813" s="573" t="str">
        <f>IFERROR(VLOOKUP(E813,Map!$B:$F,4,0),"")&amp;IFERROR(VLOOKUP(E813,Map!$B:$F,5,0),"")</f>
        <v/>
      </c>
      <c r="E813" s="574" t="str">
        <f t="shared" si="33"/>
        <v/>
      </c>
    </row>
    <row r="814" spans="2:5">
      <c r="B814" s="571" t="str">
        <f>IF(F814="","",(SUMIF(INTGRATE!$Y:$Y,data!D814,INTGRATE!$L:$L)+SUMIF(BRAN!$V:$V,data!D814,BRAN!$J:$J)))</f>
        <v/>
      </c>
      <c r="C814" s="572" t="str">
        <f t="shared" si="32"/>
        <v/>
      </c>
      <c r="D814" s="573" t="str">
        <f>IFERROR(VLOOKUP(E814,Map!$B:$F,4,0),"")&amp;IFERROR(VLOOKUP(E814,Map!$B:$F,5,0),"")</f>
        <v/>
      </c>
      <c r="E814" s="574" t="str">
        <f t="shared" si="33"/>
        <v/>
      </c>
    </row>
    <row r="815" spans="2:5">
      <c r="B815" s="571" t="str">
        <f>IF(F815="","",(SUMIF(INTGRATE!$Y:$Y,data!D815,INTGRATE!$L:$L)+SUMIF(BRAN!$V:$V,data!D815,BRAN!$J:$J)))</f>
        <v/>
      </c>
      <c r="C815" s="572" t="str">
        <f t="shared" si="32"/>
        <v/>
      </c>
      <c r="D815" s="573" t="str">
        <f>IFERROR(VLOOKUP(E815,Map!$B:$F,4,0),"")&amp;IFERROR(VLOOKUP(E815,Map!$B:$F,5,0),"")</f>
        <v/>
      </c>
      <c r="E815" s="574" t="str">
        <f t="shared" si="33"/>
        <v/>
      </c>
    </row>
    <row r="816" spans="2:5">
      <c r="B816" s="571" t="str">
        <f>IF(F816="","",(SUMIF(INTGRATE!$Y:$Y,data!D816,INTGRATE!$L:$L)+SUMIF(BRAN!$V:$V,data!D816,BRAN!$J:$J)))</f>
        <v/>
      </c>
      <c r="C816" s="572" t="str">
        <f t="shared" si="32"/>
        <v/>
      </c>
      <c r="D816" s="573" t="str">
        <f>IFERROR(VLOOKUP(E816,Map!$B:$F,4,0),"")&amp;IFERROR(VLOOKUP(E816,Map!$B:$F,5,0),"")</f>
        <v/>
      </c>
      <c r="E816" s="574" t="str">
        <f t="shared" si="33"/>
        <v/>
      </c>
    </row>
    <row r="817" spans="2:5">
      <c r="B817" s="571" t="str">
        <f>IF(F817="","",(SUMIF(INTGRATE!$Y:$Y,data!D817,INTGRATE!$L:$L)+SUMIF(BRAN!$V:$V,data!D817,BRAN!$J:$J)))</f>
        <v/>
      </c>
      <c r="C817" s="572" t="str">
        <f t="shared" si="32"/>
        <v/>
      </c>
      <c r="D817" s="573" t="str">
        <f>IFERROR(VLOOKUP(E817,Map!$B:$F,4,0),"")&amp;IFERROR(VLOOKUP(E817,Map!$B:$F,5,0),"")</f>
        <v/>
      </c>
      <c r="E817" s="574" t="str">
        <f t="shared" si="33"/>
        <v/>
      </c>
    </row>
    <row r="818" spans="2:5">
      <c r="B818" s="571" t="str">
        <f>IF(F818="","",(SUMIF(INTGRATE!$Y:$Y,data!D818,INTGRATE!$L:$L)+SUMIF(BRAN!$V:$V,data!D818,BRAN!$J:$J)))</f>
        <v/>
      </c>
      <c r="C818" s="572" t="str">
        <f t="shared" si="32"/>
        <v/>
      </c>
      <c r="D818" s="573" t="str">
        <f>IFERROR(VLOOKUP(E818,Map!$B:$F,4,0),"")&amp;IFERROR(VLOOKUP(E818,Map!$B:$F,5,0),"")</f>
        <v/>
      </c>
      <c r="E818" s="574" t="str">
        <f t="shared" si="33"/>
        <v/>
      </c>
    </row>
    <row r="819" spans="2:5">
      <c r="B819" s="571" t="str">
        <f>IF(F819="","",(SUMIF(INTGRATE!$Y:$Y,data!D819,INTGRATE!$L:$L)+SUMIF(BRAN!$V:$V,data!D819,BRAN!$J:$J)))</f>
        <v/>
      </c>
      <c r="C819" s="572" t="str">
        <f t="shared" si="32"/>
        <v/>
      </c>
      <c r="D819" s="573" t="str">
        <f>IFERROR(VLOOKUP(E819,Map!$B:$F,4,0),"")&amp;IFERROR(VLOOKUP(E819,Map!$B:$F,5,0),"")</f>
        <v/>
      </c>
      <c r="E819" s="574" t="str">
        <f t="shared" si="33"/>
        <v/>
      </c>
    </row>
    <row r="820" spans="2:5">
      <c r="B820" s="571" t="str">
        <f>IF(F820="","",(SUMIF(INTGRATE!$Y:$Y,data!D820,INTGRATE!$L:$L)+SUMIF(BRAN!$V:$V,data!D820,BRAN!$J:$J)))</f>
        <v/>
      </c>
      <c r="C820" s="572" t="str">
        <f t="shared" si="32"/>
        <v/>
      </c>
      <c r="D820" s="573" t="str">
        <f>IFERROR(VLOOKUP(E820,Map!$B:$F,4,0),"")&amp;IFERROR(VLOOKUP(E820,Map!$B:$F,5,0),"")</f>
        <v/>
      </c>
      <c r="E820" s="574" t="str">
        <f t="shared" si="33"/>
        <v/>
      </c>
    </row>
    <row r="821" spans="2:5">
      <c r="B821" s="571" t="str">
        <f>IF(F821="","",(SUMIF(INTGRATE!$Y:$Y,data!D821,INTGRATE!$L:$L)+SUMIF(BRAN!$V:$V,data!D821,BRAN!$J:$J)))</f>
        <v/>
      </c>
      <c r="C821" s="572" t="str">
        <f t="shared" si="32"/>
        <v/>
      </c>
      <c r="D821" s="573" t="str">
        <f>IFERROR(VLOOKUP(E821,Map!$B:$F,4,0),"")&amp;IFERROR(VLOOKUP(E821,Map!$B:$F,5,0),"")</f>
        <v/>
      </c>
      <c r="E821" s="574" t="str">
        <f t="shared" si="33"/>
        <v/>
      </c>
    </row>
    <row r="822" spans="2:5">
      <c r="B822" s="571" t="str">
        <f>IF(F822="","",(SUMIF(INTGRATE!$Y:$Y,data!D822,INTGRATE!$L:$L)+SUMIF(BRAN!$V:$V,data!D822,BRAN!$J:$J)))</f>
        <v/>
      </c>
      <c r="C822" s="572" t="str">
        <f t="shared" si="32"/>
        <v/>
      </c>
      <c r="D822" s="573" t="str">
        <f>IFERROR(VLOOKUP(E822,Map!$B:$F,4,0),"")&amp;IFERROR(VLOOKUP(E822,Map!$B:$F,5,0),"")</f>
        <v/>
      </c>
      <c r="E822" s="574" t="str">
        <f t="shared" si="33"/>
        <v/>
      </c>
    </row>
    <row r="823" spans="2:5">
      <c r="B823" s="571" t="str">
        <f>IF(F823="","",(SUMIF(INTGRATE!$Y:$Y,data!D823,INTGRATE!$L:$L)+SUMIF(BRAN!$V:$V,data!D823,BRAN!$J:$J)))</f>
        <v/>
      </c>
      <c r="C823" s="572" t="str">
        <f t="shared" si="32"/>
        <v/>
      </c>
      <c r="D823" s="573" t="str">
        <f>IFERROR(VLOOKUP(E823,Map!$B:$F,4,0),"")&amp;IFERROR(VLOOKUP(E823,Map!$B:$F,5,0),"")</f>
        <v/>
      </c>
      <c r="E823" s="574" t="str">
        <f t="shared" si="33"/>
        <v/>
      </c>
    </row>
    <row r="824" spans="2:5">
      <c r="B824" s="571" t="str">
        <f>IF(F824="","",(SUMIF(INTGRATE!$Y:$Y,data!D824,INTGRATE!$L:$L)+SUMIF(BRAN!$V:$V,data!D824,BRAN!$J:$J)))</f>
        <v/>
      </c>
      <c r="C824" s="572" t="str">
        <f t="shared" si="32"/>
        <v/>
      </c>
      <c r="D824" s="573" t="str">
        <f>IFERROR(VLOOKUP(E824,Map!$B:$F,4,0),"")&amp;IFERROR(VLOOKUP(E824,Map!$B:$F,5,0),"")</f>
        <v/>
      </c>
      <c r="E824" s="574" t="str">
        <f t="shared" si="33"/>
        <v/>
      </c>
    </row>
    <row r="825" spans="2:5">
      <c r="B825" s="571" t="str">
        <f>IF(F825="","",(SUMIF(INTGRATE!$Y:$Y,data!D825,INTGRATE!$L:$L)+SUMIF(BRAN!$V:$V,data!D825,BRAN!$J:$J)))</f>
        <v/>
      </c>
      <c r="C825" s="572" t="str">
        <f t="shared" si="32"/>
        <v/>
      </c>
      <c r="D825" s="573" t="str">
        <f>IFERROR(VLOOKUP(E825,Map!$B:$F,4,0),"")&amp;IFERROR(VLOOKUP(E825,Map!$B:$F,5,0),"")</f>
        <v/>
      </c>
      <c r="E825" s="574" t="str">
        <f t="shared" si="33"/>
        <v/>
      </c>
    </row>
    <row r="826" spans="2:5">
      <c r="B826" s="571" t="str">
        <f>IF(F826="","",(SUMIF(INTGRATE!$Y:$Y,data!D826,INTGRATE!$L:$L)+SUMIF(BRAN!$V:$V,data!D826,BRAN!$J:$J)))</f>
        <v/>
      </c>
      <c r="C826" s="572" t="str">
        <f t="shared" si="32"/>
        <v/>
      </c>
      <c r="D826" s="573" t="str">
        <f>IFERROR(VLOOKUP(E826,Map!$B:$F,4,0),"")&amp;IFERROR(VLOOKUP(E826,Map!$B:$F,5,0),"")</f>
        <v/>
      </c>
      <c r="E826" s="574" t="str">
        <f t="shared" si="33"/>
        <v/>
      </c>
    </row>
    <row r="827" spans="2:5">
      <c r="B827" s="571" t="str">
        <f>IF(F827="","",(SUMIF(INTGRATE!$Y:$Y,data!D827,INTGRATE!$L:$L)+SUMIF(BRAN!$V:$V,data!D827,BRAN!$J:$J)))</f>
        <v/>
      </c>
      <c r="C827" s="572" t="str">
        <f t="shared" si="32"/>
        <v/>
      </c>
      <c r="D827" s="573" t="str">
        <f>IFERROR(VLOOKUP(E827,Map!$B:$F,4,0),"")&amp;IFERROR(VLOOKUP(E827,Map!$B:$F,5,0),"")</f>
        <v/>
      </c>
      <c r="E827" s="574" t="str">
        <f t="shared" si="33"/>
        <v/>
      </c>
    </row>
    <row r="828" spans="2:5">
      <c r="B828" s="571" t="str">
        <f>IF(F828="","",(SUMIF(INTGRATE!$Y:$Y,data!D828,INTGRATE!$L:$L)+SUMIF(BRAN!$V:$V,data!D828,BRAN!$J:$J)))</f>
        <v/>
      </c>
      <c r="C828" s="572" t="str">
        <f t="shared" si="32"/>
        <v/>
      </c>
      <c r="D828" s="573" t="str">
        <f>IFERROR(VLOOKUP(E828,Map!$B:$F,4,0),"")&amp;IFERROR(VLOOKUP(E828,Map!$B:$F,5,0),"")</f>
        <v/>
      </c>
      <c r="E828" s="574" t="str">
        <f t="shared" si="33"/>
        <v/>
      </c>
    </row>
    <row r="829" spans="2:5">
      <c r="B829" s="571" t="str">
        <f>IF(F829="","",(SUMIF(INTGRATE!$Y:$Y,data!D829,INTGRATE!$L:$L)+SUMIF(BRAN!$V:$V,data!D829,BRAN!$J:$J)))</f>
        <v/>
      </c>
      <c r="C829" s="572" t="str">
        <f t="shared" si="32"/>
        <v/>
      </c>
      <c r="D829" s="573" t="str">
        <f>IFERROR(VLOOKUP(E829,Map!$B:$F,4,0),"")&amp;IFERROR(VLOOKUP(E829,Map!$B:$F,5,0),"")</f>
        <v/>
      </c>
      <c r="E829" s="574" t="str">
        <f t="shared" si="33"/>
        <v/>
      </c>
    </row>
    <row r="830" spans="2:5">
      <c r="B830" s="571" t="str">
        <f>IF(F830="","",(SUMIF(INTGRATE!$Y:$Y,data!D830,INTGRATE!$L:$L)+SUMIF(BRAN!$V:$V,data!D830,BRAN!$J:$J)))</f>
        <v/>
      </c>
      <c r="C830" s="572" t="str">
        <f t="shared" si="32"/>
        <v/>
      </c>
      <c r="D830" s="573" t="str">
        <f>IFERROR(VLOOKUP(E830,Map!$B:$F,4,0),"")&amp;IFERROR(VLOOKUP(E830,Map!$B:$F,5,0),"")</f>
        <v/>
      </c>
      <c r="E830" s="574" t="str">
        <f t="shared" si="33"/>
        <v/>
      </c>
    </row>
    <row r="831" spans="2:5">
      <c r="B831" s="571" t="str">
        <f>IF(F831="","",(SUMIF(INTGRATE!$Y:$Y,data!D831,INTGRATE!$L:$L)+SUMIF(BRAN!$V:$V,data!D831,BRAN!$J:$J)))</f>
        <v/>
      </c>
      <c r="C831" s="572" t="str">
        <f t="shared" ref="C831:C894" si="34">IF(F831="","",B831-K831)</f>
        <v/>
      </c>
      <c r="D831" s="573" t="str">
        <f>IFERROR(VLOOKUP(E831,Map!$B:$F,4,0),"")&amp;IFERROR(VLOOKUP(E831,Map!$B:$F,5,0),"")</f>
        <v/>
      </c>
      <c r="E831" s="574" t="str">
        <f t="shared" si="33"/>
        <v/>
      </c>
    </row>
    <row r="832" spans="2:5">
      <c r="B832" s="571" t="str">
        <f>IF(F832="","",(SUMIF(INTGRATE!$Y:$Y,data!D832,INTGRATE!$L:$L)+SUMIF(BRAN!$V:$V,data!D832,BRAN!$J:$J)))</f>
        <v/>
      </c>
      <c r="C832" s="572" t="str">
        <f t="shared" si="34"/>
        <v/>
      </c>
      <c r="D832" s="573" t="str">
        <f>IFERROR(VLOOKUP(E832,Map!$B:$F,4,0),"")&amp;IFERROR(VLOOKUP(E832,Map!$B:$F,5,0),"")</f>
        <v/>
      </c>
      <c r="E832" s="574" t="str">
        <f t="shared" si="33"/>
        <v/>
      </c>
    </row>
    <row r="833" spans="2:5">
      <c r="B833" s="571" t="str">
        <f>IF(F833="","",(SUMIF(INTGRATE!$Y:$Y,data!D833,INTGRATE!$L:$L)+SUMIF(BRAN!$V:$V,data!D833,BRAN!$J:$J)))</f>
        <v/>
      </c>
      <c r="C833" s="572" t="str">
        <f t="shared" si="34"/>
        <v/>
      </c>
      <c r="D833" s="573" t="str">
        <f>IFERROR(VLOOKUP(E833,Map!$B:$F,4,0),"")&amp;IFERROR(VLOOKUP(E833,Map!$B:$F,5,0),"")</f>
        <v/>
      </c>
      <c r="E833" s="574" t="str">
        <f t="shared" si="33"/>
        <v/>
      </c>
    </row>
    <row r="834" spans="2:5">
      <c r="B834" s="571" t="str">
        <f>IF(F834="","",(SUMIF(INTGRATE!$Y:$Y,data!D834,INTGRATE!$L:$L)+SUMIF(BRAN!$V:$V,data!D834,BRAN!$J:$J)))</f>
        <v/>
      </c>
      <c r="C834" s="572" t="str">
        <f t="shared" si="34"/>
        <v/>
      </c>
      <c r="D834" s="573" t="str">
        <f>IFERROR(VLOOKUP(E834,Map!$B:$F,4,0),"")&amp;IFERROR(VLOOKUP(E834,Map!$B:$F,5,0),"")</f>
        <v/>
      </c>
      <c r="E834" s="574" t="str">
        <f t="shared" si="33"/>
        <v/>
      </c>
    </row>
    <row r="835" spans="2:5">
      <c r="B835" s="571" t="str">
        <f>IF(F835="","",(SUMIF(INTGRATE!$Y:$Y,data!D835,INTGRATE!$L:$L)+SUMIF(BRAN!$V:$V,data!D835,BRAN!$J:$J)))</f>
        <v/>
      </c>
      <c r="C835" s="572" t="str">
        <f t="shared" si="34"/>
        <v/>
      </c>
      <c r="D835" s="573" t="str">
        <f>IFERROR(VLOOKUP(E835,Map!$B:$F,4,0),"")&amp;IFERROR(VLOOKUP(E835,Map!$B:$F,5,0),"")</f>
        <v/>
      </c>
      <c r="E835" s="574" t="str">
        <f t="shared" si="33"/>
        <v/>
      </c>
    </row>
    <row r="836" spans="2:5">
      <c r="B836" s="571" t="str">
        <f>IF(F836="","",(SUMIF(INTGRATE!$Y:$Y,data!D836,INTGRATE!$L:$L)+SUMIF(BRAN!$V:$V,data!D836,BRAN!$J:$J)))</f>
        <v/>
      </c>
      <c r="C836" s="572" t="str">
        <f t="shared" si="34"/>
        <v/>
      </c>
      <c r="D836" s="573" t="str">
        <f>IFERROR(VLOOKUP(E836,Map!$B:$F,4,0),"")&amp;IFERROR(VLOOKUP(E836,Map!$B:$F,5,0),"")</f>
        <v/>
      </c>
      <c r="E836" s="574" t="str">
        <f t="shared" si="33"/>
        <v/>
      </c>
    </row>
    <row r="837" spans="2:5">
      <c r="B837" s="571" t="str">
        <f>IF(F837="","",(SUMIF(INTGRATE!$Y:$Y,data!D837,INTGRATE!$L:$L)+SUMIF(BRAN!$V:$V,data!D837,BRAN!$J:$J)))</f>
        <v/>
      </c>
      <c r="C837" s="572" t="str">
        <f t="shared" si="34"/>
        <v/>
      </c>
      <c r="D837" s="573" t="str">
        <f>IFERROR(VLOOKUP(E837,Map!$B:$F,4,0),"")&amp;IFERROR(VLOOKUP(E837,Map!$B:$F,5,0),"")</f>
        <v/>
      </c>
      <c r="E837" s="574" t="str">
        <f t="shared" si="33"/>
        <v/>
      </c>
    </row>
    <row r="838" spans="2:5">
      <c r="B838" s="571" t="str">
        <f>IF(F838="","",(SUMIF(INTGRATE!$Y:$Y,data!D838,INTGRATE!$L:$L)+SUMIF(BRAN!$V:$V,data!D838,BRAN!$J:$J)))</f>
        <v/>
      </c>
      <c r="C838" s="572" t="str">
        <f t="shared" si="34"/>
        <v/>
      </c>
      <c r="D838" s="573" t="str">
        <f>IFERROR(VLOOKUP(E838,Map!$B:$F,4,0),"")&amp;IFERROR(VLOOKUP(E838,Map!$B:$F,5,0),"")</f>
        <v/>
      </c>
      <c r="E838" s="574" t="str">
        <f t="shared" si="33"/>
        <v/>
      </c>
    </row>
    <row r="839" spans="2:5">
      <c r="B839" s="571" t="str">
        <f>IF(F839="","",(SUMIF(INTGRATE!$Y:$Y,data!D839,INTGRATE!$L:$L)+SUMIF(BRAN!$V:$V,data!D839,BRAN!$J:$J)))</f>
        <v/>
      </c>
      <c r="C839" s="572" t="str">
        <f t="shared" si="34"/>
        <v/>
      </c>
      <c r="D839" s="573" t="str">
        <f>IFERROR(VLOOKUP(E839,Map!$B:$F,4,0),"")&amp;IFERROR(VLOOKUP(E839,Map!$B:$F,5,0),"")</f>
        <v/>
      </c>
      <c r="E839" s="574" t="str">
        <f t="shared" si="33"/>
        <v/>
      </c>
    </row>
    <row r="840" spans="2:5">
      <c r="B840" s="571" t="str">
        <f>IF(F840="","",(SUMIF(INTGRATE!$Y:$Y,data!D840,INTGRATE!$L:$L)+SUMIF(BRAN!$V:$V,data!D840,BRAN!$J:$J)))</f>
        <v/>
      </c>
      <c r="C840" s="572" t="str">
        <f t="shared" si="34"/>
        <v/>
      </c>
      <c r="D840" s="573" t="str">
        <f>IFERROR(VLOOKUP(E840,Map!$B:$F,4,0),"")&amp;IFERROR(VLOOKUP(E840,Map!$B:$F,5,0),"")</f>
        <v/>
      </c>
      <c r="E840" s="574" t="str">
        <f t="shared" si="33"/>
        <v/>
      </c>
    </row>
    <row r="841" spans="2:5">
      <c r="B841" s="571" t="str">
        <f>IF(F841="","",(SUMIF(INTGRATE!$Y:$Y,data!D841,INTGRATE!$L:$L)+SUMIF(BRAN!$V:$V,data!D841,BRAN!$J:$J)))</f>
        <v/>
      </c>
      <c r="C841" s="572" t="str">
        <f t="shared" si="34"/>
        <v/>
      </c>
      <c r="D841" s="573" t="str">
        <f>IFERROR(VLOOKUP(E841,Map!$B:$F,4,0),"")&amp;IFERROR(VLOOKUP(E841,Map!$B:$F,5,0),"")</f>
        <v/>
      </c>
      <c r="E841" s="574" t="str">
        <f t="shared" si="33"/>
        <v/>
      </c>
    </row>
    <row r="842" spans="2:5">
      <c r="B842" s="571" t="str">
        <f>IF(F842="","",(SUMIF(INTGRATE!$Y:$Y,data!D842,INTGRATE!$L:$L)+SUMIF(BRAN!$V:$V,data!D842,BRAN!$J:$J)))</f>
        <v/>
      </c>
      <c r="C842" s="572" t="str">
        <f t="shared" si="34"/>
        <v/>
      </c>
      <c r="D842" s="573" t="str">
        <f>IFERROR(VLOOKUP(E842,Map!$B:$F,4,0),"")&amp;IFERROR(VLOOKUP(E842,Map!$B:$F,5,0),"")</f>
        <v/>
      </c>
      <c r="E842" s="574" t="str">
        <f t="shared" si="33"/>
        <v/>
      </c>
    </row>
    <row r="843" spans="2:5">
      <c r="B843" s="571" t="str">
        <f>IF(F843="","",(SUMIF(INTGRATE!$Y:$Y,data!D843,INTGRATE!$L:$L)+SUMIF(BRAN!$V:$V,data!D843,BRAN!$J:$J)))</f>
        <v/>
      </c>
      <c r="C843" s="572" t="str">
        <f t="shared" si="34"/>
        <v/>
      </c>
      <c r="D843" s="573" t="str">
        <f>IFERROR(VLOOKUP(E843,Map!$B:$F,4,0),"")&amp;IFERROR(VLOOKUP(E843,Map!$B:$F,5,0),"")</f>
        <v/>
      </c>
      <c r="E843" s="574" t="str">
        <f t="shared" si="33"/>
        <v/>
      </c>
    </row>
    <row r="844" spans="2:5">
      <c r="B844" s="571" t="str">
        <f>IF(F844="","",(SUMIF(INTGRATE!$Y:$Y,data!D844,INTGRATE!$L:$L)+SUMIF(BRAN!$V:$V,data!D844,BRAN!$J:$J)))</f>
        <v/>
      </c>
      <c r="C844" s="572" t="str">
        <f t="shared" si="34"/>
        <v/>
      </c>
      <c r="D844" s="573" t="str">
        <f>IFERROR(VLOOKUP(E844,Map!$B:$F,4,0),"")&amp;IFERROR(VLOOKUP(E844,Map!$B:$F,5,0),"")</f>
        <v/>
      </c>
      <c r="E844" s="574" t="str">
        <f t="shared" si="33"/>
        <v/>
      </c>
    </row>
    <row r="845" spans="2:5">
      <c r="B845" s="571" t="str">
        <f>IF(F845="","",(SUMIF(INTGRATE!$Y:$Y,data!D845,INTGRATE!$L:$L)+SUMIF(BRAN!$V:$V,data!D845,BRAN!$J:$J)))</f>
        <v/>
      </c>
      <c r="C845" s="572" t="str">
        <f t="shared" si="34"/>
        <v/>
      </c>
      <c r="D845" s="573" t="str">
        <f>IFERROR(VLOOKUP(E845,Map!$B:$F,4,0),"")&amp;IFERROR(VLOOKUP(E845,Map!$B:$F,5,0),"")</f>
        <v/>
      </c>
      <c r="E845" s="574" t="str">
        <f t="shared" si="33"/>
        <v/>
      </c>
    </row>
    <row r="846" spans="2:5">
      <c r="B846" s="571" t="str">
        <f>IF(F846="","",(SUMIF(INTGRATE!$Y:$Y,data!D846,INTGRATE!$L:$L)+SUMIF(BRAN!$V:$V,data!D846,BRAN!$J:$J)))</f>
        <v/>
      </c>
      <c r="C846" s="572" t="str">
        <f t="shared" si="34"/>
        <v/>
      </c>
      <c r="D846" s="573" t="str">
        <f>IFERROR(VLOOKUP(E846,Map!$B:$F,4,0),"")&amp;IFERROR(VLOOKUP(E846,Map!$B:$F,5,0),"")</f>
        <v/>
      </c>
      <c r="E846" s="574" t="str">
        <f t="shared" si="33"/>
        <v/>
      </c>
    </row>
    <row r="847" spans="2:5">
      <c r="B847" s="571" t="str">
        <f>IF(F847="","",(SUMIF(INTGRATE!$Y:$Y,data!D847,INTGRATE!$L:$L)+SUMIF(BRAN!$V:$V,data!D847,BRAN!$J:$J)))</f>
        <v/>
      </c>
      <c r="C847" s="572" t="str">
        <f t="shared" si="34"/>
        <v/>
      </c>
      <c r="D847" s="573" t="str">
        <f>IFERROR(VLOOKUP(E847,Map!$B:$F,4,0),"")&amp;IFERROR(VLOOKUP(E847,Map!$B:$F,5,0),"")</f>
        <v/>
      </c>
      <c r="E847" s="574" t="str">
        <f t="shared" si="33"/>
        <v/>
      </c>
    </row>
    <row r="848" spans="2:5">
      <c r="B848" s="571" t="str">
        <f>IF(F848="","",(SUMIF(INTGRATE!$Y:$Y,data!D848,INTGRATE!$L:$L)+SUMIF(BRAN!$V:$V,data!D848,BRAN!$J:$J)))</f>
        <v/>
      </c>
      <c r="C848" s="572" t="str">
        <f t="shared" si="34"/>
        <v/>
      </c>
      <c r="D848" s="573" t="str">
        <f>IFERROR(VLOOKUP(E848,Map!$B:$F,4,0),"")&amp;IFERROR(VLOOKUP(E848,Map!$B:$F,5,0),"")</f>
        <v/>
      </c>
      <c r="E848" s="574" t="str">
        <f t="shared" si="33"/>
        <v/>
      </c>
    </row>
    <row r="849" spans="2:5">
      <c r="B849" s="571" t="str">
        <f>IF(F849="","",(SUMIF(INTGRATE!$Y:$Y,data!D849,INTGRATE!$L:$L)+SUMIF(BRAN!$V:$V,data!D849,BRAN!$J:$J)))</f>
        <v/>
      </c>
      <c r="C849" s="572" t="str">
        <f t="shared" si="34"/>
        <v/>
      </c>
      <c r="D849" s="573" t="str">
        <f>IFERROR(VLOOKUP(E849,Map!$B:$F,4,0),"")&amp;IFERROR(VLOOKUP(E849,Map!$B:$F,5,0),"")</f>
        <v/>
      </c>
      <c r="E849" s="574" t="str">
        <f t="shared" si="33"/>
        <v/>
      </c>
    </row>
    <row r="850" spans="2:5">
      <c r="B850" s="571" t="str">
        <f>IF(F850="","",(SUMIF(INTGRATE!$Y:$Y,data!D850,INTGRATE!$L:$L)+SUMIF(BRAN!$V:$V,data!D850,BRAN!$J:$J)))</f>
        <v/>
      </c>
      <c r="C850" s="572" t="str">
        <f t="shared" si="34"/>
        <v/>
      </c>
      <c r="D850" s="573" t="str">
        <f>IFERROR(VLOOKUP(E850,Map!$B:$F,4,0),"")&amp;IFERROR(VLOOKUP(E850,Map!$B:$F,5,0),"")</f>
        <v/>
      </c>
      <c r="E850" s="574" t="str">
        <f t="shared" si="33"/>
        <v/>
      </c>
    </row>
    <row r="851" spans="2:5">
      <c r="B851" s="571" t="str">
        <f>IF(F851="","",(SUMIF(INTGRATE!$Y:$Y,data!D851,INTGRATE!$L:$L)+SUMIF(BRAN!$V:$V,data!D851,BRAN!$J:$J)))</f>
        <v/>
      </c>
      <c r="C851" s="572" t="str">
        <f t="shared" si="34"/>
        <v/>
      </c>
      <c r="D851" s="573" t="str">
        <f>IFERROR(VLOOKUP(E851,Map!$B:$F,4,0),"")&amp;IFERROR(VLOOKUP(E851,Map!$B:$F,5,0),"")</f>
        <v/>
      </c>
      <c r="E851" s="574" t="str">
        <f t="shared" si="33"/>
        <v/>
      </c>
    </row>
    <row r="852" spans="2:5">
      <c r="B852" s="571" t="str">
        <f>IF(F852="","",(SUMIF(INTGRATE!$Y:$Y,data!D852,INTGRATE!$L:$L)+SUMIF(BRAN!$V:$V,data!D852,BRAN!$J:$J)))</f>
        <v/>
      </c>
      <c r="C852" s="572" t="str">
        <f t="shared" si="34"/>
        <v/>
      </c>
      <c r="D852" s="573" t="str">
        <f>IFERROR(VLOOKUP(E852,Map!$B:$F,4,0),"")&amp;IFERROR(VLOOKUP(E852,Map!$B:$F,5,0),"")</f>
        <v/>
      </c>
      <c r="E852" s="574" t="str">
        <f t="shared" si="33"/>
        <v/>
      </c>
    </row>
    <row r="853" spans="2:5">
      <c r="B853" s="571" t="str">
        <f>IF(F853="","",(SUMIF(INTGRATE!$Y:$Y,data!D853,INTGRATE!$L:$L)+SUMIF(BRAN!$V:$V,data!D853,BRAN!$J:$J)))</f>
        <v/>
      </c>
      <c r="C853" s="572" t="str">
        <f t="shared" si="34"/>
        <v/>
      </c>
      <c r="D853" s="573" t="str">
        <f>IFERROR(VLOOKUP(E853,Map!$B:$F,4,0),"")&amp;IFERROR(VLOOKUP(E853,Map!$B:$F,5,0),"")</f>
        <v/>
      </c>
      <c r="E853" s="574" t="str">
        <f t="shared" si="33"/>
        <v/>
      </c>
    </row>
    <row r="854" spans="2:5">
      <c r="B854" s="571" t="str">
        <f>IF(F854="","",(SUMIF(INTGRATE!$Y:$Y,data!D854,INTGRATE!$L:$L)+SUMIF(BRAN!$V:$V,data!D854,BRAN!$J:$J)))</f>
        <v/>
      </c>
      <c r="C854" s="572" t="str">
        <f t="shared" si="34"/>
        <v/>
      </c>
      <c r="D854" s="573" t="str">
        <f>IFERROR(VLOOKUP(E854,Map!$B:$F,4,0),"")&amp;IFERROR(VLOOKUP(E854,Map!$B:$F,5,0),"")</f>
        <v/>
      </c>
      <c r="E854" s="574" t="str">
        <f t="shared" si="33"/>
        <v/>
      </c>
    </row>
    <row r="855" spans="2:5">
      <c r="B855" s="571" t="str">
        <f>IF(F855="","",(SUMIF(INTGRATE!$Y:$Y,data!D855,INTGRATE!$L:$L)+SUMIF(BRAN!$V:$V,data!D855,BRAN!$J:$J)))</f>
        <v/>
      </c>
      <c r="C855" s="572" t="str">
        <f t="shared" si="34"/>
        <v/>
      </c>
      <c r="D855" s="573" t="str">
        <f>IFERROR(VLOOKUP(E855,Map!$B:$F,4,0),"")&amp;IFERROR(VLOOKUP(E855,Map!$B:$F,5,0),"")</f>
        <v/>
      </c>
      <c r="E855" s="574" t="str">
        <f t="shared" si="33"/>
        <v/>
      </c>
    </row>
    <row r="856" spans="2:5">
      <c r="B856" s="571" t="str">
        <f>IF(F856="","",(SUMIF(INTGRATE!$Y:$Y,data!D856,INTGRATE!$L:$L)+SUMIF(BRAN!$V:$V,data!D856,BRAN!$J:$J)))</f>
        <v/>
      </c>
      <c r="C856" s="572" t="str">
        <f t="shared" si="34"/>
        <v/>
      </c>
      <c r="D856" s="573" t="str">
        <f>IFERROR(VLOOKUP(E856,Map!$B:$F,4,0),"")&amp;IFERROR(VLOOKUP(E856,Map!$B:$F,5,0),"")</f>
        <v/>
      </c>
      <c r="E856" s="574" t="str">
        <f t="shared" si="33"/>
        <v/>
      </c>
    </row>
    <row r="857" spans="2:5">
      <c r="B857" s="571" t="str">
        <f>IF(F857="","",(SUMIF(INTGRATE!$Y:$Y,data!D857,INTGRATE!$L:$L)+SUMIF(BRAN!$V:$V,data!D857,BRAN!$J:$J)))</f>
        <v/>
      </c>
      <c r="C857" s="572" t="str">
        <f t="shared" si="34"/>
        <v/>
      </c>
      <c r="D857" s="573" t="str">
        <f>IFERROR(VLOOKUP(E857,Map!$B:$F,4,0),"")&amp;IFERROR(VLOOKUP(E857,Map!$B:$F,5,0),"")</f>
        <v/>
      </c>
      <c r="E857" s="574" t="str">
        <f t="shared" si="33"/>
        <v/>
      </c>
    </row>
    <row r="858" spans="2:5">
      <c r="B858" s="571" t="str">
        <f>IF(F858="","",(SUMIF(INTGRATE!$Y:$Y,data!D858,INTGRATE!$L:$L)+SUMIF(BRAN!$V:$V,data!D858,BRAN!$J:$J)))</f>
        <v/>
      </c>
      <c r="C858" s="572" t="str">
        <f t="shared" si="34"/>
        <v/>
      </c>
      <c r="D858" s="573" t="str">
        <f>IFERROR(VLOOKUP(E858,Map!$B:$F,4,0),"")&amp;IFERROR(VLOOKUP(E858,Map!$B:$F,5,0),"")</f>
        <v/>
      </c>
      <c r="E858" s="574" t="str">
        <f t="shared" si="33"/>
        <v/>
      </c>
    </row>
    <row r="859" spans="2:5">
      <c r="B859" s="571" t="str">
        <f>IF(F859="","",(SUMIF(INTGRATE!$Y:$Y,data!D859,INTGRATE!$L:$L)+SUMIF(BRAN!$V:$V,data!D859,BRAN!$J:$J)))</f>
        <v/>
      </c>
      <c r="C859" s="572" t="str">
        <f t="shared" si="34"/>
        <v/>
      </c>
      <c r="D859" s="573" t="str">
        <f>IFERROR(VLOOKUP(E859,Map!$B:$F,4,0),"")&amp;IFERROR(VLOOKUP(E859,Map!$B:$F,5,0),"")</f>
        <v/>
      </c>
      <c r="E859" s="574" t="str">
        <f t="shared" si="33"/>
        <v/>
      </c>
    </row>
    <row r="860" spans="2:5">
      <c r="B860" s="571" t="str">
        <f>IF(F860="","",(SUMIF(INTGRATE!$Y:$Y,data!D860,INTGRATE!$L:$L)+SUMIF(BRAN!$V:$V,data!D860,BRAN!$J:$J)))</f>
        <v/>
      </c>
      <c r="C860" s="572" t="str">
        <f t="shared" si="34"/>
        <v/>
      </c>
      <c r="D860" s="573" t="str">
        <f>IFERROR(VLOOKUP(E860,Map!$B:$F,4,0),"")&amp;IFERROR(VLOOKUP(E860,Map!$B:$F,5,0),"")</f>
        <v/>
      </c>
      <c r="E860" s="574" t="str">
        <f t="shared" si="33"/>
        <v/>
      </c>
    </row>
    <row r="861" spans="2:5">
      <c r="B861" s="571" t="str">
        <f>IF(F861="","",(SUMIF(INTGRATE!$Y:$Y,data!D861,INTGRATE!$L:$L)+SUMIF(BRAN!$V:$V,data!D861,BRAN!$J:$J)))</f>
        <v/>
      </c>
      <c r="C861" s="572" t="str">
        <f t="shared" si="34"/>
        <v/>
      </c>
      <c r="D861" s="573" t="str">
        <f>IFERROR(VLOOKUP(E861,Map!$B:$F,4,0),"")&amp;IFERROR(VLOOKUP(E861,Map!$B:$F,5,0),"")</f>
        <v/>
      </c>
      <c r="E861" s="574" t="str">
        <f t="shared" si="33"/>
        <v/>
      </c>
    </row>
    <row r="862" spans="2:5">
      <c r="B862" s="571" t="str">
        <f>IF(F862="","",(SUMIF(INTGRATE!$Y:$Y,data!D862,INTGRATE!$L:$L)+SUMIF(BRAN!$V:$V,data!D862,BRAN!$J:$J)))</f>
        <v/>
      </c>
      <c r="C862" s="572" t="str">
        <f t="shared" si="34"/>
        <v/>
      </c>
      <c r="D862" s="573" t="str">
        <f>IFERROR(VLOOKUP(E862,Map!$B:$F,4,0),"")&amp;IFERROR(VLOOKUP(E862,Map!$B:$F,5,0),"")</f>
        <v/>
      </c>
      <c r="E862" s="574" t="str">
        <f t="shared" si="33"/>
        <v/>
      </c>
    </row>
    <row r="863" spans="2:5">
      <c r="B863" s="571" t="str">
        <f>IF(F863="","",(SUMIF(INTGRATE!$Y:$Y,data!D863,INTGRATE!$L:$L)+SUMIF(BRAN!$V:$V,data!D863,BRAN!$J:$J)))</f>
        <v/>
      </c>
      <c r="C863" s="572" t="str">
        <f t="shared" si="34"/>
        <v/>
      </c>
      <c r="D863" s="573" t="str">
        <f>IFERROR(VLOOKUP(E863,Map!$B:$F,4,0),"")&amp;IFERROR(VLOOKUP(E863,Map!$B:$F,5,0),"")</f>
        <v/>
      </c>
      <c r="E863" s="574" t="str">
        <f t="shared" si="33"/>
        <v/>
      </c>
    </row>
    <row r="864" spans="2:5">
      <c r="B864" s="571" t="str">
        <f>IF(F864="","",(SUMIF(INTGRATE!$Y:$Y,data!D864,INTGRATE!$L:$L)+SUMIF(BRAN!$V:$V,data!D864,BRAN!$J:$J)))</f>
        <v/>
      </c>
      <c r="C864" s="572" t="str">
        <f t="shared" si="34"/>
        <v/>
      </c>
      <c r="D864" s="573" t="str">
        <f>IFERROR(VLOOKUP(E864,Map!$B:$F,4,0),"")&amp;IFERROR(VLOOKUP(E864,Map!$B:$F,5,0),"")</f>
        <v/>
      </c>
      <c r="E864" s="574" t="str">
        <f t="shared" ref="E864:E927" si="35">IF(MID(F864,10,2)="99",F864&amp;H864,LEFT(F864,14))</f>
        <v/>
      </c>
    </row>
    <row r="865" spans="2:5">
      <c r="B865" s="571" t="str">
        <f>IF(F865="","",(SUMIF(INTGRATE!$Y:$Y,data!D865,INTGRATE!$L:$L)+SUMIF(BRAN!$V:$V,data!D865,BRAN!$J:$J)))</f>
        <v/>
      </c>
      <c r="C865" s="572" t="str">
        <f t="shared" si="34"/>
        <v/>
      </c>
      <c r="D865" s="573" t="str">
        <f>IFERROR(VLOOKUP(E865,Map!$B:$F,4,0),"")&amp;IFERROR(VLOOKUP(E865,Map!$B:$F,5,0),"")</f>
        <v/>
      </c>
      <c r="E865" s="574" t="str">
        <f t="shared" si="35"/>
        <v/>
      </c>
    </row>
    <row r="866" spans="2:5">
      <c r="B866" s="571" t="str">
        <f>IF(F866="","",(SUMIF(INTGRATE!$Y:$Y,data!D866,INTGRATE!$L:$L)+SUMIF(BRAN!$V:$V,data!D866,BRAN!$J:$J)))</f>
        <v/>
      </c>
      <c r="C866" s="572" t="str">
        <f t="shared" si="34"/>
        <v/>
      </c>
      <c r="D866" s="573" t="str">
        <f>IFERROR(VLOOKUP(E866,Map!$B:$F,4,0),"")&amp;IFERROR(VLOOKUP(E866,Map!$B:$F,5,0),"")</f>
        <v/>
      </c>
      <c r="E866" s="574" t="str">
        <f t="shared" si="35"/>
        <v/>
      </c>
    </row>
    <row r="867" spans="2:5">
      <c r="B867" s="571" t="str">
        <f>IF(F867="","",(SUMIF(INTGRATE!$Y:$Y,data!D867,INTGRATE!$L:$L)+SUMIF(BRAN!$V:$V,data!D867,BRAN!$J:$J)))</f>
        <v/>
      </c>
      <c r="C867" s="572" t="str">
        <f t="shared" si="34"/>
        <v/>
      </c>
      <c r="D867" s="573" t="str">
        <f>IFERROR(VLOOKUP(E867,Map!$B:$F,4,0),"")&amp;IFERROR(VLOOKUP(E867,Map!$B:$F,5,0),"")</f>
        <v/>
      </c>
      <c r="E867" s="574" t="str">
        <f t="shared" si="35"/>
        <v/>
      </c>
    </row>
    <row r="868" spans="2:5">
      <c r="B868" s="571" t="str">
        <f>IF(F868="","",(SUMIF(INTGRATE!$Y:$Y,data!D868,INTGRATE!$L:$L)+SUMIF(BRAN!$V:$V,data!D868,BRAN!$J:$J)))</f>
        <v/>
      </c>
      <c r="C868" s="572" t="str">
        <f t="shared" si="34"/>
        <v/>
      </c>
      <c r="D868" s="573" t="str">
        <f>IFERROR(VLOOKUP(E868,Map!$B:$F,4,0),"")&amp;IFERROR(VLOOKUP(E868,Map!$B:$F,5,0),"")</f>
        <v/>
      </c>
      <c r="E868" s="574" t="str">
        <f t="shared" si="35"/>
        <v/>
      </c>
    </row>
    <row r="869" spans="2:5">
      <c r="B869" s="571" t="str">
        <f>IF(F869="","",(SUMIF(INTGRATE!$Y:$Y,data!D869,INTGRATE!$L:$L)+SUMIF(BRAN!$V:$V,data!D869,BRAN!$J:$J)))</f>
        <v/>
      </c>
      <c r="C869" s="572" t="str">
        <f t="shared" si="34"/>
        <v/>
      </c>
      <c r="D869" s="573" t="str">
        <f>IFERROR(VLOOKUP(E869,Map!$B:$F,4,0),"")&amp;IFERROR(VLOOKUP(E869,Map!$B:$F,5,0),"")</f>
        <v/>
      </c>
      <c r="E869" s="574" t="str">
        <f t="shared" si="35"/>
        <v/>
      </c>
    </row>
    <row r="870" spans="2:5">
      <c r="B870" s="571" t="str">
        <f>IF(F870="","",(SUMIF(INTGRATE!$Y:$Y,data!D870,INTGRATE!$L:$L)+SUMIF(BRAN!$V:$V,data!D870,BRAN!$J:$J)))</f>
        <v/>
      </c>
      <c r="C870" s="572" t="str">
        <f t="shared" si="34"/>
        <v/>
      </c>
      <c r="D870" s="573" t="str">
        <f>IFERROR(VLOOKUP(E870,Map!$B:$F,4,0),"")&amp;IFERROR(VLOOKUP(E870,Map!$B:$F,5,0),"")</f>
        <v/>
      </c>
      <c r="E870" s="574" t="str">
        <f t="shared" si="35"/>
        <v/>
      </c>
    </row>
    <row r="871" spans="2:5">
      <c r="B871" s="571" t="str">
        <f>IF(F871="","",(SUMIF(INTGRATE!$Y:$Y,data!D871,INTGRATE!$L:$L)+SUMIF(BRAN!$V:$V,data!D871,BRAN!$J:$J)))</f>
        <v/>
      </c>
      <c r="C871" s="572" t="str">
        <f t="shared" si="34"/>
        <v/>
      </c>
      <c r="D871" s="573" t="str">
        <f>IFERROR(VLOOKUP(E871,Map!$B:$F,4,0),"")&amp;IFERROR(VLOOKUP(E871,Map!$B:$F,5,0),"")</f>
        <v/>
      </c>
      <c r="E871" s="574" t="str">
        <f t="shared" si="35"/>
        <v/>
      </c>
    </row>
    <row r="872" spans="2:5">
      <c r="B872" s="571" t="str">
        <f>IF(F872="","",(SUMIF(INTGRATE!$Y:$Y,data!D872,INTGRATE!$L:$L)+SUMIF(BRAN!$V:$V,data!D872,BRAN!$J:$J)))</f>
        <v/>
      </c>
      <c r="C872" s="572" t="str">
        <f t="shared" si="34"/>
        <v/>
      </c>
      <c r="D872" s="573" t="str">
        <f>IFERROR(VLOOKUP(E872,Map!$B:$F,4,0),"")&amp;IFERROR(VLOOKUP(E872,Map!$B:$F,5,0),"")</f>
        <v/>
      </c>
      <c r="E872" s="574" t="str">
        <f t="shared" si="35"/>
        <v/>
      </c>
    </row>
    <row r="873" spans="2:5">
      <c r="B873" s="571" t="str">
        <f>IF(F873="","",(SUMIF(INTGRATE!$Y:$Y,data!D873,INTGRATE!$L:$L)+SUMIF(BRAN!$V:$V,data!D873,BRAN!$J:$J)))</f>
        <v/>
      </c>
      <c r="C873" s="572" t="str">
        <f t="shared" si="34"/>
        <v/>
      </c>
      <c r="D873" s="573" t="str">
        <f>IFERROR(VLOOKUP(E873,Map!$B:$F,4,0),"")&amp;IFERROR(VLOOKUP(E873,Map!$B:$F,5,0),"")</f>
        <v/>
      </c>
      <c r="E873" s="574" t="str">
        <f t="shared" si="35"/>
        <v/>
      </c>
    </row>
    <row r="874" spans="2:5">
      <c r="B874" s="571" t="str">
        <f>IF(F874="","",(SUMIF(INTGRATE!$Y:$Y,data!D874,INTGRATE!$L:$L)+SUMIF(BRAN!$V:$V,data!D874,BRAN!$J:$J)))</f>
        <v/>
      </c>
      <c r="C874" s="572" t="str">
        <f t="shared" si="34"/>
        <v/>
      </c>
      <c r="D874" s="573" t="str">
        <f>IFERROR(VLOOKUP(E874,Map!$B:$F,4,0),"")&amp;IFERROR(VLOOKUP(E874,Map!$B:$F,5,0),"")</f>
        <v/>
      </c>
      <c r="E874" s="574" t="str">
        <f t="shared" si="35"/>
        <v/>
      </c>
    </row>
    <row r="875" spans="2:5">
      <c r="B875" s="571" t="str">
        <f>IF(F875="","",(SUMIF(INTGRATE!$Y:$Y,data!D875,INTGRATE!$L:$L)+SUMIF(BRAN!$V:$V,data!D875,BRAN!$J:$J)))</f>
        <v/>
      </c>
      <c r="C875" s="572" t="str">
        <f t="shared" si="34"/>
        <v/>
      </c>
      <c r="D875" s="573" t="str">
        <f>IFERROR(VLOOKUP(E875,Map!$B:$F,4,0),"")&amp;IFERROR(VLOOKUP(E875,Map!$B:$F,5,0),"")</f>
        <v/>
      </c>
      <c r="E875" s="574" t="str">
        <f t="shared" si="35"/>
        <v/>
      </c>
    </row>
    <row r="876" spans="2:5">
      <c r="B876" s="571" t="str">
        <f>IF(F876="","",(SUMIF(INTGRATE!$Y:$Y,data!D876,INTGRATE!$L:$L)+SUMIF(BRAN!$V:$V,data!D876,BRAN!$J:$J)))</f>
        <v/>
      </c>
      <c r="C876" s="572" t="str">
        <f t="shared" si="34"/>
        <v/>
      </c>
      <c r="D876" s="573" t="str">
        <f>IFERROR(VLOOKUP(E876,Map!$B:$F,4,0),"")&amp;IFERROR(VLOOKUP(E876,Map!$B:$F,5,0),"")</f>
        <v/>
      </c>
      <c r="E876" s="574" t="str">
        <f t="shared" si="35"/>
        <v/>
      </c>
    </row>
    <row r="877" spans="2:5">
      <c r="B877" s="571" t="str">
        <f>IF(F877="","",(SUMIF(INTGRATE!$Y:$Y,data!D877,INTGRATE!$L:$L)+SUMIF(BRAN!$V:$V,data!D877,BRAN!$J:$J)))</f>
        <v/>
      </c>
      <c r="C877" s="572" t="str">
        <f t="shared" si="34"/>
        <v/>
      </c>
      <c r="D877" s="573" t="str">
        <f>IFERROR(VLOOKUP(E877,Map!$B:$F,4,0),"")&amp;IFERROR(VLOOKUP(E877,Map!$B:$F,5,0),"")</f>
        <v/>
      </c>
      <c r="E877" s="574" t="str">
        <f t="shared" si="35"/>
        <v/>
      </c>
    </row>
    <row r="878" spans="2:5">
      <c r="B878" s="571" t="str">
        <f>IF(F878="","",(SUMIF(INTGRATE!$Y:$Y,data!D878,INTGRATE!$L:$L)+SUMIF(BRAN!$V:$V,data!D878,BRAN!$J:$J)))</f>
        <v/>
      </c>
      <c r="C878" s="572" t="str">
        <f t="shared" si="34"/>
        <v/>
      </c>
      <c r="D878" s="573" t="str">
        <f>IFERROR(VLOOKUP(E878,Map!$B:$F,4,0),"")&amp;IFERROR(VLOOKUP(E878,Map!$B:$F,5,0),"")</f>
        <v/>
      </c>
      <c r="E878" s="574" t="str">
        <f t="shared" si="35"/>
        <v/>
      </c>
    </row>
    <row r="879" spans="2:5">
      <c r="B879" s="571" t="str">
        <f>IF(F879="","",(SUMIF(INTGRATE!$Y:$Y,data!D879,INTGRATE!$L:$L)+SUMIF(BRAN!$V:$V,data!D879,BRAN!$J:$J)))</f>
        <v/>
      </c>
      <c r="C879" s="572" t="str">
        <f t="shared" si="34"/>
        <v/>
      </c>
      <c r="D879" s="573" t="str">
        <f>IFERROR(VLOOKUP(E879,Map!$B:$F,4,0),"")&amp;IFERROR(VLOOKUP(E879,Map!$B:$F,5,0),"")</f>
        <v/>
      </c>
      <c r="E879" s="574" t="str">
        <f t="shared" si="35"/>
        <v/>
      </c>
    </row>
    <row r="880" spans="2:5">
      <c r="B880" s="571" t="str">
        <f>IF(F880="","",(SUMIF(INTGRATE!$Y:$Y,data!D880,INTGRATE!$L:$L)+SUMIF(BRAN!$V:$V,data!D880,BRAN!$J:$J)))</f>
        <v/>
      </c>
      <c r="C880" s="572" t="str">
        <f t="shared" si="34"/>
        <v/>
      </c>
      <c r="D880" s="573" t="str">
        <f>IFERROR(VLOOKUP(E880,Map!$B:$F,4,0),"")&amp;IFERROR(VLOOKUP(E880,Map!$B:$F,5,0),"")</f>
        <v/>
      </c>
      <c r="E880" s="574" t="str">
        <f t="shared" si="35"/>
        <v/>
      </c>
    </row>
    <row r="881" spans="2:5">
      <c r="B881" s="571" t="str">
        <f>IF(F881="","",(SUMIF(INTGRATE!$Y:$Y,data!D881,INTGRATE!$L:$L)+SUMIF(BRAN!$V:$V,data!D881,BRAN!$J:$J)))</f>
        <v/>
      </c>
      <c r="C881" s="572" t="str">
        <f t="shared" si="34"/>
        <v/>
      </c>
      <c r="D881" s="573" t="str">
        <f>IFERROR(VLOOKUP(E881,Map!$B:$F,4,0),"")&amp;IFERROR(VLOOKUP(E881,Map!$B:$F,5,0),"")</f>
        <v/>
      </c>
      <c r="E881" s="574" t="str">
        <f t="shared" si="35"/>
        <v/>
      </c>
    </row>
    <row r="882" spans="2:5">
      <c r="B882" s="571" t="str">
        <f>IF(F882="","",(SUMIF(INTGRATE!$Y:$Y,data!D882,INTGRATE!$L:$L)+SUMIF(BRAN!$V:$V,data!D882,BRAN!$J:$J)))</f>
        <v/>
      </c>
      <c r="C882" s="572" t="str">
        <f t="shared" si="34"/>
        <v/>
      </c>
      <c r="D882" s="573" t="str">
        <f>IFERROR(VLOOKUP(E882,Map!$B:$F,4,0),"")&amp;IFERROR(VLOOKUP(E882,Map!$B:$F,5,0),"")</f>
        <v/>
      </c>
      <c r="E882" s="574" t="str">
        <f t="shared" si="35"/>
        <v/>
      </c>
    </row>
    <row r="883" spans="2:5">
      <c r="B883" s="571" t="str">
        <f>IF(F883="","",(SUMIF(INTGRATE!$Y:$Y,data!D883,INTGRATE!$L:$L)+SUMIF(BRAN!$V:$V,data!D883,BRAN!$J:$J)))</f>
        <v/>
      </c>
      <c r="C883" s="572" t="str">
        <f t="shared" si="34"/>
        <v/>
      </c>
      <c r="D883" s="573" t="str">
        <f>IFERROR(VLOOKUP(E883,Map!$B:$F,4,0),"")&amp;IFERROR(VLOOKUP(E883,Map!$B:$F,5,0),"")</f>
        <v/>
      </c>
      <c r="E883" s="574" t="str">
        <f t="shared" si="35"/>
        <v/>
      </c>
    </row>
    <row r="884" spans="2:5">
      <c r="B884" s="571" t="str">
        <f>IF(F884="","",(SUMIF(INTGRATE!$Y:$Y,data!D884,INTGRATE!$L:$L)+SUMIF(BRAN!$V:$V,data!D884,BRAN!$J:$J)))</f>
        <v/>
      </c>
      <c r="C884" s="572" t="str">
        <f t="shared" si="34"/>
        <v/>
      </c>
      <c r="D884" s="573" t="str">
        <f>IFERROR(VLOOKUP(E884,Map!$B:$F,4,0),"")&amp;IFERROR(VLOOKUP(E884,Map!$B:$F,5,0),"")</f>
        <v/>
      </c>
      <c r="E884" s="574" t="str">
        <f t="shared" si="35"/>
        <v/>
      </c>
    </row>
    <row r="885" spans="2:5">
      <c r="B885" s="571" t="str">
        <f>IF(F885="","",(SUMIF(INTGRATE!$Y:$Y,data!D885,INTGRATE!$L:$L)+SUMIF(BRAN!$V:$V,data!D885,BRAN!$J:$J)))</f>
        <v/>
      </c>
      <c r="C885" s="572" t="str">
        <f t="shared" si="34"/>
        <v/>
      </c>
      <c r="D885" s="573" t="str">
        <f>IFERROR(VLOOKUP(E885,Map!$B:$F,4,0),"")&amp;IFERROR(VLOOKUP(E885,Map!$B:$F,5,0),"")</f>
        <v/>
      </c>
      <c r="E885" s="574" t="str">
        <f t="shared" si="35"/>
        <v/>
      </c>
    </row>
    <row r="886" spans="2:5">
      <c r="B886" s="571" t="str">
        <f>IF(F886="","",(SUMIF(INTGRATE!$Y:$Y,data!D886,INTGRATE!$L:$L)+SUMIF(BRAN!$V:$V,data!D886,BRAN!$J:$J)))</f>
        <v/>
      </c>
      <c r="C886" s="572" t="str">
        <f t="shared" si="34"/>
        <v/>
      </c>
      <c r="D886" s="573" t="str">
        <f>IFERROR(VLOOKUP(E886,Map!$B:$F,4,0),"")&amp;IFERROR(VLOOKUP(E886,Map!$B:$F,5,0),"")</f>
        <v/>
      </c>
      <c r="E886" s="574" t="str">
        <f t="shared" si="35"/>
        <v/>
      </c>
    </row>
    <row r="887" spans="2:5">
      <c r="B887" s="571" t="str">
        <f>IF(F887="","",(SUMIF(INTGRATE!$Y:$Y,data!D887,INTGRATE!$L:$L)+SUMIF(BRAN!$V:$V,data!D887,BRAN!$J:$J)))</f>
        <v/>
      </c>
      <c r="C887" s="572" t="str">
        <f t="shared" si="34"/>
        <v/>
      </c>
      <c r="D887" s="573" t="str">
        <f>IFERROR(VLOOKUP(E887,Map!$B:$F,4,0),"")&amp;IFERROR(VLOOKUP(E887,Map!$B:$F,5,0),"")</f>
        <v/>
      </c>
      <c r="E887" s="574" t="str">
        <f t="shared" si="35"/>
        <v/>
      </c>
    </row>
    <row r="888" spans="2:5">
      <c r="B888" s="571" t="str">
        <f>IF(F888="","",(SUMIF(INTGRATE!$Y:$Y,data!D888,INTGRATE!$L:$L)+SUMIF(BRAN!$V:$V,data!D888,BRAN!$J:$J)))</f>
        <v/>
      </c>
      <c r="C888" s="572" t="str">
        <f t="shared" si="34"/>
        <v/>
      </c>
      <c r="D888" s="573" t="str">
        <f>IFERROR(VLOOKUP(E888,Map!$B:$F,4,0),"")&amp;IFERROR(VLOOKUP(E888,Map!$B:$F,5,0),"")</f>
        <v/>
      </c>
      <c r="E888" s="574" t="str">
        <f t="shared" si="35"/>
        <v/>
      </c>
    </row>
    <row r="889" spans="2:5">
      <c r="B889" s="571" t="str">
        <f>IF(F889="","",(SUMIF(INTGRATE!$Y:$Y,data!D889,INTGRATE!$L:$L)+SUMIF(BRAN!$V:$V,data!D889,BRAN!$J:$J)))</f>
        <v/>
      </c>
      <c r="C889" s="572" t="str">
        <f t="shared" si="34"/>
        <v/>
      </c>
      <c r="D889" s="573" t="str">
        <f>IFERROR(VLOOKUP(E889,Map!$B:$F,4,0),"")&amp;IFERROR(VLOOKUP(E889,Map!$B:$F,5,0),"")</f>
        <v/>
      </c>
      <c r="E889" s="574" t="str">
        <f t="shared" si="35"/>
        <v/>
      </c>
    </row>
    <row r="890" spans="2:5">
      <c r="B890" s="571" t="str">
        <f>IF(F890="","",(SUMIF(INTGRATE!$Y:$Y,data!D890,INTGRATE!$L:$L)+SUMIF(BRAN!$V:$V,data!D890,BRAN!$J:$J)))</f>
        <v/>
      </c>
      <c r="C890" s="572" t="str">
        <f t="shared" si="34"/>
        <v/>
      </c>
      <c r="D890" s="573" t="str">
        <f>IFERROR(VLOOKUP(E890,Map!$B:$F,4,0),"")&amp;IFERROR(VLOOKUP(E890,Map!$B:$F,5,0),"")</f>
        <v/>
      </c>
      <c r="E890" s="574" t="str">
        <f t="shared" si="35"/>
        <v/>
      </c>
    </row>
    <row r="891" spans="2:5">
      <c r="B891" s="571" t="str">
        <f>IF(F891="","",(SUMIF(INTGRATE!$Y:$Y,data!D891,INTGRATE!$L:$L)+SUMIF(BRAN!$V:$V,data!D891,BRAN!$J:$J)))</f>
        <v/>
      </c>
      <c r="C891" s="572" t="str">
        <f t="shared" si="34"/>
        <v/>
      </c>
      <c r="D891" s="573" t="str">
        <f>IFERROR(VLOOKUP(E891,Map!$B:$F,4,0),"")&amp;IFERROR(VLOOKUP(E891,Map!$B:$F,5,0),"")</f>
        <v/>
      </c>
      <c r="E891" s="574" t="str">
        <f t="shared" si="35"/>
        <v/>
      </c>
    </row>
    <row r="892" spans="2:5">
      <c r="B892" s="571" t="str">
        <f>IF(F892="","",(SUMIF(INTGRATE!$Y:$Y,data!D892,INTGRATE!$L:$L)+SUMIF(BRAN!$V:$V,data!D892,BRAN!$J:$J)))</f>
        <v/>
      </c>
      <c r="C892" s="572" t="str">
        <f t="shared" si="34"/>
        <v/>
      </c>
      <c r="D892" s="573" t="str">
        <f>IFERROR(VLOOKUP(E892,Map!$B:$F,4,0),"")&amp;IFERROR(VLOOKUP(E892,Map!$B:$F,5,0),"")</f>
        <v/>
      </c>
      <c r="E892" s="574" t="str">
        <f t="shared" si="35"/>
        <v/>
      </c>
    </row>
    <row r="893" spans="2:5">
      <c r="B893" s="571" t="str">
        <f>IF(F893="","",(SUMIF(INTGRATE!$Y:$Y,data!D893,INTGRATE!$L:$L)+SUMIF(BRAN!$V:$V,data!D893,BRAN!$J:$J)))</f>
        <v/>
      </c>
      <c r="C893" s="572" t="str">
        <f t="shared" si="34"/>
        <v/>
      </c>
      <c r="D893" s="573" t="str">
        <f>IFERROR(VLOOKUP(E893,Map!$B:$F,4,0),"")&amp;IFERROR(VLOOKUP(E893,Map!$B:$F,5,0),"")</f>
        <v/>
      </c>
      <c r="E893" s="574" t="str">
        <f t="shared" si="35"/>
        <v/>
      </c>
    </row>
    <row r="894" spans="2:5">
      <c r="B894" s="571" t="str">
        <f>IF(F894="","",(SUMIF(INTGRATE!$Y:$Y,data!D894,INTGRATE!$L:$L)+SUMIF(BRAN!$V:$V,data!D894,BRAN!$J:$J)))</f>
        <v/>
      </c>
      <c r="C894" s="572" t="str">
        <f t="shared" si="34"/>
        <v/>
      </c>
      <c r="D894" s="573" t="str">
        <f>IFERROR(VLOOKUP(E894,Map!$B:$F,4,0),"")&amp;IFERROR(VLOOKUP(E894,Map!$B:$F,5,0),"")</f>
        <v/>
      </c>
      <c r="E894" s="574" t="str">
        <f t="shared" si="35"/>
        <v/>
      </c>
    </row>
    <row r="895" spans="2:5">
      <c r="B895" s="571" t="str">
        <f>IF(F895="","",(SUMIF(INTGRATE!$Y:$Y,data!D895,INTGRATE!$L:$L)+SUMIF(BRAN!$V:$V,data!D895,BRAN!$J:$J)))</f>
        <v/>
      </c>
      <c r="C895" s="572" t="str">
        <f t="shared" ref="C895:C958" si="36">IF(F895="","",B895-K895)</f>
        <v/>
      </c>
      <c r="D895" s="573" t="str">
        <f>IFERROR(VLOOKUP(E895,Map!$B:$F,4,0),"")&amp;IFERROR(VLOOKUP(E895,Map!$B:$F,5,0),"")</f>
        <v/>
      </c>
      <c r="E895" s="574" t="str">
        <f t="shared" si="35"/>
        <v/>
      </c>
    </row>
    <row r="896" spans="2:5">
      <c r="B896" s="571" t="str">
        <f>IF(F896="","",(SUMIF(INTGRATE!$Y:$Y,data!D896,INTGRATE!$L:$L)+SUMIF(BRAN!$V:$V,data!D896,BRAN!$J:$J)))</f>
        <v/>
      </c>
      <c r="C896" s="572" t="str">
        <f t="shared" si="36"/>
        <v/>
      </c>
      <c r="D896" s="573" t="str">
        <f>IFERROR(VLOOKUP(E896,Map!$B:$F,4,0),"")&amp;IFERROR(VLOOKUP(E896,Map!$B:$F,5,0),"")</f>
        <v/>
      </c>
      <c r="E896" s="574" t="str">
        <f t="shared" si="35"/>
        <v/>
      </c>
    </row>
    <row r="897" spans="2:5">
      <c r="B897" s="571" t="str">
        <f>IF(F897="","",(SUMIF(INTGRATE!$Y:$Y,data!D897,INTGRATE!$L:$L)+SUMIF(BRAN!$V:$V,data!D897,BRAN!$J:$J)))</f>
        <v/>
      </c>
      <c r="C897" s="572" t="str">
        <f t="shared" si="36"/>
        <v/>
      </c>
      <c r="D897" s="573" t="str">
        <f>IFERROR(VLOOKUP(E897,Map!$B:$F,4,0),"")&amp;IFERROR(VLOOKUP(E897,Map!$B:$F,5,0),"")</f>
        <v/>
      </c>
      <c r="E897" s="574" t="str">
        <f t="shared" si="35"/>
        <v/>
      </c>
    </row>
    <row r="898" spans="2:5">
      <c r="B898" s="571" t="str">
        <f>IF(F898="","",(SUMIF(INTGRATE!$Y:$Y,data!D898,INTGRATE!$L:$L)+SUMIF(BRAN!$V:$V,data!D898,BRAN!$J:$J)))</f>
        <v/>
      </c>
      <c r="C898" s="572" t="str">
        <f t="shared" si="36"/>
        <v/>
      </c>
      <c r="D898" s="573" t="str">
        <f>IFERROR(VLOOKUP(E898,Map!$B:$F,4,0),"")&amp;IFERROR(VLOOKUP(E898,Map!$B:$F,5,0),"")</f>
        <v/>
      </c>
      <c r="E898" s="574" t="str">
        <f t="shared" si="35"/>
        <v/>
      </c>
    </row>
    <row r="899" spans="2:5">
      <c r="B899" s="571" t="str">
        <f>IF(F899="","",(SUMIF(INTGRATE!$Y:$Y,data!D899,INTGRATE!$L:$L)+SUMIF(BRAN!$V:$V,data!D899,BRAN!$J:$J)))</f>
        <v/>
      </c>
      <c r="C899" s="572" t="str">
        <f t="shared" si="36"/>
        <v/>
      </c>
      <c r="D899" s="573" t="str">
        <f>IFERROR(VLOOKUP(E899,Map!$B:$F,4,0),"")&amp;IFERROR(VLOOKUP(E899,Map!$B:$F,5,0),"")</f>
        <v/>
      </c>
      <c r="E899" s="574" t="str">
        <f t="shared" si="35"/>
        <v/>
      </c>
    </row>
    <row r="900" spans="2:5">
      <c r="B900" s="571" t="str">
        <f>IF(F900="","",(SUMIF(INTGRATE!$Y:$Y,data!D900,INTGRATE!$L:$L)+SUMIF(BRAN!$V:$V,data!D900,BRAN!$J:$J)))</f>
        <v/>
      </c>
      <c r="C900" s="572" t="str">
        <f t="shared" si="36"/>
        <v/>
      </c>
      <c r="D900" s="573" t="str">
        <f>IFERROR(VLOOKUP(E900,Map!$B:$F,4,0),"")&amp;IFERROR(VLOOKUP(E900,Map!$B:$F,5,0),"")</f>
        <v/>
      </c>
      <c r="E900" s="574" t="str">
        <f t="shared" si="35"/>
        <v/>
      </c>
    </row>
    <row r="901" spans="2:5">
      <c r="B901" s="571" t="str">
        <f>IF(F901="","",(SUMIF(INTGRATE!$Y:$Y,data!D901,INTGRATE!$L:$L)+SUMIF(BRAN!$V:$V,data!D901,BRAN!$J:$J)))</f>
        <v/>
      </c>
      <c r="C901" s="572" t="str">
        <f t="shared" si="36"/>
        <v/>
      </c>
      <c r="D901" s="573" t="str">
        <f>IFERROR(VLOOKUP(E901,Map!$B:$F,4,0),"")&amp;IFERROR(VLOOKUP(E901,Map!$B:$F,5,0),"")</f>
        <v/>
      </c>
      <c r="E901" s="574" t="str">
        <f t="shared" si="35"/>
        <v/>
      </c>
    </row>
    <row r="902" spans="2:5">
      <c r="B902" s="571" t="str">
        <f>IF(F902="","",(SUMIF(INTGRATE!$Y:$Y,data!D902,INTGRATE!$L:$L)+SUMIF(BRAN!$V:$V,data!D902,BRAN!$J:$J)))</f>
        <v/>
      </c>
      <c r="C902" s="572" t="str">
        <f t="shared" si="36"/>
        <v/>
      </c>
      <c r="D902" s="573" t="str">
        <f>IFERROR(VLOOKUP(E902,Map!$B:$F,4,0),"")&amp;IFERROR(VLOOKUP(E902,Map!$B:$F,5,0),"")</f>
        <v/>
      </c>
      <c r="E902" s="574" t="str">
        <f t="shared" si="35"/>
        <v/>
      </c>
    </row>
    <row r="903" spans="2:5">
      <c r="B903" s="571" t="str">
        <f>IF(F903="","",(SUMIF(INTGRATE!$Y:$Y,data!D903,INTGRATE!$L:$L)+SUMIF(BRAN!$V:$V,data!D903,BRAN!$J:$J)))</f>
        <v/>
      </c>
      <c r="C903" s="572" t="str">
        <f t="shared" si="36"/>
        <v/>
      </c>
      <c r="D903" s="573" t="str">
        <f>IFERROR(VLOOKUP(E903,Map!$B:$F,4,0),"")&amp;IFERROR(VLOOKUP(E903,Map!$B:$F,5,0),"")</f>
        <v/>
      </c>
      <c r="E903" s="574" t="str">
        <f t="shared" si="35"/>
        <v/>
      </c>
    </row>
    <row r="904" spans="2:5">
      <c r="B904" s="571" t="str">
        <f>IF(F904="","",(SUMIF(INTGRATE!$Y:$Y,data!D904,INTGRATE!$L:$L)+SUMIF(BRAN!$V:$V,data!D904,BRAN!$J:$J)))</f>
        <v/>
      </c>
      <c r="C904" s="572" t="str">
        <f t="shared" si="36"/>
        <v/>
      </c>
      <c r="D904" s="573" t="str">
        <f>IFERROR(VLOOKUP(E904,Map!$B:$F,4,0),"")&amp;IFERROR(VLOOKUP(E904,Map!$B:$F,5,0),"")</f>
        <v/>
      </c>
      <c r="E904" s="574" t="str">
        <f t="shared" si="35"/>
        <v/>
      </c>
    </row>
    <row r="905" spans="2:5">
      <c r="B905" s="571" t="str">
        <f>IF(F905="","",(SUMIF(INTGRATE!$Y:$Y,data!D905,INTGRATE!$L:$L)+SUMIF(BRAN!$V:$V,data!D905,BRAN!$J:$J)))</f>
        <v/>
      </c>
      <c r="C905" s="572" t="str">
        <f t="shared" si="36"/>
        <v/>
      </c>
      <c r="D905" s="573" t="str">
        <f>IFERROR(VLOOKUP(E905,Map!$B:$F,4,0),"")&amp;IFERROR(VLOOKUP(E905,Map!$B:$F,5,0),"")</f>
        <v/>
      </c>
      <c r="E905" s="574" t="str">
        <f t="shared" si="35"/>
        <v/>
      </c>
    </row>
    <row r="906" spans="2:5">
      <c r="B906" s="571" t="str">
        <f>IF(F906="","",(SUMIF(INTGRATE!$Y:$Y,data!D906,INTGRATE!$L:$L)+SUMIF(BRAN!$V:$V,data!D906,BRAN!$J:$J)))</f>
        <v/>
      </c>
      <c r="C906" s="572" t="str">
        <f t="shared" si="36"/>
        <v/>
      </c>
      <c r="D906" s="573" t="str">
        <f>IFERROR(VLOOKUP(E906,Map!$B:$F,4,0),"")&amp;IFERROR(VLOOKUP(E906,Map!$B:$F,5,0),"")</f>
        <v/>
      </c>
      <c r="E906" s="574" t="str">
        <f t="shared" si="35"/>
        <v/>
      </c>
    </row>
    <row r="907" spans="2:5">
      <c r="B907" s="571" t="str">
        <f>IF(F907="","",(SUMIF(INTGRATE!$Y:$Y,data!D907,INTGRATE!$L:$L)+SUMIF(BRAN!$V:$V,data!D907,BRAN!$J:$J)))</f>
        <v/>
      </c>
      <c r="C907" s="572" t="str">
        <f t="shared" si="36"/>
        <v/>
      </c>
      <c r="D907" s="573" t="str">
        <f>IFERROR(VLOOKUP(E907,Map!$B:$F,4,0),"")&amp;IFERROR(VLOOKUP(E907,Map!$B:$F,5,0),"")</f>
        <v/>
      </c>
      <c r="E907" s="574" t="str">
        <f t="shared" si="35"/>
        <v/>
      </c>
    </row>
    <row r="908" spans="2:5">
      <c r="B908" s="571" t="str">
        <f>IF(F908="","",(SUMIF(INTGRATE!$Y:$Y,data!D908,INTGRATE!$L:$L)+SUMIF(BRAN!$V:$V,data!D908,BRAN!$J:$J)))</f>
        <v/>
      </c>
      <c r="C908" s="572" t="str">
        <f t="shared" si="36"/>
        <v/>
      </c>
      <c r="D908" s="573" t="str">
        <f>IFERROR(VLOOKUP(E908,Map!$B:$F,4,0),"")&amp;IFERROR(VLOOKUP(E908,Map!$B:$F,5,0),"")</f>
        <v/>
      </c>
      <c r="E908" s="574" t="str">
        <f t="shared" si="35"/>
        <v/>
      </c>
    </row>
    <row r="909" spans="2:5">
      <c r="B909" s="571" t="str">
        <f>IF(F909="","",(SUMIF(INTGRATE!$Y:$Y,data!D909,INTGRATE!$L:$L)+SUMIF(BRAN!$V:$V,data!D909,BRAN!$J:$J)))</f>
        <v/>
      </c>
      <c r="C909" s="572" t="str">
        <f t="shared" si="36"/>
        <v/>
      </c>
      <c r="D909" s="573" t="str">
        <f>IFERROR(VLOOKUP(E909,Map!$B:$F,4,0),"")&amp;IFERROR(VLOOKUP(E909,Map!$B:$F,5,0),"")</f>
        <v/>
      </c>
      <c r="E909" s="574" t="str">
        <f t="shared" si="35"/>
        <v/>
      </c>
    </row>
    <row r="910" spans="2:5">
      <c r="B910" s="571" t="str">
        <f>IF(F910="","",(SUMIF(INTGRATE!$Y:$Y,data!D910,INTGRATE!$L:$L)+SUMIF(BRAN!$V:$V,data!D910,BRAN!$J:$J)))</f>
        <v/>
      </c>
      <c r="C910" s="572" t="str">
        <f t="shared" si="36"/>
        <v/>
      </c>
      <c r="D910" s="573" t="str">
        <f>IFERROR(VLOOKUP(E910,Map!$B:$F,4,0),"")&amp;IFERROR(VLOOKUP(E910,Map!$B:$F,5,0),"")</f>
        <v/>
      </c>
      <c r="E910" s="574" t="str">
        <f t="shared" si="35"/>
        <v/>
      </c>
    </row>
    <row r="911" spans="2:5">
      <c r="B911" s="571" t="str">
        <f>IF(F911="","",(SUMIF(INTGRATE!$Y:$Y,data!D911,INTGRATE!$L:$L)+SUMIF(BRAN!$V:$V,data!D911,BRAN!$J:$J)))</f>
        <v/>
      </c>
      <c r="C911" s="572" t="str">
        <f t="shared" si="36"/>
        <v/>
      </c>
      <c r="D911" s="573" t="str">
        <f>IFERROR(VLOOKUP(E911,Map!$B:$F,4,0),"")&amp;IFERROR(VLOOKUP(E911,Map!$B:$F,5,0),"")</f>
        <v/>
      </c>
      <c r="E911" s="574" t="str">
        <f t="shared" si="35"/>
        <v/>
      </c>
    </row>
    <row r="912" spans="2:5">
      <c r="B912" s="571" t="str">
        <f>IF(F912="","",(SUMIF(INTGRATE!$Y:$Y,data!D912,INTGRATE!$L:$L)+SUMIF(BRAN!$V:$V,data!D912,BRAN!$J:$J)))</f>
        <v/>
      </c>
      <c r="C912" s="572" t="str">
        <f t="shared" si="36"/>
        <v/>
      </c>
      <c r="D912" s="573" t="str">
        <f>IFERROR(VLOOKUP(E912,Map!$B:$F,4,0),"")&amp;IFERROR(VLOOKUP(E912,Map!$B:$F,5,0),"")</f>
        <v/>
      </c>
      <c r="E912" s="574" t="str">
        <f t="shared" si="35"/>
        <v/>
      </c>
    </row>
    <row r="913" spans="2:5">
      <c r="B913" s="571" t="str">
        <f>IF(F913="","",(SUMIF(INTGRATE!$Y:$Y,data!D913,INTGRATE!$L:$L)+SUMIF(BRAN!$V:$V,data!D913,BRAN!$J:$J)))</f>
        <v/>
      </c>
      <c r="C913" s="572" t="str">
        <f t="shared" si="36"/>
        <v/>
      </c>
      <c r="D913" s="573" t="str">
        <f>IFERROR(VLOOKUP(E913,Map!$B:$F,4,0),"")&amp;IFERROR(VLOOKUP(E913,Map!$B:$F,5,0),"")</f>
        <v/>
      </c>
      <c r="E913" s="574" t="str">
        <f t="shared" si="35"/>
        <v/>
      </c>
    </row>
    <row r="914" spans="2:5">
      <c r="B914" s="571" t="str">
        <f>IF(F914="","",(SUMIF(INTGRATE!$Y:$Y,data!D914,INTGRATE!$L:$L)+SUMIF(BRAN!$V:$V,data!D914,BRAN!$J:$J)))</f>
        <v/>
      </c>
      <c r="C914" s="572" t="str">
        <f t="shared" si="36"/>
        <v/>
      </c>
      <c r="D914" s="573" t="str">
        <f>IFERROR(VLOOKUP(E914,Map!$B:$F,4,0),"")&amp;IFERROR(VLOOKUP(E914,Map!$B:$F,5,0),"")</f>
        <v/>
      </c>
      <c r="E914" s="574" t="str">
        <f t="shared" si="35"/>
        <v/>
      </c>
    </row>
    <row r="915" spans="2:5">
      <c r="B915" s="571" t="str">
        <f>IF(F915="","",(SUMIF(INTGRATE!$Y:$Y,data!D915,INTGRATE!$L:$L)+SUMIF(BRAN!$V:$V,data!D915,BRAN!$J:$J)))</f>
        <v/>
      </c>
      <c r="C915" s="572" t="str">
        <f t="shared" si="36"/>
        <v/>
      </c>
      <c r="D915" s="573" t="str">
        <f>IFERROR(VLOOKUP(E915,Map!$B:$F,4,0),"")&amp;IFERROR(VLOOKUP(E915,Map!$B:$F,5,0),"")</f>
        <v/>
      </c>
      <c r="E915" s="574" t="str">
        <f t="shared" si="35"/>
        <v/>
      </c>
    </row>
    <row r="916" spans="2:5">
      <c r="B916" s="571" t="str">
        <f>IF(F916="","",(SUMIF(INTGRATE!$Y:$Y,data!D916,INTGRATE!$L:$L)+SUMIF(BRAN!$V:$V,data!D916,BRAN!$J:$J)))</f>
        <v/>
      </c>
      <c r="C916" s="572" t="str">
        <f t="shared" si="36"/>
        <v/>
      </c>
      <c r="D916" s="573" t="str">
        <f>IFERROR(VLOOKUP(E916,Map!$B:$F,4,0),"")&amp;IFERROR(VLOOKUP(E916,Map!$B:$F,5,0),"")</f>
        <v/>
      </c>
      <c r="E916" s="574" t="str">
        <f t="shared" si="35"/>
        <v/>
      </c>
    </row>
    <row r="917" spans="2:5">
      <c r="B917" s="571" t="str">
        <f>IF(F917="","",(SUMIF(INTGRATE!$Y:$Y,data!D917,INTGRATE!$L:$L)+SUMIF(BRAN!$V:$V,data!D917,BRAN!$J:$J)))</f>
        <v/>
      </c>
      <c r="C917" s="572" t="str">
        <f t="shared" si="36"/>
        <v/>
      </c>
      <c r="D917" s="573" t="str">
        <f>IFERROR(VLOOKUP(E917,Map!$B:$F,4,0),"")&amp;IFERROR(VLOOKUP(E917,Map!$B:$F,5,0),"")</f>
        <v/>
      </c>
      <c r="E917" s="574" t="str">
        <f t="shared" si="35"/>
        <v/>
      </c>
    </row>
    <row r="918" spans="2:5">
      <c r="B918" s="571" t="str">
        <f>IF(F918="","",(SUMIF(INTGRATE!$Y:$Y,data!D918,INTGRATE!$L:$L)+SUMIF(BRAN!$V:$V,data!D918,BRAN!$J:$J)))</f>
        <v/>
      </c>
      <c r="C918" s="572" t="str">
        <f t="shared" si="36"/>
        <v/>
      </c>
      <c r="D918" s="573" t="str">
        <f>IFERROR(VLOOKUP(E918,Map!$B:$F,4,0),"")&amp;IFERROR(VLOOKUP(E918,Map!$B:$F,5,0),"")</f>
        <v/>
      </c>
      <c r="E918" s="574" t="str">
        <f t="shared" si="35"/>
        <v/>
      </c>
    </row>
    <row r="919" spans="2:5">
      <c r="B919" s="571" t="str">
        <f>IF(F919="","",(SUMIF(INTGRATE!$Y:$Y,data!D919,INTGRATE!$L:$L)+SUMIF(BRAN!$V:$V,data!D919,BRAN!$J:$J)))</f>
        <v/>
      </c>
      <c r="C919" s="572" t="str">
        <f t="shared" si="36"/>
        <v/>
      </c>
      <c r="D919" s="573" t="str">
        <f>IFERROR(VLOOKUP(E919,Map!$B:$F,4,0),"")&amp;IFERROR(VLOOKUP(E919,Map!$B:$F,5,0),"")</f>
        <v/>
      </c>
      <c r="E919" s="574" t="str">
        <f t="shared" si="35"/>
        <v/>
      </c>
    </row>
    <row r="920" spans="2:5">
      <c r="B920" s="571" t="str">
        <f>IF(F920="","",(SUMIF(INTGRATE!$Y:$Y,data!D920,INTGRATE!$L:$L)+SUMIF(BRAN!$V:$V,data!D920,BRAN!$J:$J)))</f>
        <v/>
      </c>
      <c r="C920" s="572" t="str">
        <f t="shared" si="36"/>
        <v/>
      </c>
      <c r="D920" s="573" t="str">
        <f>IFERROR(VLOOKUP(E920,Map!$B:$F,4,0),"")&amp;IFERROR(VLOOKUP(E920,Map!$B:$F,5,0),"")</f>
        <v/>
      </c>
      <c r="E920" s="574" t="str">
        <f t="shared" si="35"/>
        <v/>
      </c>
    </row>
    <row r="921" spans="2:5">
      <c r="B921" s="571" t="str">
        <f>IF(F921="","",(SUMIF(INTGRATE!$Y:$Y,data!D921,INTGRATE!$L:$L)+SUMIF(BRAN!$V:$V,data!D921,BRAN!$J:$J)))</f>
        <v/>
      </c>
      <c r="C921" s="572" t="str">
        <f t="shared" si="36"/>
        <v/>
      </c>
      <c r="D921" s="573" t="str">
        <f>IFERROR(VLOOKUP(E921,Map!$B:$F,4,0),"")&amp;IFERROR(VLOOKUP(E921,Map!$B:$F,5,0),"")</f>
        <v/>
      </c>
      <c r="E921" s="574" t="str">
        <f t="shared" si="35"/>
        <v/>
      </c>
    </row>
    <row r="922" spans="2:5">
      <c r="B922" s="571" t="str">
        <f>IF(F922="","",(SUMIF(INTGRATE!$Y:$Y,data!D922,INTGRATE!$L:$L)+SUMIF(BRAN!$V:$V,data!D922,BRAN!$J:$J)))</f>
        <v/>
      </c>
      <c r="C922" s="572" t="str">
        <f t="shared" si="36"/>
        <v/>
      </c>
      <c r="D922" s="573" t="str">
        <f>IFERROR(VLOOKUP(E922,Map!$B:$F,4,0),"")&amp;IFERROR(VLOOKUP(E922,Map!$B:$F,5,0),"")</f>
        <v/>
      </c>
      <c r="E922" s="574" t="str">
        <f t="shared" si="35"/>
        <v/>
      </c>
    </row>
    <row r="923" spans="2:5">
      <c r="B923" s="571" t="str">
        <f>IF(F923="","",(SUMIF(INTGRATE!$Y:$Y,data!D923,INTGRATE!$L:$L)+SUMIF(BRAN!$V:$V,data!D923,BRAN!$J:$J)))</f>
        <v/>
      </c>
      <c r="C923" s="572" t="str">
        <f t="shared" si="36"/>
        <v/>
      </c>
      <c r="D923" s="573" t="str">
        <f>IFERROR(VLOOKUP(E923,Map!$B:$F,4,0),"")&amp;IFERROR(VLOOKUP(E923,Map!$B:$F,5,0),"")</f>
        <v/>
      </c>
      <c r="E923" s="574" t="str">
        <f t="shared" si="35"/>
        <v/>
      </c>
    </row>
    <row r="924" spans="2:5">
      <c r="B924" s="571" t="str">
        <f>IF(F924="","",(SUMIF(INTGRATE!$Y:$Y,data!D924,INTGRATE!$L:$L)+SUMIF(BRAN!$V:$V,data!D924,BRAN!$J:$J)))</f>
        <v/>
      </c>
      <c r="C924" s="572" t="str">
        <f t="shared" si="36"/>
        <v/>
      </c>
      <c r="D924" s="573" t="str">
        <f>IFERROR(VLOOKUP(E924,Map!$B:$F,4,0),"")&amp;IFERROR(VLOOKUP(E924,Map!$B:$F,5,0),"")</f>
        <v/>
      </c>
      <c r="E924" s="574" t="str">
        <f t="shared" si="35"/>
        <v/>
      </c>
    </row>
    <row r="925" spans="2:5">
      <c r="B925" s="571" t="str">
        <f>IF(F925="","",(SUMIF(INTGRATE!$Y:$Y,data!D925,INTGRATE!$L:$L)+SUMIF(BRAN!$V:$V,data!D925,BRAN!$J:$J)))</f>
        <v/>
      </c>
      <c r="C925" s="572" t="str">
        <f t="shared" si="36"/>
        <v/>
      </c>
      <c r="D925" s="573" t="str">
        <f>IFERROR(VLOOKUP(E925,Map!$B:$F,4,0),"")&amp;IFERROR(VLOOKUP(E925,Map!$B:$F,5,0),"")</f>
        <v/>
      </c>
      <c r="E925" s="574" t="str">
        <f t="shared" si="35"/>
        <v/>
      </c>
    </row>
    <row r="926" spans="2:5">
      <c r="B926" s="571" t="str">
        <f>IF(F926="","",(SUMIF(INTGRATE!$Y:$Y,data!D926,INTGRATE!$L:$L)+SUMIF(BRAN!$V:$V,data!D926,BRAN!$J:$J)))</f>
        <v/>
      </c>
      <c r="C926" s="572" t="str">
        <f t="shared" si="36"/>
        <v/>
      </c>
      <c r="D926" s="573" t="str">
        <f>IFERROR(VLOOKUP(E926,Map!$B:$F,4,0),"")&amp;IFERROR(VLOOKUP(E926,Map!$B:$F,5,0),"")</f>
        <v/>
      </c>
      <c r="E926" s="574" t="str">
        <f t="shared" si="35"/>
        <v/>
      </c>
    </row>
    <row r="927" spans="2:5">
      <c r="B927" s="571" t="str">
        <f>IF(F927="","",(SUMIF(INTGRATE!$Y:$Y,data!D927,INTGRATE!$L:$L)+SUMIF(BRAN!$V:$V,data!D927,BRAN!$J:$J)))</f>
        <v/>
      </c>
      <c r="C927" s="572" t="str">
        <f t="shared" si="36"/>
        <v/>
      </c>
      <c r="D927" s="573" t="str">
        <f>IFERROR(VLOOKUP(E927,Map!$B:$F,4,0),"")&amp;IFERROR(VLOOKUP(E927,Map!$B:$F,5,0),"")</f>
        <v/>
      </c>
      <c r="E927" s="574" t="str">
        <f t="shared" si="35"/>
        <v/>
      </c>
    </row>
    <row r="928" spans="2:5">
      <c r="B928" s="571" t="str">
        <f>IF(F928="","",(SUMIF(INTGRATE!$Y:$Y,data!D928,INTGRATE!$L:$L)+SUMIF(BRAN!$V:$V,data!D928,BRAN!$J:$J)))</f>
        <v/>
      </c>
      <c r="C928" s="572" t="str">
        <f t="shared" si="36"/>
        <v/>
      </c>
      <c r="D928" s="573" t="str">
        <f>IFERROR(VLOOKUP(E928,Map!$B:$F,4,0),"")&amp;IFERROR(VLOOKUP(E928,Map!$B:$F,5,0),"")</f>
        <v/>
      </c>
      <c r="E928" s="574" t="str">
        <f t="shared" ref="E928:E991" si="37">IF(MID(F928,10,2)="99",F928&amp;H928,LEFT(F928,14))</f>
        <v/>
      </c>
    </row>
    <row r="929" spans="2:5">
      <c r="B929" s="571" t="str">
        <f>IF(F929="","",(SUMIF(INTGRATE!$Y:$Y,data!D929,INTGRATE!$L:$L)+SUMIF(BRAN!$V:$V,data!D929,BRAN!$J:$J)))</f>
        <v/>
      </c>
      <c r="C929" s="572" t="str">
        <f t="shared" si="36"/>
        <v/>
      </c>
      <c r="D929" s="573" t="str">
        <f>IFERROR(VLOOKUP(E929,Map!$B:$F,4,0),"")&amp;IFERROR(VLOOKUP(E929,Map!$B:$F,5,0),"")</f>
        <v/>
      </c>
      <c r="E929" s="574" t="str">
        <f t="shared" si="37"/>
        <v/>
      </c>
    </row>
    <row r="930" spans="2:5">
      <c r="B930" s="571" t="str">
        <f>IF(F930="","",(SUMIF(INTGRATE!$Y:$Y,data!D930,INTGRATE!$L:$L)+SUMIF(BRAN!$V:$V,data!D930,BRAN!$J:$J)))</f>
        <v/>
      </c>
      <c r="C930" s="572" t="str">
        <f t="shared" si="36"/>
        <v/>
      </c>
      <c r="D930" s="573" t="str">
        <f>IFERROR(VLOOKUP(E930,Map!$B:$F,4,0),"")&amp;IFERROR(VLOOKUP(E930,Map!$B:$F,5,0),"")</f>
        <v/>
      </c>
      <c r="E930" s="574" t="str">
        <f t="shared" si="37"/>
        <v/>
      </c>
    </row>
    <row r="931" spans="2:5">
      <c r="B931" s="571" t="str">
        <f>IF(F931="","",(SUMIF(INTGRATE!$Y:$Y,data!D931,INTGRATE!$L:$L)+SUMIF(BRAN!$V:$V,data!D931,BRAN!$J:$J)))</f>
        <v/>
      </c>
      <c r="C931" s="572" t="str">
        <f t="shared" si="36"/>
        <v/>
      </c>
      <c r="D931" s="573" t="str">
        <f>IFERROR(VLOOKUP(E931,Map!$B:$F,4,0),"")&amp;IFERROR(VLOOKUP(E931,Map!$B:$F,5,0),"")</f>
        <v/>
      </c>
      <c r="E931" s="574" t="str">
        <f t="shared" si="37"/>
        <v/>
      </c>
    </row>
    <row r="932" spans="2:5">
      <c r="B932" s="571" t="str">
        <f>IF(F932="","",(SUMIF(INTGRATE!$Y:$Y,data!D932,INTGRATE!$L:$L)+SUMIF(BRAN!$V:$V,data!D932,BRAN!$J:$J)))</f>
        <v/>
      </c>
      <c r="C932" s="572" t="str">
        <f t="shared" si="36"/>
        <v/>
      </c>
      <c r="D932" s="573" t="str">
        <f>IFERROR(VLOOKUP(E932,Map!$B:$F,4,0),"")&amp;IFERROR(VLOOKUP(E932,Map!$B:$F,5,0),"")</f>
        <v/>
      </c>
      <c r="E932" s="574" t="str">
        <f t="shared" si="37"/>
        <v/>
      </c>
    </row>
    <row r="933" spans="2:5">
      <c r="B933" s="571" t="str">
        <f>IF(F933="","",(SUMIF(INTGRATE!$Y:$Y,data!D933,INTGRATE!$L:$L)+SUMIF(BRAN!$V:$V,data!D933,BRAN!$J:$J)))</f>
        <v/>
      </c>
      <c r="C933" s="572" t="str">
        <f t="shared" si="36"/>
        <v/>
      </c>
      <c r="D933" s="573" t="str">
        <f>IFERROR(VLOOKUP(E933,Map!$B:$F,4,0),"")&amp;IFERROR(VLOOKUP(E933,Map!$B:$F,5,0),"")</f>
        <v/>
      </c>
      <c r="E933" s="574" t="str">
        <f t="shared" si="37"/>
        <v/>
      </c>
    </row>
    <row r="934" spans="2:5">
      <c r="B934" s="571" t="str">
        <f>IF(F934="","",(SUMIF(INTGRATE!$Y:$Y,data!D934,INTGRATE!$L:$L)+SUMIF(BRAN!$V:$V,data!D934,BRAN!$J:$J)))</f>
        <v/>
      </c>
      <c r="C934" s="572" t="str">
        <f t="shared" si="36"/>
        <v/>
      </c>
      <c r="D934" s="573" t="str">
        <f>IFERROR(VLOOKUP(E934,Map!$B:$F,4,0),"")&amp;IFERROR(VLOOKUP(E934,Map!$B:$F,5,0),"")</f>
        <v/>
      </c>
      <c r="E934" s="574" t="str">
        <f t="shared" si="37"/>
        <v/>
      </c>
    </row>
    <row r="935" spans="2:5">
      <c r="B935" s="571" t="str">
        <f>IF(F935="","",(SUMIF(INTGRATE!$Y:$Y,data!D935,INTGRATE!$L:$L)+SUMIF(BRAN!$V:$V,data!D935,BRAN!$J:$J)))</f>
        <v/>
      </c>
      <c r="C935" s="572" t="str">
        <f t="shared" si="36"/>
        <v/>
      </c>
      <c r="D935" s="573" t="str">
        <f>IFERROR(VLOOKUP(E935,Map!$B:$F,4,0),"")&amp;IFERROR(VLOOKUP(E935,Map!$B:$F,5,0),"")</f>
        <v/>
      </c>
      <c r="E935" s="574" t="str">
        <f t="shared" si="37"/>
        <v/>
      </c>
    </row>
    <row r="936" spans="2:5">
      <c r="B936" s="571" t="str">
        <f>IF(F936="","",(SUMIF(INTGRATE!$Y:$Y,data!D936,INTGRATE!$L:$L)+SUMIF(BRAN!$V:$V,data!D936,BRAN!$J:$J)))</f>
        <v/>
      </c>
      <c r="C936" s="572" t="str">
        <f t="shared" si="36"/>
        <v/>
      </c>
      <c r="D936" s="573" t="str">
        <f>IFERROR(VLOOKUP(E936,Map!$B:$F,4,0),"")&amp;IFERROR(VLOOKUP(E936,Map!$B:$F,5,0),"")</f>
        <v/>
      </c>
      <c r="E936" s="574" t="str">
        <f t="shared" si="37"/>
        <v/>
      </c>
    </row>
    <row r="937" spans="2:5">
      <c r="B937" s="571" t="str">
        <f>IF(F937="","",(SUMIF(INTGRATE!$Y:$Y,data!D937,INTGRATE!$L:$L)+SUMIF(BRAN!$V:$V,data!D937,BRAN!$J:$J)))</f>
        <v/>
      </c>
      <c r="C937" s="572" t="str">
        <f t="shared" si="36"/>
        <v/>
      </c>
      <c r="D937" s="573" t="str">
        <f>IFERROR(VLOOKUP(E937,Map!$B:$F,4,0),"")&amp;IFERROR(VLOOKUP(E937,Map!$B:$F,5,0),"")</f>
        <v/>
      </c>
      <c r="E937" s="574" t="str">
        <f t="shared" si="37"/>
        <v/>
      </c>
    </row>
    <row r="938" spans="2:5">
      <c r="B938" s="571" t="str">
        <f>IF(F938="","",(SUMIF(INTGRATE!$Y:$Y,data!D938,INTGRATE!$L:$L)+SUMIF(BRAN!$V:$V,data!D938,BRAN!$J:$J)))</f>
        <v/>
      </c>
      <c r="C938" s="572" t="str">
        <f t="shared" si="36"/>
        <v/>
      </c>
      <c r="D938" s="573" t="str">
        <f>IFERROR(VLOOKUP(E938,Map!$B:$F,4,0),"")&amp;IFERROR(VLOOKUP(E938,Map!$B:$F,5,0),"")</f>
        <v/>
      </c>
      <c r="E938" s="574" t="str">
        <f t="shared" si="37"/>
        <v/>
      </c>
    </row>
    <row r="939" spans="2:5">
      <c r="B939" s="571" t="str">
        <f>IF(F939="","",(SUMIF(INTGRATE!$Y:$Y,data!D939,INTGRATE!$L:$L)+SUMIF(BRAN!$V:$V,data!D939,BRAN!$J:$J)))</f>
        <v/>
      </c>
      <c r="C939" s="572" t="str">
        <f t="shared" si="36"/>
        <v/>
      </c>
      <c r="D939" s="573" t="str">
        <f>IFERROR(VLOOKUP(E939,Map!$B:$F,4,0),"")&amp;IFERROR(VLOOKUP(E939,Map!$B:$F,5,0),"")</f>
        <v/>
      </c>
      <c r="E939" s="574" t="str">
        <f t="shared" si="37"/>
        <v/>
      </c>
    </row>
    <row r="940" spans="2:5">
      <c r="B940" s="571" t="str">
        <f>IF(F940="","",(SUMIF(INTGRATE!$Y:$Y,data!D940,INTGRATE!$L:$L)+SUMIF(BRAN!$V:$V,data!D940,BRAN!$J:$J)))</f>
        <v/>
      </c>
      <c r="C940" s="572" t="str">
        <f t="shared" si="36"/>
        <v/>
      </c>
      <c r="D940" s="573" t="str">
        <f>IFERROR(VLOOKUP(E940,Map!$B:$F,4,0),"")&amp;IFERROR(VLOOKUP(E940,Map!$B:$F,5,0),"")</f>
        <v/>
      </c>
      <c r="E940" s="574" t="str">
        <f t="shared" si="37"/>
        <v/>
      </c>
    </row>
    <row r="941" spans="2:5">
      <c r="B941" s="571" t="str">
        <f>IF(F941="","",(SUMIF(INTGRATE!$Y:$Y,data!D941,INTGRATE!$L:$L)+SUMIF(BRAN!$V:$V,data!D941,BRAN!$J:$J)))</f>
        <v/>
      </c>
      <c r="C941" s="572" t="str">
        <f t="shared" si="36"/>
        <v/>
      </c>
      <c r="D941" s="573" t="str">
        <f>IFERROR(VLOOKUP(E941,Map!$B:$F,4,0),"")&amp;IFERROR(VLOOKUP(E941,Map!$B:$F,5,0),"")</f>
        <v/>
      </c>
      <c r="E941" s="574" t="str">
        <f t="shared" si="37"/>
        <v/>
      </c>
    </row>
    <row r="942" spans="2:5">
      <c r="B942" s="571" t="str">
        <f>IF(F942="","",(SUMIF(INTGRATE!$Y:$Y,data!D942,INTGRATE!$L:$L)+SUMIF(BRAN!$V:$V,data!D942,BRAN!$J:$J)))</f>
        <v/>
      </c>
      <c r="C942" s="572" t="str">
        <f t="shared" si="36"/>
        <v/>
      </c>
      <c r="D942" s="573" t="str">
        <f>IFERROR(VLOOKUP(E942,Map!$B:$F,4,0),"")&amp;IFERROR(VLOOKUP(E942,Map!$B:$F,5,0),"")</f>
        <v/>
      </c>
      <c r="E942" s="574" t="str">
        <f t="shared" si="37"/>
        <v/>
      </c>
    </row>
    <row r="943" spans="2:5">
      <c r="B943" s="571" t="str">
        <f>IF(F943="","",(SUMIF(INTGRATE!$Y:$Y,data!D943,INTGRATE!$L:$L)+SUMIF(BRAN!$V:$V,data!D943,BRAN!$J:$J)))</f>
        <v/>
      </c>
      <c r="C943" s="572" t="str">
        <f t="shared" si="36"/>
        <v/>
      </c>
      <c r="D943" s="573" t="str">
        <f>IFERROR(VLOOKUP(E943,Map!$B:$F,4,0),"")&amp;IFERROR(VLOOKUP(E943,Map!$B:$F,5,0),"")</f>
        <v/>
      </c>
      <c r="E943" s="574" t="str">
        <f t="shared" si="37"/>
        <v/>
      </c>
    </row>
    <row r="944" spans="2:5">
      <c r="B944" s="571" t="str">
        <f>IF(F944="","",(SUMIF(INTGRATE!$Y:$Y,data!D944,INTGRATE!$L:$L)+SUMIF(BRAN!$V:$V,data!D944,BRAN!$J:$J)))</f>
        <v/>
      </c>
      <c r="C944" s="572" t="str">
        <f t="shared" si="36"/>
        <v/>
      </c>
      <c r="D944" s="573" t="str">
        <f>IFERROR(VLOOKUP(E944,Map!$B:$F,4,0),"")&amp;IFERROR(VLOOKUP(E944,Map!$B:$F,5,0),"")</f>
        <v/>
      </c>
      <c r="E944" s="574" t="str">
        <f t="shared" si="37"/>
        <v/>
      </c>
    </row>
    <row r="945" spans="2:5">
      <c r="B945" s="571" t="str">
        <f>IF(F945="","",(SUMIF(INTGRATE!$Y:$Y,data!D945,INTGRATE!$L:$L)+SUMIF(BRAN!$V:$V,data!D945,BRAN!$J:$J)))</f>
        <v/>
      </c>
      <c r="C945" s="572" t="str">
        <f t="shared" si="36"/>
        <v/>
      </c>
      <c r="D945" s="573" t="str">
        <f>IFERROR(VLOOKUP(E945,Map!$B:$F,4,0),"")&amp;IFERROR(VLOOKUP(E945,Map!$B:$F,5,0),"")</f>
        <v/>
      </c>
      <c r="E945" s="574" t="str">
        <f t="shared" si="37"/>
        <v/>
      </c>
    </row>
    <row r="946" spans="2:5">
      <c r="B946" s="571" t="str">
        <f>IF(F946="","",(SUMIF(INTGRATE!$Y:$Y,data!D946,INTGRATE!$L:$L)+SUMIF(BRAN!$V:$V,data!D946,BRAN!$J:$J)))</f>
        <v/>
      </c>
      <c r="C946" s="572" t="str">
        <f t="shared" si="36"/>
        <v/>
      </c>
      <c r="D946" s="573" t="str">
        <f>IFERROR(VLOOKUP(E946,Map!$B:$F,4,0),"")&amp;IFERROR(VLOOKUP(E946,Map!$B:$F,5,0),"")</f>
        <v/>
      </c>
      <c r="E946" s="574" t="str">
        <f t="shared" si="37"/>
        <v/>
      </c>
    </row>
    <row r="947" spans="2:5">
      <c r="B947" s="571" t="str">
        <f>IF(F947="","",(SUMIF(INTGRATE!$Y:$Y,data!D947,INTGRATE!$L:$L)+SUMIF(BRAN!$V:$V,data!D947,BRAN!$J:$J)))</f>
        <v/>
      </c>
      <c r="C947" s="572" t="str">
        <f t="shared" si="36"/>
        <v/>
      </c>
      <c r="D947" s="573" t="str">
        <f>IFERROR(VLOOKUP(E947,Map!$B:$F,4,0),"")&amp;IFERROR(VLOOKUP(E947,Map!$B:$F,5,0),"")</f>
        <v/>
      </c>
      <c r="E947" s="574" t="str">
        <f t="shared" si="37"/>
        <v/>
      </c>
    </row>
    <row r="948" spans="2:5">
      <c r="B948" s="571" t="str">
        <f>IF(F948="","",(SUMIF(INTGRATE!$Y:$Y,data!D948,INTGRATE!$L:$L)+SUMIF(BRAN!$V:$V,data!D948,BRAN!$J:$J)))</f>
        <v/>
      </c>
      <c r="C948" s="572" t="str">
        <f t="shared" si="36"/>
        <v/>
      </c>
      <c r="D948" s="573" t="str">
        <f>IFERROR(VLOOKUP(E948,Map!$B:$F,4,0),"")&amp;IFERROR(VLOOKUP(E948,Map!$B:$F,5,0),"")</f>
        <v/>
      </c>
      <c r="E948" s="574" t="str">
        <f t="shared" si="37"/>
        <v/>
      </c>
    </row>
    <row r="949" spans="2:5">
      <c r="B949" s="571" t="str">
        <f>IF(F949="","",(SUMIF(INTGRATE!$Y:$Y,data!D949,INTGRATE!$L:$L)+SUMIF(BRAN!$V:$V,data!D949,BRAN!$J:$J)))</f>
        <v/>
      </c>
      <c r="C949" s="572" t="str">
        <f t="shared" si="36"/>
        <v/>
      </c>
      <c r="D949" s="573" t="str">
        <f>IFERROR(VLOOKUP(E949,Map!$B:$F,4,0),"")&amp;IFERROR(VLOOKUP(E949,Map!$B:$F,5,0),"")</f>
        <v/>
      </c>
      <c r="E949" s="574" t="str">
        <f t="shared" si="37"/>
        <v/>
      </c>
    </row>
    <row r="950" spans="2:5">
      <c r="B950" s="571" t="str">
        <f>IF(F950="","",(SUMIF(INTGRATE!$Y:$Y,data!D950,INTGRATE!$L:$L)+SUMIF(BRAN!$V:$V,data!D950,BRAN!$J:$J)))</f>
        <v/>
      </c>
      <c r="C950" s="572" t="str">
        <f t="shared" si="36"/>
        <v/>
      </c>
      <c r="D950" s="573" t="str">
        <f>IFERROR(VLOOKUP(E950,Map!$B:$F,4,0),"")&amp;IFERROR(VLOOKUP(E950,Map!$B:$F,5,0),"")</f>
        <v/>
      </c>
      <c r="E950" s="574" t="str">
        <f t="shared" si="37"/>
        <v/>
      </c>
    </row>
    <row r="951" spans="2:5">
      <c r="B951" s="571" t="str">
        <f>IF(F951="","",(SUMIF(INTGRATE!$Y:$Y,data!D951,INTGRATE!$L:$L)+SUMIF(BRAN!$V:$V,data!D951,BRAN!$J:$J)))</f>
        <v/>
      </c>
      <c r="C951" s="572" t="str">
        <f t="shared" si="36"/>
        <v/>
      </c>
      <c r="D951" s="573" t="str">
        <f>IFERROR(VLOOKUP(E951,Map!$B:$F,4,0),"")&amp;IFERROR(VLOOKUP(E951,Map!$B:$F,5,0),"")</f>
        <v/>
      </c>
      <c r="E951" s="574" t="str">
        <f t="shared" si="37"/>
        <v/>
      </c>
    </row>
    <row r="952" spans="2:5">
      <c r="B952" s="571" t="str">
        <f>IF(F952="","",(SUMIF(INTGRATE!$Y:$Y,data!D952,INTGRATE!$L:$L)+SUMIF(BRAN!$V:$V,data!D952,BRAN!$J:$J)))</f>
        <v/>
      </c>
      <c r="C952" s="572" t="str">
        <f t="shared" si="36"/>
        <v/>
      </c>
      <c r="D952" s="573" t="str">
        <f>IFERROR(VLOOKUP(E952,Map!$B:$F,4,0),"")&amp;IFERROR(VLOOKUP(E952,Map!$B:$F,5,0),"")</f>
        <v/>
      </c>
      <c r="E952" s="574" t="str">
        <f t="shared" si="37"/>
        <v/>
      </c>
    </row>
    <row r="953" spans="2:5">
      <c r="B953" s="571" t="str">
        <f>IF(F953="","",(SUMIF(INTGRATE!$Y:$Y,data!D953,INTGRATE!$L:$L)+SUMIF(BRAN!$V:$V,data!D953,BRAN!$J:$J)))</f>
        <v/>
      </c>
      <c r="C953" s="572" t="str">
        <f t="shared" si="36"/>
        <v/>
      </c>
      <c r="D953" s="573" t="str">
        <f>IFERROR(VLOOKUP(E953,Map!$B:$F,4,0),"")&amp;IFERROR(VLOOKUP(E953,Map!$B:$F,5,0),"")</f>
        <v/>
      </c>
      <c r="E953" s="574" t="str">
        <f t="shared" si="37"/>
        <v/>
      </c>
    </row>
    <row r="954" spans="2:5">
      <c r="B954" s="571" t="str">
        <f>IF(F954="","",(SUMIF(INTGRATE!$Y:$Y,data!D954,INTGRATE!$L:$L)+SUMIF(BRAN!$V:$V,data!D954,BRAN!$J:$J)))</f>
        <v/>
      </c>
      <c r="C954" s="572" t="str">
        <f t="shared" si="36"/>
        <v/>
      </c>
      <c r="D954" s="573" t="str">
        <f>IFERROR(VLOOKUP(E954,Map!$B:$F,4,0),"")&amp;IFERROR(VLOOKUP(E954,Map!$B:$F,5,0),"")</f>
        <v/>
      </c>
      <c r="E954" s="574" t="str">
        <f t="shared" si="37"/>
        <v/>
      </c>
    </row>
    <row r="955" spans="2:5">
      <c r="B955" s="571" t="str">
        <f>IF(F955="","",(SUMIF(INTGRATE!$Y:$Y,data!D955,INTGRATE!$L:$L)+SUMIF(BRAN!$V:$V,data!D955,BRAN!$J:$J)))</f>
        <v/>
      </c>
      <c r="C955" s="572" t="str">
        <f t="shared" si="36"/>
        <v/>
      </c>
      <c r="D955" s="573" t="str">
        <f>IFERROR(VLOOKUP(E955,Map!$B:$F,4,0),"")&amp;IFERROR(VLOOKUP(E955,Map!$B:$F,5,0),"")</f>
        <v/>
      </c>
      <c r="E955" s="574" t="str">
        <f t="shared" si="37"/>
        <v/>
      </c>
    </row>
    <row r="956" spans="2:5">
      <c r="B956" s="571" t="str">
        <f>IF(F956="","",(SUMIF(INTGRATE!$Y:$Y,data!D956,INTGRATE!$L:$L)+SUMIF(BRAN!$V:$V,data!D956,BRAN!$J:$J)))</f>
        <v/>
      </c>
      <c r="C956" s="572" t="str">
        <f t="shared" si="36"/>
        <v/>
      </c>
      <c r="D956" s="573" t="str">
        <f>IFERROR(VLOOKUP(E956,Map!$B:$F,4,0),"")&amp;IFERROR(VLOOKUP(E956,Map!$B:$F,5,0),"")</f>
        <v/>
      </c>
      <c r="E956" s="574" t="str">
        <f t="shared" si="37"/>
        <v/>
      </c>
    </row>
    <row r="957" spans="2:5">
      <c r="B957" s="571" t="str">
        <f>IF(F957="","",(SUMIF(INTGRATE!$Y:$Y,data!D957,INTGRATE!$L:$L)+SUMIF(BRAN!$V:$V,data!D957,BRAN!$J:$J)))</f>
        <v/>
      </c>
      <c r="C957" s="572" t="str">
        <f t="shared" si="36"/>
        <v/>
      </c>
      <c r="D957" s="573" t="str">
        <f>IFERROR(VLOOKUP(E957,Map!$B:$F,4,0),"")&amp;IFERROR(VLOOKUP(E957,Map!$B:$F,5,0),"")</f>
        <v/>
      </c>
      <c r="E957" s="574" t="str">
        <f t="shared" si="37"/>
        <v/>
      </c>
    </row>
    <row r="958" spans="2:5">
      <c r="B958" s="571" t="str">
        <f>IF(F958="","",(SUMIF(INTGRATE!$Y:$Y,data!D958,INTGRATE!$L:$L)+SUMIF(BRAN!$V:$V,data!D958,BRAN!$J:$J)))</f>
        <v/>
      </c>
      <c r="C958" s="572" t="str">
        <f t="shared" si="36"/>
        <v/>
      </c>
      <c r="D958" s="573" t="str">
        <f>IFERROR(VLOOKUP(E958,Map!$B:$F,4,0),"")&amp;IFERROR(VLOOKUP(E958,Map!$B:$F,5,0),"")</f>
        <v/>
      </c>
      <c r="E958" s="574" t="str">
        <f t="shared" si="37"/>
        <v/>
      </c>
    </row>
    <row r="959" spans="2:5">
      <c r="B959" s="571" t="str">
        <f>IF(F959="","",(SUMIF(INTGRATE!$Y:$Y,data!D959,INTGRATE!$L:$L)+SUMIF(BRAN!$V:$V,data!D959,BRAN!$J:$J)))</f>
        <v/>
      </c>
      <c r="C959" s="572" t="str">
        <f t="shared" ref="C959:C1022" si="38">IF(F959="","",B959-K959)</f>
        <v/>
      </c>
      <c r="D959" s="573" t="str">
        <f>IFERROR(VLOOKUP(E959,Map!$B:$F,4,0),"")&amp;IFERROR(VLOOKUP(E959,Map!$B:$F,5,0),"")</f>
        <v/>
      </c>
      <c r="E959" s="574" t="str">
        <f t="shared" si="37"/>
        <v/>
      </c>
    </row>
    <row r="960" spans="2:5">
      <c r="B960" s="571" t="str">
        <f>IF(F960="","",(SUMIF(INTGRATE!$Y:$Y,data!D960,INTGRATE!$L:$L)+SUMIF(BRAN!$V:$V,data!D960,BRAN!$J:$J)))</f>
        <v/>
      </c>
      <c r="C960" s="572" t="str">
        <f t="shared" si="38"/>
        <v/>
      </c>
      <c r="D960" s="573" t="str">
        <f>IFERROR(VLOOKUP(E960,Map!$B:$F,4,0),"")&amp;IFERROR(VLOOKUP(E960,Map!$B:$F,5,0),"")</f>
        <v/>
      </c>
      <c r="E960" s="574" t="str">
        <f t="shared" si="37"/>
        <v/>
      </c>
    </row>
    <row r="961" spans="2:5">
      <c r="B961" s="571" t="str">
        <f>IF(F961="","",(SUMIF(INTGRATE!$Y:$Y,data!D961,INTGRATE!$L:$L)+SUMIF(BRAN!$V:$V,data!D961,BRAN!$J:$J)))</f>
        <v/>
      </c>
      <c r="C961" s="572" t="str">
        <f t="shared" si="38"/>
        <v/>
      </c>
      <c r="D961" s="573" t="str">
        <f>IFERROR(VLOOKUP(E961,Map!$B:$F,4,0),"")&amp;IFERROR(VLOOKUP(E961,Map!$B:$F,5,0),"")</f>
        <v/>
      </c>
      <c r="E961" s="574" t="str">
        <f t="shared" si="37"/>
        <v/>
      </c>
    </row>
    <row r="962" spans="2:5">
      <c r="B962" s="571" t="str">
        <f>IF(F962="","",(SUMIF(INTGRATE!$Y:$Y,data!D962,INTGRATE!$L:$L)+SUMIF(BRAN!$V:$V,data!D962,BRAN!$J:$J)))</f>
        <v/>
      </c>
      <c r="C962" s="572" t="str">
        <f t="shared" si="38"/>
        <v/>
      </c>
      <c r="D962" s="573" t="str">
        <f>IFERROR(VLOOKUP(E962,Map!$B:$F,4,0),"")&amp;IFERROR(VLOOKUP(E962,Map!$B:$F,5,0),"")</f>
        <v/>
      </c>
      <c r="E962" s="574" t="str">
        <f t="shared" si="37"/>
        <v/>
      </c>
    </row>
    <row r="963" spans="2:5">
      <c r="B963" s="571" t="str">
        <f>IF(F963="","",(SUMIF(INTGRATE!$Y:$Y,data!D963,INTGRATE!$L:$L)+SUMIF(BRAN!$V:$V,data!D963,BRAN!$J:$J)))</f>
        <v/>
      </c>
      <c r="C963" s="572" t="str">
        <f t="shared" si="38"/>
        <v/>
      </c>
      <c r="D963" s="573" t="str">
        <f>IFERROR(VLOOKUP(E963,Map!$B:$F,4,0),"")&amp;IFERROR(VLOOKUP(E963,Map!$B:$F,5,0),"")</f>
        <v/>
      </c>
      <c r="E963" s="574" t="str">
        <f t="shared" si="37"/>
        <v/>
      </c>
    </row>
    <row r="964" spans="2:5">
      <c r="B964" s="571" t="str">
        <f>IF(F964="","",(SUMIF(INTGRATE!$Y:$Y,data!D964,INTGRATE!$L:$L)+SUMIF(BRAN!$V:$V,data!D964,BRAN!$J:$J)))</f>
        <v/>
      </c>
      <c r="C964" s="572" t="str">
        <f t="shared" si="38"/>
        <v/>
      </c>
      <c r="D964" s="573" t="str">
        <f>IFERROR(VLOOKUP(E964,Map!$B:$F,4,0),"")&amp;IFERROR(VLOOKUP(E964,Map!$B:$F,5,0),"")</f>
        <v/>
      </c>
      <c r="E964" s="574" t="str">
        <f t="shared" si="37"/>
        <v/>
      </c>
    </row>
    <row r="965" spans="2:5">
      <c r="B965" s="571" t="str">
        <f>IF(F965="","",(SUMIF(INTGRATE!$Y:$Y,data!D965,INTGRATE!$L:$L)+SUMIF(BRAN!$V:$V,data!D965,BRAN!$J:$J)))</f>
        <v/>
      </c>
      <c r="C965" s="572" t="str">
        <f t="shared" si="38"/>
        <v/>
      </c>
      <c r="D965" s="573" t="str">
        <f>IFERROR(VLOOKUP(E965,Map!$B:$F,4,0),"")&amp;IFERROR(VLOOKUP(E965,Map!$B:$F,5,0),"")</f>
        <v/>
      </c>
      <c r="E965" s="574" t="str">
        <f t="shared" si="37"/>
        <v/>
      </c>
    </row>
    <row r="966" spans="2:5">
      <c r="B966" s="571" t="str">
        <f>IF(F966="","",(SUMIF(INTGRATE!$Y:$Y,data!D966,INTGRATE!$L:$L)+SUMIF(BRAN!$V:$V,data!D966,BRAN!$J:$J)))</f>
        <v/>
      </c>
      <c r="C966" s="572" t="str">
        <f t="shared" si="38"/>
        <v/>
      </c>
      <c r="D966" s="573" t="str">
        <f>IFERROR(VLOOKUP(E966,Map!$B:$F,4,0),"")&amp;IFERROR(VLOOKUP(E966,Map!$B:$F,5,0),"")</f>
        <v/>
      </c>
      <c r="E966" s="574" t="str">
        <f t="shared" si="37"/>
        <v/>
      </c>
    </row>
    <row r="967" spans="2:5">
      <c r="B967" s="571" t="str">
        <f>IF(F967="","",(SUMIF(INTGRATE!$Y:$Y,data!D967,INTGRATE!$L:$L)+SUMIF(BRAN!$V:$V,data!D967,BRAN!$J:$J)))</f>
        <v/>
      </c>
      <c r="C967" s="572" t="str">
        <f t="shared" si="38"/>
        <v/>
      </c>
      <c r="D967" s="573" t="str">
        <f>IFERROR(VLOOKUP(E967,Map!$B:$F,4,0),"")&amp;IFERROR(VLOOKUP(E967,Map!$B:$F,5,0),"")</f>
        <v/>
      </c>
      <c r="E967" s="574" t="str">
        <f t="shared" si="37"/>
        <v/>
      </c>
    </row>
    <row r="968" spans="2:5">
      <c r="B968" s="571" t="str">
        <f>IF(F968="","",(SUMIF(INTGRATE!$Y:$Y,data!D968,INTGRATE!$L:$L)+SUMIF(BRAN!$V:$V,data!D968,BRAN!$J:$J)))</f>
        <v/>
      </c>
      <c r="C968" s="572" t="str">
        <f t="shared" si="38"/>
        <v/>
      </c>
      <c r="D968" s="573" t="str">
        <f>IFERROR(VLOOKUP(E968,Map!$B:$F,4,0),"")&amp;IFERROR(VLOOKUP(E968,Map!$B:$F,5,0),"")</f>
        <v/>
      </c>
      <c r="E968" s="574" t="str">
        <f t="shared" si="37"/>
        <v/>
      </c>
    </row>
    <row r="969" spans="2:5">
      <c r="B969" s="571" t="str">
        <f>IF(F969="","",(SUMIF(INTGRATE!$Y:$Y,data!D969,INTGRATE!$L:$L)+SUMIF(BRAN!$V:$V,data!D969,BRAN!$J:$J)))</f>
        <v/>
      </c>
      <c r="C969" s="572" t="str">
        <f t="shared" si="38"/>
        <v/>
      </c>
      <c r="D969" s="573" t="str">
        <f>IFERROR(VLOOKUP(E969,Map!$B:$F,4,0),"")&amp;IFERROR(VLOOKUP(E969,Map!$B:$F,5,0),"")</f>
        <v/>
      </c>
      <c r="E969" s="574" t="str">
        <f t="shared" si="37"/>
        <v/>
      </c>
    </row>
    <row r="970" spans="2:5">
      <c r="B970" s="571" t="str">
        <f>IF(F970="","",(SUMIF(INTGRATE!$Y:$Y,data!D970,INTGRATE!$L:$L)+SUMIF(BRAN!$V:$V,data!D970,BRAN!$J:$J)))</f>
        <v/>
      </c>
      <c r="C970" s="572" t="str">
        <f t="shared" si="38"/>
        <v/>
      </c>
      <c r="D970" s="573" t="str">
        <f>IFERROR(VLOOKUP(E970,Map!$B:$F,4,0),"")&amp;IFERROR(VLOOKUP(E970,Map!$B:$F,5,0),"")</f>
        <v/>
      </c>
      <c r="E970" s="574" t="str">
        <f t="shared" si="37"/>
        <v/>
      </c>
    </row>
    <row r="971" spans="2:5">
      <c r="B971" s="571" t="str">
        <f>IF(F971="","",(SUMIF(INTGRATE!$Y:$Y,data!D971,INTGRATE!$L:$L)+SUMIF(BRAN!$V:$V,data!D971,BRAN!$J:$J)))</f>
        <v/>
      </c>
      <c r="C971" s="572" t="str">
        <f t="shared" si="38"/>
        <v/>
      </c>
      <c r="D971" s="573" t="str">
        <f>IFERROR(VLOOKUP(E971,Map!$B:$F,4,0),"")&amp;IFERROR(VLOOKUP(E971,Map!$B:$F,5,0),"")</f>
        <v/>
      </c>
      <c r="E971" s="574" t="str">
        <f t="shared" si="37"/>
        <v/>
      </c>
    </row>
    <row r="972" spans="2:5">
      <c r="B972" s="571" t="str">
        <f>IF(F972="","",(SUMIF(INTGRATE!$Y:$Y,data!D972,INTGRATE!$L:$L)+SUMIF(BRAN!$V:$V,data!D972,BRAN!$J:$J)))</f>
        <v/>
      </c>
      <c r="C972" s="572" t="str">
        <f t="shared" si="38"/>
        <v/>
      </c>
      <c r="D972" s="573" t="str">
        <f>IFERROR(VLOOKUP(E972,Map!$B:$F,4,0),"")&amp;IFERROR(VLOOKUP(E972,Map!$B:$F,5,0),"")</f>
        <v/>
      </c>
      <c r="E972" s="574" t="str">
        <f t="shared" si="37"/>
        <v/>
      </c>
    </row>
    <row r="973" spans="2:5">
      <c r="B973" s="571" t="str">
        <f>IF(F973="","",(SUMIF(INTGRATE!$Y:$Y,data!D973,INTGRATE!$L:$L)+SUMIF(BRAN!$V:$V,data!D973,BRAN!$J:$J)))</f>
        <v/>
      </c>
      <c r="C973" s="572" t="str">
        <f t="shared" si="38"/>
        <v/>
      </c>
      <c r="D973" s="573" t="str">
        <f>IFERROR(VLOOKUP(E973,Map!$B:$F,4,0),"")&amp;IFERROR(VLOOKUP(E973,Map!$B:$F,5,0),"")</f>
        <v/>
      </c>
      <c r="E973" s="574" t="str">
        <f t="shared" si="37"/>
        <v/>
      </c>
    </row>
    <row r="974" spans="2:5">
      <c r="B974" s="571" t="str">
        <f>IF(F974="","",(SUMIF(INTGRATE!$Y:$Y,data!D974,INTGRATE!$L:$L)+SUMIF(BRAN!$V:$V,data!D974,BRAN!$J:$J)))</f>
        <v/>
      </c>
      <c r="C974" s="572" t="str">
        <f t="shared" si="38"/>
        <v/>
      </c>
      <c r="D974" s="573" t="str">
        <f>IFERROR(VLOOKUP(E974,Map!$B:$F,4,0),"")&amp;IFERROR(VLOOKUP(E974,Map!$B:$F,5,0),"")</f>
        <v/>
      </c>
      <c r="E974" s="574" t="str">
        <f t="shared" si="37"/>
        <v/>
      </c>
    </row>
    <row r="975" spans="2:5">
      <c r="B975" s="571" t="str">
        <f>IF(F975="","",(SUMIF(INTGRATE!$Y:$Y,data!D975,INTGRATE!$L:$L)+SUMIF(BRAN!$V:$V,data!D975,BRAN!$J:$J)))</f>
        <v/>
      </c>
      <c r="C975" s="572" t="str">
        <f t="shared" si="38"/>
        <v/>
      </c>
      <c r="D975" s="573" t="str">
        <f>IFERROR(VLOOKUP(E975,Map!$B:$F,4,0),"")&amp;IFERROR(VLOOKUP(E975,Map!$B:$F,5,0),"")</f>
        <v/>
      </c>
      <c r="E975" s="574" t="str">
        <f t="shared" si="37"/>
        <v/>
      </c>
    </row>
    <row r="976" spans="2:5">
      <c r="B976" s="571" t="str">
        <f>IF(F976="","",(SUMIF(INTGRATE!$Y:$Y,data!D976,INTGRATE!$L:$L)+SUMIF(BRAN!$V:$V,data!D976,BRAN!$J:$J)))</f>
        <v/>
      </c>
      <c r="C976" s="572" t="str">
        <f t="shared" si="38"/>
        <v/>
      </c>
      <c r="D976" s="573" t="str">
        <f>IFERROR(VLOOKUP(E976,Map!$B:$F,4,0),"")&amp;IFERROR(VLOOKUP(E976,Map!$B:$F,5,0),"")</f>
        <v/>
      </c>
      <c r="E976" s="574" t="str">
        <f t="shared" si="37"/>
        <v/>
      </c>
    </row>
    <row r="977" spans="2:5">
      <c r="B977" s="571" t="str">
        <f>IF(F977="","",(SUMIF(INTGRATE!$Y:$Y,data!D977,INTGRATE!$L:$L)+SUMIF(BRAN!$V:$V,data!D977,BRAN!$J:$J)))</f>
        <v/>
      </c>
      <c r="C977" s="572" t="str">
        <f t="shared" si="38"/>
        <v/>
      </c>
      <c r="D977" s="573" t="str">
        <f>IFERROR(VLOOKUP(E977,Map!$B:$F,4,0),"")&amp;IFERROR(VLOOKUP(E977,Map!$B:$F,5,0),"")</f>
        <v/>
      </c>
      <c r="E977" s="574" t="str">
        <f t="shared" si="37"/>
        <v/>
      </c>
    </row>
    <row r="978" spans="2:5">
      <c r="B978" s="571" t="str">
        <f>IF(F978="","",(SUMIF(INTGRATE!$Y:$Y,data!D978,INTGRATE!$L:$L)+SUMIF(BRAN!$V:$V,data!D978,BRAN!$J:$J)))</f>
        <v/>
      </c>
      <c r="C978" s="572" t="str">
        <f t="shared" si="38"/>
        <v/>
      </c>
      <c r="D978" s="573" t="str">
        <f>IFERROR(VLOOKUP(E978,Map!$B:$F,4,0),"")&amp;IFERROR(VLOOKUP(E978,Map!$B:$F,5,0),"")</f>
        <v/>
      </c>
      <c r="E978" s="574" t="str">
        <f t="shared" si="37"/>
        <v/>
      </c>
    </row>
    <row r="979" spans="2:5">
      <c r="B979" s="571" t="str">
        <f>IF(F979="","",(SUMIF(INTGRATE!$Y:$Y,data!D979,INTGRATE!$L:$L)+SUMIF(BRAN!$V:$V,data!D979,BRAN!$J:$J)))</f>
        <v/>
      </c>
      <c r="C979" s="572" t="str">
        <f t="shared" si="38"/>
        <v/>
      </c>
      <c r="D979" s="573" t="str">
        <f>IFERROR(VLOOKUP(E979,Map!$B:$F,4,0),"")&amp;IFERROR(VLOOKUP(E979,Map!$B:$F,5,0),"")</f>
        <v/>
      </c>
      <c r="E979" s="574" t="str">
        <f t="shared" si="37"/>
        <v/>
      </c>
    </row>
    <row r="980" spans="2:5">
      <c r="B980" s="571" t="str">
        <f>IF(F980="","",(SUMIF(INTGRATE!$Y:$Y,data!D980,INTGRATE!$L:$L)+SUMIF(BRAN!$V:$V,data!D980,BRAN!$J:$J)))</f>
        <v/>
      </c>
      <c r="C980" s="572" t="str">
        <f t="shared" si="38"/>
        <v/>
      </c>
      <c r="D980" s="573" t="str">
        <f>IFERROR(VLOOKUP(E980,Map!$B:$F,4,0),"")&amp;IFERROR(VLOOKUP(E980,Map!$B:$F,5,0),"")</f>
        <v/>
      </c>
      <c r="E980" s="574" t="str">
        <f t="shared" si="37"/>
        <v/>
      </c>
    </row>
    <row r="981" spans="2:5">
      <c r="B981" s="571" t="str">
        <f>IF(F981="","",(SUMIF(INTGRATE!$Y:$Y,data!D981,INTGRATE!$L:$L)+SUMIF(BRAN!$V:$V,data!D981,BRAN!$J:$J)))</f>
        <v/>
      </c>
      <c r="C981" s="572" t="str">
        <f t="shared" si="38"/>
        <v/>
      </c>
      <c r="D981" s="573" t="str">
        <f>IFERROR(VLOOKUP(E981,Map!$B:$F,4,0),"")&amp;IFERROR(VLOOKUP(E981,Map!$B:$F,5,0),"")</f>
        <v/>
      </c>
      <c r="E981" s="574" t="str">
        <f t="shared" si="37"/>
        <v/>
      </c>
    </row>
    <row r="982" spans="2:5">
      <c r="B982" s="571" t="str">
        <f>IF(F982="","",(SUMIF(INTGRATE!$Y:$Y,data!D982,INTGRATE!$L:$L)+SUMIF(BRAN!$V:$V,data!D982,BRAN!$J:$J)))</f>
        <v/>
      </c>
      <c r="C982" s="572" t="str">
        <f t="shared" si="38"/>
        <v/>
      </c>
      <c r="D982" s="573" t="str">
        <f>IFERROR(VLOOKUP(E982,Map!$B:$F,4,0),"")&amp;IFERROR(VLOOKUP(E982,Map!$B:$F,5,0),"")</f>
        <v/>
      </c>
      <c r="E982" s="574" t="str">
        <f t="shared" si="37"/>
        <v/>
      </c>
    </row>
    <row r="983" spans="2:5">
      <c r="B983" s="571" t="str">
        <f>IF(F983="","",(SUMIF(INTGRATE!$Y:$Y,data!D983,INTGRATE!$L:$L)+SUMIF(BRAN!$V:$V,data!D983,BRAN!$J:$J)))</f>
        <v/>
      </c>
      <c r="C983" s="572" t="str">
        <f t="shared" si="38"/>
        <v/>
      </c>
      <c r="D983" s="573" t="str">
        <f>IFERROR(VLOOKUP(E983,Map!$B:$F,4,0),"")&amp;IFERROR(VLOOKUP(E983,Map!$B:$F,5,0),"")</f>
        <v/>
      </c>
      <c r="E983" s="574" t="str">
        <f t="shared" si="37"/>
        <v/>
      </c>
    </row>
    <row r="984" spans="2:5">
      <c r="B984" s="571" t="str">
        <f>IF(F984="","",(SUMIF(INTGRATE!$Y:$Y,data!D984,INTGRATE!$L:$L)+SUMIF(BRAN!$V:$V,data!D984,BRAN!$J:$J)))</f>
        <v/>
      </c>
      <c r="C984" s="572" t="str">
        <f t="shared" si="38"/>
        <v/>
      </c>
      <c r="D984" s="573" t="str">
        <f>IFERROR(VLOOKUP(E984,Map!$B:$F,4,0),"")&amp;IFERROR(VLOOKUP(E984,Map!$B:$F,5,0),"")</f>
        <v/>
      </c>
      <c r="E984" s="574" t="str">
        <f t="shared" si="37"/>
        <v/>
      </c>
    </row>
    <row r="985" spans="2:5">
      <c r="B985" s="571" t="str">
        <f>IF(F985="","",(SUMIF(INTGRATE!$Y:$Y,data!D985,INTGRATE!$L:$L)+SUMIF(BRAN!$V:$V,data!D985,BRAN!$J:$J)))</f>
        <v/>
      </c>
      <c r="C985" s="572" t="str">
        <f t="shared" si="38"/>
        <v/>
      </c>
      <c r="D985" s="573" t="str">
        <f>IFERROR(VLOOKUP(E985,Map!$B:$F,4,0),"")&amp;IFERROR(VLOOKUP(E985,Map!$B:$F,5,0),"")</f>
        <v/>
      </c>
      <c r="E985" s="574" t="str">
        <f t="shared" si="37"/>
        <v/>
      </c>
    </row>
    <row r="986" spans="2:5">
      <c r="B986" s="571" t="str">
        <f>IF(F986="","",(SUMIF(INTGRATE!$Y:$Y,data!D986,INTGRATE!$L:$L)+SUMIF(BRAN!$V:$V,data!D986,BRAN!$J:$J)))</f>
        <v/>
      </c>
      <c r="C986" s="572" t="str">
        <f t="shared" si="38"/>
        <v/>
      </c>
      <c r="D986" s="573" t="str">
        <f>IFERROR(VLOOKUP(E986,Map!$B:$F,4,0),"")&amp;IFERROR(VLOOKUP(E986,Map!$B:$F,5,0),"")</f>
        <v/>
      </c>
      <c r="E986" s="574" t="str">
        <f t="shared" si="37"/>
        <v/>
      </c>
    </row>
    <row r="987" spans="2:5">
      <c r="B987" s="571" t="str">
        <f>IF(F987="","",(SUMIF(INTGRATE!$Y:$Y,data!D987,INTGRATE!$L:$L)+SUMIF(BRAN!$V:$V,data!D987,BRAN!$J:$J)))</f>
        <v/>
      </c>
      <c r="C987" s="572" t="str">
        <f t="shared" si="38"/>
        <v/>
      </c>
      <c r="D987" s="573" t="str">
        <f>IFERROR(VLOOKUP(E987,Map!$B:$F,4,0),"")&amp;IFERROR(VLOOKUP(E987,Map!$B:$F,5,0),"")</f>
        <v/>
      </c>
      <c r="E987" s="574" t="str">
        <f t="shared" si="37"/>
        <v/>
      </c>
    </row>
    <row r="988" spans="2:5">
      <c r="B988" s="571" t="str">
        <f>IF(F988="","",(SUMIF(INTGRATE!$Y:$Y,data!D988,INTGRATE!$L:$L)+SUMIF(BRAN!$V:$V,data!D988,BRAN!$J:$J)))</f>
        <v/>
      </c>
      <c r="C988" s="572" t="str">
        <f t="shared" si="38"/>
        <v/>
      </c>
      <c r="D988" s="573" t="str">
        <f>IFERROR(VLOOKUP(E988,Map!$B:$F,4,0),"")&amp;IFERROR(VLOOKUP(E988,Map!$B:$F,5,0),"")</f>
        <v/>
      </c>
      <c r="E988" s="574" t="str">
        <f t="shared" si="37"/>
        <v/>
      </c>
    </row>
    <row r="989" spans="2:5">
      <c r="B989" s="571" t="str">
        <f>IF(F989="","",(SUMIF(INTGRATE!$Y:$Y,data!D989,INTGRATE!$L:$L)+SUMIF(BRAN!$V:$V,data!D989,BRAN!$J:$J)))</f>
        <v/>
      </c>
      <c r="C989" s="572" t="str">
        <f t="shared" si="38"/>
        <v/>
      </c>
      <c r="D989" s="573" t="str">
        <f>IFERROR(VLOOKUP(E989,Map!$B:$F,4,0),"")&amp;IFERROR(VLOOKUP(E989,Map!$B:$F,5,0),"")</f>
        <v/>
      </c>
      <c r="E989" s="574" t="str">
        <f t="shared" si="37"/>
        <v/>
      </c>
    </row>
    <row r="990" spans="2:5">
      <c r="B990" s="571" t="str">
        <f>IF(F990="","",(SUMIF(INTGRATE!$Y:$Y,data!D990,INTGRATE!$L:$L)+SUMIF(BRAN!$V:$V,data!D990,BRAN!$J:$J)))</f>
        <v/>
      </c>
      <c r="C990" s="572" t="str">
        <f t="shared" si="38"/>
        <v/>
      </c>
      <c r="D990" s="573" t="str">
        <f>IFERROR(VLOOKUP(E990,Map!$B:$F,4,0),"")&amp;IFERROR(VLOOKUP(E990,Map!$B:$F,5,0),"")</f>
        <v/>
      </c>
      <c r="E990" s="574" t="str">
        <f t="shared" si="37"/>
        <v/>
      </c>
    </row>
    <row r="991" spans="2:5">
      <c r="B991" s="571" t="str">
        <f>IF(F991="","",(SUMIF(INTGRATE!$Y:$Y,data!D991,INTGRATE!$L:$L)+SUMIF(BRAN!$V:$V,data!D991,BRAN!$J:$J)))</f>
        <v/>
      </c>
      <c r="C991" s="572" t="str">
        <f t="shared" si="38"/>
        <v/>
      </c>
      <c r="D991" s="573" t="str">
        <f>IFERROR(VLOOKUP(E991,Map!$B:$F,4,0),"")&amp;IFERROR(VLOOKUP(E991,Map!$B:$F,5,0),"")</f>
        <v/>
      </c>
      <c r="E991" s="574" t="str">
        <f t="shared" si="37"/>
        <v/>
      </c>
    </row>
    <row r="992" spans="2:5">
      <c r="B992" s="571" t="str">
        <f>IF(F992="","",(SUMIF(INTGRATE!$Y:$Y,data!D992,INTGRATE!$L:$L)+SUMIF(BRAN!$V:$V,data!D992,BRAN!$J:$J)))</f>
        <v/>
      </c>
      <c r="C992" s="572" t="str">
        <f t="shared" si="38"/>
        <v/>
      </c>
      <c r="D992" s="573" t="str">
        <f>IFERROR(VLOOKUP(E992,Map!$B:$F,4,0),"")&amp;IFERROR(VLOOKUP(E992,Map!$B:$F,5,0),"")</f>
        <v/>
      </c>
      <c r="E992" s="574" t="str">
        <f t="shared" ref="E992:E1055" si="39">IF(MID(F992,10,2)="99",F992&amp;H992,LEFT(F992,14))</f>
        <v/>
      </c>
    </row>
    <row r="993" spans="2:5">
      <c r="B993" s="571" t="str">
        <f>IF(F993="","",(SUMIF(INTGRATE!$Y:$Y,data!D993,INTGRATE!$L:$L)+SUMIF(BRAN!$V:$V,data!D993,BRAN!$J:$J)))</f>
        <v/>
      </c>
      <c r="C993" s="572" t="str">
        <f t="shared" si="38"/>
        <v/>
      </c>
      <c r="D993" s="573" t="str">
        <f>IFERROR(VLOOKUP(E993,Map!$B:$F,4,0),"")&amp;IFERROR(VLOOKUP(E993,Map!$B:$F,5,0),"")</f>
        <v/>
      </c>
      <c r="E993" s="574" t="str">
        <f t="shared" si="39"/>
        <v/>
      </c>
    </row>
    <row r="994" spans="2:5">
      <c r="B994" s="571" t="str">
        <f>IF(F994="","",(SUMIF(INTGRATE!$Y:$Y,data!D994,INTGRATE!$L:$L)+SUMIF(BRAN!$V:$V,data!D994,BRAN!$J:$J)))</f>
        <v/>
      </c>
      <c r="C994" s="572" t="str">
        <f t="shared" si="38"/>
        <v/>
      </c>
      <c r="D994" s="573" t="str">
        <f>IFERROR(VLOOKUP(E994,Map!$B:$F,4,0),"")&amp;IFERROR(VLOOKUP(E994,Map!$B:$F,5,0),"")</f>
        <v/>
      </c>
      <c r="E994" s="574" t="str">
        <f t="shared" si="39"/>
        <v/>
      </c>
    </row>
    <row r="995" spans="2:5">
      <c r="B995" s="571" t="str">
        <f>IF(F995="","",(SUMIF(INTGRATE!$Y:$Y,data!D995,INTGRATE!$L:$L)+SUMIF(BRAN!$V:$V,data!D995,BRAN!$J:$J)))</f>
        <v/>
      </c>
      <c r="C995" s="572" t="str">
        <f t="shared" si="38"/>
        <v/>
      </c>
      <c r="D995" s="573" t="str">
        <f>IFERROR(VLOOKUP(E995,Map!$B:$F,4,0),"")&amp;IFERROR(VLOOKUP(E995,Map!$B:$F,5,0),"")</f>
        <v/>
      </c>
      <c r="E995" s="574" t="str">
        <f t="shared" si="39"/>
        <v/>
      </c>
    </row>
    <row r="996" spans="2:5">
      <c r="B996" s="571" t="str">
        <f>IF(F996="","",(SUMIF(INTGRATE!$Y:$Y,data!D996,INTGRATE!$L:$L)+SUMIF(BRAN!$V:$V,data!D996,BRAN!$J:$J)))</f>
        <v/>
      </c>
      <c r="C996" s="572" t="str">
        <f t="shared" si="38"/>
        <v/>
      </c>
      <c r="D996" s="573" t="str">
        <f>IFERROR(VLOOKUP(E996,Map!$B:$F,4,0),"")&amp;IFERROR(VLOOKUP(E996,Map!$B:$F,5,0),"")</f>
        <v/>
      </c>
      <c r="E996" s="574" t="str">
        <f t="shared" si="39"/>
        <v/>
      </c>
    </row>
    <row r="997" spans="2:5">
      <c r="B997" s="571" t="str">
        <f>IF(F997="","",(SUMIF(INTGRATE!$Y:$Y,data!D997,INTGRATE!$L:$L)+SUMIF(BRAN!$V:$V,data!D997,BRAN!$J:$J)))</f>
        <v/>
      </c>
      <c r="C997" s="572" t="str">
        <f t="shared" si="38"/>
        <v/>
      </c>
      <c r="D997" s="573" t="str">
        <f>IFERROR(VLOOKUP(E997,Map!$B:$F,4,0),"")&amp;IFERROR(VLOOKUP(E997,Map!$B:$F,5,0),"")</f>
        <v/>
      </c>
      <c r="E997" s="574" t="str">
        <f t="shared" si="39"/>
        <v/>
      </c>
    </row>
    <row r="998" spans="2:5">
      <c r="B998" s="571" t="str">
        <f>IF(F998="","",(SUMIF(INTGRATE!$Y:$Y,data!D998,INTGRATE!$L:$L)+SUMIF(BRAN!$V:$V,data!D998,BRAN!$J:$J)))</f>
        <v/>
      </c>
      <c r="C998" s="572" t="str">
        <f t="shared" si="38"/>
        <v/>
      </c>
      <c r="D998" s="573" t="str">
        <f>IFERROR(VLOOKUP(E998,Map!$B:$F,4,0),"")&amp;IFERROR(VLOOKUP(E998,Map!$B:$F,5,0),"")</f>
        <v/>
      </c>
      <c r="E998" s="574" t="str">
        <f t="shared" si="39"/>
        <v/>
      </c>
    </row>
    <row r="999" spans="2:5">
      <c r="B999" s="571" t="str">
        <f>IF(F999="","",(SUMIF(INTGRATE!$Y:$Y,data!D999,INTGRATE!$L:$L)+SUMIF(BRAN!$V:$V,data!D999,BRAN!$J:$J)))</f>
        <v/>
      </c>
      <c r="C999" s="572" t="str">
        <f t="shared" si="38"/>
        <v/>
      </c>
      <c r="D999" s="573" t="str">
        <f>IFERROR(VLOOKUP(E999,Map!$B:$F,4,0),"")&amp;IFERROR(VLOOKUP(E999,Map!$B:$F,5,0),"")</f>
        <v/>
      </c>
      <c r="E999" s="574" t="str">
        <f t="shared" si="39"/>
        <v/>
      </c>
    </row>
    <row r="1000" spans="2:5">
      <c r="B1000" s="571" t="str">
        <f>IF(F1000="","",(SUMIF(INTGRATE!$Y:$Y,data!D1000,INTGRATE!$L:$L)+SUMIF(BRAN!$V:$V,data!D1000,BRAN!$J:$J)))</f>
        <v/>
      </c>
      <c r="C1000" s="572" t="str">
        <f t="shared" si="38"/>
        <v/>
      </c>
      <c r="D1000" s="573" t="str">
        <f>IFERROR(VLOOKUP(E1000,Map!$B:$F,4,0),"")&amp;IFERROR(VLOOKUP(E1000,Map!$B:$F,5,0),"")</f>
        <v/>
      </c>
      <c r="E1000" s="574" t="str">
        <f t="shared" si="39"/>
        <v/>
      </c>
    </row>
    <row r="1001" spans="2:5">
      <c r="B1001" s="571" t="str">
        <f>IF(F1001="","",(SUMIF(INTGRATE!$Y:$Y,data!D1001,INTGRATE!$L:$L)+SUMIF(BRAN!$V:$V,data!D1001,BRAN!$J:$J)))</f>
        <v/>
      </c>
      <c r="C1001" s="572" t="str">
        <f t="shared" si="38"/>
        <v/>
      </c>
      <c r="D1001" s="573" t="str">
        <f>IFERROR(VLOOKUP(E1001,Map!$B:$F,4,0),"")&amp;IFERROR(VLOOKUP(E1001,Map!$B:$F,5,0),"")</f>
        <v/>
      </c>
      <c r="E1001" s="574" t="str">
        <f t="shared" si="39"/>
        <v/>
      </c>
    </row>
    <row r="1002" spans="2:5">
      <c r="B1002" s="571" t="str">
        <f>IF(F1002="","",(SUMIF(INTGRATE!$Y:$Y,data!D1002,INTGRATE!$L:$L)+SUMIF(BRAN!$V:$V,data!D1002,BRAN!$J:$J)))</f>
        <v/>
      </c>
      <c r="C1002" s="572" t="str">
        <f t="shared" si="38"/>
        <v/>
      </c>
      <c r="D1002" s="573" t="str">
        <f>IFERROR(VLOOKUP(E1002,Map!$B:$F,4,0),"")&amp;IFERROR(VLOOKUP(E1002,Map!$B:$F,5,0),"")</f>
        <v/>
      </c>
      <c r="E1002" s="574" t="str">
        <f t="shared" si="39"/>
        <v/>
      </c>
    </row>
    <row r="1003" spans="2:5">
      <c r="B1003" s="571" t="str">
        <f>IF(F1003="","",(SUMIF(INTGRATE!$Y:$Y,data!D1003,INTGRATE!$L:$L)+SUMIF(BRAN!$V:$V,data!D1003,BRAN!$J:$J)))</f>
        <v/>
      </c>
      <c r="C1003" s="572" t="str">
        <f t="shared" si="38"/>
        <v/>
      </c>
      <c r="D1003" s="573" t="str">
        <f>IFERROR(VLOOKUP(E1003,Map!$B:$F,4,0),"")&amp;IFERROR(VLOOKUP(E1003,Map!$B:$F,5,0),"")</f>
        <v/>
      </c>
      <c r="E1003" s="574" t="str">
        <f t="shared" si="39"/>
        <v/>
      </c>
    </row>
    <row r="1004" spans="2:5">
      <c r="B1004" s="571" t="str">
        <f>IF(F1004="","",(SUMIF(INTGRATE!$Y:$Y,data!D1004,INTGRATE!$L:$L)+SUMIF(BRAN!$V:$V,data!D1004,BRAN!$J:$J)))</f>
        <v/>
      </c>
      <c r="C1004" s="572" t="str">
        <f t="shared" si="38"/>
        <v/>
      </c>
      <c r="D1004" s="573" t="str">
        <f>IFERROR(VLOOKUP(E1004,Map!$B:$F,4,0),"")&amp;IFERROR(VLOOKUP(E1004,Map!$B:$F,5,0),"")</f>
        <v/>
      </c>
      <c r="E1004" s="574" t="str">
        <f t="shared" si="39"/>
        <v/>
      </c>
    </row>
    <row r="1005" spans="2:5">
      <c r="B1005" s="571" t="str">
        <f>IF(F1005="","",(SUMIF(INTGRATE!$Y:$Y,data!D1005,INTGRATE!$L:$L)+SUMIF(BRAN!$V:$V,data!D1005,BRAN!$J:$J)))</f>
        <v/>
      </c>
      <c r="C1005" s="572" t="str">
        <f t="shared" si="38"/>
        <v/>
      </c>
      <c r="D1005" s="573" t="str">
        <f>IFERROR(VLOOKUP(E1005,Map!$B:$F,4,0),"")&amp;IFERROR(VLOOKUP(E1005,Map!$B:$F,5,0),"")</f>
        <v/>
      </c>
      <c r="E1005" s="574" t="str">
        <f t="shared" si="39"/>
        <v/>
      </c>
    </row>
    <row r="1006" spans="2:5">
      <c r="B1006" s="571" t="str">
        <f>IF(F1006="","",(SUMIF(INTGRATE!$Y:$Y,data!D1006,INTGRATE!$L:$L)+SUMIF(BRAN!$V:$V,data!D1006,BRAN!$J:$J)))</f>
        <v/>
      </c>
      <c r="C1006" s="572" t="str">
        <f t="shared" si="38"/>
        <v/>
      </c>
      <c r="D1006" s="573" t="str">
        <f>IFERROR(VLOOKUP(E1006,Map!$B:$F,4,0),"")&amp;IFERROR(VLOOKUP(E1006,Map!$B:$F,5,0),"")</f>
        <v/>
      </c>
      <c r="E1006" s="574" t="str">
        <f t="shared" si="39"/>
        <v/>
      </c>
    </row>
    <row r="1007" spans="2:5">
      <c r="B1007" s="571" t="str">
        <f>IF(F1007="","",(SUMIF(INTGRATE!$Y:$Y,data!D1007,INTGRATE!$L:$L)+SUMIF(BRAN!$V:$V,data!D1007,BRAN!$J:$J)))</f>
        <v/>
      </c>
      <c r="C1007" s="572" t="str">
        <f t="shared" si="38"/>
        <v/>
      </c>
      <c r="D1007" s="573" t="str">
        <f>IFERROR(VLOOKUP(E1007,Map!$B:$F,4,0),"")&amp;IFERROR(VLOOKUP(E1007,Map!$B:$F,5,0),"")</f>
        <v/>
      </c>
      <c r="E1007" s="574" t="str">
        <f t="shared" si="39"/>
        <v/>
      </c>
    </row>
    <row r="1008" spans="2:5">
      <c r="B1008" s="571" t="str">
        <f>IF(F1008="","",(SUMIF(INTGRATE!$Y:$Y,data!D1008,INTGRATE!$L:$L)+SUMIF(BRAN!$V:$V,data!D1008,BRAN!$J:$J)))</f>
        <v/>
      </c>
      <c r="C1008" s="572" t="str">
        <f t="shared" si="38"/>
        <v/>
      </c>
      <c r="D1008" s="573" t="str">
        <f>IFERROR(VLOOKUP(E1008,Map!$B:$F,4,0),"")&amp;IFERROR(VLOOKUP(E1008,Map!$B:$F,5,0),"")</f>
        <v/>
      </c>
      <c r="E1008" s="574" t="str">
        <f t="shared" si="39"/>
        <v/>
      </c>
    </row>
    <row r="1009" spans="2:5">
      <c r="B1009" s="571" t="str">
        <f>IF(F1009="","",(SUMIF(INTGRATE!$Y:$Y,data!D1009,INTGRATE!$L:$L)+SUMIF(BRAN!$V:$V,data!D1009,BRAN!$J:$J)))</f>
        <v/>
      </c>
      <c r="C1009" s="572" t="str">
        <f t="shared" si="38"/>
        <v/>
      </c>
      <c r="D1009" s="573" t="str">
        <f>IFERROR(VLOOKUP(E1009,Map!$B:$F,4,0),"")&amp;IFERROR(VLOOKUP(E1009,Map!$B:$F,5,0),"")</f>
        <v/>
      </c>
      <c r="E1009" s="574" t="str">
        <f t="shared" si="39"/>
        <v/>
      </c>
    </row>
    <row r="1010" spans="2:5">
      <c r="B1010" s="571" t="str">
        <f>IF(F1010="","",(SUMIF(INTGRATE!$Y:$Y,data!D1010,INTGRATE!$L:$L)+SUMIF(BRAN!$V:$V,data!D1010,BRAN!$J:$J)))</f>
        <v/>
      </c>
      <c r="C1010" s="572" t="str">
        <f t="shared" si="38"/>
        <v/>
      </c>
      <c r="D1010" s="573" t="str">
        <f>IFERROR(VLOOKUP(E1010,Map!$B:$F,4,0),"")&amp;IFERROR(VLOOKUP(E1010,Map!$B:$F,5,0),"")</f>
        <v/>
      </c>
      <c r="E1010" s="574" t="str">
        <f t="shared" si="39"/>
        <v/>
      </c>
    </row>
    <row r="1011" spans="2:5">
      <c r="B1011" s="571" t="str">
        <f>IF(F1011="","",(SUMIF(INTGRATE!$Y:$Y,data!D1011,INTGRATE!$L:$L)+SUMIF(BRAN!$V:$V,data!D1011,BRAN!$J:$J)))</f>
        <v/>
      </c>
      <c r="C1011" s="572" t="str">
        <f t="shared" si="38"/>
        <v/>
      </c>
      <c r="D1011" s="573" t="str">
        <f>IFERROR(VLOOKUP(E1011,Map!$B:$F,4,0),"")&amp;IFERROR(VLOOKUP(E1011,Map!$B:$F,5,0),"")</f>
        <v/>
      </c>
      <c r="E1011" s="574" t="str">
        <f t="shared" si="39"/>
        <v/>
      </c>
    </row>
    <row r="1012" spans="2:5">
      <c r="B1012" s="571" t="str">
        <f>IF(F1012="","",(SUMIF(INTGRATE!$Y:$Y,data!D1012,INTGRATE!$L:$L)+SUMIF(BRAN!$V:$V,data!D1012,BRAN!$J:$J)))</f>
        <v/>
      </c>
      <c r="C1012" s="572" t="str">
        <f t="shared" si="38"/>
        <v/>
      </c>
      <c r="D1012" s="573" t="str">
        <f>IFERROR(VLOOKUP(E1012,Map!$B:$F,4,0),"")&amp;IFERROR(VLOOKUP(E1012,Map!$B:$F,5,0),"")</f>
        <v/>
      </c>
      <c r="E1012" s="574" t="str">
        <f t="shared" si="39"/>
        <v/>
      </c>
    </row>
    <row r="1013" spans="2:5">
      <c r="B1013" s="571" t="str">
        <f>IF(F1013="","",(SUMIF(INTGRATE!$Y:$Y,data!D1013,INTGRATE!$L:$L)+SUMIF(BRAN!$V:$V,data!D1013,BRAN!$J:$J)))</f>
        <v/>
      </c>
      <c r="C1013" s="572" t="str">
        <f t="shared" si="38"/>
        <v/>
      </c>
      <c r="D1013" s="573" t="str">
        <f>IFERROR(VLOOKUP(E1013,Map!$B:$F,4,0),"")&amp;IFERROR(VLOOKUP(E1013,Map!$B:$F,5,0),"")</f>
        <v/>
      </c>
      <c r="E1013" s="574" t="str">
        <f t="shared" si="39"/>
        <v/>
      </c>
    </row>
    <row r="1014" spans="2:5">
      <c r="B1014" s="571" t="str">
        <f>IF(F1014="","",(SUMIF(INTGRATE!$Y:$Y,data!D1014,INTGRATE!$L:$L)+SUMIF(BRAN!$V:$V,data!D1014,BRAN!$J:$J)))</f>
        <v/>
      </c>
      <c r="C1014" s="572" t="str">
        <f t="shared" si="38"/>
        <v/>
      </c>
      <c r="D1014" s="573" t="str">
        <f>IFERROR(VLOOKUP(E1014,Map!$B:$F,4,0),"")&amp;IFERROR(VLOOKUP(E1014,Map!$B:$F,5,0),"")</f>
        <v/>
      </c>
      <c r="E1014" s="574" t="str">
        <f t="shared" si="39"/>
        <v/>
      </c>
    </row>
    <row r="1015" spans="2:5">
      <c r="B1015" s="571" t="str">
        <f>IF(F1015="","",(SUMIF(INTGRATE!$Y:$Y,data!D1015,INTGRATE!$L:$L)+SUMIF(BRAN!$V:$V,data!D1015,BRAN!$J:$J)))</f>
        <v/>
      </c>
      <c r="C1015" s="572" t="str">
        <f t="shared" si="38"/>
        <v/>
      </c>
      <c r="D1015" s="573" t="str">
        <f>IFERROR(VLOOKUP(E1015,Map!$B:$F,4,0),"")&amp;IFERROR(VLOOKUP(E1015,Map!$B:$F,5,0),"")</f>
        <v/>
      </c>
      <c r="E1015" s="574" t="str">
        <f t="shared" si="39"/>
        <v/>
      </c>
    </row>
    <row r="1016" spans="2:5">
      <c r="B1016" s="571" t="str">
        <f>IF(F1016="","",(SUMIF(INTGRATE!$Y:$Y,data!D1016,INTGRATE!$L:$L)+SUMIF(BRAN!$V:$V,data!D1016,BRAN!$J:$J)))</f>
        <v/>
      </c>
      <c r="C1016" s="572" t="str">
        <f t="shared" si="38"/>
        <v/>
      </c>
      <c r="D1016" s="573" t="str">
        <f>IFERROR(VLOOKUP(E1016,Map!$B:$F,4,0),"")&amp;IFERROR(VLOOKUP(E1016,Map!$B:$F,5,0),"")</f>
        <v/>
      </c>
      <c r="E1016" s="574" t="str">
        <f t="shared" si="39"/>
        <v/>
      </c>
    </row>
    <row r="1017" spans="2:5">
      <c r="B1017" s="571" t="str">
        <f>IF(F1017="","",(SUMIF(INTGRATE!$Y:$Y,data!D1017,INTGRATE!$L:$L)+SUMIF(BRAN!$V:$V,data!D1017,BRAN!$J:$J)))</f>
        <v/>
      </c>
      <c r="C1017" s="572" t="str">
        <f t="shared" si="38"/>
        <v/>
      </c>
      <c r="D1017" s="573" t="str">
        <f>IFERROR(VLOOKUP(E1017,Map!$B:$F,4,0),"")&amp;IFERROR(VLOOKUP(E1017,Map!$B:$F,5,0),"")</f>
        <v/>
      </c>
      <c r="E1017" s="574" t="str">
        <f t="shared" si="39"/>
        <v/>
      </c>
    </row>
    <row r="1018" spans="2:5">
      <c r="B1018" s="571" t="str">
        <f>IF(F1018="","",(SUMIF(INTGRATE!$Y:$Y,data!D1018,INTGRATE!$L:$L)+SUMIF(BRAN!$V:$V,data!D1018,BRAN!$J:$J)))</f>
        <v/>
      </c>
      <c r="C1018" s="572" t="str">
        <f t="shared" si="38"/>
        <v/>
      </c>
      <c r="D1018" s="573" t="str">
        <f>IFERROR(VLOOKUP(E1018,Map!$B:$F,4,0),"")&amp;IFERROR(VLOOKUP(E1018,Map!$B:$F,5,0),"")</f>
        <v/>
      </c>
      <c r="E1018" s="574" t="str">
        <f t="shared" si="39"/>
        <v/>
      </c>
    </row>
    <row r="1019" spans="2:5">
      <c r="B1019" s="571" t="str">
        <f>IF(F1019="","",(SUMIF(INTGRATE!$Y:$Y,data!D1019,INTGRATE!$L:$L)+SUMIF(BRAN!$V:$V,data!D1019,BRAN!$J:$J)))</f>
        <v/>
      </c>
      <c r="C1019" s="572" t="str">
        <f t="shared" si="38"/>
        <v/>
      </c>
      <c r="D1019" s="573" t="str">
        <f>IFERROR(VLOOKUP(E1019,Map!$B:$F,4,0),"")&amp;IFERROR(VLOOKUP(E1019,Map!$B:$F,5,0),"")</f>
        <v/>
      </c>
      <c r="E1019" s="574" t="str">
        <f t="shared" si="39"/>
        <v/>
      </c>
    </row>
    <row r="1020" spans="2:5">
      <c r="B1020" s="571" t="str">
        <f>IF(F1020="","",(SUMIF(INTGRATE!$Y:$Y,data!D1020,INTGRATE!$L:$L)+SUMIF(BRAN!$V:$V,data!D1020,BRAN!$J:$J)))</f>
        <v/>
      </c>
      <c r="C1020" s="572" t="str">
        <f t="shared" si="38"/>
        <v/>
      </c>
      <c r="D1020" s="573" t="str">
        <f>IFERROR(VLOOKUP(E1020,Map!$B:$F,4,0),"")&amp;IFERROR(VLOOKUP(E1020,Map!$B:$F,5,0),"")</f>
        <v/>
      </c>
      <c r="E1020" s="574" t="str">
        <f t="shared" si="39"/>
        <v/>
      </c>
    </row>
    <row r="1021" spans="2:5">
      <c r="B1021" s="571" t="str">
        <f>IF(F1021="","",(SUMIF(INTGRATE!$Y:$Y,data!D1021,INTGRATE!$L:$L)+SUMIF(BRAN!$V:$V,data!D1021,BRAN!$J:$J)))</f>
        <v/>
      </c>
      <c r="C1021" s="572" t="str">
        <f t="shared" si="38"/>
        <v/>
      </c>
      <c r="D1021" s="573" t="str">
        <f>IFERROR(VLOOKUP(E1021,Map!$B:$F,4,0),"")&amp;IFERROR(VLOOKUP(E1021,Map!$B:$F,5,0),"")</f>
        <v/>
      </c>
      <c r="E1021" s="574" t="str">
        <f t="shared" si="39"/>
        <v/>
      </c>
    </row>
    <row r="1022" spans="2:5">
      <c r="B1022" s="571" t="str">
        <f>IF(F1022="","",(SUMIF(INTGRATE!$Y:$Y,data!D1022,INTGRATE!$L:$L)+SUMIF(BRAN!$V:$V,data!D1022,BRAN!$J:$J)))</f>
        <v/>
      </c>
      <c r="C1022" s="572" t="str">
        <f t="shared" si="38"/>
        <v/>
      </c>
      <c r="D1022" s="573" t="str">
        <f>IFERROR(VLOOKUP(E1022,Map!$B:$F,4,0),"")&amp;IFERROR(VLOOKUP(E1022,Map!$B:$F,5,0),"")</f>
        <v/>
      </c>
      <c r="E1022" s="574" t="str">
        <f t="shared" si="39"/>
        <v/>
      </c>
    </row>
    <row r="1023" spans="2:5">
      <c r="B1023" s="571" t="str">
        <f>IF(F1023="","",(SUMIF(INTGRATE!$Y:$Y,data!D1023,INTGRATE!$L:$L)+SUMIF(BRAN!$V:$V,data!D1023,BRAN!$J:$J)))</f>
        <v/>
      </c>
      <c r="C1023" s="572" t="str">
        <f t="shared" ref="C1023:C1086" si="40">IF(F1023="","",B1023-K1023)</f>
        <v/>
      </c>
      <c r="D1023" s="573" t="str">
        <f>IFERROR(VLOOKUP(E1023,Map!$B:$F,4,0),"")&amp;IFERROR(VLOOKUP(E1023,Map!$B:$F,5,0),"")</f>
        <v/>
      </c>
      <c r="E1023" s="574" t="str">
        <f t="shared" si="39"/>
        <v/>
      </c>
    </row>
    <row r="1024" spans="2:5">
      <c r="B1024" s="571" t="str">
        <f>IF(F1024="","",(SUMIF(INTGRATE!$Y:$Y,data!D1024,INTGRATE!$L:$L)+SUMIF(BRAN!$V:$V,data!D1024,BRAN!$J:$J)))</f>
        <v/>
      </c>
      <c r="C1024" s="572" t="str">
        <f t="shared" si="40"/>
        <v/>
      </c>
      <c r="D1024" s="573" t="str">
        <f>IFERROR(VLOOKUP(E1024,Map!$B:$F,4,0),"")&amp;IFERROR(VLOOKUP(E1024,Map!$B:$F,5,0),"")</f>
        <v/>
      </c>
      <c r="E1024" s="574" t="str">
        <f t="shared" si="39"/>
        <v/>
      </c>
    </row>
    <row r="1025" spans="2:5">
      <c r="B1025" s="571" t="str">
        <f>IF(F1025="","",(SUMIF(INTGRATE!$Y:$Y,data!D1025,INTGRATE!$L:$L)+SUMIF(BRAN!$V:$V,data!D1025,BRAN!$J:$J)))</f>
        <v/>
      </c>
      <c r="C1025" s="572" t="str">
        <f t="shared" si="40"/>
        <v/>
      </c>
      <c r="D1025" s="573" t="str">
        <f>IFERROR(VLOOKUP(E1025,Map!$B:$F,4,0),"")&amp;IFERROR(VLOOKUP(E1025,Map!$B:$F,5,0),"")</f>
        <v/>
      </c>
      <c r="E1025" s="574" t="str">
        <f t="shared" si="39"/>
        <v/>
      </c>
    </row>
    <row r="1026" spans="2:5">
      <c r="B1026" s="571" t="str">
        <f>IF(F1026="","",(SUMIF(INTGRATE!$Y:$Y,data!D1026,INTGRATE!$L:$L)+SUMIF(BRAN!$V:$V,data!D1026,BRAN!$J:$J)))</f>
        <v/>
      </c>
      <c r="C1026" s="572" t="str">
        <f t="shared" si="40"/>
        <v/>
      </c>
      <c r="D1026" s="573" t="str">
        <f>IFERROR(VLOOKUP(E1026,Map!$B:$F,4,0),"")&amp;IFERROR(VLOOKUP(E1026,Map!$B:$F,5,0),"")</f>
        <v/>
      </c>
      <c r="E1026" s="574" t="str">
        <f t="shared" si="39"/>
        <v/>
      </c>
    </row>
    <row r="1027" spans="2:5">
      <c r="B1027" s="571" t="str">
        <f>IF(F1027="","",(SUMIF(INTGRATE!$Y:$Y,data!D1027,INTGRATE!$L:$L)+SUMIF(BRAN!$V:$V,data!D1027,BRAN!$J:$J)))</f>
        <v/>
      </c>
      <c r="C1027" s="572" t="str">
        <f t="shared" si="40"/>
        <v/>
      </c>
      <c r="D1027" s="573" t="str">
        <f>IFERROR(VLOOKUP(E1027,Map!$B:$F,4,0),"")&amp;IFERROR(VLOOKUP(E1027,Map!$B:$F,5,0),"")</f>
        <v/>
      </c>
      <c r="E1027" s="574" t="str">
        <f t="shared" si="39"/>
        <v/>
      </c>
    </row>
    <row r="1028" spans="2:5">
      <c r="B1028" s="571" t="str">
        <f>IF(F1028="","",(SUMIF(INTGRATE!$Y:$Y,data!D1028,INTGRATE!$L:$L)+SUMIF(BRAN!$V:$V,data!D1028,BRAN!$J:$J)))</f>
        <v/>
      </c>
      <c r="C1028" s="572" t="str">
        <f t="shared" si="40"/>
        <v/>
      </c>
      <c r="D1028" s="573" t="str">
        <f>IFERROR(VLOOKUP(E1028,Map!$B:$F,4,0),"")&amp;IFERROR(VLOOKUP(E1028,Map!$B:$F,5,0),"")</f>
        <v/>
      </c>
      <c r="E1028" s="574" t="str">
        <f t="shared" si="39"/>
        <v/>
      </c>
    </row>
    <row r="1029" spans="2:5">
      <c r="B1029" s="571" t="str">
        <f>IF(F1029="","",(SUMIF(INTGRATE!$Y:$Y,data!D1029,INTGRATE!$L:$L)+SUMIF(BRAN!$V:$V,data!D1029,BRAN!$J:$J)))</f>
        <v/>
      </c>
      <c r="C1029" s="572" t="str">
        <f t="shared" si="40"/>
        <v/>
      </c>
      <c r="D1029" s="573" t="str">
        <f>IFERROR(VLOOKUP(E1029,Map!$B:$F,4,0),"")&amp;IFERROR(VLOOKUP(E1029,Map!$B:$F,5,0),"")</f>
        <v/>
      </c>
      <c r="E1029" s="574" t="str">
        <f t="shared" si="39"/>
        <v/>
      </c>
    </row>
    <row r="1030" spans="2:5">
      <c r="B1030" s="571" t="str">
        <f>IF(F1030="","",(SUMIF(INTGRATE!$Y:$Y,data!D1030,INTGRATE!$L:$L)+SUMIF(BRAN!$V:$V,data!D1030,BRAN!$J:$J)))</f>
        <v/>
      </c>
      <c r="C1030" s="572" t="str">
        <f t="shared" si="40"/>
        <v/>
      </c>
      <c r="D1030" s="573" t="str">
        <f>IFERROR(VLOOKUP(E1030,Map!$B:$F,4,0),"")&amp;IFERROR(VLOOKUP(E1030,Map!$B:$F,5,0),"")</f>
        <v/>
      </c>
      <c r="E1030" s="574" t="str">
        <f t="shared" si="39"/>
        <v/>
      </c>
    </row>
    <row r="1031" spans="2:5">
      <c r="B1031" s="571" t="str">
        <f>IF(F1031="","",(SUMIF(INTGRATE!$Y:$Y,data!D1031,INTGRATE!$L:$L)+SUMIF(BRAN!$V:$V,data!D1031,BRAN!$J:$J)))</f>
        <v/>
      </c>
      <c r="C1031" s="572" t="str">
        <f t="shared" si="40"/>
        <v/>
      </c>
      <c r="D1031" s="573" t="str">
        <f>IFERROR(VLOOKUP(E1031,Map!$B:$F,4,0),"")&amp;IFERROR(VLOOKUP(E1031,Map!$B:$F,5,0),"")</f>
        <v/>
      </c>
      <c r="E1031" s="574" t="str">
        <f t="shared" si="39"/>
        <v/>
      </c>
    </row>
    <row r="1032" spans="2:5">
      <c r="B1032" s="571" t="str">
        <f>IF(F1032="","",(SUMIF(INTGRATE!$Y:$Y,data!D1032,INTGRATE!$L:$L)+SUMIF(BRAN!$V:$V,data!D1032,BRAN!$J:$J)))</f>
        <v/>
      </c>
      <c r="C1032" s="572" t="str">
        <f t="shared" si="40"/>
        <v/>
      </c>
      <c r="D1032" s="573" t="str">
        <f>IFERROR(VLOOKUP(E1032,Map!$B:$F,4,0),"")&amp;IFERROR(VLOOKUP(E1032,Map!$B:$F,5,0),"")</f>
        <v/>
      </c>
      <c r="E1032" s="574" t="str">
        <f t="shared" si="39"/>
        <v/>
      </c>
    </row>
    <row r="1033" spans="2:5">
      <c r="B1033" s="571" t="str">
        <f>IF(F1033="","",(SUMIF(INTGRATE!$Y:$Y,data!D1033,INTGRATE!$L:$L)+SUMIF(BRAN!$V:$V,data!D1033,BRAN!$J:$J)))</f>
        <v/>
      </c>
      <c r="C1033" s="572" t="str">
        <f t="shared" si="40"/>
        <v/>
      </c>
      <c r="D1033" s="573" t="str">
        <f>IFERROR(VLOOKUP(E1033,Map!$B:$F,4,0),"")&amp;IFERROR(VLOOKUP(E1033,Map!$B:$F,5,0),"")</f>
        <v/>
      </c>
      <c r="E1033" s="574" t="str">
        <f t="shared" si="39"/>
        <v/>
      </c>
    </row>
    <row r="1034" spans="2:5">
      <c r="B1034" s="571" t="str">
        <f>IF(F1034="","",(SUMIF(INTGRATE!$Y:$Y,data!D1034,INTGRATE!$L:$L)+SUMIF(BRAN!$V:$V,data!D1034,BRAN!$J:$J)))</f>
        <v/>
      </c>
      <c r="C1034" s="572" t="str">
        <f t="shared" si="40"/>
        <v/>
      </c>
      <c r="D1034" s="573" t="str">
        <f>IFERROR(VLOOKUP(E1034,Map!$B:$F,4,0),"")&amp;IFERROR(VLOOKUP(E1034,Map!$B:$F,5,0),"")</f>
        <v/>
      </c>
      <c r="E1034" s="574" t="str">
        <f t="shared" si="39"/>
        <v/>
      </c>
    </row>
    <row r="1035" spans="2:5">
      <c r="B1035" s="571" t="str">
        <f>IF(F1035="","",(SUMIF(INTGRATE!$Y:$Y,data!D1035,INTGRATE!$L:$L)+SUMIF(BRAN!$V:$V,data!D1035,BRAN!$J:$J)))</f>
        <v/>
      </c>
      <c r="C1035" s="572" t="str">
        <f t="shared" si="40"/>
        <v/>
      </c>
      <c r="D1035" s="573" t="str">
        <f>IFERROR(VLOOKUP(E1035,Map!$B:$F,4,0),"")&amp;IFERROR(VLOOKUP(E1035,Map!$B:$F,5,0),"")</f>
        <v/>
      </c>
      <c r="E1035" s="574" t="str">
        <f t="shared" si="39"/>
        <v/>
      </c>
    </row>
    <row r="1036" spans="2:5">
      <c r="B1036" s="571" t="str">
        <f>IF(F1036="","",(SUMIF(INTGRATE!$Y:$Y,data!D1036,INTGRATE!$L:$L)+SUMIF(BRAN!$V:$V,data!D1036,BRAN!$J:$J)))</f>
        <v/>
      </c>
      <c r="C1036" s="572" t="str">
        <f t="shared" si="40"/>
        <v/>
      </c>
      <c r="D1036" s="573" t="str">
        <f>IFERROR(VLOOKUP(E1036,Map!$B:$F,4,0),"")&amp;IFERROR(VLOOKUP(E1036,Map!$B:$F,5,0),"")</f>
        <v/>
      </c>
      <c r="E1036" s="574" t="str">
        <f t="shared" si="39"/>
        <v/>
      </c>
    </row>
    <row r="1037" spans="2:5">
      <c r="B1037" s="571" t="str">
        <f>IF(F1037="","",(SUMIF(INTGRATE!$Y:$Y,data!D1037,INTGRATE!$L:$L)+SUMIF(BRAN!$V:$V,data!D1037,BRAN!$J:$J)))</f>
        <v/>
      </c>
      <c r="C1037" s="572" t="str">
        <f t="shared" si="40"/>
        <v/>
      </c>
      <c r="D1037" s="573" t="str">
        <f>IFERROR(VLOOKUP(E1037,Map!$B:$F,4,0),"")&amp;IFERROR(VLOOKUP(E1037,Map!$B:$F,5,0),"")</f>
        <v/>
      </c>
      <c r="E1037" s="574" t="str">
        <f t="shared" si="39"/>
        <v/>
      </c>
    </row>
    <row r="1038" spans="2:5">
      <c r="B1038" s="571" t="str">
        <f>IF(F1038="","",(SUMIF(INTGRATE!$Y:$Y,data!D1038,INTGRATE!$L:$L)+SUMIF(BRAN!$V:$V,data!D1038,BRAN!$J:$J)))</f>
        <v/>
      </c>
      <c r="C1038" s="572" t="str">
        <f t="shared" si="40"/>
        <v/>
      </c>
      <c r="D1038" s="573" t="str">
        <f>IFERROR(VLOOKUP(E1038,Map!$B:$F,4,0),"")&amp;IFERROR(VLOOKUP(E1038,Map!$B:$F,5,0),"")</f>
        <v/>
      </c>
      <c r="E1038" s="574" t="str">
        <f t="shared" si="39"/>
        <v/>
      </c>
    </row>
    <row r="1039" spans="2:5">
      <c r="B1039" s="571" t="str">
        <f>IF(F1039="","",(SUMIF(INTGRATE!$Y:$Y,data!D1039,INTGRATE!$L:$L)+SUMIF(BRAN!$V:$V,data!D1039,BRAN!$J:$J)))</f>
        <v/>
      </c>
      <c r="C1039" s="572" t="str">
        <f t="shared" si="40"/>
        <v/>
      </c>
      <c r="D1039" s="573" t="str">
        <f>IFERROR(VLOOKUP(E1039,Map!$B:$F,4,0),"")&amp;IFERROR(VLOOKUP(E1039,Map!$B:$F,5,0),"")</f>
        <v/>
      </c>
      <c r="E1039" s="574" t="str">
        <f t="shared" si="39"/>
        <v/>
      </c>
    </row>
    <row r="1040" spans="2:5">
      <c r="B1040" s="571" t="str">
        <f>IF(F1040="","",(SUMIF(INTGRATE!$Y:$Y,data!D1040,INTGRATE!$L:$L)+SUMIF(BRAN!$V:$V,data!D1040,BRAN!$J:$J)))</f>
        <v/>
      </c>
      <c r="C1040" s="572" t="str">
        <f t="shared" si="40"/>
        <v/>
      </c>
      <c r="D1040" s="573" t="str">
        <f>IFERROR(VLOOKUP(E1040,Map!$B:$F,4,0),"")&amp;IFERROR(VLOOKUP(E1040,Map!$B:$F,5,0),"")</f>
        <v/>
      </c>
      <c r="E1040" s="574" t="str">
        <f t="shared" si="39"/>
        <v/>
      </c>
    </row>
    <row r="1041" spans="2:5">
      <c r="B1041" s="571" t="str">
        <f>IF(F1041="","",(SUMIF(INTGRATE!$Y:$Y,data!D1041,INTGRATE!$L:$L)+SUMIF(BRAN!$V:$V,data!D1041,BRAN!$J:$J)))</f>
        <v/>
      </c>
      <c r="C1041" s="572" t="str">
        <f t="shared" si="40"/>
        <v/>
      </c>
      <c r="D1041" s="573" t="str">
        <f>IFERROR(VLOOKUP(E1041,Map!$B:$F,4,0),"")&amp;IFERROR(VLOOKUP(E1041,Map!$B:$F,5,0),"")</f>
        <v/>
      </c>
      <c r="E1041" s="574" t="str">
        <f t="shared" si="39"/>
        <v/>
      </c>
    </row>
    <row r="1042" spans="2:5">
      <c r="B1042" s="571" t="str">
        <f>IF(F1042="","",(SUMIF(INTGRATE!$Y:$Y,data!D1042,INTGRATE!$L:$L)+SUMIF(BRAN!$V:$V,data!D1042,BRAN!$J:$J)))</f>
        <v/>
      </c>
      <c r="C1042" s="572" t="str">
        <f t="shared" si="40"/>
        <v/>
      </c>
      <c r="D1042" s="573" t="str">
        <f>IFERROR(VLOOKUP(E1042,Map!$B:$F,4,0),"")&amp;IFERROR(VLOOKUP(E1042,Map!$B:$F,5,0),"")</f>
        <v/>
      </c>
      <c r="E1042" s="574" t="str">
        <f t="shared" si="39"/>
        <v/>
      </c>
    </row>
    <row r="1043" spans="2:5">
      <c r="B1043" s="571" t="str">
        <f>IF(F1043="","",(SUMIF(INTGRATE!$Y:$Y,data!D1043,INTGRATE!$L:$L)+SUMIF(BRAN!$V:$V,data!D1043,BRAN!$J:$J)))</f>
        <v/>
      </c>
      <c r="C1043" s="572" t="str">
        <f t="shared" si="40"/>
        <v/>
      </c>
      <c r="D1043" s="573" t="str">
        <f>IFERROR(VLOOKUP(E1043,Map!$B:$F,4,0),"")&amp;IFERROR(VLOOKUP(E1043,Map!$B:$F,5,0),"")</f>
        <v/>
      </c>
      <c r="E1043" s="574" t="str">
        <f t="shared" si="39"/>
        <v/>
      </c>
    </row>
    <row r="1044" spans="2:5">
      <c r="B1044" s="571" t="str">
        <f>IF(F1044="","",(SUMIF(INTGRATE!$Y:$Y,data!D1044,INTGRATE!$L:$L)+SUMIF(BRAN!$V:$V,data!D1044,BRAN!$J:$J)))</f>
        <v/>
      </c>
      <c r="C1044" s="572" t="str">
        <f t="shared" si="40"/>
        <v/>
      </c>
      <c r="D1044" s="573" t="str">
        <f>IFERROR(VLOOKUP(E1044,Map!$B:$F,4,0),"")&amp;IFERROR(VLOOKUP(E1044,Map!$B:$F,5,0),"")</f>
        <v/>
      </c>
      <c r="E1044" s="574" t="str">
        <f t="shared" si="39"/>
        <v/>
      </c>
    </row>
    <row r="1045" spans="2:5">
      <c r="B1045" s="571" t="str">
        <f>IF(F1045="","",(SUMIF(INTGRATE!$Y:$Y,data!D1045,INTGRATE!$L:$L)+SUMIF(BRAN!$V:$V,data!D1045,BRAN!$J:$J)))</f>
        <v/>
      </c>
      <c r="C1045" s="572" t="str">
        <f t="shared" si="40"/>
        <v/>
      </c>
      <c r="D1045" s="573" t="str">
        <f>IFERROR(VLOOKUP(E1045,Map!$B:$F,4,0),"")&amp;IFERROR(VLOOKUP(E1045,Map!$B:$F,5,0),"")</f>
        <v/>
      </c>
      <c r="E1045" s="574" t="str">
        <f t="shared" si="39"/>
        <v/>
      </c>
    </row>
    <row r="1046" spans="2:5">
      <c r="B1046" s="571" t="str">
        <f>IF(F1046="","",(SUMIF(INTGRATE!$Y:$Y,data!D1046,INTGRATE!$L:$L)+SUMIF(BRAN!$V:$V,data!D1046,BRAN!$J:$J)))</f>
        <v/>
      </c>
      <c r="C1046" s="572" t="str">
        <f t="shared" si="40"/>
        <v/>
      </c>
      <c r="D1046" s="573" t="str">
        <f>IFERROR(VLOOKUP(E1046,Map!$B:$F,4,0),"")&amp;IFERROR(VLOOKUP(E1046,Map!$B:$F,5,0),"")</f>
        <v/>
      </c>
      <c r="E1046" s="574" t="str">
        <f t="shared" si="39"/>
        <v/>
      </c>
    </row>
    <row r="1047" spans="2:5">
      <c r="B1047" s="571" t="str">
        <f>IF(F1047="","",(SUMIF(INTGRATE!$Y:$Y,data!D1047,INTGRATE!$L:$L)+SUMIF(BRAN!$V:$V,data!D1047,BRAN!$J:$J)))</f>
        <v/>
      </c>
      <c r="C1047" s="572" t="str">
        <f t="shared" si="40"/>
        <v/>
      </c>
      <c r="D1047" s="573" t="str">
        <f>IFERROR(VLOOKUP(E1047,Map!$B:$F,4,0),"")&amp;IFERROR(VLOOKUP(E1047,Map!$B:$F,5,0),"")</f>
        <v/>
      </c>
      <c r="E1047" s="574" t="str">
        <f t="shared" si="39"/>
        <v/>
      </c>
    </row>
    <row r="1048" spans="2:5">
      <c r="B1048" s="571" t="str">
        <f>IF(F1048="","",(SUMIF(INTGRATE!$Y:$Y,data!D1048,INTGRATE!$L:$L)+SUMIF(BRAN!$V:$V,data!D1048,BRAN!$J:$J)))</f>
        <v/>
      </c>
      <c r="C1048" s="572" t="str">
        <f t="shared" si="40"/>
        <v/>
      </c>
      <c r="D1048" s="573" t="str">
        <f>IFERROR(VLOOKUP(E1048,Map!$B:$F,4,0),"")&amp;IFERROR(VLOOKUP(E1048,Map!$B:$F,5,0),"")</f>
        <v/>
      </c>
      <c r="E1048" s="574" t="str">
        <f t="shared" si="39"/>
        <v/>
      </c>
    </row>
    <row r="1049" spans="2:5">
      <c r="B1049" s="571" t="str">
        <f>IF(F1049="","",(SUMIF(INTGRATE!$Y:$Y,data!D1049,INTGRATE!$L:$L)+SUMIF(BRAN!$V:$V,data!D1049,BRAN!$J:$J)))</f>
        <v/>
      </c>
      <c r="C1049" s="572" t="str">
        <f t="shared" si="40"/>
        <v/>
      </c>
      <c r="D1049" s="573" t="str">
        <f>IFERROR(VLOOKUP(E1049,Map!$B:$F,4,0),"")&amp;IFERROR(VLOOKUP(E1049,Map!$B:$F,5,0),"")</f>
        <v/>
      </c>
      <c r="E1049" s="574" t="str">
        <f t="shared" si="39"/>
        <v/>
      </c>
    </row>
    <row r="1050" spans="2:5">
      <c r="B1050" s="571" t="str">
        <f>IF(F1050="","",(SUMIF(INTGRATE!$Y:$Y,data!D1050,INTGRATE!$L:$L)+SUMIF(BRAN!$V:$V,data!D1050,BRAN!$J:$J)))</f>
        <v/>
      </c>
      <c r="C1050" s="572" t="str">
        <f t="shared" si="40"/>
        <v/>
      </c>
      <c r="D1050" s="573" t="str">
        <f>IFERROR(VLOOKUP(E1050,Map!$B:$F,4,0),"")&amp;IFERROR(VLOOKUP(E1050,Map!$B:$F,5,0),"")</f>
        <v/>
      </c>
      <c r="E1050" s="574" t="str">
        <f t="shared" si="39"/>
        <v/>
      </c>
    </row>
    <row r="1051" spans="2:5">
      <c r="B1051" s="571" t="str">
        <f>IF(F1051="","",(SUMIF(INTGRATE!$Y:$Y,data!D1051,INTGRATE!$L:$L)+SUMIF(BRAN!$V:$V,data!D1051,BRAN!$J:$J)))</f>
        <v/>
      </c>
      <c r="C1051" s="572" t="str">
        <f t="shared" si="40"/>
        <v/>
      </c>
      <c r="D1051" s="573" t="str">
        <f>IFERROR(VLOOKUP(E1051,Map!$B:$F,4,0),"")&amp;IFERROR(VLOOKUP(E1051,Map!$B:$F,5,0),"")</f>
        <v/>
      </c>
      <c r="E1051" s="574" t="str">
        <f t="shared" si="39"/>
        <v/>
      </c>
    </row>
    <row r="1052" spans="2:5">
      <c r="B1052" s="571" t="str">
        <f>IF(F1052="","",(SUMIF(INTGRATE!$Y:$Y,data!D1052,INTGRATE!$L:$L)+SUMIF(BRAN!$V:$V,data!D1052,BRAN!$J:$J)))</f>
        <v/>
      </c>
      <c r="C1052" s="572" t="str">
        <f t="shared" si="40"/>
        <v/>
      </c>
      <c r="D1052" s="573" t="str">
        <f>IFERROR(VLOOKUP(E1052,Map!$B:$F,4,0),"")&amp;IFERROR(VLOOKUP(E1052,Map!$B:$F,5,0),"")</f>
        <v/>
      </c>
      <c r="E1052" s="574" t="str">
        <f t="shared" si="39"/>
        <v/>
      </c>
    </row>
    <row r="1053" spans="2:5">
      <c r="B1053" s="571" t="str">
        <f>IF(F1053="","",(SUMIF(INTGRATE!$Y:$Y,data!D1053,INTGRATE!$L:$L)+SUMIF(BRAN!$V:$V,data!D1053,BRAN!$J:$J)))</f>
        <v/>
      </c>
      <c r="C1053" s="572" t="str">
        <f t="shared" si="40"/>
        <v/>
      </c>
      <c r="D1053" s="573" t="str">
        <f>IFERROR(VLOOKUP(E1053,Map!$B:$F,4,0),"")&amp;IFERROR(VLOOKUP(E1053,Map!$B:$F,5,0),"")</f>
        <v/>
      </c>
      <c r="E1053" s="574" t="str">
        <f t="shared" si="39"/>
        <v/>
      </c>
    </row>
    <row r="1054" spans="2:5">
      <c r="B1054" s="571" t="str">
        <f>IF(F1054="","",(SUMIF(INTGRATE!$Y:$Y,data!D1054,INTGRATE!$L:$L)+SUMIF(BRAN!$V:$V,data!D1054,BRAN!$J:$J)))</f>
        <v/>
      </c>
      <c r="C1054" s="572" t="str">
        <f t="shared" si="40"/>
        <v/>
      </c>
      <c r="D1054" s="573" t="str">
        <f>IFERROR(VLOOKUP(E1054,Map!$B:$F,4,0),"")&amp;IFERROR(VLOOKUP(E1054,Map!$B:$F,5,0),"")</f>
        <v/>
      </c>
      <c r="E1054" s="574" t="str">
        <f t="shared" si="39"/>
        <v/>
      </c>
    </row>
    <row r="1055" spans="2:5">
      <c r="B1055" s="571" t="str">
        <f>IF(F1055="","",(SUMIF(INTGRATE!$Y:$Y,data!D1055,INTGRATE!$L:$L)+SUMIF(BRAN!$V:$V,data!D1055,BRAN!$J:$J)))</f>
        <v/>
      </c>
      <c r="C1055" s="572" t="str">
        <f t="shared" si="40"/>
        <v/>
      </c>
      <c r="D1055" s="573" t="str">
        <f>IFERROR(VLOOKUP(E1055,Map!$B:$F,4,0),"")&amp;IFERROR(VLOOKUP(E1055,Map!$B:$F,5,0),"")</f>
        <v/>
      </c>
      <c r="E1055" s="574" t="str">
        <f t="shared" si="39"/>
        <v/>
      </c>
    </row>
    <row r="1056" spans="2:5">
      <c r="B1056" s="571" t="str">
        <f>IF(F1056="","",(SUMIF(INTGRATE!$Y:$Y,data!D1056,INTGRATE!$L:$L)+SUMIF(BRAN!$V:$V,data!D1056,BRAN!$J:$J)))</f>
        <v/>
      </c>
      <c r="C1056" s="572" t="str">
        <f t="shared" si="40"/>
        <v/>
      </c>
      <c r="D1056" s="573" t="str">
        <f>IFERROR(VLOOKUP(E1056,Map!$B:$F,4,0),"")&amp;IFERROR(VLOOKUP(E1056,Map!$B:$F,5,0),"")</f>
        <v/>
      </c>
      <c r="E1056" s="574" t="str">
        <f t="shared" ref="E1056:E1119" si="41">IF(MID(F1056,10,2)="99",F1056&amp;H1056,LEFT(F1056,14))</f>
        <v/>
      </c>
    </row>
    <row r="1057" spans="2:5">
      <c r="B1057" s="571" t="str">
        <f>IF(F1057="","",(SUMIF(INTGRATE!$Y:$Y,data!D1057,INTGRATE!$L:$L)+SUMIF(BRAN!$V:$V,data!D1057,BRAN!$J:$J)))</f>
        <v/>
      </c>
      <c r="C1057" s="572" t="str">
        <f t="shared" si="40"/>
        <v/>
      </c>
      <c r="D1057" s="573" t="str">
        <f>IFERROR(VLOOKUP(E1057,Map!$B:$F,4,0),"")&amp;IFERROR(VLOOKUP(E1057,Map!$B:$F,5,0),"")</f>
        <v/>
      </c>
      <c r="E1057" s="574" t="str">
        <f t="shared" si="41"/>
        <v/>
      </c>
    </row>
    <row r="1058" spans="2:5">
      <c r="B1058" s="571" t="str">
        <f>IF(F1058="","",(SUMIF(INTGRATE!$Y:$Y,data!D1058,INTGRATE!$L:$L)+SUMIF(BRAN!$V:$V,data!D1058,BRAN!$J:$J)))</f>
        <v/>
      </c>
      <c r="C1058" s="572" t="str">
        <f t="shared" si="40"/>
        <v/>
      </c>
      <c r="D1058" s="573" t="str">
        <f>IFERROR(VLOOKUP(E1058,Map!$B:$F,4,0),"")&amp;IFERROR(VLOOKUP(E1058,Map!$B:$F,5,0),"")</f>
        <v/>
      </c>
      <c r="E1058" s="574" t="str">
        <f t="shared" si="41"/>
        <v/>
      </c>
    </row>
    <row r="1059" spans="2:5">
      <c r="B1059" s="571" t="str">
        <f>IF(F1059="","",(SUMIF(INTGRATE!$Y:$Y,data!D1059,INTGRATE!$L:$L)+SUMIF(BRAN!$V:$V,data!D1059,BRAN!$J:$J)))</f>
        <v/>
      </c>
      <c r="C1059" s="572" t="str">
        <f t="shared" si="40"/>
        <v/>
      </c>
      <c r="D1059" s="573" t="str">
        <f>IFERROR(VLOOKUP(E1059,Map!$B:$F,4,0),"")&amp;IFERROR(VLOOKUP(E1059,Map!$B:$F,5,0),"")</f>
        <v/>
      </c>
      <c r="E1059" s="574" t="str">
        <f t="shared" si="41"/>
        <v/>
      </c>
    </row>
    <row r="1060" spans="2:5">
      <c r="B1060" s="571" t="str">
        <f>IF(F1060="","",(SUMIF(INTGRATE!$Y:$Y,data!D1060,INTGRATE!$L:$L)+SUMIF(BRAN!$V:$V,data!D1060,BRAN!$J:$J)))</f>
        <v/>
      </c>
      <c r="C1060" s="572" t="str">
        <f t="shared" si="40"/>
        <v/>
      </c>
      <c r="D1060" s="573" t="str">
        <f>IFERROR(VLOOKUP(E1060,Map!$B:$F,4,0),"")&amp;IFERROR(VLOOKUP(E1060,Map!$B:$F,5,0),"")</f>
        <v/>
      </c>
      <c r="E1060" s="574" t="str">
        <f t="shared" si="41"/>
        <v/>
      </c>
    </row>
    <row r="1061" spans="2:5">
      <c r="B1061" s="571" t="str">
        <f>IF(F1061="","",(SUMIF(INTGRATE!$Y:$Y,data!D1061,INTGRATE!$L:$L)+SUMIF(BRAN!$V:$V,data!D1061,BRAN!$J:$J)))</f>
        <v/>
      </c>
      <c r="C1061" s="572" t="str">
        <f t="shared" si="40"/>
        <v/>
      </c>
      <c r="D1061" s="573" t="str">
        <f>IFERROR(VLOOKUP(E1061,Map!$B:$F,4,0),"")&amp;IFERROR(VLOOKUP(E1061,Map!$B:$F,5,0),"")</f>
        <v/>
      </c>
      <c r="E1061" s="574" t="str">
        <f t="shared" si="41"/>
        <v/>
      </c>
    </row>
    <row r="1062" spans="2:5">
      <c r="B1062" s="571" t="str">
        <f>IF(F1062="","",(SUMIF(INTGRATE!$Y:$Y,data!D1062,INTGRATE!$L:$L)+SUMIF(BRAN!$V:$V,data!D1062,BRAN!$J:$J)))</f>
        <v/>
      </c>
      <c r="C1062" s="572" t="str">
        <f t="shared" si="40"/>
        <v/>
      </c>
      <c r="D1062" s="573" t="str">
        <f>IFERROR(VLOOKUP(E1062,Map!$B:$F,4,0),"")&amp;IFERROR(VLOOKUP(E1062,Map!$B:$F,5,0),"")</f>
        <v/>
      </c>
      <c r="E1062" s="574" t="str">
        <f t="shared" si="41"/>
        <v/>
      </c>
    </row>
    <row r="1063" spans="2:5">
      <c r="B1063" s="571" t="str">
        <f>IF(F1063="","",(SUMIF(INTGRATE!$Y:$Y,data!D1063,INTGRATE!$L:$L)+SUMIF(BRAN!$V:$V,data!D1063,BRAN!$J:$J)))</f>
        <v/>
      </c>
      <c r="C1063" s="572" t="str">
        <f t="shared" si="40"/>
        <v/>
      </c>
      <c r="D1063" s="573" t="str">
        <f>IFERROR(VLOOKUP(E1063,Map!$B:$F,4,0),"")&amp;IFERROR(VLOOKUP(E1063,Map!$B:$F,5,0),"")</f>
        <v/>
      </c>
      <c r="E1063" s="574" t="str">
        <f t="shared" si="41"/>
        <v/>
      </c>
    </row>
    <row r="1064" spans="2:5">
      <c r="B1064" s="571" t="str">
        <f>IF(F1064="","",(SUMIF(INTGRATE!$Y:$Y,data!D1064,INTGRATE!$L:$L)+SUMIF(BRAN!$V:$V,data!D1064,BRAN!$J:$J)))</f>
        <v/>
      </c>
      <c r="C1064" s="572" t="str">
        <f t="shared" si="40"/>
        <v/>
      </c>
      <c r="D1064" s="573" t="str">
        <f>IFERROR(VLOOKUP(E1064,Map!$B:$F,4,0),"")&amp;IFERROR(VLOOKUP(E1064,Map!$B:$F,5,0),"")</f>
        <v/>
      </c>
      <c r="E1064" s="574" t="str">
        <f t="shared" si="41"/>
        <v/>
      </c>
    </row>
    <row r="1065" spans="2:5">
      <c r="B1065" s="571" t="str">
        <f>IF(F1065="","",(SUMIF(INTGRATE!$Y:$Y,data!D1065,INTGRATE!$L:$L)+SUMIF(BRAN!$V:$V,data!D1065,BRAN!$J:$J)))</f>
        <v/>
      </c>
      <c r="C1065" s="572" t="str">
        <f t="shared" si="40"/>
        <v/>
      </c>
      <c r="D1065" s="573" t="str">
        <f>IFERROR(VLOOKUP(E1065,Map!$B:$F,4,0),"")&amp;IFERROR(VLOOKUP(E1065,Map!$B:$F,5,0),"")</f>
        <v/>
      </c>
      <c r="E1065" s="574" t="str">
        <f t="shared" si="41"/>
        <v/>
      </c>
    </row>
    <row r="1066" spans="2:5">
      <c r="B1066" s="571" t="str">
        <f>IF(F1066="","",(SUMIF(INTGRATE!$Y:$Y,data!D1066,INTGRATE!$L:$L)+SUMIF(BRAN!$V:$V,data!D1066,BRAN!$J:$J)))</f>
        <v/>
      </c>
      <c r="C1066" s="572" t="str">
        <f t="shared" si="40"/>
        <v/>
      </c>
      <c r="D1066" s="573" t="str">
        <f>IFERROR(VLOOKUP(E1066,Map!$B:$F,4,0),"")&amp;IFERROR(VLOOKUP(E1066,Map!$B:$F,5,0),"")</f>
        <v/>
      </c>
      <c r="E1066" s="574" t="str">
        <f t="shared" si="41"/>
        <v/>
      </c>
    </row>
    <row r="1067" spans="2:5">
      <c r="B1067" s="571" t="str">
        <f>IF(F1067="","",(SUMIF(INTGRATE!$Y:$Y,data!D1067,INTGRATE!$L:$L)+SUMIF(BRAN!$V:$V,data!D1067,BRAN!$J:$J)))</f>
        <v/>
      </c>
      <c r="C1067" s="572" t="str">
        <f t="shared" si="40"/>
        <v/>
      </c>
      <c r="D1067" s="573" t="str">
        <f>IFERROR(VLOOKUP(E1067,Map!$B:$F,4,0),"")&amp;IFERROR(VLOOKUP(E1067,Map!$B:$F,5,0),"")</f>
        <v/>
      </c>
      <c r="E1067" s="574" t="str">
        <f t="shared" si="41"/>
        <v/>
      </c>
    </row>
    <row r="1068" spans="2:5">
      <c r="B1068" s="571" t="str">
        <f>IF(F1068="","",(SUMIF(INTGRATE!$Y:$Y,data!D1068,INTGRATE!$L:$L)+SUMIF(BRAN!$V:$V,data!D1068,BRAN!$J:$J)))</f>
        <v/>
      </c>
      <c r="C1068" s="572" t="str">
        <f t="shared" si="40"/>
        <v/>
      </c>
      <c r="D1068" s="573" t="str">
        <f>IFERROR(VLOOKUP(E1068,Map!$B:$F,4,0),"")&amp;IFERROR(VLOOKUP(E1068,Map!$B:$F,5,0),"")</f>
        <v/>
      </c>
      <c r="E1068" s="574" t="str">
        <f t="shared" si="41"/>
        <v/>
      </c>
    </row>
    <row r="1069" spans="2:5">
      <c r="B1069" s="571" t="str">
        <f>IF(F1069="","",(SUMIF(INTGRATE!$Y:$Y,data!D1069,INTGRATE!$L:$L)+SUMIF(BRAN!$V:$V,data!D1069,BRAN!$J:$J)))</f>
        <v/>
      </c>
      <c r="C1069" s="572" t="str">
        <f t="shared" si="40"/>
        <v/>
      </c>
      <c r="D1069" s="573" t="str">
        <f>IFERROR(VLOOKUP(E1069,Map!$B:$F,4,0),"")&amp;IFERROR(VLOOKUP(E1069,Map!$B:$F,5,0),"")</f>
        <v/>
      </c>
      <c r="E1069" s="574" t="str">
        <f t="shared" si="41"/>
        <v/>
      </c>
    </row>
    <row r="1070" spans="2:5">
      <c r="B1070" s="571" t="str">
        <f>IF(F1070="","",(SUMIF(INTGRATE!$Y:$Y,data!D1070,INTGRATE!$L:$L)+SUMIF(BRAN!$V:$V,data!D1070,BRAN!$J:$J)))</f>
        <v/>
      </c>
      <c r="C1070" s="572" t="str">
        <f t="shared" si="40"/>
        <v/>
      </c>
      <c r="D1070" s="573" t="str">
        <f>IFERROR(VLOOKUP(E1070,Map!$B:$F,4,0),"")&amp;IFERROR(VLOOKUP(E1070,Map!$B:$F,5,0),"")</f>
        <v/>
      </c>
      <c r="E1070" s="574" t="str">
        <f t="shared" si="41"/>
        <v/>
      </c>
    </row>
    <row r="1071" spans="2:5">
      <c r="B1071" s="571" t="str">
        <f>IF(F1071="","",(SUMIF(INTGRATE!$Y:$Y,data!D1071,INTGRATE!$L:$L)+SUMIF(BRAN!$V:$V,data!D1071,BRAN!$J:$J)))</f>
        <v/>
      </c>
      <c r="C1071" s="572" t="str">
        <f t="shared" si="40"/>
        <v/>
      </c>
      <c r="D1071" s="573" t="str">
        <f>IFERROR(VLOOKUP(E1071,Map!$B:$F,4,0),"")&amp;IFERROR(VLOOKUP(E1071,Map!$B:$F,5,0),"")</f>
        <v/>
      </c>
      <c r="E1071" s="574" t="str">
        <f t="shared" si="41"/>
        <v/>
      </c>
    </row>
    <row r="1072" spans="2:5">
      <c r="B1072" s="571" t="str">
        <f>IF(F1072="","",(SUMIF(INTGRATE!$Y:$Y,data!D1072,INTGRATE!$L:$L)+SUMIF(BRAN!$V:$V,data!D1072,BRAN!$J:$J)))</f>
        <v/>
      </c>
      <c r="C1072" s="572" t="str">
        <f t="shared" si="40"/>
        <v/>
      </c>
      <c r="D1072" s="573" t="str">
        <f>IFERROR(VLOOKUP(E1072,Map!$B:$F,4,0),"")&amp;IFERROR(VLOOKUP(E1072,Map!$B:$F,5,0),"")</f>
        <v/>
      </c>
      <c r="E1072" s="574" t="str">
        <f t="shared" si="41"/>
        <v/>
      </c>
    </row>
    <row r="1073" spans="2:5">
      <c r="B1073" s="571" t="str">
        <f>IF(F1073="","",(SUMIF(INTGRATE!$Y:$Y,data!D1073,INTGRATE!$L:$L)+SUMIF(BRAN!$V:$V,data!D1073,BRAN!$J:$J)))</f>
        <v/>
      </c>
      <c r="C1073" s="572" t="str">
        <f t="shared" si="40"/>
        <v/>
      </c>
      <c r="D1073" s="573" t="str">
        <f>IFERROR(VLOOKUP(E1073,Map!$B:$F,4,0),"")&amp;IFERROR(VLOOKUP(E1073,Map!$B:$F,5,0),"")</f>
        <v/>
      </c>
      <c r="E1073" s="574" t="str">
        <f t="shared" si="41"/>
        <v/>
      </c>
    </row>
    <row r="1074" spans="2:5">
      <c r="B1074" s="571" t="str">
        <f>IF(F1074="","",(SUMIF(INTGRATE!$Y:$Y,data!D1074,INTGRATE!$L:$L)+SUMIF(BRAN!$V:$V,data!D1074,BRAN!$J:$J)))</f>
        <v/>
      </c>
      <c r="C1074" s="572" t="str">
        <f t="shared" si="40"/>
        <v/>
      </c>
      <c r="D1074" s="573" t="str">
        <f>IFERROR(VLOOKUP(E1074,Map!$B:$F,4,0),"")&amp;IFERROR(VLOOKUP(E1074,Map!$B:$F,5,0),"")</f>
        <v/>
      </c>
      <c r="E1074" s="574" t="str">
        <f t="shared" si="41"/>
        <v/>
      </c>
    </row>
    <row r="1075" spans="2:5">
      <c r="B1075" s="571" t="str">
        <f>IF(F1075="","",(SUMIF(INTGRATE!$Y:$Y,data!D1075,INTGRATE!$L:$L)+SUMIF(BRAN!$V:$V,data!D1075,BRAN!$J:$J)))</f>
        <v/>
      </c>
      <c r="C1075" s="572" t="str">
        <f t="shared" si="40"/>
        <v/>
      </c>
      <c r="D1075" s="573" t="str">
        <f>IFERROR(VLOOKUP(E1075,Map!$B:$F,4,0),"")&amp;IFERROR(VLOOKUP(E1075,Map!$B:$F,5,0),"")</f>
        <v/>
      </c>
      <c r="E1075" s="574" t="str">
        <f t="shared" si="41"/>
        <v/>
      </c>
    </row>
    <row r="1076" spans="2:5">
      <c r="B1076" s="571" t="str">
        <f>IF(F1076="","",(SUMIF(INTGRATE!$Y:$Y,data!D1076,INTGRATE!$L:$L)+SUMIF(BRAN!$V:$V,data!D1076,BRAN!$J:$J)))</f>
        <v/>
      </c>
      <c r="C1076" s="572" t="str">
        <f t="shared" si="40"/>
        <v/>
      </c>
      <c r="D1076" s="573" t="str">
        <f>IFERROR(VLOOKUP(E1076,Map!$B:$F,4,0),"")&amp;IFERROR(VLOOKUP(E1076,Map!$B:$F,5,0),"")</f>
        <v/>
      </c>
      <c r="E1076" s="574" t="str">
        <f t="shared" si="41"/>
        <v/>
      </c>
    </row>
    <row r="1077" spans="2:5">
      <c r="B1077" s="571" t="str">
        <f>IF(F1077="","",(SUMIF(INTGRATE!$Y:$Y,data!D1077,INTGRATE!$L:$L)+SUMIF(BRAN!$V:$V,data!D1077,BRAN!$J:$J)))</f>
        <v/>
      </c>
      <c r="C1077" s="572" t="str">
        <f t="shared" si="40"/>
        <v/>
      </c>
      <c r="D1077" s="573" t="str">
        <f>IFERROR(VLOOKUP(E1077,Map!$B:$F,4,0),"")&amp;IFERROR(VLOOKUP(E1077,Map!$B:$F,5,0),"")</f>
        <v/>
      </c>
      <c r="E1077" s="574" t="str">
        <f t="shared" si="41"/>
        <v/>
      </c>
    </row>
    <row r="1078" spans="2:5">
      <c r="B1078" s="571" t="str">
        <f>IF(F1078="","",(SUMIF(INTGRATE!$Y:$Y,data!D1078,INTGRATE!$L:$L)+SUMIF(BRAN!$V:$V,data!D1078,BRAN!$J:$J)))</f>
        <v/>
      </c>
      <c r="C1078" s="572" t="str">
        <f t="shared" si="40"/>
        <v/>
      </c>
      <c r="D1078" s="573" t="str">
        <f>IFERROR(VLOOKUP(E1078,Map!$B:$F,4,0),"")&amp;IFERROR(VLOOKUP(E1078,Map!$B:$F,5,0),"")</f>
        <v/>
      </c>
      <c r="E1078" s="574" t="str">
        <f t="shared" si="41"/>
        <v/>
      </c>
    </row>
    <row r="1079" spans="2:5">
      <c r="B1079" s="571" t="str">
        <f>IF(F1079="","",(SUMIF(INTGRATE!$Y:$Y,data!D1079,INTGRATE!$L:$L)+SUMIF(BRAN!$V:$V,data!D1079,BRAN!$J:$J)))</f>
        <v/>
      </c>
      <c r="C1079" s="572" t="str">
        <f t="shared" si="40"/>
        <v/>
      </c>
      <c r="D1079" s="573" t="str">
        <f>IFERROR(VLOOKUP(E1079,Map!$B:$F,4,0),"")&amp;IFERROR(VLOOKUP(E1079,Map!$B:$F,5,0),"")</f>
        <v/>
      </c>
      <c r="E1079" s="574" t="str">
        <f t="shared" si="41"/>
        <v/>
      </c>
    </row>
    <row r="1080" spans="2:5">
      <c r="B1080" s="571" t="str">
        <f>IF(F1080="","",(SUMIF(INTGRATE!$Y:$Y,data!D1080,INTGRATE!$L:$L)+SUMIF(BRAN!$V:$V,data!D1080,BRAN!$J:$J)))</f>
        <v/>
      </c>
      <c r="C1080" s="572" t="str">
        <f t="shared" si="40"/>
        <v/>
      </c>
      <c r="D1080" s="573" t="str">
        <f>IFERROR(VLOOKUP(E1080,Map!$B:$F,4,0),"")&amp;IFERROR(VLOOKUP(E1080,Map!$B:$F,5,0),"")</f>
        <v/>
      </c>
      <c r="E1080" s="574" t="str">
        <f t="shared" si="41"/>
        <v/>
      </c>
    </row>
    <row r="1081" spans="2:5">
      <c r="B1081" s="571" t="str">
        <f>IF(F1081="","",(SUMIF(INTGRATE!$Y:$Y,data!D1081,INTGRATE!$L:$L)+SUMIF(BRAN!$V:$V,data!D1081,BRAN!$J:$J)))</f>
        <v/>
      </c>
      <c r="C1081" s="572" t="str">
        <f t="shared" si="40"/>
        <v/>
      </c>
      <c r="D1081" s="573" t="str">
        <f>IFERROR(VLOOKUP(E1081,Map!$B:$F,4,0),"")&amp;IFERROR(VLOOKUP(E1081,Map!$B:$F,5,0),"")</f>
        <v/>
      </c>
      <c r="E1081" s="574" t="str">
        <f t="shared" si="41"/>
        <v/>
      </c>
    </row>
    <row r="1082" spans="2:5">
      <c r="B1082" s="571" t="str">
        <f>IF(F1082="","",(SUMIF(INTGRATE!$Y:$Y,data!D1082,INTGRATE!$L:$L)+SUMIF(BRAN!$V:$V,data!D1082,BRAN!$J:$J)))</f>
        <v/>
      </c>
      <c r="C1082" s="572" t="str">
        <f t="shared" si="40"/>
        <v/>
      </c>
      <c r="D1082" s="573" t="str">
        <f>IFERROR(VLOOKUP(E1082,Map!$B:$F,4,0),"")&amp;IFERROR(VLOOKUP(E1082,Map!$B:$F,5,0),"")</f>
        <v/>
      </c>
      <c r="E1082" s="574" t="str">
        <f t="shared" si="41"/>
        <v/>
      </c>
    </row>
    <row r="1083" spans="2:5">
      <c r="B1083" s="571" t="str">
        <f>IF(F1083="","",(SUMIF(INTGRATE!$Y:$Y,data!D1083,INTGRATE!$L:$L)+SUMIF(BRAN!$V:$V,data!D1083,BRAN!$J:$J)))</f>
        <v/>
      </c>
      <c r="C1083" s="572" t="str">
        <f t="shared" si="40"/>
        <v/>
      </c>
      <c r="D1083" s="573" t="str">
        <f>IFERROR(VLOOKUP(E1083,Map!$B:$F,4,0),"")&amp;IFERROR(VLOOKUP(E1083,Map!$B:$F,5,0),"")</f>
        <v/>
      </c>
      <c r="E1083" s="574" t="str">
        <f t="shared" si="41"/>
        <v/>
      </c>
    </row>
    <row r="1084" spans="2:5">
      <c r="B1084" s="571" t="str">
        <f>IF(F1084="","",(SUMIF(INTGRATE!$Y:$Y,data!D1084,INTGRATE!$L:$L)+SUMIF(BRAN!$V:$V,data!D1084,BRAN!$J:$J)))</f>
        <v/>
      </c>
      <c r="C1084" s="572" t="str">
        <f t="shared" si="40"/>
        <v/>
      </c>
      <c r="D1084" s="573" t="str">
        <f>IFERROR(VLOOKUP(E1084,Map!$B:$F,4,0),"")&amp;IFERROR(VLOOKUP(E1084,Map!$B:$F,5,0),"")</f>
        <v/>
      </c>
      <c r="E1084" s="574" t="str">
        <f t="shared" si="41"/>
        <v/>
      </c>
    </row>
    <row r="1085" spans="2:5">
      <c r="B1085" s="571" t="str">
        <f>IF(F1085="","",(SUMIF(INTGRATE!$Y:$Y,data!D1085,INTGRATE!$L:$L)+SUMIF(BRAN!$V:$V,data!D1085,BRAN!$J:$J)))</f>
        <v/>
      </c>
      <c r="C1085" s="572" t="str">
        <f t="shared" si="40"/>
        <v/>
      </c>
      <c r="D1085" s="573" t="str">
        <f>IFERROR(VLOOKUP(E1085,Map!$B:$F,4,0),"")&amp;IFERROR(VLOOKUP(E1085,Map!$B:$F,5,0),"")</f>
        <v/>
      </c>
      <c r="E1085" s="574" t="str">
        <f t="shared" si="41"/>
        <v/>
      </c>
    </row>
    <row r="1086" spans="2:5">
      <c r="B1086" s="571" t="str">
        <f>IF(F1086="","",(SUMIF(INTGRATE!$Y:$Y,data!D1086,INTGRATE!$L:$L)+SUMIF(BRAN!$V:$V,data!D1086,BRAN!$J:$J)))</f>
        <v/>
      </c>
      <c r="C1086" s="572" t="str">
        <f t="shared" si="40"/>
        <v/>
      </c>
      <c r="D1086" s="573" t="str">
        <f>IFERROR(VLOOKUP(E1086,Map!$B:$F,4,0),"")&amp;IFERROR(VLOOKUP(E1086,Map!$B:$F,5,0),"")</f>
        <v/>
      </c>
      <c r="E1086" s="574" t="str">
        <f t="shared" si="41"/>
        <v/>
      </c>
    </row>
    <row r="1087" spans="2:5">
      <c r="B1087" s="571" t="str">
        <f>IF(F1087="","",(SUMIF(INTGRATE!$Y:$Y,data!D1087,INTGRATE!$L:$L)+SUMIF(BRAN!$V:$V,data!D1087,BRAN!$J:$J)))</f>
        <v/>
      </c>
      <c r="C1087" s="572" t="str">
        <f t="shared" ref="C1087:C1150" si="42">IF(F1087="","",B1087-K1087)</f>
        <v/>
      </c>
      <c r="D1087" s="573" t="str">
        <f>IFERROR(VLOOKUP(E1087,Map!$B:$F,4,0),"")&amp;IFERROR(VLOOKUP(E1087,Map!$B:$F,5,0),"")</f>
        <v/>
      </c>
      <c r="E1087" s="574" t="str">
        <f t="shared" si="41"/>
        <v/>
      </c>
    </row>
    <row r="1088" spans="2:5">
      <c r="B1088" s="571" t="str">
        <f>IF(F1088="","",(SUMIF(INTGRATE!$Y:$Y,data!D1088,INTGRATE!$L:$L)+SUMIF(BRAN!$V:$V,data!D1088,BRAN!$J:$J)))</f>
        <v/>
      </c>
      <c r="C1088" s="572" t="str">
        <f t="shared" si="42"/>
        <v/>
      </c>
      <c r="D1088" s="573" t="str">
        <f>IFERROR(VLOOKUP(E1088,Map!$B:$F,4,0),"")&amp;IFERROR(VLOOKUP(E1088,Map!$B:$F,5,0),"")</f>
        <v/>
      </c>
      <c r="E1088" s="574" t="str">
        <f t="shared" si="41"/>
        <v/>
      </c>
    </row>
    <row r="1089" spans="2:5">
      <c r="B1089" s="571" t="str">
        <f>IF(F1089="","",(SUMIF(INTGRATE!$Y:$Y,data!D1089,INTGRATE!$L:$L)+SUMIF(BRAN!$V:$V,data!D1089,BRAN!$J:$J)))</f>
        <v/>
      </c>
      <c r="C1089" s="572" t="str">
        <f t="shared" si="42"/>
        <v/>
      </c>
      <c r="D1089" s="573" t="str">
        <f>IFERROR(VLOOKUP(E1089,Map!$B:$F,4,0),"")&amp;IFERROR(VLOOKUP(E1089,Map!$B:$F,5,0),"")</f>
        <v/>
      </c>
      <c r="E1089" s="574" t="str">
        <f t="shared" si="41"/>
        <v/>
      </c>
    </row>
    <row r="1090" spans="2:5">
      <c r="B1090" s="571" t="str">
        <f>IF(F1090="","",(SUMIF(INTGRATE!$Y:$Y,data!D1090,INTGRATE!$L:$L)+SUMIF(BRAN!$V:$V,data!D1090,BRAN!$J:$J)))</f>
        <v/>
      </c>
      <c r="C1090" s="572" t="str">
        <f t="shared" si="42"/>
        <v/>
      </c>
      <c r="D1090" s="573" t="str">
        <f>IFERROR(VLOOKUP(E1090,Map!$B:$F,4,0),"")&amp;IFERROR(VLOOKUP(E1090,Map!$B:$F,5,0),"")</f>
        <v/>
      </c>
      <c r="E1090" s="574" t="str">
        <f t="shared" si="41"/>
        <v/>
      </c>
    </row>
    <row r="1091" spans="2:5">
      <c r="B1091" s="571" t="str">
        <f>IF(F1091="","",(SUMIF(INTGRATE!$Y:$Y,data!D1091,INTGRATE!$L:$L)+SUMIF(BRAN!$V:$V,data!D1091,BRAN!$J:$J)))</f>
        <v/>
      </c>
      <c r="C1091" s="572" t="str">
        <f t="shared" si="42"/>
        <v/>
      </c>
      <c r="D1091" s="573" t="str">
        <f>IFERROR(VLOOKUP(E1091,Map!$B:$F,4,0),"")&amp;IFERROR(VLOOKUP(E1091,Map!$B:$F,5,0),"")</f>
        <v/>
      </c>
      <c r="E1091" s="574" t="str">
        <f t="shared" si="41"/>
        <v/>
      </c>
    </row>
    <row r="1092" spans="2:5">
      <c r="B1092" s="571" t="str">
        <f>IF(F1092="","",(SUMIF(INTGRATE!$Y:$Y,data!D1092,INTGRATE!$L:$L)+SUMIF(BRAN!$V:$V,data!D1092,BRAN!$J:$J)))</f>
        <v/>
      </c>
      <c r="C1092" s="572" t="str">
        <f t="shared" si="42"/>
        <v/>
      </c>
      <c r="D1092" s="573" t="str">
        <f>IFERROR(VLOOKUP(E1092,Map!$B:$F,4,0),"")&amp;IFERROR(VLOOKUP(E1092,Map!$B:$F,5,0),"")</f>
        <v/>
      </c>
      <c r="E1092" s="574" t="str">
        <f t="shared" si="41"/>
        <v/>
      </c>
    </row>
    <row r="1093" spans="2:5">
      <c r="B1093" s="571" t="str">
        <f>IF(F1093="","",(SUMIF(INTGRATE!$Y:$Y,data!D1093,INTGRATE!$L:$L)+SUMIF(BRAN!$V:$V,data!D1093,BRAN!$J:$J)))</f>
        <v/>
      </c>
      <c r="C1093" s="572" t="str">
        <f t="shared" si="42"/>
        <v/>
      </c>
      <c r="D1093" s="573" t="str">
        <f>IFERROR(VLOOKUP(E1093,Map!$B:$F,4,0),"")&amp;IFERROR(VLOOKUP(E1093,Map!$B:$F,5,0),"")</f>
        <v/>
      </c>
      <c r="E1093" s="574" t="str">
        <f t="shared" si="41"/>
        <v/>
      </c>
    </row>
    <row r="1094" spans="2:5">
      <c r="B1094" s="571" t="str">
        <f>IF(F1094="","",(SUMIF(INTGRATE!$Y:$Y,data!D1094,INTGRATE!$L:$L)+SUMIF(BRAN!$V:$V,data!D1094,BRAN!$J:$J)))</f>
        <v/>
      </c>
      <c r="C1094" s="572" t="str">
        <f t="shared" si="42"/>
        <v/>
      </c>
      <c r="D1094" s="573" t="str">
        <f>IFERROR(VLOOKUP(E1094,Map!$B:$F,4,0),"")&amp;IFERROR(VLOOKUP(E1094,Map!$B:$F,5,0),"")</f>
        <v/>
      </c>
      <c r="E1094" s="574" t="str">
        <f t="shared" si="41"/>
        <v/>
      </c>
    </row>
    <row r="1095" spans="2:5">
      <c r="B1095" s="571" t="str">
        <f>IF(F1095="","",(SUMIF(INTGRATE!$Y:$Y,data!D1095,INTGRATE!$L:$L)+SUMIF(BRAN!$V:$V,data!D1095,BRAN!$J:$J)))</f>
        <v/>
      </c>
      <c r="C1095" s="572" t="str">
        <f t="shared" si="42"/>
        <v/>
      </c>
      <c r="D1095" s="573" t="str">
        <f>IFERROR(VLOOKUP(E1095,Map!$B:$F,4,0),"")&amp;IFERROR(VLOOKUP(E1095,Map!$B:$F,5,0),"")</f>
        <v/>
      </c>
      <c r="E1095" s="574" t="str">
        <f t="shared" si="41"/>
        <v/>
      </c>
    </row>
    <row r="1096" spans="2:5">
      <c r="B1096" s="571" t="str">
        <f>IF(F1096="","",(SUMIF(INTGRATE!$Y:$Y,data!D1096,INTGRATE!$L:$L)+SUMIF(BRAN!$V:$V,data!D1096,BRAN!$J:$J)))</f>
        <v/>
      </c>
      <c r="C1096" s="572" t="str">
        <f t="shared" si="42"/>
        <v/>
      </c>
      <c r="D1096" s="573" t="str">
        <f>IFERROR(VLOOKUP(E1096,Map!$B:$F,4,0),"")&amp;IFERROR(VLOOKUP(E1096,Map!$B:$F,5,0),"")</f>
        <v/>
      </c>
      <c r="E1096" s="574" t="str">
        <f t="shared" si="41"/>
        <v/>
      </c>
    </row>
    <row r="1097" spans="2:5">
      <c r="B1097" s="571" t="str">
        <f>IF(F1097="","",(SUMIF(INTGRATE!$Y:$Y,data!D1097,INTGRATE!$L:$L)+SUMIF(BRAN!$V:$V,data!D1097,BRAN!$J:$J)))</f>
        <v/>
      </c>
      <c r="C1097" s="572" t="str">
        <f t="shared" si="42"/>
        <v/>
      </c>
      <c r="D1097" s="573" t="str">
        <f>IFERROR(VLOOKUP(E1097,Map!$B:$F,4,0),"")&amp;IFERROR(VLOOKUP(E1097,Map!$B:$F,5,0),"")</f>
        <v/>
      </c>
      <c r="E1097" s="574" t="str">
        <f t="shared" si="41"/>
        <v/>
      </c>
    </row>
    <row r="1098" spans="2:5">
      <c r="B1098" s="571" t="str">
        <f>IF(F1098="","",(SUMIF(INTGRATE!$Y:$Y,data!D1098,INTGRATE!$L:$L)+SUMIF(BRAN!$V:$V,data!D1098,BRAN!$J:$J)))</f>
        <v/>
      </c>
      <c r="C1098" s="572" t="str">
        <f t="shared" si="42"/>
        <v/>
      </c>
      <c r="D1098" s="573" t="str">
        <f>IFERROR(VLOOKUP(E1098,Map!$B:$F,4,0),"")&amp;IFERROR(VLOOKUP(E1098,Map!$B:$F,5,0),"")</f>
        <v/>
      </c>
      <c r="E1098" s="574" t="str">
        <f t="shared" si="41"/>
        <v/>
      </c>
    </row>
    <row r="1099" spans="2:5">
      <c r="B1099" s="571" t="str">
        <f>IF(F1099="","",(SUMIF(INTGRATE!$Y:$Y,data!D1099,INTGRATE!$L:$L)+SUMIF(BRAN!$V:$V,data!D1099,BRAN!$J:$J)))</f>
        <v/>
      </c>
      <c r="C1099" s="572" t="str">
        <f t="shared" si="42"/>
        <v/>
      </c>
      <c r="D1099" s="573" t="str">
        <f>IFERROR(VLOOKUP(E1099,Map!$B:$F,4,0),"")&amp;IFERROR(VLOOKUP(E1099,Map!$B:$F,5,0),"")</f>
        <v/>
      </c>
      <c r="E1099" s="574" t="str">
        <f t="shared" si="41"/>
        <v/>
      </c>
    </row>
    <row r="1100" spans="2:5">
      <c r="B1100" s="571" t="str">
        <f>IF(F1100="","",(SUMIF(INTGRATE!$Y:$Y,data!D1100,INTGRATE!$L:$L)+SUMIF(BRAN!$V:$V,data!D1100,BRAN!$J:$J)))</f>
        <v/>
      </c>
      <c r="C1100" s="572" t="str">
        <f t="shared" si="42"/>
        <v/>
      </c>
      <c r="D1100" s="573" t="str">
        <f>IFERROR(VLOOKUP(E1100,Map!$B:$F,4,0),"")&amp;IFERROR(VLOOKUP(E1100,Map!$B:$F,5,0),"")</f>
        <v/>
      </c>
      <c r="E1100" s="574" t="str">
        <f t="shared" si="41"/>
        <v/>
      </c>
    </row>
    <row r="1101" spans="2:5">
      <c r="B1101" s="571" t="str">
        <f>IF(F1101="","",(SUMIF(INTGRATE!$Y:$Y,data!D1101,INTGRATE!$L:$L)+SUMIF(BRAN!$V:$V,data!D1101,BRAN!$J:$J)))</f>
        <v/>
      </c>
      <c r="C1101" s="572" t="str">
        <f t="shared" si="42"/>
        <v/>
      </c>
      <c r="D1101" s="573" t="str">
        <f>IFERROR(VLOOKUP(E1101,Map!$B:$F,4,0),"")&amp;IFERROR(VLOOKUP(E1101,Map!$B:$F,5,0),"")</f>
        <v/>
      </c>
      <c r="E1101" s="574" t="str">
        <f t="shared" si="41"/>
        <v/>
      </c>
    </row>
    <row r="1102" spans="2:5">
      <c r="B1102" s="571" t="str">
        <f>IF(F1102="","",(SUMIF(INTGRATE!$Y:$Y,data!D1102,INTGRATE!$L:$L)+SUMIF(BRAN!$V:$V,data!D1102,BRAN!$J:$J)))</f>
        <v/>
      </c>
      <c r="C1102" s="572" t="str">
        <f t="shared" si="42"/>
        <v/>
      </c>
      <c r="D1102" s="573" t="str">
        <f>IFERROR(VLOOKUP(E1102,Map!$B:$F,4,0),"")&amp;IFERROR(VLOOKUP(E1102,Map!$B:$F,5,0),"")</f>
        <v/>
      </c>
      <c r="E1102" s="574" t="str">
        <f t="shared" si="41"/>
        <v/>
      </c>
    </row>
    <row r="1103" spans="2:5">
      <c r="B1103" s="571" t="str">
        <f>IF(F1103="","",(SUMIF(INTGRATE!$Y:$Y,data!D1103,INTGRATE!$L:$L)+SUMIF(BRAN!$V:$V,data!D1103,BRAN!$J:$J)))</f>
        <v/>
      </c>
      <c r="C1103" s="572" t="str">
        <f t="shared" si="42"/>
        <v/>
      </c>
      <c r="D1103" s="573" t="str">
        <f>IFERROR(VLOOKUP(E1103,Map!$B:$F,4,0),"")&amp;IFERROR(VLOOKUP(E1103,Map!$B:$F,5,0),"")</f>
        <v/>
      </c>
      <c r="E1103" s="574" t="str">
        <f t="shared" si="41"/>
        <v/>
      </c>
    </row>
    <row r="1104" spans="2:5">
      <c r="B1104" s="571" t="str">
        <f>IF(F1104="","",(SUMIF(INTGRATE!$Y:$Y,data!D1104,INTGRATE!$L:$L)+SUMIF(BRAN!$V:$V,data!D1104,BRAN!$J:$J)))</f>
        <v/>
      </c>
      <c r="C1104" s="572" t="str">
        <f t="shared" si="42"/>
        <v/>
      </c>
      <c r="D1104" s="573" t="str">
        <f>IFERROR(VLOOKUP(E1104,Map!$B:$F,4,0),"")&amp;IFERROR(VLOOKUP(E1104,Map!$B:$F,5,0),"")</f>
        <v/>
      </c>
      <c r="E1104" s="574" t="str">
        <f t="shared" si="41"/>
        <v/>
      </c>
    </row>
    <row r="1105" spans="2:5">
      <c r="B1105" s="571" t="str">
        <f>IF(F1105="","",(SUMIF(INTGRATE!$Y:$Y,data!D1105,INTGRATE!$L:$L)+SUMIF(BRAN!$V:$V,data!D1105,BRAN!$J:$J)))</f>
        <v/>
      </c>
      <c r="C1105" s="572" t="str">
        <f t="shared" si="42"/>
        <v/>
      </c>
      <c r="D1105" s="573" t="str">
        <f>IFERROR(VLOOKUP(E1105,Map!$B:$F,4,0),"")&amp;IFERROR(VLOOKUP(E1105,Map!$B:$F,5,0),"")</f>
        <v/>
      </c>
      <c r="E1105" s="574" t="str">
        <f t="shared" si="41"/>
        <v/>
      </c>
    </row>
    <row r="1106" spans="2:5">
      <c r="B1106" s="571" t="str">
        <f>IF(F1106="","",(SUMIF(INTGRATE!$Y:$Y,data!D1106,INTGRATE!$L:$L)+SUMIF(BRAN!$V:$V,data!D1106,BRAN!$J:$J)))</f>
        <v/>
      </c>
      <c r="C1106" s="572" t="str">
        <f t="shared" si="42"/>
        <v/>
      </c>
      <c r="D1106" s="573" t="str">
        <f>IFERROR(VLOOKUP(E1106,Map!$B:$F,4,0),"")&amp;IFERROR(VLOOKUP(E1106,Map!$B:$F,5,0),"")</f>
        <v/>
      </c>
      <c r="E1106" s="574" t="str">
        <f t="shared" si="41"/>
        <v/>
      </c>
    </row>
    <row r="1107" spans="2:5">
      <c r="B1107" s="571" t="str">
        <f>IF(F1107="","",(SUMIF(INTGRATE!$Y:$Y,data!D1107,INTGRATE!$L:$L)+SUMIF(BRAN!$V:$V,data!D1107,BRAN!$J:$J)))</f>
        <v/>
      </c>
      <c r="C1107" s="572" t="str">
        <f t="shared" si="42"/>
        <v/>
      </c>
      <c r="D1107" s="573" t="str">
        <f>IFERROR(VLOOKUP(E1107,Map!$B:$F,4,0),"")&amp;IFERROR(VLOOKUP(E1107,Map!$B:$F,5,0),"")</f>
        <v/>
      </c>
      <c r="E1107" s="574" t="str">
        <f t="shared" si="41"/>
        <v/>
      </c>
    </row>
    <row r="1108" spans="2:5">
      <c r="B1108" s="571" t="str">
        <f>IF(F1108="","",(SUMIF(INTGRATE!$Y:$Y,data!D1108,INTGRATE!$L:$L)+SUMIF(BRAN!$V:$V,data!D1108,BRAN!$J:$J)))</f>
        <v/>
      </c>
      <c r="C1108" s="572" t="str">
        <f t="shared" si="42"/>
        <v/>
      </c>
      <c r="D1108" s="573" t="str">
        <f>IFERROR(VLOOKUP(E1108,Map!$B:$F,4,0),"")&amp;IFERROR(VLOOKUP(E1108,Map!$B:$F,5,0),"")</f>
        <v/>
      </c>
      <c r="E1108" s="574" t="str">
        <f t="shared" si="41"/>
        <v/>
      </c>
    </row>
    <row r="1109" spans="2:5">
      <c r="B1109" s="571" t="str">
        <f>IF(F1109="","",(SUMIF(INTGRATE!$Y:$Y,data!D1109,INTGRATE!$L:$L)+SUMIF(BRAN!$V:$V,data!D1109,BRAN!$J:$J)))</f>
        <v/>
      </c>
      <c r="C1109" s="572" t="str">
        <f t="shared" si="42"/>
        <v/>
      </c>
      <c r="D1109" s="573" t="str">
        <f>IFERROR(VLOOKUP(E1109,Map!$B:$F,4,0),"")&amp;IFERROR(VLOOKUP(E1109,Map!$B:$F,5,0),"")</f>
        <v/>
      </c>
      <c r="E1109" s="574" t="str">
        <f t="shared" si="41"/>
        <v/>
      </c>
    </row>
    <row r="1110" spans="2:5">
      <c r="B1110" s="571" t="str">
        <f>IF(F1110="","",(SUMIF(INTGRATE!$Y:$Y,data!D1110,INTGRATE!$L:$L)+SUMIF(BRAN!$V:$V,data!D1110,BRAN!$J:$J)))</f>
        <v/>
      </c>
      <c r="C1110" s="572" t="str">
        <f t="shared" si="42"/>
        <v/>
      </c>
      <c r="D1110" s="573" t="str">
        <f>IFERROR(VLOOKUP(E1110,Map!$B:$F,4,0),"")&amp;IFERROR(VLOOKUP(E1110,Map!$B:$F,5,0),"")</f>
        <v/>
      </c>
      <c r="E1110" s="574" t="str">
        <f t="shared" si="41"/>
        <v/>
      </c>
    </row>
    <row r="1111" spans="2:5">
      <c r="B1111" s="571" t="str">
        <f>IF(F1111="","",(SUMIF(INTGRATE!$Y:$Y,data!D1111,INTGRATE!$L:$L)+SUMIF(BRAN!$V:$V,data!D1111,BRAN!$J:$J)))</f>
        <v/>
      </c>
      <c r="C1111" s="572" t="str">
        <f t="shared" si="42"/>
        <v/>
      </c>
      <c r="D1111" s="573" t="str">
        <f>IFERROR(VLOOKUP(E1111,Map!$B:$F,4,0),"")&amp;IFERROR(VLOOKUP(E1111,Map!$B:$F,5,0),"")</f>
        <v/>
      </c>
      <c r="E1111" s="574" t="str">
        <f t="shared" si="41"/>
        <v/>
      </c>
    </row>
    <row r="1112" spans="2:5">
      <c r="B1112" s="571" t="str">
        <f>IF(F1112="","",(SUMIF(INTGRATE!$Y:$Y,data!D1112,INTGRATE!$L:$L)+SUMIF(BRAN!$V:$V,data!D1112,BRAN!$J:$J)))</f>
        <v/>
      </c>
      <c r="C1112" s="572" t="str">
        <f t="shared" si="42"/>
        <v/>
      </c>
      <c r="D1112" s="573" t="str">
        <f>IFERROR(VLOOKUP(E1112,Map!$B:$F,4,0),"")&amp;IFERROR(VLOOKUP(E1112,Map!$B:$F,5,0),"")</f>
        <v/>
      </c>
      <c r="E1112" s="574" t="str">
        <f t="shared" si="41"/>
        <v/>
      </c>
    </row>
    <row r="1113" spans="2:5">
      <c r="B1113" s="571" t="str">
        <f>IF(F1113="","",(SUMIF(INTGRATE!$Y:$Y,data!D1113,INTGRATE!$L:$L)+SUMIF(BRAN!$V:$V,data!D1113,BRAN!$J:$J)))</f>
        <v/>
      </c>
      <c r="C1113" s="572" t="str">
        <f t="shared" si="42"/>
        <v/>
      </c>
      <c r="D1113" s="573" t="str">
        <f>IFERROR(VLOOKUP(E1113,Map!$B:$F,4,0),"")&amp;IFERROR(VLOOKUP(E1113,Map!$B:$F,5,0),"")</f>
        <v/>
      </c>
      <c r="E1113" s="574" t="str">
        <f t="shared" si="41"/>
        <v/>
      </c>
    </row>
    <row r="1114" spans="2:5">
      <c r="B1114" s="571" t="str">
        <f>IF(F1114="","",(SUMIF(INTGRATE!$Y:$Y,data!D1114,INTGRATE!$L:$L)+SUMIF(BRAN!$V:$V,data!D1114,BRAN!$J:$J)))</f>
        <v/>
      </c>
      <c r="C1114" s="572" t="str">
        <f t="shared" si="42"/>
        <v/>
      </c>
      <c r="D1114" s="573" t="str">
        <f>IFERROR(VLOOKUP(E1114,Map!$B:$F,4,0),"")&amp;IFERROR(VLOOKUP(E1114,Map!$B:$F,5,0),"")</f>
        <v/>
      </c>
      <c r="E1114" s="574" t="str">
        <f t="shared" si="41"/>
        <v/>
      </c>
    </row>
    <row r="1115" spans="2:5">
      <c r="B1115" s="571" t="str">
        <f>IF(F1115="","",(SUMIF(INTGRATE!$Y:$Y,data!D1115,INTGRATE!$L:$L)+SUMIF(BRAN!$V:$V,data!D1115,BRAN!$J:$J)))</f>
        <v/>
      </c>
      <c r="C1115" s="572" t="str">
        <f t="shared" si="42"/>
        <v/>
      </c>
      <c r="D1115" s="573" t="str">
        <f>IFERROR(VLOOKUP(E1115,Map!$B:$F,4,0),"")&amp;IFERROR(VLOOKUP(E1115,Map!$B:$F,5,0),"")</f>
        <v/>
      </c>
      <c r="E1115" s="574" t="str">
        <f t="shared" si="41"/>
        <v/>
      </c>
    </row>
    <row r="1116" spans="2:5">
      <c r="B1116" s="571" t="str">
        <f>IF(F1116="","",(SUMIF(INTGRATE!$Y:$Y,data!D1116,INTGRATE!$L:$L)+SUMIF(BRAN!$V:$V,data!D1116,BRAN!$J:$J)))</f>
        <v/>
      </c>
      <c r="C1116" s="572" t="str">
        <f t="shared" si="42"/>
        <v/>
      </c>
      <c r="D1116" s="573" t="str">
        <f>IFERROR(VLOOKUP(E1116,Map!$B:$F,4,0),"")&amp;IFERROR(VLOOKUP(E1116,Map!$B:$F,5,0),"")</f>
        <v/>
      </c>
      <c r="E1116" s="574" t="str">
        <f t="shared" si="41"/>
        <v/>
      </c>
    </row>
    <row r="1117" spans="2:5">
      <c r="B1117" s="571" t="str">
        <f>IF(F1117="","",(SUMIF(INTGRATE!$Y:$Y,data!D1117,INTGRATE!$L:$L)+SUMIF(BRAN!$V:$V,data!D1117,BRAN!$J:$J)))</f>
        <v/>
      </c>
      <c r="C1117" s="572" t="str">
        <f t="shared" si="42"/>
        <v/>
      </c>
      <c r="D1117" s="573" t="str">
        <f>IFERROR(VLOOKUP(E1117,Map!$B:$F,4,0),"")&amp;IFERROR(VLOOKUP(E1117,Map!$B:$F,5,0),"")</f>
        <v/>
      </c>
      <c r="E1117" s="574" t="str">
        <f t="shared" si="41"/>
        <v/>
      </c>
    </row>
    <row r="1118" spans="2:5">
      <c r="B1118" s="571" t="str">
        <f>IF(F1118="","",(SUMIF(INTGRATE!$Y:$Y,data!D1118,INTGRATE!$L:$L)+SUMIF(BRAN!$V:$V,data!D1118,BRAN!$J:$J)))</f>
        <v/>
      </c>
      <c r="C1118" s="572" t="str">
        <f t="shared" si="42"/>
        <v/>
      </c>
      <c r="D1118" s="573" t="str">
        <f>IFERROR(VLOOKUP(E1118,Map!$B:$F,4,0),"")&amp;IFERROR(VLOOKUP(E1118,Map!$B:$F,5,0),"")</f>
        <v/>
      </c>
      <c r="E1118" s="574" t="str">
        <f t="shared" si="41"/>
        <v/>
      </c>
    </row>
    <row r="1119" spans="2:5">
      <c r="B1119" s="571" t="str">
        <f>IF(F1119="","",(SUMIF(INTGRATE!$Y:$Y,data!D1119,INTGRATE!$L:$L)+SUMIF(BRAN!$V:$V,data!D1119,BRAN!$J:$J)))</f>
        <v/>
      </c>
      <c r="C1119" s="572" t="str">
        <f t="shared" si="42"/>
        <v/>
      </c>
      <c r="D1119" s="573" t="str">
        <f>IFERROR(VLOOKUP(E1119,Map!$B:$F,4,0),"")&amp;IFERROR(VLOOKUP(E1119,Map!$B:$F,5,0),"")</f>
        <v/>
      </c>
      <c r="E1119" s="574" t="str">
        <f t="shared" si="41"/>
        <v/>
      </c>
    </row>
    <row r="1120" spans="2:5">
      <c r="B1120" s="571" t="str">
        <f>IF(F1120="","",(SUMIF(INTGRATE!$Y:$Y,data!D1120,INTGRATE!$L:$L)+SUMIF(BRAN!$V:$V,data!D1120,BRAN!$J:$J)))</f>
        <v/>
      </c>
      <c r="C1120" s="572" t="str">
        <f t="shared" si="42"/>
        <v/>
      </c>
      <c r="D1120" s="573" t="str">
        <f>IFERROR(VLOOKUP(E1120,Map!$B:$F,4,0),"")&amp;IFERROR(VLOOKUP(E1120,Map!$B:$F,5,0),"")</f>
        <v/>
      </c>
      <c r="E1120" s="574" t="str">
        <f t="shared" ref="E1120:E1183" si="43">IF(MID(F1120,10,2)="99",F1120&amp;H1120,LEFT(F1120,14))</f>
        <v/>
      </c>
    </row>
    <row r="1121" spans="2:5">
      <c r="B1121" s="571" t="str">
        <f>IF(F1121="","",(SUMIF(INTGRATE!$Y:$Y,data!D1121,INTGRATE!$L:$L)+SUMIF(BRAN!$V:$V,data!D1121,BRAN!$J:$J)))</f>
        <v/>
      </c>
      <c r="C1121" s="572" t="str">
        <f t="shared" si="42"/>
        <v/>
      </c>
      <c r="D1121" s="573" t="str">
        <f>IFERROR(VLOOKUP(E1121,Map!$B:$F,4,0),"")&amp;IFERROR(VLOOKUP(E1121,Map!$B:$F,5,0),"")</f>
        <v/>
      </c>
      <c r="E1121" s="574" t="str">
        <f t="shared" si="43"/>
        <v/>
      </c>
    </row>
    <row r="1122" spans="2:5">
      <c r="B1122" s="571" t="str">
        <f>IF(F1122="","",(SUMIF(INTGRATE!$Y:$Y,data!D1122,INTGRATE!$L:$L)+SUMIF(BRAN!$V:$V,data!D1122,BRAN!$J:$J)))</f>
        <v/>
      </c>
      <c r="C1122" s="572" t="str">
        <f t="shared" si="42"/>
        <v/>
      </c>
      <c r="D1122" s="573" t="str">
        <f>IFERROR(VLOOKUP(E1122,Map!$B:$F,4,0),"")&amp;IFERROR(VLOOKUP(E1122,Map!$B:$F,5,0),"")</f>
        <v/>
      </c>
      <c r="E1122" s="574" t="str">
        <f t="shared" si="43"/>
        <v/>
      </c>
    </row>
    <row r="1123" spans="2:5">
      <c r="B1123" s="571" t="str">
        <f>IF(F1123="","",(SUMIF(INTGRATE!$Y:$Y,data!D1123,INTGRATE!$L:$L)+SUMIF(BRAN!$V:$V,data!D1123,BRAN!$J:$J)))</f>
        <v/>
      </c>
      <c r="C1123" s="572" t="str">
        <f t="shared" si="42"/>
        <v/>
      </c>
      <c r="D1123" s="573" t="str">
        <f>IFERROR(VLOOKUP(E1123,Map!$B:$F,4,0),"")&amp;IFERROR(VLOOKUP(E1123,Map!$B:$F,5,0),"")</f>
        <v/>
      </c>
      <c r="E1123" s="574" t="str">
        <f t="shared" si="43"/>
        <v/>
      </c>
    </row>
    <row r="1124" spans="2:5">
      <c r="B1124" s="571" t="str">
        <f>IF(F1124="","",(SUMIF(INTGRATE!$Y:$Y,data!D1124,INTGRATE!$L:$L)+SUMIF(BRAN!$V:$V,data!D1124,BRAN!$J:$J)))</f>
        <v/>
      </c>
      <c r="C1124" s="572" t="str">
        <f t="shared" si="42"/>
        <v/>
      </c>
      <c r="D1124" s="573" t="str">
        <f>IFERROR(VLOOKUP(E1124,Map!$B:$F,4,0),"")&amp;IFERROR(VLOOKUP(E1124,Map!$B:$F,5,0),"")</f>
        <v/>
      </c>
      <c r="E1124" s="574" t="str">
        <f t="shared" si="43"/>
        <v/>
      </c>
    </row>
    <row r="1125" spans="2:5">
      <c r="B1125" s="571" t="str">
        <f>IF(F1125="","",(SUMIF(INTGRATE!$Y:$Y,data!D1125,INTGRATE!$L:$L)+SUMIF(BRAN!$V:$V,data!D1125,BRAN!$J:$J)))</f>
        <v/>
      </c>
      <c r="C1125" s="572" t="str">
        <f t="shared" si="42"/>
        <v/>
      </c>
      <c r="D1125" s="573" t="str">
        <f>IFERROR(VLOOKUP(E1125,Map!$B:$F,4,0),"")&amp;IFERROR(VLOOKUP(E1125,Map!$B:$F,5,0),"")</f>
        <v/>
      </c>
      <c r="E1125" s="574" t="str">
        <f t="shared" si="43"/>
        <v/>
      </c>
    </row>
    <row r="1126" spans="2:5">
      <c r="B1126" s="571" t="str">
        <f>IF(F1126="","",(SUMIF(INTGRATE!$Y:$Y,data!D1126,INTGRATE!$L:$L)+SUMIF(BRAN!$V:$V,data!D1126,BRAN!$J:$J)))</f>
        <v/>
      </c>
      <c r="C1126" s="572" t="str">
        <f t="shared" si="42"/>
        <v/>
      </c>
      <c r="D1126" s="573" t="str">
        <f>IFERROR(VLOOKUP(E1126,Map!$B:$F,4,0),"")&amp;IFERROR(VLOOKUP(E1126,Map!$B:$F,5,0),"")</f>
        <v/>
      </c>
      <c r="E1126" s="574" t="str">
        <f t="shared" si="43"/>
        <v/>
      </c>
    </row>
    <row r="1127" spans="2:5">
      <c r="B1127" s="571" t="str">
        <f>IF(F1127="","",(SUMIF(INTGRATE!$Y:$Y,data!D1127,INTGRATE!$L:$L)+SUMIF(BRAN!$V:$V,data!D1127,BRAN!$J:$J)))</f>
        <v/>
      </c>
      <c r="C1127" s="572" t="str">
        <f t="shared" si="42"/>
        <v/>
      </c>
      <c r="D1127" s="573" t="str">
        <f>IFERROR(VLOOKUP(E1127,Map!$B:$F,4,0),"")&amp;IFERROR(VLOOKUP(E1127,Map!$B:$F,5,0),"")</f>
        <v/>
      </c>
      <c r="E1127" s="574" t="str">
        <f t="shared" si="43"/>
        <v/>
      </c>
    </row>
    <row r="1128" spans="2:5">
      <c r="B1128" s="571" t="str">
        <f>IF(F1128="","",(SUMIF(INTGRATE!$Y:$Y,data!D1128,INTGRATE!$L:$L)+SUMIF(BRAN!$V:$V,data!D1128,BRAN!$J:$J)))</f>
        <v/>
      </c>
      <c r="C1128" s="572" t="str">
        <f t="shared" si="42"/>
        <v/>
      </c>
      <c r="D1128" s="573" t="str">
        <f>IFERROR(VLOOKUP(E1128,Map!$B:$F,4,0),"")&amp;IFERROR(VLOOKUP(E1128,Map!$B:$F,5,0),"")</f>
        <v/>
      </c>
      <c r="E1128" s="574" t="str">
        <f t="shared" si="43"/>
        <v/>
      </c>
    </row>
    <row r="1129" spans="2:5">
      <c r="B1129" s="571" t="str">
        <f>IF(F1129="","",(SUMIF(INTGRATE!$Y:$Y,data!D1129,INTGRATE!$L:$L)+SUMIF(BRAN!$V:$V,data!D1129,BRAN!$J:$J)))</f>
        <v/>
      </c>
      <c r="C1129" s="572" t="str">
        <f t="shared" si="42"/>
        <v/>
      </c>
      <c r="D1129" s="573" t="str">
        <f>IFERROR(VLOOKUP(E1129,Map!$B:$F,4,0),"")&amp;IFERROR(VLOOKUP(E1129,Map!$B:$F,5,0),"")</f>
        <v/>
      </c>
      <c r="E1129" s="574" t="str">
        <f t="shared" si="43"/>
        <v/>
      </c>
    </row>
    <row r="1130" spans="2:5">
      <c r="B1130" s="571" t="str">
        <f>IF(F1130="","",(SUMIF(INTGRATE!$Y:$Y,data!D1130,INTGRATE!$L:$L)+SUMIF(BRAN!$V:$V,data!D1130,BRAN!$J:$J)))</f>
        <v/>
      </c>
      <c r="C1130" s="572" t="str">
        <f t="shared" si="42"/>
        <v/>
      </c>
      <c r="D1130" s="573" t="str">
        <f>IFERROR(VLOOKUP(E1130,Map!$B:$F,4,0),"")&amp;IFERROR(VLOOKUP(E1130,Map!$B:$F,5,0),"")</f>
        <v/>
      </c>
      <c r="E1130" s="574" t="str">
        <f t="shared" si="43"/>
        <v/>
      </c>
    </row>
    <row r="1131" spans="2:5">
      <c r="B1131" s="571" t="str">
        <f>IF(F1131="","",(SUMIF(INTGRATE!$Y:$Y,data!D1131,INTGRATE!$L:$L)+SUMIF(BRAN!$V:$V,data!D1131,BRAN!$J:$J)))</f>
        <v/>
      </c>
      <c r="C1131" s="572" t="str">
        <f t="shared" si="42"/>
        <v/>
      </c>
      <c r="D1131" s="573" t="str">
        <f>IFERROR(VLOOKUP(E1131,Map!$B:$F,4,0),"")&amp;IFERROR(VLOOKUP(E1131,Map!$B:$F,5,0),"")</f>
        <v/>
      </c>
      <c r="E1131" s="574" t="str">
        <f t="shared" si="43"/>
        <v/>
      </c>
    </row>
    <row r="1132" spans="2:5">
      <c r="B1132" s="571" t="str">
        <f>IF(F1132="","",(SUMIF(INTGRATE!$Y:$Y,data!D1132,INTGRATE!$L:$L)+SUMIF(BRAN!$V:$V,data!D1132,BRAN!$J:$J)))</f>
        <v/>
      </c>
      <c r="C1132" s="572" t="str">
        <f t="shared" si="42"/>
        <v/>
      </c>
      <c r="D1132" s="573" t="str">
        <f>IFERROR(VLOOKUP(E1132,Map!$B:$F,4,0),"")&amp;IFERROR(VLOOKUP(E1132,Map!$B:$F,5,0),"")</f>
        <v/>
      </c>
      <c r="E1132" s="574" t="str">
        <f t="shared" si="43"/>
        <v/>
      </c>
    </row>
    <row r="1133" spans="2:5">
      <c r="B1133" s="571" t="str">
        <f>IF(F1133="","",(SUMIF(INTGRATE!$Y:$Y,data!D1133,INTGRATE!$L:$L)+SUMIF(BRAN!$V:$V,data!D1133,BRAN!$J:$J)))</f>
        <v/>
      </c>
      <c r="C1133" s="572" t="str">
        <f t="shared" si="42"/>
        <v/>
      </c>
      <c r="D1133" s="573" t="str">
        <f>IFERROR(VLOOKUP(E1133,Map!$B:$F,4,0),"")&amp;IFERROR(VLOOKUP(E1133,Map!$B:$F,5,0),"")</f>
        <v/>
      </c>
      <c r="E1133" s="574" t="str">
        <f t="shared" si="43"/>
        <v/>
      </c>
    </row>
    <row r="1134" spans="2:5">
      <c r="B1134" s="571" t="str">
        <f>IF(F1134="","",(SUMIF(INTGRATE!$Y:$Y,data!D1134,INTGRATE!$L:$L)+SUMIF(BRAN!$V:$V,data!D1134,BRAN!$J:$J)))</f>
        <v/>
      </c>
      <c r="C1134" s="572" t="str">
        <f t="shared" si="42"/>
        <v/>
      </c>
      <c r="D1134" s="573" t="str">
        <f>IFERROR(VLOOKUP(E1134,Map!$B:$F,4,0),"")&amp;IFERROR(VLOOKUP(E1134,Map!$B:$F,5,0),"")</f>
        <v/>
      </c>
      <c r="E1134" s="574" t="str">
        <f t="shared" si="43"/>
        <v/>
      </c>
    </row>
    <row r="1135" spans="2:5">
      <c r="B1135" s="571" t="str">
        <f>IF(F1135="","",(SUMIF(INTGRATE!$Y:$Y,data!D1135,INTGRATE!$L:$L)+SUMIF(BRAN!$V:$V,data!D1135,BRAN!$J:$J)))</f>
        <v/>
      </c>
      <c r="C1135" s="572" t="str">
        <f t="shared" si="42"/>
        <v/>
      </c>
      <c r="D1135" s="573" t="str">
        <f>IFERROR(VLOOKUP(E1135,Map!$B:$F,4,0),"")&amp;IFERROR(VLOOKUP(E1135,Map!$B:$F,5,0),"")</f>
        <v/>
      </c>
      <c r="E1135" s="574" t="str">
        <f t="shared" si="43"/>
        <v/>
      </c>
    </row>
    <row r="1136" spans="2:5">
      <c r="B1136" s="571" t="str">
        <f>IF(F1136="","",(SUMIF(INTGRATE!$Y:$Y,data!D1136,INTGRATE!$L:$L)+SUMIF(BRAN!$V:$V,data!D1136,BRAN!$J:$J)))</f>
        <v/>
      </c>
      <c r="C1136" s="572" t="str">
        <f t="shared" si="42"/>
        <v/>
      </c>
      <c r="D1136" s="573" t="str">
        <f>IFERROR(VLOOKUP(E1136,Map!$B:$F,4,0),"")&amp;IFERROR(VLOOKUP(E1136,Map!$B:$F,5,0),"")</f>
        <v/>
      </c>
      <c r="E1136" s="574" t="str">
        <f t="shared" si="43"/>
        <v/>
      </c>
    </row>
    <row r="1137" spans="2:5">
      <c r="B1137" s="571" t="str">
        <f>IF(F1137="","",(SUMIF(INTGRATE!$Y:$Y,data!D1137,INTGRATE!$L:$L)+SUMIF(BRAN!$V:$V,data!D1137,BRAN!$J:$J)))</f>
        <v/>
      </c>
      <c r="C1137" s="572" t="str">
        <f t="shared" si="42"/>
        <v/>
      </c>
      <c r="D1137" s="573" t="str">
        <f>IFERROR(VLOOKUP(E1137,Map!$B:$F,4,0),"")&amp;IFERROR(VLOOKUP(E1137,Map!$B:$F,5,0),"")</f>
        <v/>
      </c>
      <c r="E1137" s="574" t="str">
        <f t="shared" si="43"/>
        <v/>
      </c>
    </row>
    <row r="1138" spans="2:5">
      <c r="B1138" s="571" t="str">
        <f>IF(F1138="","",(SUMIF(INTGRATE!$Y:$Y,data!D1138,INTGRATE!$L:$L)+SUMIF(BRAN!$V:$V,data!D1138,BRAN!$J:$J)))</f>
        <v/>
      </c>
      <c r="C1138" s="572" t="str">
        <f t="shared" si="42"/>
        <v/>
      </c>
      <c r="D1138" s="573" t="str">
        <f>IFERROR(VLOOKUP(E1138,Map!$B:$F,4,0),"")&amp;IFERROR(VLOOKUP(E1138,Map!$B:$F,5,0),"")</f>
        <v/>
      </c>
      <c r="E1138" s="574" t="str">
        <f t="shared" si="43"/>
        <v/>
      </c>
    </row>
    <row r="1139" spans="2:5">
      <c r="B1139" s="571" t="str">
        <f>IF(F1139="","",(SUMIF(INTGRATE!$Y:$Y,data!D1139,INTGRATE!$L:$L)+SUMIF(BRAN!$V:$V,data!D1139,BRAN!$J:$J)))</f>
        <v/>
      </c>
      <c r="C1139" s="572" t="str">
        <f t="shared" si="42"/>
        <v/>
      </c>
      <c r="D1139" s="573" t="str">
        <f>IFERROR(VLOOKUP(E1139,Map!$B:$F,4,0),"")&amp;IFERROR(VLOOKUP(E1139,Map!$B:$F,5,0),"")</f>
        <v/>
      </c>
      <c r="E1139" s="574" t="str">
        <f t="shared" si="43"/>
        <v/>
      </c>
    </row>
    <row r="1140" spans="2:5">
      <c r="B1140" s="571" t="str">
        <f>IF(F1140="","",(SUMIF(INTGRATE!$Y:$Y,data!D1140,INTGRATE!$L:$L)+SUMIF(BRAN!$V:$V,data!D1140,BRAN!$J:$J)))</f>
        <v/>
      </c>
      <c r="C1140" s="572" t="str">
        <f t="shared" si="42"/>
        <v/>
      </c>
      <c r="D1140" s="573" t="str">
        <f>IFERROR(VLOOKUP(E1140,Map!$B:$F,4,0),"")&amp;IFERROR(VLOOKUP(E1140,Map!$B:$F,5,0),"")</f>
        <v/>
      </c>
      <c r="E1140" s="574" t="str">
        <f t="shared" si="43"/>
        <v/>
      </c>
    </row>
    <row r="1141" spans="2:5">
      <c r="B1141" s="571" t="str">
        <f>IF(F1141="","",(SUMIF(INTGRATE!$Y:$Y,data!D1141,INTGRATE!$L:$L)+SUMIF(BRAN!$V:$V,data!D1141,BRAN!$J:$J)))</f>
        <v/>
      </c>
      <c r="C1141" s="572" t="str">
        <f t="shared" si="42"/>
        <v/>
      </c>
      <c r="D1141" s="573" t="str">
        <f>IFERROR(VLOOKUP(E1141,Map!$B:$F,4,0),"")&amp;IFERROR(VLOOKUP(E1141,Map!$B:$F,5,0),"")</f>
        <v/>
      </c>
      <c r="E1141" s="574" t="str">
        <f t="shared" si="43"/>
        <v/>
      </c>
    </row>
    <row r="1142" spans="2:5">
      <c r="B1142" s="571" t="str">
        <f>IF(F1142="","",(SUMIF(INTGRATE!$Y:$Y,data!D1142,INTGRATE!$L:$L)+SUMIF(BRAN!$V:$V,data!D1142,BRAN!$J:$J)))</f>
        <v/>
      </c>
      <c r="C1142" s="572" t="str">
        <f t="shared" si="42"/>
        <v/>
      </c>
      <c r="D1142" s="573" t="str">
        <f>IFERROR(VLOOKUP(E1142,Map!$B:$F,4,0),"")&amp;IFERROR(VLOOKUP(E1142,Map!$B:$F,5,0),"")</f>
        <v/>
      </c>
      <c r="E1142" s="574" t="str">
        <f t="shared" si="43"/>
        <v/>
      </c>
    </row>
    <row r="1143" spans="2:5">
      <c r="B1143" s="571" t="str">
        <f>IF(F1143="","",(SUMIF(INTGRATE!$Y:$Y,data!D1143,INTGRATE!$L:$L)+SUMIF(BRAN!$V:$V,data!D1143,BRAN!$J:$J)))</f>
        <v/>
      </c>
      <c r="C1143" s="572" t="str">
        <f t="shared" si="42"/>
        <v/>
      </c>
      <c r="D1143" s="573" t="str">
        <f>IFERROR(VLOOKUP(E1143,Map!$B:$F,4,0),"")&amp;IFERROR(VLOOKUP(E1143,Map!$B:$F,5,0),"")</f>
        <v/>
      </c>
      <c r="E1143" s="574" t="str">
        <f t="shared" si="43"/>
        <v/>
      </c>
    </row>
    <row r="1144" spans="2:5">
      <c r="B1144" s="571" t="str">
        <f>IF(F1144="","",(SUMIF(INTGRATE!$Y:$Y,data!D1144,INTGRATE!$L:$L)+SUMIF(BRAN!$V:$V,data!D1144,BRAN!$J:$J)))</f>
        <v/>
      </c>
      <c r="C1144" s="572" t="str">
        <f t="shared" si="42"/>
        <v/>
      </c>
      <c r="D1144" s="573" t="str">
        <f>IFERROR(VLOOKUP(E1144,Map!$B:$F,4,0),"")&amp;IFERROR(VLOOKUP(E1144,Map!$B:$F,5,0),"")</f>
        <v/>
      </c>
      <c r="E1144" s="574" t="str">
        <f t="shared" si="43"/>
        <v/>
      </c>
    </row>
    <row r="1145" spans="2:5">
      <c r="B1145" s="571" t="str">
        <f>IF(F1145="","",(SUMIF(INTGRATE!$Y:$Y,data!D1145,INTGRATE!$L:$L)+SUMIF(BRAN!$V:$V,data!D1145,BRAN!$J:$J)))</f>
        <v/>
      </c>
      <c r="C1145" s="572" t="str">
        <f t="shared" si="42"/>
        <v/>
      </c>
      <c r="D1145" s="573" t="str">
        <f>IFERROR(VLOOKUP(E1145,Map!$B:$F,4,0),"")&amp;IFERROR(VLOOKUP(E1145,Map!$B:$F,5,0),"")</f>
        <v/>
      </c>
      <c r="E1145" s="574" t="str">
        <f t="shared" si="43"/>
        <v/>
      </c>
    </row>
    <row r="1146" spans="2:5">
      <c r="B1146" s="571" t="str">
        <f>IF(F1146="","",(SUMIF(INTGRATE!$Y:$Y,data!D1146,INTGRATE!$L:$L)+SUMIF(BRAN!$V:$V,data!D1146,BRAN!$J:$J)))</f>
        <v/>
      </c>
      <c r="C1146" s="572" t="str">
        <f t="shared" si="42"/>
        <v/>
      </c>
      <c r="D1146" s="573" t="str">
        <f>IFERROR(VLOOKUP(E1146,Map!$B:$F,4,0),"")&amp;IFERROR(VLOOKUP(E1146,Map!$B:$F,5,0),"")</f>
        <v/>
      </c>
      <c r="E1146" s="574" t="str">
        <f t="shared" si="43"/>
        <v/>
      </c>
    </row>
    <row r="1147" spans="2:5">
      <c r="B1147" s="571" t="str">
        <f>IF(F1147="","",(SUMIF(INTGRATE!$Y:$Y,data!D1147,INTGRATE!$L:$L)+SUMIF(BRAN!$V:$V,data!D1147,BRAN!$J:$J)))</f>
        <v/>
      </c>
      <c r="C1147" s="572" t="str">
        <f t="shared" si="42"/>
        <v/>
      </c>
      <c r="D1147" s="573" t="str">
        <f>IFERROR(VLOOKUP(E1147,Map!$B:$F,4,0),"")&amp;IFERROR(VLOOKUP(E1147,Map!$B:$F,5,0),"")</f>
        <v/>
      </c>
      <c r="E1147" s="574" t="str">
        <f t="shared" si="43"/>
        <v/>
      </c>
    </row>
    <row r="1148" spans="2:5">
      <c r="B1148" s="571" t="str">
        <f>IF(F1148="","",(SUMIF(INTGRATE!$Y:$Y,data!D1148,INTGRATE!$L:$L)+SUMIF(BRAN!$V:$V,data!D1148,BRAN!$J:$J)))</f>
        <v/>
      </c>
      <c r="C1148" s="572" t="str">
        <f t="shared" si="42"/>
        <v/>
      </c>
      <c r="D1148" s="573" t="str">
        <f>IFERROR(VLOOKUP(E1148,Map!$B:$F,4,0),"")&amp;IFERROR(VLOOKUP(E1148,Map!$B:$F,5,0),"")</f>
        <v/>
      </c>
      <c r="E1148" s="574" t="str">
        <f t="shared" si="43"/>
        <v/>
      </c>
    </row>
    <row r="1149" spans="2:5">
      <c r="B1149" s="571" t="str">
        <f>IF(F1149="","",(SUMIF(INTGRATE!$Y:$Y,data!D1149,INTGRATE!$L:$L)+SUMIF(BRAN!$V:$V,data!D1149,BRAN!$J:$J)))</f>
        <v/>
      </c>
      <c r="C1149" s="572" t="str">
        <f t="shared" si="42"/>
        <v/>
      </c>
      <c r="D1149" s="573" t="str">
        <f>IFERROR(VLOOKUP(E1149,Map!$B:$F,4,0),"")&amp;IFERROR(VLOOKUP(E1149,Map!$B:$F,5,0),"")</f>
        <v/>
      </c>
      <c r="E1149" s="574" t="str">
        <f t="shared" si="43"/>
        <v/>
      </c>
    </row>
    <row r="1150" spans="2:5">
      <c r="B1150" s="571" t="str">
        <f>IF(F1150="","",(SUMIF(INTGRATE!$Y:$Y,data!D1150,INTGRATE!$L:$L)+SUMIF(BRAN!$V:$V,data!D1150,BRAN!$J:$J)))</f>
        <v/>
      </c>
      <c r="C1150" s="572" t="str">
        <f t="shared" si="42"/>
        <v/>
      </c>
      <c r="D1150" s="573" t="str">
        <f>IFERROR(VLOOKUP(E1150,Map!$B:$F,4,0),"")&amp;IFERROR(VLOOKUP(E1150,Map!$B:$F,5,0),"")</f>
        <v/>
      </c>
      <c r="E1150" s="574" t="str">
        <f t="shared" si="43"/>
        <v/>
      </c>
    </row>
    <row r="1151" spans="2:5">
      <c r="B1151" s="571" t="str">
        <f>IF(F1151="","",(SUMIF(INTGRATE!$Y:$Y,data!D1151,INTGRATE!$L:$L)+SUMIF(BRAN!$V:$V,data!D1151,BRAN!$J:$J)))</f>
        <v/>
      </c>
      <c r="C1151" s="572" t="str">
        <f t="shared" ref="C1151:C1214" si="44">IF(F1151="","",B1151-K1151)</f>
        <v/>
      </c>
      <c r="D1151" s="573" t="str">
        <f>IFERROR(VLOOKUP(E1151,Map!$B:$F,4,0),"")&amp;IFERROR(VLOOKUP(E1151,Map!$B:$F,5,0),"")</f>
        <v/>
      </c>
      <c r="E1151" s="574" t="str">
        <f t="shared" si="43"/>
        <v/>
      </c>
    </row>
    <row r="1152" spans="2:5">
      <c r="B1152" s="571" t="str">
        <f>IF(F1152="","",(SUMIF(INTGRATE!$Y:$Y,data!D1152,INTGRATE!$L:$L)+SUMIF(BRAN!$V:$V,data!D1152,BRAN!$J:$J)))</f>
        <v/>
      </c>
      <c r="C1152" s="572" t="str">
        <f t="shared" si="44"/>
        <v/>
      </c>
      <c r="D1152" s="573" t="str">
        <f>IFERROR(VLOOKUP(E1152,Map!$B:$F,4,0),"")&amp;IFERROR(VLOOKUP(E1152,Map!$B:$F,5,0),"")</f>
        <v/>
      </c>
      <c r="E1152" s="574" t="str">
        <f t="shared" si="43"/>
        <v/>
      </c>
    </row>
    <row r="1153" spans="2:5">
      <c r="B1153" s="571" t="str">
        <f>IF(F1153="","",(SUMIF(INTGRATE!$Y:$Y,data!D1153,INTGRATE!$L:$L)+SUMIF(BRAN!$V:$V,data!D1153,BRAN!$J:$J)))</f>
        <v/>
      </c>
      <c r="C1153" s="572" t="str">
        <f t="shared" si="44"/>
        <v/>
      </c>
      <c r="D1153" s="573" t="str">
        <f>IFERROR(VLOOKUP(E1153,Map!$B:$F,4,0),"")&amp;IFERROR(VLOOKUP(E1153,Map!$B:$F,5,0),"")</f>
        <v/>
      </c>
      <c r="E1153" s="574" t="str">
        <f t="shared" si="43"/>
        <v/>
      </c>
    </row>
    <row r="1154" spans="2:5">
      <c r="B1154" s="571" t="str">
        <f>IF(F1154="","",(SUMIF(INTGRATE!$Y:$Y,data!D1154,INTGRATE!$L:$L)+SUMIF(BRAN!$V:$V,data!D1154,BRAN!$J:$J)))</f>
        <v/>
      </c>
      <c r="C1154" s="572" t="str">
        <f t="shared" si="44"/>
        <v/>
      </c>
      <c r="D1154" s="573" t="str">
        <f>IFERROR(VLOOKUP(E1154,Map!$B:$F,4,0),"")&amp;IFERROR(VLOOKUP(E1154,Map!$B:$F,5,0),"")</f>
        <v/>
      </c>
      <c r="E1154" s="574" t="str">
        <f t="shared" si="43"/>
        <v/>
      </c>
    </row>
    <row r="1155" spans="2:5">
      <c r="B1155" s="571" t="str">
        <f>IF(F1155="","",(SUMIF(INTGRATE!$Y:$Y,data!D1155,INTGRATE!$L:$L)+SUMIF(BRAN!$V:$V,data!D1155,BRAN!$J:$J)))</f>
        <v/>
      </c>
      <c r="C1155" s="572" t="str">
        <f t="shared" si="44"/>
        <v/>
      </c>
      <c r="D1155" s="573" t="str">
        <f>IFERROR(VLOOKUP(E1155,Map!$B:$F,4,0),"")&amp;IFERROR(VLOOKUP(E1155,Map!$B:$F,5,0),"")</f>
        <v/>
      </c>
      <c r="E1155" s="574" t="str">
        <f t="shared" si="43"/>
        <v/>
      </c>
    </row>
    <row r="1156" spans="2:5">
      <c r="B1156" s="571" t="str">
        <f>IF(F1156="","",(SUMIF(INTGRATE!$Y:$Y,data!D1156,INTGRATE!$L:$L)+SUMIF(BRAN!$V:$V,data!D1156,BRAN!$J:$J)))</f>
        <v/>
      </c>
      <c r="C1156" s="572" t="str">
        <f t="shared" si="44"/>
        <v/>
      </c>
      <c r="D1156" s="573" t="str">
        <f>IFERROR(VLOOKUP(E1156,Map!$B:$F,4,0),"")&amp;IFERROR(VLOOKUP(E1156,Map!$B:$F,5,0),"")</f>
        <v/>
      </c>
      <c r="E1156" s="574" t="str">
        <f t="shared" si="43"/>
        <v/>
      </c>
    </row>
    <row r="1157" spans="2:5">
      <c r="B1157" s="571" t="str">
        <f>IF(F1157="","",(SUMIF(INTGRATE!$Y:$Y,data!D1157,INTGRATE!$L:$L)+SUMIF(BRAN!$V:$V,data!D1157,BRAN!$J:$J)))</f>
        <v/>
      </c>
      <c r="C1157" s="572" t="str">
        <f t="shared" si="44"/>
        <v/>
      </c>
      <c r="D1157" s="573" t="str">
        <f>IFERROR(VLOOKUP(E1157,Map!$B:$F,4,0),"")&amp;IFERROR(VLOOKUP(E1157,Map!$B:$F,5,0),"")</f>
        <v/>
      </c>
      <c r="E1157" s="574" t="str">
        <f t="shared" si="43"/>
        <v/>
      </c>
    </row>
    <row r="1158" spans="2:5">
      <c r="B1158" s="571" t="str">
        <f>IF(F1158="","",(SUMIF(INTGRATE!$Y:$Y,data!D1158,INTGRATE!$L:$L)+SUMIF(BRAN!$V:$V,data!D1158,BRAN!$J:$J)))</f>
        <v/>
      </c>
      <c r="C1158" s="572" t="str">
        <f t="shared" si="44"/>
        <v/>
      </c>
      <c r="D1158" s="573" t="str">
        <f>IFERROR(VLOOKUP(E1158,Map!$B:$F,4,0),"")&amp;IFERROR(VLOOKUP(E1158,Map!$B:$F,5,0),"")</f>
        <v/>
      </c>
      <c r="E1158" s="574" t="str">
        <f t="shared" si="43"/>
        <v/>
      </c>
    </row>
    <row r="1159" spans="2:5">
      <c r="B1159" s="571" t="str">
        <f>IF(F1159="","",(SUMIF(INTGRATE!$Y:$Y,data!D1159,INTGRATE!$L:$L)+SUMIF(BRAN!$V:$V,data!D1159,BRAN!$J:$J)))</f>
        <v/>
      </c>
      <c r="C1159" s="572" t="str">
        <f t="shared" si="44"/>
        <v/>
      </c>
      <c r="D1159" s="573" t="str">
        <f>IFERROR(VLOOKUP(E1159,Map!$B:$F,4,0),"")&amp;IFERROR(VLOOKUP(E1159,Map!$B:$F,5,0),"")</f>
        <v/>
      </c>
      <c r="E1159" s="574" t="str">
        <f t="shared" si="43"/>
        <v/>
      </c>
    </row>
    <row r="1160" spans="2:5">
      <c r="B1160" s="571" t="str">
        <f>IF(F1160="","",(SUMIF(INTGRATE!$Y:$Y,data!D1160,INTGRATE!$L:$L)+SUMIF(BRAN!$V:$V,data!D1160,BRAN!$J:$J)))</f>
        <v/>
      </c>
      <c r="C1160" s="572" t="str">
        <f t="shared" si="44"/>
        <v/>
      </c>
      <c r="D1160" s="573" t="str">
        <f>IFERROR(VLOOKUP(E1160,Map!$B:$F,4,0),"")&amp;IFERROR(VLOOKUP(E1160,Map!$B:$F,5,0),"")</f>
        <v/>
      </c>
      <c r="E1160" s="574" t="str">
        <f t="shared" si="43"/>
        <v/>
      </c>
    </row>
    <row r="1161" spans="2:5">
      <c r="B1161" s="571" t="str">
        <f>IF(F1161="","",(SUMIF(INTGRATE!$Y:$Y,data!D1161,INTGRATE!$L:$L)+SUMIF(BRAN!$V:$V,data!D1161,BRAN!$J:$J)))</f>
        <v/>
      </c>
      <c r="C1161" s="572" t="str">
        <f t="shared" si="44"/>
        <v/>
      </c>
      <c r="D1161" s="573" t="str">
        <f>IFERROR(VLOOKUP(E1161,Map!$B:$F,4,0),"")&amp;IFERROR(VLOOKUP(E1161,Map!$B:$F,5,0),"")</f>
        <v/>
      </c>
      <c r="E1161" s="574" t="str">
        <f t="shared" si="43"/>
        <v/>
      </c>
    </row>
    <row r="1162" spans="2:5">
      <c r="B1162" s="571" t="str">
        <f>IF(F1162="","",(SUMIF(INTGRATE!$Y:$Y,data!D1162,INTGRATE!$L:$L)+SUMIF(BRAN!$V:$V,data!D1162,BRAN!$J:$J)))</f>
        <v/>
      </c>
      <c r="C1162" s="572" t="str">
        <f t="shared" si="44"/>
        <v/>
      </c>
      <c r="D1162" s="573" t="str">
        <f>IFERROR(VLOOKUP(E1162,Map!$B:$F,4,0),"")&amp;IFERROR(VLOOKUP(E1162,Map!$B:$F,5,0),"")</f>
        <v/>
      </c>
      <c r="E1162" s="574" t="str">
        <f t="shared" si="43"/>
        <v/>
      </c>
    </row>
    <row r="1163" spans="2:5">
      <c r="B1163" s="571" t="str">
        <f>IF(F1163="","",(SUMIF(INTGRATE!$Y:$Y,data!D1163,INTGRATE!$L:$L)+SUMIF(BRAN!$V:$V,data!D1163,BRAN!$J:$J)))</f>
        <v/>
      </c>
      <c r="C1163" s="572" t="str">
        <f t="shared" si="44"/>
        <v/>
      </c>
      <c r="D1163" s="573" t="str">
        <f>IFERROR(VLOOKUP(E1163,Map!$B:$F,4,0),"")&amp;IFERROR(VLOOKUP(E1163,Map!$B:$F,5,0),"")</f>
        <v/>
      </c>
      <c r="E1163" s="574" t="str">
        <f t="shared" si="43"/>
        <v/>
      </c>
    </row>
    <row r="1164" spans="2:5">
      <c r="B1164" s="571" t="str">
        <f>IF(F1164="","",(SUMIF(INTGRATE!$Y:$Y,data!D1164,INTGRATE!$L:$L)+SUMIF(BRAN!$V:$V,data!D1164,BRAN!$J:$J)))</f>
        <v/>
      </c>
      <c r="C1164" s="572" t="str">
        <f t="shared" si="44"/>
        <v/>
      </c>
      <c r="D1164" s="573" t="str">
        <f>IFERROR(VLOOKUP(E1164,Map!$B:$F,4,0),"")&amp;IFERROR(VLOOKUP(E1164,Map!$B:$F,5,0),"")</f>
        <v/>
      </c>
      <c r="E1164" s="574" t="str">
        <f t="shared" si="43"/>
        <v/>
      </c>
    </row>
    <row r="1165" spans="2:5">
      <c r="B1165" s="571" t="str">
        <f>IF(F1165="","",(SUMIF(INTGRATE!$Y:$Y,data!D1165,INTGRATE!$L:$L)+SUMIF(BRAN!$V:$V,data!D1165,BRAN!$J:$J)))</f>
        <v/>
      </c>
      <c r="C1165" s="572" t="str">
        <f t="shared" si="44"/>
        <v/>
      </c>
      <c r="D1165" s="573" t="str">
        <f>IFERROR(VLOOKUP(E1165,Map!$B:$F,4,0),"")&amp;IFERROR(VLOOKUP(E1165,Map!$B:$F,5,0),"")</f>
        <v/>
      </c>
      <c r="E1165" s="574" t="str">
        <f t="shared" si="43"/>
        <v/>
      </c>
    </row>
    <row r="1166" spans="2:5">
      <c r="B1166" s="571" t="str">
        <f>IF(F1166="","",(SUMIF(INTGRATE!$Y:$Y,data!D1166,INTGRATE!$L:$L)+SUMIF(BRAN!$V:$V,data!D1166,BRAN!$J:$J)))</f>
        <v/>
      </c>
      <c r="C1166" s="572" t="str">
        <f t="shared" si="44"/>
        <v/>
      </c>
      <c r="D1166" s="573" t="str">
        <f>IFERROR(VLOOKUP(E1166,Map!$B:$F,4,0),"")&amp;IFERROR(VLOOKUP(E1166,Map!$B:$F,5,0),"")</f>
        <v/>
      </c>
      <c r="E1166" s="574" t="str">
        <f t="shared" si="43"/>
        <v/>
      </c>
    </row>
    <row r="1167" spans="2:5">
      <c r="B1167" s="571" t="str">
        <f>IF(F1167="","",(SUMIF(INTGRATE!$Y:$Y,data!D1167,INTGRATE!$L:$L)+SUMIF(BRAN!$V:$V,data!D1167,BRAN!$J:$J)))</f>
        <v/>
      </c>
      <c r="C1167" s="572" t="str">
        <f t="shared" si="44"/>
        <v/>
      </c>
      <c r="D1167" s="573" t="str">
        <f>IFERROR(VLOOKUP(E1167,Map!$B:$F,4,0),"")&amp;IFERROR(VLOOKUP(E1167,Map!$B:$F,5,0),"")</f>
        <v/>
      </c>
      <c r="E1167" s="574" t="str">
        <f t="shared" si="43"/>
        <v/>
      </c>
    </row>
    <row r="1168" spans="2:5">
      <c r="B1168" s="571" t="str">
        <f>IF(F1168="","",(SUMIF(INTGRATE!$Y:$Y,data!D1168,INTGRATE!$L:$L)+SUMIF(BRAN!$V:$V,data!D1168,BRAN!$J:$J)))</f>
        <v/>
      </c>
      <c r="C1168" s="572" t="str">
        <f t="shared" si="44"/>
        <v/>
      </c>
      <c r="D1168" s="573" t="str">
        <f>IFERROR(VLOOKUP(E1168,Map!$B:$F,4,0),"")&amp;IFERROR(VLOOKUP(E1168,Map!$B:$F,5,0),"")</f>
        <v/>
      </c>
      <c r="E1168" s="574" t="str">
        <f t="shared" si="43"/>
        <v/>
      </c>
    </row>
    <row r="1169" spans="2:5">
      <c r="B1169" s="571" t="str">
        <f>IF(F1169="","",(SUMIF(INTGRATE!$Y:$Y,data!D1169,INTGRATE!$L:$L)+SUMIF(BRAN!$V:$V,data!D1169,BRAN!$J:$J)))</f>
        <v/>
      </c>
      <c r="C1169" s="572" t="str">
        <f t="shared" si="44"/>
        <v/>
      </c>
      <c r="D1169" s="573" t="str">
        <f>IFERROR(VLOOKUP(E1169,Map!$B:$F,4,0),"")&amp;IFERROR(VLOOKUP(E1169,Map!$B:$F,5,0),"")</f>
        <v/>
      </c>
      <c r="E1169" s="574" t="str">
        <f t="shared" si="43"/>
        <v/>
      </c>
    </row>
    <row r="1170" spans="2:5">
      <c r="B1170" s="571" t="str">
        <f>IF(F1170="","",(SUMIF(INTGRATE!$Y:$Y,data!D1170,INTGRATE!$L:$L)+SUMIF(BRAN!$V:$V,data!D1170,BRAN!$J:$J)))</f>
        <v/>
      </c>
      <c r="C1170" s="572" t="str">
        <f t="shared" si="44"/>
        <v/>
      </c>
      <c r="D1170" s="573" t="str">
        <f>IFERROR(VLOOKUP(E1170,Map!$B:$F,4,0),"")&amp;IFERROR(VLOOKUP(E1170,Map!$B:$F,5,0),"")</f>
        <v/>
      </c>
      <c r="E1170" s="574" t="str">
        <f t="shared" si="43"/>
        <v/>
      </c>
    </row>
    <row r="1171" spans="2:5">
      <c r="B1171" s="571" t="str">
        <f>IF(F1171="","",(SUMIF(INTGRATE!$Y:$Y,data!D1171,INTGRATE!$L:$L)+SUMIF(BRAN!$V:$V,data!D1171,BRAN!$J:$J)))</f>
        <v/>
      </c>
      <c r="C1171" s="572" t="str">
        <f t="shared" si="44"/>
        <v/>
      </c>
      <c r="D1171" s="573" t="str">
        <f>IFERROR(VLOOKUP(E1171,Map!$B:$F,4,0),"")&amp;IFERROR(VLOOKUP(E1171,Map!$B:$F,5,0),"")</f>
        <v/>
      </c>
      <c r="E1171" s="574" t="str">
        <f t="shared" si="43"/>
        <v/>
      </c>
    </row>
    <row r="1172" spans="2:5">
      <c r="B1172" s="571" t="str">
        <f>IF(F1172="","",(SUMIF(INTGRATE!$Y:$Y,data!D1172,INTGRATE!$L:$L)+SUMIF(BRAN!$V:$V,data!D1172,BRAN!$J:$J)))</f>
        <v/>
      </c>
      <c r="C1172" s="572" t="str">
        <f t="shared" si="44"/>
        <v/>
      </c>
      <c r="D1172" s="573" t="str">
        <f>IFERROR(VLOOKUP(E1172,Map!$B:$F,4,0),"")&amp;IFERROR(VLOOKUP(E1172,Map!$B:$F,5,0),"")</f>
        <v/>
      </c>
      <c r="E1172" s="574" t="str">
        <f t="shared" si="43"/>
        <v/>
      </c>
    </row>
    <row r="1173" spans="2:5">
      <c r="B1173" s="571" t="str">
        <f>IF(F1173="","",(SUMIF(INTGRATE!$Y:$Y,data!D1173,INTGRATE!$L:$L)+SUMIF(BRAN!$V:$V,data!D1173,BRAN!$J:$J)))</f>
        <v/>
      </c>
      <c r="C1173" s="572" t="str">
        <f t="shared" si="44"/>
        <v/>
      </c>
      <c r="D1173" s="573" t="str">
        <f>IFERROR(VLOOKUP(E1173,Map!$B:$F,4,0),"")&amp;IFERROR(VLOOKUP(E1173,Map!$B:$F,5,0),"")</f>
        <v/>
      </c>
      <c r="E1173" s="574" t="str">
        <f t="shared" si="43"/>
        <v/>
      </c>
    </row>
    <row r="1174" spans="2:5">
      <c r="B1174" s="571" t="str">
        <f>IF(F1174="","",(SUMIF(INTGRATE!$Y:$Y,data!D1174,INTGRATE!$L:$L)+SUMIF(BRAN!$V:$V,data!D1174,BRAN!$J:$J)))</f>
        <v/>
      </c>
      <c r="C1174" s="572" t="str">
        <f t="shared" si="44"/>
        <v/>
      </c>
      <c r="D1174" s="573" t="str">
        <f>IFERROR(VLOOKUP(E1174,Map!$B:$F,4,0),"")&amp;IFERROR(VLOOKUP(E1174,Map!$B:$F,5,0),"")</f>
        <v/>
      </c>
      <c r="E1174" s="574" t="str">
        <f t="shared" si="43"/>
        <v/>
      </c>
    </row>
    <row r="1175" spans="2:5">
      <c r="B1175" s="571" t="str">
        <f>IF(F1175="","",(SUMIF(INTGRATE!$Y:$Y,data!D1175,INTGRATE!$L:$L)+SUMIF(BRAN!$V:$V,data!D1175,BRAN!$J:$J)))</f>
        <v/>
      </c>
      <c r="C1175" s="572" t="str">
        <f t="shared" si="44"/>
        <v/>
      </c>
      <c r="D1175" s="573" t="str">
        <f>IFERROR(VLOOKUP(E1175,Map!$B:$F,4,0),"")&amp;IFERROR(VLOOKUP(E1175,Map!$B:$F,5,0),"")</f>
        <v/>
      </c>
      <c r="E1175" s="574" t="str">
        <f t="shared" si="43"/>
        <v/>
      </c>
    </row>
    <row r="1176" spans="2:5">
      <c r="B1176" s="571" t="str">
        <f>IF(F1176="","",(SUMIF(INTGRATE!$Y:$Y,data!D1176,INTGRATE!$L:$L)+SUMIF(BRAN!$V:$V,data!D1176,BRAN!$J:$J)))</f>
        <v/>
      </c>
      <c r="C1176" s="572" t="str">
        <f t="shared" si="44"/>
        <v/>
      </c>
      <c r="D1176" s="573" t="str">
        <f>IFERROR(VLOOKUP(E1176,Map!$B:$F,4,0),"")&amp;IFERROR(VLOOKUP(E1176,Map!$B:$F,5,0),"")</f>
        <v/>
      </c>
      <c r="E1176" s="574" t="str">
        <f t="shared" si="43"/>
        <v/>
      </c>
    </row>
    <row r="1177" spans="2:5">
      <c r="B1177" s="571" t="str">
        <f>IF(F1177="","",(SUMIF(INTGRATE!$Y:$Y,data!D1177,INTGRATE!$L:$L)+SUMIF(BRAN!$V:$V,data!D1177,BRAN!$J:$J)))</f>
        <v/>
      </c>
      <c r="C1177" s="572" t="str">
        <f t="shared" si="44"/>
        <v/>
      </c>
      <c r="D1177" s="573" t="str">
        <f>IFERROR(VLOOKUP(E1177,Map!$B:$F,4,0),"")&amp;IFERROR(VLOOKUP(E1177,Map!$B:$F,5,0),"")</f>
        <v/>
      </c>
      <c r="E1177" s="574" t="str">
        <f t="shared" si="43"/>
        <v/>
      </c>
    </row>
    <row r="1178" spans="2:5">
      <c r="B1178" s="571" t="str">
        <f>IF(F1178="","",(SUMIF(INTGRATE!$Y:$Y,data!D1178,INTGRATE!$L:$L)+SUMIF(BRAN!$V:$V,data!D1178,BRAN!$J:$J)))</f>
        <v/>
      </c>
      <c r="C1178" s="572" t="str">
        <f t="shared" si="44"/>
        <v/>
      </c>
      <c r="D1178" s="573" t="str">
        <f>IFERROR(VLOOKUP(E1178,Map!$B:$F,4,0),"")&amp;IFERROR(VLOOKUP(E1178,Map!$B:$F,5,0),"")</f>
        <v/>
      </c>
      <c r="E1178" s="574" t="str">
        <f t="shared" si="43"/>
        <v/>
      </c>
    </row>
    <row r="1179" spans="2:5">
      <c r="B1179" s="571" t="str">
        <f>IF(F1179="","",(SUMIF(INTGRATE!$Y:$Y,data!D1179,INTGRATE!$L:$L)+SUMIF(BRAN!$V:$V,data!D1179,BRAN!$J:$J)))</f>
        <v/>
      </c>
      <c r="C1179" s="572" t="str">
        <f t="shared" si="44"/>
        <v/>
      </c>
      <c r="D1179" s="573" t="str">
        <f>IFERROR(VLOOKUP(E1179,Map!$B:$F,4,0),"")&amp;IFERROR(VLOOKUP(E1179,Map!$B:$F,5,0),"")</f>
        <v/>
      </c>
      <c r="E1179" s="574" t="str">
        <f t="shared" si="43"/>
        <v/>
      </c>
    </row>
    <row r="1180" spans="2:5">
      <c r="B1180" s="571" t="str">
        <f>IF(F1180="","",(SUMIF(INTGRATE!$Y:$Y,data!D1180,INTGRATE!$L:$L)+SUMIF(BRAN!$V:$V,data!D1180,BRAN!$J:$J)))</f>
        <v/>
      </c>
      <c r="C1180" s="572" t="str">
        <f t="shared" si="44"/>
        <v/>
      </c>
      <c r="D1180" s="573" t="str">
        <f>IFERROR(VLOOKUP(E1180,Map!$B:$F,4,0),"")&amp;IFERROR(VLOOKUP(E1180,Map!$B:$F,5,0),"")</f>
        <v/>
      </c>
      <c r="E1180" s="574" t="str">
        <f t="shared" si="43"/>
        <v/>
      </c>
    </row>
    <row r="1181" spans="2:5">
      <c r="B1181" s="571" t="str">
        <f>IF(F1181="","",(SUMIF(INTGRATE!$Y:$Y,data!D1181,INTGRATE!$L:$L)+SUMIF(BRAN!$V:$V,data!D1181,BRAN!$J:$J)))</f>
        <v/>
      </c>
      <c r="C1181" s="572" t="str">
        <f t="shared" si="44"/>
        <v/>
      </c>
      <c r="D1181" s="573" t="str">
        <f>IFERROR(VLOOKUP(E1181,Map!$B:$F,4,0),"")&amp;IFERROR(VLOOKUP(E1181,Map!$B:$F,5,0),"")</f>
        <v/>
      </c>
      <c r="E1181" s="574" t="str">
        <f t="shared" si="43"/>
        <v/>
      </c>
    </row>
    <row r="1182" spans="2:5">
      <c r="B1182" s="571" t="str">
        <f>IF(F1182="","",(SUMIF(INTGRATE!$Y:$Y,data!D1182,INTGRATE!$L:$L)+SUMIF(BRAN!$V:$V,data!D1182,BRAN!$J:$J)))</f>
        <v/>
      </c>
      <c r="C1182" s="572" t="str">
        <f t="shared" si="44"/>
        <v/>
      </c>
      <c r="D1182" s="573" t="str">
        <f>IFERROR(VLOOKUP(E1182,Map!$B:$F,4,0),"")&amp;IFERROR(VLOOKUP(E1182,Map!$B:$F,5,0),"")</f>
        <v/>
      </c>
      <c r="E1182" s="574" t="str">
        <f t="shared" si="43"/>
        <v/>
      </c>
    </row>
    <row r="1183" spans="2:5">
      <c r="B1183" s="571" t="str">
        <f>IF(F1183="","",(SUMIF(INTGRATE!$Y:$Y,data!D1183,INTGRATE!$L:$L)+SUMIF(BRAN!$V:$V,data!D1183,BRAN!$J:$J)))</f>
        <v/>
      </c>
      <c r="C1183" s="572" t="str">
        <f t="shared" si="44"/>
        <v/>
      </c>
      <c r="D1183" s="573" t="str">
        <f>IFERROR(VLOOKUP(E1183,Map!$B:$F,4,0),"")&amp;IFERROR(VLOOKUP(E1183,Map!$B:$F,5,0),"")</f>
        <v/>
      </c>
      <c r="E1183" s="574" t="str">
        <f t="shared" si="43"/>
        <v/>
      </c>
    </row>
    <row r="1184" spans="2:5">
      <c r="B1184" s="571" t="str">
        <f>IF(F1184="","",(SUMIF(INTGRATE!$Y:$Y,data!D1184,INTGRATE!$L:$L)+SUMIF(BRAN!$V:$V,data!D1184,BRAN!$J:$J)))</f>
        <v/>
      </c>
      <c r="C1184" s="572" t="str">
        <f t="shared" si="44"/>
        <v/>
      </c>
      <c r="D1184" s="573" t="str">
        <f>IFERROR(VLOOKUP(E1184,Map!$B:$F,4,0),"")&amp;IFERROR(VLOOKUP(E1184,Map!$B:$F,5,0),"")</f>
        <v/>
      </c>
      <c r="E1184" s="574" t="str">
        <f t="shared" ref="E1184:E1247" si="45">IF(MID(F1184,10,2)="99",F1184&amp;H1184,LEFT(F1184,14))</f>
        <v/>
      </c>
    </row>
    <row r="1185" spans="2:5">
      <c r="B1185" s="571" t="str">
        <f>IF(F1185="","",(SUMIF(INTGRATE!$Y:$Y,data!D1185,INTGRATE!$L:$L)+SUMIF(BRAN!$V:$V,data!D1185,BRAN!$J:$J)))</f>
        <v/>
      </c>
      <c r="C1185" s="572" t="str">
        <f t="shared" si="44"/>
        <v/>
      </c>
      <c r="D1185" s="573" t="str">
        <f>IFERROR(VLOOKUP(E1185,Map!$B:$F,4,0),"")&amp;IFERROR(VLOOKUP(E1185,Map!$B:$F,5,0),"")</f>
        <v/>
      </c>
      <c r="E1185" s="574" t="str">
        <f t="shared" si="45"/>
        <v/>
      </c>
    </row>
    <row r="1186" spans="2:5">
      <c r="B1186" s="571" t="str">
        <f>IF(F1186="","",(SUMIF(INTGRATE!$Y:$Y,data!D1186,INTGRATE!$L:$L)+SUMIF(BRAN!$V:$V,data!D1186,BRAN!$J:$J)))</f>
        <v/>
      </c>
      <c r="C1186" s="572" t="str">
        <f t="shared" si="44"/>
        <v/>
      </c>
      <c r="D1186" s="573" t="str">
        <f>IFERROR(VLOOKUP(E1186,Map!$B:$F,4,0),"")&amp;IFERROR(VLOOKUP(E1186,Map!$B:$F,5,0),"")</f>
        <v/>
      </c>
      <c r="E1186" s="574" t="str">
        <f t="shared" si="45"/>
        <v/>
      </c>
    </row>
    <row r="1187" spans="2:5">
      <c r="B1187" s="571" t="str">
        <f>IF(F1187="","",(SUMIF(INTGRATE!$Y:$Y,data!D1187,INTGRATE!$L:$L)+SUMIF(BRAN!$V:$V,data!D1187,BRAN!$J:$J)))</f>
        <v/>
      </c>
      <c r="C1187" s="572" t="str">
        <f t="shared" si="44"/>
        <v/>
      </c>
      <c r="D1187" s="573" t="str">
        <f>IFERROR(VLOOKUP(E1187,Map!$B:$F,4,0),"")&amp;IFERROR(VLOOKUP(E1187,Map!$B:$F,5,0),"")</f>
        <v/>
      </c>
      <c r="E1187" s="574" t="str">
        <f t="shared" si="45"/>
        <v/>
      </c>
    </row>
    <row r="1188" spans="2:5">
      <c r="B1188" s="571" t="str">
        <f>IF(F1188="","",(SUMIF(INTGRATE!$Y:$Y,data!D1188,INTGRATE!$L:$L)+SUMIF(BRAN!$V:$V,data!D1188,BRAN!$J:$J)))</f>
        <v/>
      </c>
      <c r="C1188" s="572" t="str">
        <f t="shared" si="44"/>
        <v/>
      </c>
      <c r="D1188" s="573" t="str">
        <f>IFERROR(VLOOKUP(E1188,Map!$B:$F,4,0),"")&amp;IFERROR(VLOOKUP(E1188,Map!$B:$F,5,0),"")</f>
        <v/>
      </c>
      <c r="E1188" s="574" t="str">
        <f t="shared" si="45"/>
        <v/>
      </c>
    </row>
    <row r="1189" spans="2:5">
      <c r="B1189" s="571" t="str">
        <f>IF(F1189="","",(SUMIF(INTGRATE!$Y:$Y,data!D1189,INTGRATE!$L:$L)+SUMIF(BRAN!$V:$V,data!D1189,BRAN!$J:$J)))</f>
        <v/>
      </c>
      <c r="C1189" s="572" t="str">
        <f t="shared" si="44"/>
        <v/>
      </c>
      <c r="D1189" s="573" t="str">
        <f>IFERROR(VLOOKUP(E1189,Map!$B:$F,4,0),"")&amp;IFERROR(VLOOKUP(E1189,Map!$B:$F,5,0),"")</f>
        <v/>
      </c>
      <c r="E1189" s="574" t="str">
        <f t="shared" si="45"/>
        <v/>
      </c>
    </row>
    <row r="1190" spans="2:5">
      <c r="B1190" s="571" t="str">
        <f>IF(F1190="","",(SUMIF(INTGRATE!$Y:$Y,data!D1190,INTGRATE!$L:$L)+SUMIF(BRAN!$V:$V,data!D1190,BRAN!$J:$J)))</f>
        <v/>
      </c>
      <c r="C1190" s="572" t="str">
        <f t="shared" si="44"/>
        <v/>
      </c>
      <c r="D1190" s="573" t="str">
        <f>IFERROR(VLOOKUP(E1190,Map!$B:$F,4,0),"")&amp;IFERROR(VLOOKUP(E1190,Map!$B:$F,5,0),"")</f>
        <v/>
      </c>
      <c r="E1190" s="574" t="str">
        <f t="shared" si="45"/>
        <v/>
      </c>
    </row>
    <row r="1191" spans="2:5">
      <c r="B1191" s="571" t="str">
        <f>IF(F1191="","",(SUMIF(INTGRATE!$Y:$Y,data!D1191,INTGRATE!$L:$L)+SUMIF(BRAN!$V:$V,data!D1191,BRAN!$J:$J)))</f>
        <v/>
      </c>
      <c r="C1191" s="572" t="str">
        <f t="shared" si="44"/>
        <v/>
      </c>
      <c r="D1191" s="573" t="str">
        <f>IFERROR(VLOOKUP(E1191,Map!$B:$F,4,0),"")&amp;IFERROR(VLOOKUP(E1191,Map!$B:$F,5,0),"")</f>
        <v/>
      </c>
      <c r="E1191" s="574" t="str">
        <f t="shared" si="45"/>
        <v/>
      </c>
    </row>
    <row r="1192" spans="2:5">
      <c r="B1192" s="571" t="str">
        <f>IF(F1192="","",(SUMIF(INTGRATE!$Y:$Y,data!D1192,INTGRATE!$L:$L)+SUMIF(BRAN!$V:$V,data!D1192,BRAN!$J:$J)))</f>
        <v/>
      </c>
      <c r="C1192" s="572" t="str">
        <f t="shared" si="44"/>
        <v/>
      </c>
      <c r="D1192" s="573" t="str">
        <f>IFERROR(VLOOKUP(E1192,Map!$B:$F,4,0),"")&amp;IFERROR(VLOOKUP(E1192,Map!$B:$F,5,0),"")</f>
        <v/>
      </c>
      <c r="E1192" s="574" t="str">
        <f t="shared" si="45"/>
        <v/>
      </c>
    </row>
    <row r="1193" spans="2:5">
      <c r="B1193" s="571" t="str">
        <f>IF(F1193="","",(SUMIF(INTGRATE!$Y:$Y,data!D1193,INTGRATE!$L:$L)+SUMIF(BRAN!$V:$V,data!D1193,BRAN!$J:$J)))</f>
        <v/>
      </c>
      <c r="C1193" s="572" t="str">
        <f t="shared" si="44"/>
        <v/>
      </c>
      <c r="D1193" s="573" t="str">
        <f>IFERROR(VLOOKUP(E1193,Map!$B:$F,4,0),"")&amp;IFERROR(VLOOKUP(E1193,Map!$B:$F,5,0),"")</f>
        <v/>
      </c>
      <c r="E1193" s="574" t="str">
        <f t="shared" si="45"/>
        <v/>
      </c>
    </row>
    <row r="1194" spans="2:5">
      <c r="B1194" s="571" t="str">
        <f>IF(F1194="","",(SUMIF(INTGRATE!$Y:$Y,data!D1194,INTGRATE!$L:$L)+SUMIF(BRAN!$V:$V,data!D1194,BRAN!$J:$J)))</f>
        <v/>
      </c>
      <c r="C1194" s="572" t="str">
        <f t="shared" si="44"/>
        <v/>
      </c>
      <c r="D1194" s="573" t="str">
        <f>IFERROR(VLOOKUP(E1194,Map!$B:$F,4,0),"")&amp;IFERROR(VLOOKUP(E1194,Map!$B:$F,5,0),"")</f>
        <v/>
      </c>
      <c r="E1194" s="574" t="str">
        <f t="shared" si="45"/>
        <v/>
      </c>
    </row>
    <row r="1195" spans="2:5">
      <c r="B1195" s="571" t="str">
        <f>IF(F1195="","",(SUMIF(INTGRATE!$Y:$Y,data!D1195,INTGRATE!$L:$L)+SUMIF(BRAN!$V:$V,data!D1195,BRAN!$J:$J)))</f>
        <v/>
      </c>
      <c r="C1195" s="572" t="str">
        <f t="shared" si="44"/>
        <v/>
      </c>
      <c r="D1195" s="573" t="str">
        <f>IFERROR(VLOOKUP(E1195,Map!$B:$F,4,0),"")&amp;IFERROR(VLOOKUP(E1195,Map!$B:$F,5,0),"")</f>
        <v/>
      </c>
      <c r="E1195" s="574" t="str">
        <f t="shared" si="45"/>
        <v/>
      </c>
    </row>
    <row r="1196" spans="2:5">
      <c r="B1196" s="571" t="str">
        <f>IF(F1196="","",(SUMIF(INTGRATE!$Y:$Y,data!D1196,INTGRATE!$L:$L)+SUMIF(BRAN!$V:$V,data!D1196,BRAN!$J:$J)))</f>
        <v/>
      </c>
      <c r="C1196" s="572" t="str">
        <f t="shared" si="44"/>
        <v/>
      </c>
      <c r="D1196" s="573" t="str">
        <f>IFERROR(VLOOKUP(E1196,Map!$B:$F,4,0),"")&amp;IFERROR(VLOOKUP(E1196,Map!$B:$F,5,0),"")</f>
        <v/>
      </c>
      <c r="E1196" s="574" t="str">
        <f t="shared" si="45"/>
        <v/>
      </c>
    </row>
    <row r="1197" spans="2:5">
      <c r="B1197" s="571" t="str">
        <f>IF(F1197="","",(SUMIF(INTGRATE!$Y:$Y,data!D1197,INTGRATE!$L:$L)+SUMIF(BRAN!$V:$V,data!D1197,BRAN!$J:$J)))</f>
        <v/>
      </c>
      <c r="C1197" s="572" t="str">
        <f t="shared" si="44"/>
        <v/>
      </c>
      <c r="D1197" s="573" t="str">
        <f>IFERROR(VLOOKUP(E1197,Map!$B:$F,4,0),"")&amp;IFERROR(VLOOKUP(E1197,Map!$B:$F,5,0),"")</f>
        <v/>
      </c>
      <c r="E1197" s="574" t="str">
        <f t="shared" si="45"/>
        <v/>
      </c>
    </row>
    <row r="1198" spans="2:5">
      <c r="B1198" s="571" t="str">
        <f>IF(F1198="","",(SUMIF(INTGRATE!$Y:$Y,data!D1198,INTGRATE!$L:$L)+SUMIF(BRAN!$V:$V,data!D1198,BRAN!$J:$J)))</f>
        <v/>
      </c>
      <c r="C1198" s="572" t="str">
        <f t="shared" si="44"/>
        <v/>
      </c>
      <c r="D1198" s="573" t="str">
        <f>IFERROR(VLOOKUP(E1198,Map!$B:$F,4,0),"")&amp;IFERROR(VLOOKUP(E1198,Map!$B:$F,5,0),"")</f>
        <v/>
      </c>
      <c r="E1198" s="574" t="str">
        <f t="shared" si="45"/>
        <v/>
      </c>
    </row>
    <row r="1199" spans="2:5">
      <c r="B1199" s="571" t="str">
        <f>IF(F1199="","",(SUMIF(INTGRATE!$Y:$Y,data!D1199,INTGRATE!$L:$L)+SUMIF(BRAN!$V:$V,data!D1199,BRAN!$J:$J)))</f>
        <v/>
      </c>
      <c r="C1199" s="572" t="str">
        <f t="shared" si="44"/>
        <v/>
      </c>
      <c r="D1199" s="573" t="str">
        <f>IFERROR(VLOOKUP(E1199,Map!$B:$F,4,0),"")&amp;IFERROR(VLOOKUP(E1199,Map!$B:$F,5,0),"")</f>
        <v/>
      </c>
      <c r="E1199" s="574" t="str">
        <f t="shared" si="45"/>
        <v/>
      </c>
    </row>
    <row r="1200" spans="2:5">
      <c r="B1200" s="571" t="str">
        <f>IF(F1200="","",(SUMIF(INTGRATE!$Y:$Y,data!D1200,INTGRATE!$L:$L)+SUMIF(BRAN!$V:$V,data!D1200,BRAN!$J:$J)))</f>
        <v/>
      </c>
      <c r="C1200" s="572" t="str">
        <f t="shared" si="44"/>
        <v/>
      </c>
      <c r="D1200" s="573" t="str">
        <f>IFERROR(VLOOKUP(E1200,Map!$B:$F,4,0),"")&amp;IFERROR(VLOOKUP(E1200,Map!$B:$F,5,0),"")</f>
        <v/>
      </c>
      <c r="E1200" s="574" t="str">
        <f t="shared" si="45"/>
        <v/>
      </c>
    </row>
    <row r="1201" spans="2:5">
      <c r="B1201" s="571" t="str">
        <f>IF(F1201="","",(SUMIF(INTGRATE!$Y:$Y,data!D1201,INTGRATE!$L:$L)+SUMIF(BRAN!$V:$V,data!D1201,BRAN!$J:$J)))</f>
        <v/>
      </c>
      <c r="C1201" s="572" t="str">
        <f t="shared" si="44"/>
        <v/>
      </c>
      <c r="D1201" s="573" t="str">
        <f>IFERROR(VLOOKUP(E1201,Map!$B:$F,4,0),"")&amp;IFERROR(VLOOKUP(E1201,Map!$B:$F,5,0),"")</f>
        <v/>
      </c>
      <c r="E1201" s="574" t="str">
        <f t="shared" si="45"/>
        <v/>
      </c>
    </row>
    <row r="1202" spans="2:5">
      <c r="B1202" s="571" t="str">
        <f>IF(F1202="","",(SUMIF(INTGRATE!$Y:$Y,data!D1202,INTGRATE!$L:$L)+SUMIF(BRAN!$V:$V,data!D1202,BRAN!$J:$J)))</f>
        <v/>
      </c>
      <c r="C1202" s="572" t="str">
        <f t="shared" si="44"/>
        <v/>
      </c>
      <c r="D1202" s="573" t="str">
        <f>IFERROR(VLOOKUP(E1202,Map!$B:$F,4,0),"")&amp;IFERROR(VLOOKUP(E1202,Map!$B:$F,5,0),"")</f>
        <v/>
      </c>
      <c r="E1202" s="574" t="str">
        <f t="shared" si="45"/>
        <v/>
      </c>
    </row>
    <row r="1203" spans="2:5">
      <c r="B1203" s="571" t="str">
        <f>IF(F1203="","",(SUMIF(INTGRATE!$Y:$Y,data!D1203,INTGRATE!$L:$L)+SUMIF(BRAN!$V:$V,data!D1203,BRAN!$J:$J)))</f>
        <v/>
      </c>
      <c r="C1203" s="572" t="str">
        <f t="shared" si="44"/>
        <v/>
      </c>
      <c r="D1203" s="573" t="str">
        <f>IFERROR(VLOOKUP(E1203,Map!$B:$F,4,0),"")&amp;IFERROR(VLOOKUP(E1203,Map!$B:$F,5,0),"")</f>
        <v/>
      </c>
      <c r="E1203" s="574" t="str">
        <f t="shared" si="45"/>
        <v/>
      </c>
    </row>
    <row r="1204" spans="2:5">
      <c r="B1204" s="571" t="str">
        <f>IF(F1204="","",(SUMIF(INTGRATE!$Y:$Y,data!D1204,INTGRATE!$L:$L)+SUMIF(BRAN!$V:$V,data!D1204,BRAN!$J:$J)))</f>
        <v/>
      </c>
      <c r="C1204" s="572" t="str">
        <f t="shared" si="44"/>
        <v/>
      </c>
      <c r="D1204" s="573" t="str">
        <f>IFERROR(VLOOKUP(E1204,Map!$B:$F,4,0),"")&amp;IFERROR(VLOOKUP(E1204,Map!$B:$F,5,0),"")</f>
        <v/>
      </c>
      <c r="E1204" s="574" t="str">
        <f t="shared" si="45"/>
        <v/>
      </c>
    </row>
    <row r="1205" spans="2:5">
      <c r="B1205" s="571" t="str">
        <f>IF(F1205="","",(SUMIF(INTGRATE!$Y:$Y,data!D1205,INTGRATE!$L:$L)+SUMIF(BRAN!$V:$V,data!D1205,BRAN!$J:$J)))</f>
        <v/>
      </c>
      <c r="C1205" s="572" t="str">
        <f t="shared" si="44"/>
        <v/>
      </c>
      <c r="D1205" s="573" t="str">
        <f>IFERROR(VLOOKUP(E1205,Map!$B:$F,4,0),"")&amp;IFERROR(VLOOKUP(E1205,Map!$B:$F,5,0),"")</f>
        <v/>
      </c>
      <c r="E1205" s="574" t="str">
        <f t="shared" si="45"/>
        <v/>
      </c>
    </row>
    <row r="1206" spans="2:5">
      <c r="B1206" s="571" t="str">
        <f>IF(F1206="","",(SUMIF(INTGRATE!$Y:$Y,data!D1206,INTGRATE!$L:$L)+SUMIF(BRAN!$V:$V,data!D1206,BRAN!$J:$J)))</f>
        <v/>
      </c>
      <c r="C1206" s="572" t="str">
        <f t="shared" si="44"/>
        <v/>
      </c>
      <c r="D1206" s="573" t="str">
        <f>IFERROR(VLOOKUP(E1206,Map!$B:$F,4,0),"")&amp;IFERROR(VLOOKUP(E1206,Map!$B:$F,5,0),"")</f>
        <v/>
      </c>
      <c r="E1206" s="574" t="str">
        <f t="shared" si="45"/>
        <v/>
      </c>
    </row>
    <row r="1207" spans="2:5">
      <c r="B1207" s="571" t="str">
        <f>IF(F1207="","",(SUMIF(INTGRATE!$Y:$Y,data!D1207,INTGRATE!$L:$L)+SUMIF(BRAN!$V:$V,data!D1207,BRAN!$J:$J)))</f>
        <v/>
      </c>
      <c r="C1207" s="572" t="str">
        <f t="shared" si="44"/>
        <v/>
      </c>
      <c r="D1207" s="573" t="str">
        <f>IFERROR(VLOOKUP(E1207,Map!$B:$F,4,0),"")&amp;IFERROR(VLOOKUP(E1207,Map!$B:$F,5,0),"")</f>
        <v/>
      </c>
      <c r="E1207" s="574" t="str">
        <f t="shared" si="45"/>
        <v/>
      </c>
    </row>
    <row r="1208" spans="2:5">
      <c r="B1208" s="571" t="str">
        <f>IF(F1208="","",(SUMIF(INTGRATE!$Y:$Y,data!D1208,INTGRATE!$L:$L)+SUMIF(BRAN!$V:$V,data!D1208,BRAN!$J:$J)))</f>
        <v/>
      </c>
      <c r="C1208" s="572" t="str">
        <f t="shared" si="44"/>
        <v/>
      </c>
      <c r="D1208" s="573" t="str">
        <f>IFERROR(VLOOKUP(E1208,Map!$B:$F,4,0),"")&amp;IFERROR(VLOOKUP(E1208,Map!$B:$F,5,0),"")</f>
        <v/>
      </c>
      <c r="E1208" s="574" t="str">
        <f t="shared" si="45"/>
        <v/>
      </c>
    </row>
    <row r="1209" spans="2:5">
      <c r="B1209" s="571" t="str">
        <f>IF(F1209="","",(SUMIF(INTGRATE!$Y:$Y,data!D1209,INTGRATE!$L:$L)+SUMIF(BRAN!$V:$V,data!D1209,BRAN!$J:$J)))</f>
        <v/>
      </c>
      <c r="C1209" s="572" t="str">
        <f t="shared" si="44"/>
        <v/>
      </c>
      <c r="D1209" s="573" t="str">
        <f>IFERROR(VLOOKUP(E1209,Map!$B:$F,4,0),"")&amp;IFERROR(VLOOKUP(E1209,Map!$B:$F,5,0),"")</f>
        <v/>
      </c>
      <c r="E1209" s="574" t="str">
        <f t="shared" si="45"/>
        <v/>
      </c>
    </row>
    <row r="1210" spans="2:5">
      <c r="B1210" s="571" t="str">
        <f>IF(F1210="","",(SUMIF(INTGRATE!$Y:$Y,data!D1210,INTGRATE!$L:$L)+SUMIF(BRAN!$V:$V,data!D1210,BRAN!$J:$J)))</f>
        <v/>
      </c>
      <c r="C1210" s="572" t="str">
        <f t="shared" si="44"/>
        <v/>
      </c>
      <c r="D1210" s="573" t="str">
        <f>IFERROR(VLOOKUP(E1210,Map!$B:$F,4,0),"")&amp;IFERROR(VLOOKUP(E1210,Map!$B:$F,5,0),"")</f>
        <v/>
      </c>
      <c r="E1210" s="574" t="str">
        <f t="shared" si="45"/>
        <v/>
      </c>
    </row>
    <row r="1211" spans="2:5">
      <c r="B1211" s="571" t="str">
        <f>IF(F1211="","",(SUMIF(INTGRATE!$Y:$Y,data!D1211,INTGRATE!$L:$L)+SUMIF(BRAN!$V:$V,data!D1211,BRAN!$J:$J)))</f>
        <v/>
      </c>
      <c r="C1211" s="572" t="str">
        <f t="shared" si="44"/>
        <v/>
      </c>
      <c r="D1211" s="573" t="str">
        <f>IFERROR(VLOOKUP(E1211,Map!$B:$F,4,0),"")&amp;IFERROR(VLOOKUP(E1211,Map!$B:$F,5,0),"")</f>
        <v/>
      </c>
      <c r="E1211" s="574" t="str">
        <f t="shared" si="45"/>
        <v/>
      </c>
    </row>
    <row r="1212" spans="2:5">
      <c r="B1212" s="571" t="str">
        <f>IF(F1212="","",(SUMIF(INTGRATE!$Y:$Y,data!D1212,INTGRATE!$L:$L)+SUMIF(BRAN!$V:$V,data!D1212,BRAN!$J:$J)))</f>
        <v/>
      </c>
      <c r="C1212" s="572" t="str">
        <f t="shared" si="44"/>
        <v/>
      </c>
      <c r="D1212" s="573" t="str">
        <f>IFERROR(VLOOKUP(E1212,Map!$B:$F,4,0),"")&amp;IFERROR(VLOOKUP(E1212,Map!$B:$F,5,0),"")</f>
        <v/>
      </c>
      <c r="E1212" s="574" t="str">
        <f t="shared" si="45"/>
        <v/>
      </c>
    </row>
    <row r="1213" spans="2:5">
      <c r="B1213" s="571" t="str">
        <f>IF(F1213="","",(SUMIF(INTGRATE!$Y:$Y,data!D1213,INTGRATE!$L:$L)+SUMIF(BRAN!$V:$V,data!D1213,BRAN!$J:$J)))</f>
        <v/>
      </c>
      <c r="C1213" s="572" t="str">
        <f t="shared" si="44"/>
        <v/>
      </c>
      <c r="D1213" s="573" t="str">
        <f>IFERROR(VLOOKUP(E1213,Map!$B:$F,4,0),"")&amp;IFERROR(VLOOKUP(E1213,Map!$B:$F,5,0),"")</f>
        <v/>
      </c>
      <c r="E1213" s="574" t="str">
        <f t="shared" si="45"/>
        <v/>
      </c>
    </row>
    <row r="1214" spans="2:5">
      <c r="B1214" s="571" t="str">
        <f>IF(F1214="","",(SUMIF(INTGRATE!$Y:$Y,data!D1214,INTGRATE!$L:$L)+SUMIF(BRAN!$V:$V,data!D1214,BRAN!$J:$J)))</f>
        <v/>
      </c>
      <c r="C1214" s="572" t="str">
        <f t="shared" si="44"/>
        <v/>
      </c>
      <c r="D1214" s="573" t="str">
        <f>IFERROR(VLOOKUP(E1214,Map!$B:$F,4,0),"")&amp;IFERROR(VLOOKUP(E1214,Map!$B:$F,5,0),"")</f>
        <v/>
      </c>
      <c r="E1214" s="574" t="str">
        <f t="shared" si="45"/>
        <v/>
      </c>
    </row>
    <row r="1215" spans="2:5">
      <c r="B1215" s="571" t="str">
        <f>IF(F1215="","",(SUMIF(INTGRATE!$Y:$Y,data!D1215,INTGRATE!$L:$L)+SUMIF(BRAN!$V:$V,data!D1215,BRAN!$J:$J)))</f>
        <v/>
      </c>
      <c r="C1215" s="572" t="str">
        <f t="shared" ref="C1215:C1278" si="46">IF(F1215="","",B1215-K1215)</f>
        <v/>
      </c>
      <c r="D1215" s="573" t="str">
        <f>IFERROR(VLOOKUP(E1215,Map!$B:$F,4,0),"")&amp;IFERROR(VLOOKUP(E1215,Map!$B:$F,5,0),"")</f>
        <v/>
      </c>
      <c r="E1215" s="574" t="str">
        <f t="shared" si="45"/>
        <v/>
      </c>
    </row>
    <row r="1216" spans="2:5">
      <c r="B1216" s="571" t="str">
        <f>IF(F1216="","",(SUMIF(INTGRATE!$Y:$Y,data!D1216,INTGRATE!$L:$L)+SUMIF(BRAN!$V:$V,data!D1216,BRAN!$J:$J)))</f>
        <v/>
      </c>
      <c r="C1216" s="572" t="str">
        <f t="shared" si="46"/>
        <v/>
      </c>
      <c r="D1216" s="573" t="str">
        <f>IFERROR(VLOOKUP(E1216,Map!$B:$F,4,0),"")&amp;IFERROR(VLOOKUP(E1216,Map!$B:$F,5,0),"")</f>
        <v/>
      </c>
      <c r="E1216" s="574" t="str">
        <f t="shared" si="45"/>
        <v/>
      </c>
    </row>
    <row r="1217" spans="2:5">
      <c r="B1217" s="571" t="str">
        <f>IF(F1217="","",(SUMIF(INTGRATE!$Y:$Y,data!D1217,INTGRATE!$L:$L)+SUMIF(BRAN!$V:$V,data!D1217,BRAN!$J:$J)))</f>
        <v/>
      </c>
      <c r="C1217" s="572" t="str">
        <f t="shared" si="46"/>
        <v/>
      </c>
      <c r="D1217" s="573" t="str">
        <f>IFERROR(VLOOKUP(E1217,Map!$B:$F,4,0),"")&amp;IFERROR(VLOOKUP(E1217,Map!$B:$F,5,0),"")</f>
        <v/>
      </c>
      <c r="E1217" s="574" t="str">
        <f t="shared" si="45"/>
        <v/>
      </c>
    </row>
    <row r="1218" spans="2:5">
      <c r="B1218" s="571" t="str">
        <f>IF(F1218="","",(SUMIF(INTGRATE!$Y:$Y,data!D1218,INTGRATE!$L:$L)+SUMIF(BRAN!$V:$V,data!D1218,BRAN!$J:$J)))</f>
        <v/>
      </c>
      <c r="C1218" s="572" t="str">
        <f t="shared" si="46"/>
        <v/>
      </c>
      <c r="D1218" s="573" t="str">
        <f>IFERROR(VLOOKUP(E1218,Map!$B:$F,4,0),"")&amp;IFERROR(VLOOKUP(E1218,Map!$B:$F,5,0),"")</f>
        <v/>
      </c>
      <c r="E1218" s="574" t="str">
        <f t="shared" si="45"/>
        <v/>
      </c>
    </row>
    <row r="1219" spans="2:5">
      <c r="B1219" s="571" t="str">
        <f>IF(F1219="","",(SUMIF(INTGRATE!$Y:$Y,data!D1219,INTGRATE!$L:$L)+SUMIF(BRAN!$V:$V,data!D1219,BRAN!$J:$J)))</f>
        <v/>
      </c>
      <c r="C1219" s="572" t="str">
        <f t="shared" si="46"/>
        <v/>
      </c>
      <c r="D1219" s="573" t="str">
        <f>IFERROR(VLOOKUP(E1219,Map!$B:$F,4,0),"")&amp;IFERROR(VLOOKUP(E1219,Map!$B:$F,5,0),"")</f>
        <v/>
      </c>
      <c r="E1219" s="574" t="str">
        <f t="shared" si="45"/>
        <v/>
      </c>
    </row>
    <row r="1220" spans="2:5">
      <c r="B1220" s="571" t="str">
        <f>IF(F1220="","",(SUMIF(INTGRATE!$Y:$Y,data!D1220,INTGRATE!$L:$L)+SUMIF(BRAN!$V:$V,data!D1220,BRAN!$J:$J)))</f>
        <v/>
      </c>
      <c r="C1220" s="572" t="str">
        <f t="shared" si="46"/>
        <v/>
      </c>
      <c r="D1220" s="573" t="str">
        <f>IFERROR(VLOOKUP(E1220,Map!$B:$F,4,0),"")&amp;IFERROR(VLOOKUP(E1220,Map!$B:$F,5,0),"")</f>
        <v/>
      </c>
      <c r="E1220" s="574" t="str">
        <f t="shared" si="45"/>
        <v/>
      </c>
    </row>
    <row r="1221" spans="2:5">
      <c r="B1221" s="571" t="str">
        <f>IF(F1221="","",(SUMIF(INTGRATE!$Y:$Y,data!D1221,INTGRATE!$L:$L)+SUMIF(BRAN!$V:$V,data!D1221,BRAN!$J:$J)))</f>
        <v/>
      </c>
      <c r="C1221" s="572" t="str">
        <f t="shared" si="46"/>
        <v/>
      </c>
      <c r="D1221" s="573" t="str">
        <f>IFERROR(VLOOKUP(E1221,Map!$B:$F,4,0),"")&amp;IFERROR(VLOOKUP(E1221,Map!$B:$F,5,0),"")</f>
        <v/>
      </c>
      <c r="E1221" s="574" t="str">
        <f t="shared" si="45"/>
        <v/>
      </c>
    </row>
    <row r="1222" spans="2:5">
      <c r="B1222" s="571" t="str">
        <f>IF(F1222="","",(SUMIF(INTGRATE!$Y:$Y,data!D1222,INTGRATE!$L:$L)+SUMIF(BRAN!$V:$V,data!D1222,BRAN!$J:$J)))</f>
        <v/>
      </c>
      <c r="C1222" s="572" t="str">
        <f t="shared" si="46"/>
        <v/>
      </c>
      <c r="D1222" s="573" t="str">
        <f>IFERROR(VLOOKUP(E1222,Map!$B:$F,4,0),"")&amp;IFERROR(VLOOKUP(E1222,Map!$B:$F,5,0),"")</f>
        <v/>
      </c>
      <c r="E1222" s="574" t="str">
        <f t="shared" si="45"/>
        <v/>
      </c>
    </row>
    <row r="1223" spans="2:5">
      <c r="B1223" s="571" t="str">
        <f>IF(F1223="","",(SUMIF(INTGRATE!$Y:$Y,data!D1223,INTGRATE!$L:$L)+SUMIF(BRAN!$V:$V,data!D1223,BRAN!$J:$J)))</f>
        <v/>
      </c>
      <c r="C1223" s="572" t="str">
        <f t="shared" si="46"/>
        <v/>
      </c>
      <c r="D1223" s="573" t="str">
        <f>IFERROR(VLOOKUP(E1223,Map!$B:$F,4,0),"")&amp;IFERROR(VLOOKUP(E1223,Map!$B:$F,5,0),"")</f>
        <v/>
      </c>
      <c r="E1223" s="574" t="str">
        <f t="shared" si="45"/>
        <v/>
      </c>
    </row>
    <row r="1224" spans="2:5">
      <c r="B1224" s="571" t="str">
        <f>IF(F1224="","",(SUMIF(INTGRATE!$Y:$Y,data!D1224,INTGRATE!$L:$L)+SUMIF(BRAN!$V:$V,data!D1224,BRAN!$J:$J)))</f>
        <v/>
      </c>
      <c r="C1224" s="572" t="str">
        <f t="shared" si="46"/>
        <v/>
      </c>
      <c r="D1224" s="573" t="str">
        <f>IFERROR(VLOOKUP(E1224,Map!$B:$F,4,0),"")&amp;IFERROR(VLOOKUP(E1224,Map!$B:$F,5,0),"")</f>
        <v/>
      </c>
      <c r="E1224" s="574" t="str">
        <f t="shared" si="45"/>
        <v/>
      </c>
    </row>
    <row r="1225" spans="2:5">
      <c r="B1225" s="571" t="str">
        <f>IF(F1225="","",(SUMIF(INTGRATE!$Y:$Y,data!D1225,INTGRATE!$L:$L)+SUMIF(BRAN!$V:$V,data!D1225,BRAN!$J:$J)))</f>
        <v/>
      </c>
      <c r="C1225" s="572" t="str">
        <f t="shared" si="46"/>
        <v/>
      </c>
      <c r="D1225" s="573" t="str">
        <f>IFERROR(VLOOKUP(E1225,Map!$B:$F,4,0),"")&amp;IFERROR(VLOOKUP(E1225,Map!$B:$F,5,0),"")</f>
        <v/>
      </c>
      <c r="E1225" s="574" t="str">
        <f t="shared" si="45"/>
        <v/>
      </c>
    </row>
    <row r="1226" spans="2:5">
      <c r="B1226" s="571" t="str">
        <f>IF(F1226="","",(SUMIF(INTGRATE!$Y:$Y,data!D1226,INTGRATE!$L:$L)+SUMIF(BRAN!$V:$V,data!D1226,BRAN!$J:$J)))</f>
        <v/>
      </c>
      <c r="C1226" s="572" t="str">
        <f t="shared" si="46"/>
        <v/>
      </c>
      <c r="D1226" s="573" t="str">
        <f>IFERROR(VLOOKUP(E1226,Map!$B:$F,4,0),"")&amp;IFERROR(VLOOKUP(E1226,Map!$B:$F,5,0),"")</f>
        <v/>
      </c>
      <c r="E1226" s="574" t="str">
        <f t="shared" si="45"/>
        <v/>
      </c>
    </row>
    <row r="1227" spans="2:5">
      <c r="B1227" s="571" t="str">
        <f>IF(F1227="","",(SUMIF(INTGRATE!$Y:$Y,data!D1227,INTGRATE!$L:$L)+SUMIF(BRAN!$V:$V,data!D1227,BRAN!$J:$J)))</f>
        <v/>
      </c>
      <c r="C1227" s="572" t="str">
        <f t="shared" si="46"/>
        <v/>
      </c>
      <c r="D1227" s="573" t="str">
        <f>IFERROR(VLOOKUP(E1227,Map!$B:$F,4,0),"")&amp;IFERROR(VLOOKUP(E1227,Map!$B:$F,5,0),"")</f>
        <v/>
      </c>
      <c r="E1227" s="574" t="str">
        <f t="shared" si="45"/>
        <v/>
      </c>
    </row>
    <row r="1228" spans="2:5">
      <c r="B1228" s="571" t="str">
        <f>IF(F1228="","",(SUMIF(INTGRATE!$Y:$Y,data!D1228,INTGRATE!$L:$L)+SUMIF(BRAN!$V:$V,data!D1228,BRAN!$J:$J)))</f>
        <v/>
      </c>
      <c r="C1228" s="572" t="str">
        <f t="shared" si="46"/>
        <v/>
      </c>
      <c r="D1228" s="573" t="str">
        <f>IFERROR(VLOOKUP(E1228,Map!$B:$F,4,0),"")&amp;IFERROR(VLOOKUP(E1228,Map!$B:$F,5,0),"")</f>
        <v/>
      </c>
      <c r="E1228" s="574" t="str">
        <f t="shared" si="45"/>
        <v/>
      </c>
    </row>
    <row r="1229" spans="2:5">
      <c r="B1229" s="571" t="str">
        <f>IF(F1229="","",(SUMIF(INTGRATE!$Y:$Y,data!D1229,INTGRATE!$L:$L)+SUMIF(BRAN!$V:$V,data!D1229,BRAN!$J:$J)))</f>
        <v/>
      </c>
      <c r="C1229" s="572" t="str">
        <f t="shared" si="46"/>
        <v/>
      </c>
      <c r="D1229" s="573" t="str">
        <f>IFERROR(VLOOKUP(E1229,Map!$B:$F,4,0),"")&amp;IFERROR(VLOOKUP(E1229,Map!$B:$F,5,0),"")</f>
        <v/>
      </c>
      <c r="E1229" s="574" t="str">
        <f t="shared" si="45"/>
        <v/>
      </c>
    </row>
    <row r="1230" spans="2:5">
      <c r="B1230" s="571" t="str">
        <f>IF(F1230="","",(SUMIF(INTGRATE!$Y:$Y,data!D1230,INTGRATE!$L:$L)+SUMIF(BRAN!$V:$V,data!D1230,BRAN!$J:$J)))</f>
        <v/>
      </c>
      <c r="C1230" s="572" t="str">
        <f t="shared" si="46"/>
        <v/>
      </c>
      <c r="D1230" s="573" t="str">
        <f>IFERROR(VLOOKUP(E1230,Map!$B:$F,4,0),"")&amp;IFERROR(VLOOKUP(E1230,Map!$B:$F,5,0),"")</f>
        <v/>
      </c>
      <c r="E1230" s="574" t="str">
        <f t="shared" si="45"/>
        <v/>
      </c>
    </row>
    <row r="1231" spans="2:5">
      <c r="B1231" s="571" t="str">
        <f>IF(F1231="","",(SUMIF(INTGRATE!$Y:$Y,data!D1231,INTGRATE!$L:$L)+SUMIF(BRAN!$V:$V,data!D1231,BRAN!$J:$J)))</f>
        <v/>
      </c>
      <c r="C1231" s="572" t="str">
        <f t="shared" si="46"/>
        <v/>
      </c>
      <c r="D1231" s="573" t="str">
        <f>IFERROR(VLOOKUP(E1231,Map!$B:$F,4,0),"")&amp;IFERROR(VLOOKUP(E1231,Map!$B:$F,5,0),"")</f>
        <v/>
      </c>
      <c r="E1231" s="574" t="str">
        <f t="shared" si="45"/>
        <v/>
      </c>
    </row>
    <row r="1232" spans="2:5">
      <c r="B1232" s="571" t="str">
        <f>IF(F1232="","",(SUMIF(INTGRATE!$Y:$Y,data!D1232,INTGRATE!$L:$L)+SUMIF(BRAN!$V:$V,data!D1232,BRAN!$J:$J)))</f>
        <v/>
      </c>
      <c r="C1232" s="572" t="str">
        <f t="shared" si="46"/>
        <v/>
      </c>
      <c r="D1232" s="573" t="str">
        <f>IFERROR(VLOOKUP(E1232,Map!$B:$F,4,0),"")&amp;IFERROR(VLOOKUP(E1232,Map!$B:$F,5,0),"")</f>
        <v/>
      </c>
      <c r="E1232" s="574" t="str">
        <f t="shared" si="45"/>
        <v/>
      </c>
    </row>
    <row r="1233" spans="2:5">
      <c r="B1233" s="571" t="str">
        <f>IF(F1233="","",(SUMIF(INTGRATE!$Y:$Y,data!D1233,INTGRATE!$L:$L)+SUMIF(BRAN!$V:$V,data!D1233,BRAN!$J:$J)))</f>
        <v/>
      </c>
      <c r="C1233" s="572" t="str">
        <f t="shared" si="46"/>
        <v/>
      </c>
      <c r="D1233" s="573" t="str">
        <f>IFERROR(VLOOKUP(E1233,Map!$B:$F,4,0),"")&amp;IFERROR(VLOOKUP(E1233,Map!$B:$F,5,0),"")</f>
        <v/>
      </c>
      <c r="E1233" s="574" t="str">
        <f t="shared" si="45"/>
        <v/>
      </c>
    </row>
    <row r="1234" spans="2:5">
      <c r="B1234" s="571" t="str">
        <f>IF(F1234="","",(SUMIF(INTGRATE!$Y:$Y,data!D1234,INTGRATE!$L:$L)+SUMIF(BRAN!$V:$V,data!D1234,BRAN!$J:$J)))</f>
        <v/>
      </c>
      <c r="C1234" s="572" t="str">
        <f t="shared" si="46"/>
        <v/>
      </c>
      <c r="D1234" s="573" t="str">
        <f>IFERROR(VLOOKUP(E1234,Map!$B:$F,4,0),"")&amp;IFERROR(VLOOKUP(E1234,Map!$B:$F,5,0),"")</f>
        <v/>
      </c>
      <c r="E1234" s="574" t="str">
        <f t="shared" si="45"/>
        <v/>
      </c>
    </row>
    <row r="1235" spans="2:5">
      <c r="B1235" s="571" t="str">
        <f>IF(F1235="","",(SUMIF(INTGRATE!$Y:$Y,data!D1235,INTGRATE!$L:$L)+SUMIF(BRAN!$V:$V,data!D1235,BRAN!$J:$J)))</f>
        <v/>
      </c>
      <c r="C1235" s="572" t="str">
        <f t="shared" si="46"/>
        <v/>
      </c>
      <c r="D1235" s="573" t="str">
        <f>IFERROR(VLOOKUP(E1235,Map!$B:$F,4,0),"")&amp;IFERROR(VLOOKUP(E1235,Map!$B:$F,5,0),"")</f>
        <v/>
      </c>
      <c r="E1235" s="574" t="str">
        <f t="shared" si="45"/>
        <v/>
      </c>
    </row>
    <row r="1236" spans="2:5">
      <c r="B1236" s="571" t="str">
        <f>IF(F1236="","",(SUMIF(INTGRATE!$Y:$Y,data!D1236,INTGRATE!$L:$L)+SUMIF(BRAN!$V:$V,data!D1236,BRAN!$J:$J)))</f>
        <v/>
      </c>
      <c r="C1236" s="572" t="str">
        <f t="shared" si="46"/>
        <v/>
      </c>
      <c r="D1236" s="573" t="str">
        <f>IFERROR(VLOOKUP(E1236,Map!$B:$F,4,0),"")&amp;IFERROR(VLOOKUP(E1236,Map!$B:$F,5,0),"")</f>
        <v/>
      </c>
      <c r="E1236" s="574" t="str">
        <f t="shared" si="45"/>
        <v/>
      </c>
    </row>
    <row r="1237" spans="2:5">
      <c r="B1237" s="571" t="str">
        <f>IF(F1237="","",(SUMIF(INTGRATE!$Y:$Y,data!D1237,INTGRATE!$L:$L)+SUMIF(BRAN!$V:$V,data!D1237,BRAN!$J:$J)))</f>
        <v/>
      </c>
      <c r="C1237" s="572" t="str">
        <f t="shared" si="46"/>
        <v/>
      </c>
      <c r="D1237" s="573" t="str">
        <f>IFERROR(VLOOKUP(E1237,Map!$B:$F,4,0),"")&amp;IFERROR(VLOOKUP(E1237,Map!$B:$F,5,0),"")</f>
        <v/>
      </c>
      <c r="E1237" s="574" t="str">
        <f t="shared" si="45"/>
        <v/>
      </c>
    </row>
    <row r="1238" spans="2:5">
      <c r="B1238" s="571" t="str">
        <f>IF(F1238="","",(SUMIF(INTGRATE!$Y:$Y,data!D1238,INTGRATE!$L:$L)+SUMIF(BRAN!$V:$V,data!D1238,BRAN!$J:$J)))</f>
        <v/>
      </c>
      <c r="C1238" s="572" t="str">
        <f t="shared" si="46"/>
        <v/>
      </c>
      <c r="D1238" s="573" t="str">
        <f>IFERROR(VLOOKUP(E1238,Map!$B:$F,4,0),"")&amp;IFERROR(VLOOKUP(E1238,Map!$B:$F,5,0),"")</f>
        <v/>
      </c>
      <c r="E1238" s="574" t="str">
        <f t="shared" si="45"/>
        <v/>
      </c>
    </row>
    <row r="1239" spans="2:5">
      <c r="B1239" s="571" t="str">
        <f>IF(F1239="","",(SUMIF(INTGRATE!$Y:$Y,data!D1239,INTGRATE!$L:$L)+SUMIF(BRAN!$V:$V,data!D1239,BRAN!$J:$J)))</f>
        <v/>
      </c>
      <c r="C1239" s="572" t="str">
        <f t="shared" si="46"/>
        <v/>
      </c>
      <c r="D1239" s="573" t="str">
        <f>IFERROR(VLOOKUP(E1239,Map!$B:$F,4,0),"")&amp;IFERROR(VLOOKUP(E1239,Map!$B:$F,5,0),"")</f>
        <v/>
      </c>
      <c r="E1239" s="574" t="str">
        <f t="shared" si="45"/>
        <v/>
      </c>
    </row>
    <row r="1240" spans="2:5">
      <c r="B1240" s="571" t="str">
        <f>IF(F1240="","",(SUMIF(INTGRATE!$Y:$Y,data!D1240,INTGRATE!$L:$L)+SUMIF(BRAN!$V:$V,data!D1240,BRAN!$J:$J)))</f>
        <v/>
      </c>
      <c r="C1240" s="572" t="str">
        <f t="shared" si="46"/>
        <v/>
      </c>
      <c r="D1240" s="573" t="str">
        <f>IFERROR(VLOOKUP(E1240,Map!$B:$F,4,0),"")&amp;IFERROR(VLOOKUP(E1240,Map!$B:$F,5,0),"")</f>
        <v/>
      </c>
      <c r="E1240" s="574" t="str">
        <f t="shared" si="45"/>
        <v/>
      </c>
    </row>
    <row r="1241" spans="2:5">
      <c r="B1241" s="571" t="str">
        <f>IF(F1241="","",(SUMIF(INTGRATE!$Y:$Y,data!D1241,INTGRATE!$L:$L)+SUMIF(BRAN!$V:$V,data!D1241,BRAN!$J:$J)))</f>
        <v/>
      </c>
      <c r="C1241" s="572" t="str">
        <f t="shared" si="46"/>
        <v/>
      </c>
      <c r="D1241" s="573" t="str">
        <f>IFERROR(VLOOKUP(E1241,Map!$B:$F,4,0),"")&amp;IFERROR(VLOOKUP(E1241,Map!$B:$F,5,0),"")</f>
        <v/>
      </c>
      <c r="E1241" s="574" t="str">
        <f t="shared" si="45"/>
        <v/>
      </c>
    </row>
    <row r="1242" spans="2:5">
      <c r="B1242" s="571" t="str">
        <f>IF(F1242="","",(SUMIF(INTGRATE!$Y:$Y,data!D1242,INTGRATE!$L:$L)+SUMIF(BRAN!$V:$V,data!D1242,BRAN!$J:$J)))</f>
        <v/>
      </c>
      <c r="C1242" s="572" t="str">
        <f t="shared" si="46"/>
        <v/>
      </c>
      <c r="D1242" s="573" t="str">
        <f>IFERROR(VLOOKUP(E1242,Map!$B:$F,4,0),"")&amp;IFERROR(VLOOKUP(E1242,Map!$B:$F,5,0),"")</f>
        <v/>
      </c>
      <c r="E1242" s="574" t="str">
        <f t="shared" si="45"/>
        <v/>
      </c>
    </row>
    <row r="1243" spans="2:5">
      <c r="B1243" s="571" t="str">
        <f>IF(F1243="","",(SUMIF(INTGRATE!$Y:$Y,data!D1243,INTGRATE!$L:$L)+SUMIF(BRAN!$V:$V,data!D1243,BRAN!$J:$J)))</f>
        <v/>
      </c>
      <c r="C1243" s="572" t="str">
        <f t="shared" si="46"/>
        <v/>
      </c>
      <c r="D1243" s="573" t="str">
        <f>IFERROR(VLOOKUP(E1243,Map!$B:$F,4,0),"")&amp;IFERROR(VLOOKUP(E1243,Map!$B:$F,5,0),"")</f>
        <v/>
      </c>
      <c r="E1243" s="574" t="str">
        <f t="shared" si="45"/>
        <v/>
      </c>
    </row>
    <row r="1244" spans="2:5">
      <c r="B1244" s="571" t="str">
        <f>IF(F1244="","",(SUMIF(INTGRATE!$Y:$Y,data!D1244,INTGRATE!$L:$L)+SUMIF(BRAN!$V:$V,data!D1244,BRAN!$J:$J)))</f>
        <v/>
      </c>
      <c r="C1244" s="572" t="str">
        <f t="shared" si="46"/>
        <v/>
      </c>
      <c r="D1244" s="573" t="str">
        <f>IFERROR(VLOOKUP(E1244,Map!$B:$F,4,0),"")&amp;IFERROR(VLOOKUP(E1244,Map!$B:$F,5,0),"")</f>
        <v/>
      </c>
      <c r="E1244" s="574" t="str">
        <f t="shared" si="45"/>
        <v/>
      </c>
    </row>
    <row r="1245" spans="2:5">
      <c r="B1245" s="571" t="str">
        <f>IF(F1245="","",(SUMIF(INTGRATE!$Y:$Y,data!D1245,INTGRATE!$L:$L)+SUMIF(BRAN!$V:$V,data!D1245,BRAN!$J:$J)))</f>
        <v/>
      </c>
      <c r="C1245" s="572" t="str">
        <f t="shared" si="46"/>
        <v/>
      </c>
      <c r="D1245" s="573" t="str">
        <f>IFERROR(VLOOKUP(E1245,Map!$B:$F,4,0),"")&amp;IFERROR(VLOOKUP(E1245,Map!$B:$F,5,0),"")</f>
        <v/>
      </c>
      <c r="E1245" s="574" t="str">
        <f t="shared" si="45"/>
        <v/>
      </c>
    </row>
    <row r="1246" spans="2:5">
      <c r="B1246" s="571" t="str">
        <f>IF(F1246="","",(SUMIF(INTGRATE!$Y:$Y,data!D1246,INTGRATE!$L:$L)+SUMIF(BRAN!$V:$V,data!D1246,BRAN!$J:$J)))</f>
        <v/>
      </c>
      <c r="C1246" s="572" t="str">
        <f t="shared" si="46"/>
        <v/>
      </c>
      <c r="D1246" s="573" t="str">
        <f>IFERROR(VLOOKUP(E1246,Map!$B:$F,4,0),"")&amp;IFERROR(VLOOKUP(E1246,Map!$B:$F,5,0),"")</f>
        <v/>
      </c>
      <c r="E1246" s="574" t="str">
        <f t="shared" si="45"/>
        <v/>
      </c>
    </row>
    <row r="1247" spans="2:5">
      <c r="B1247" s="571" t="str">
        <f>IF(F1247="","",(SUMIF(INTGRATE!$Y:$Y,data!D1247,INTGRATE!$L:$L)+SUMIF(BRAN!$V:$V,data!D1247,BRAN!$J:$J)))</f>
        <v/>
      </c>
      <c r="C1247" s="572" t="str">
        <f t="shared" si="46"/>
        <v/>
      </c>
      <c r="D1247" s="573" t="str">
        <f>IFERROR(VLOOKUP(E1247,Map!$B:$F,4,0),"")&amp;IFERROR(VLOOKUP(E1247,Map!$B:$F,5,0),"")</f>
        <v/>
      </c>
      <c r="E1247" s="574" t="str">
        <f t="shared" si="45"/>
        <v/>
      </c>
    </row>
    <row r="1248" spans="2:5">
      <c r="B1248" s="571" t="str">
        <f>IF(F1248="","",(SUMIF(INTGRATE!$Y:$Y,data!D1248,INTGRATE!$L:$L)+SUMIF(BRAN!$V:$V,data!D1248,BRAN!$J:$J)))</f>
        <v/>
      </c>
      <c r="C1248" s="572" t="str">
        <f t="shared" si="46"/>
        <v/>
      </c>
      <c r="D1248" s="573" t="str">
        <f>IFERROR(VLOOKUP(E1248,Map!$B:$F,4,0),"")&amp;IFERROR(VLOOKUP(E1248,Map!$B:$F,5,0),"")</f>
        <v/>
      </c>
      <c r="E1248" s="574" t="str">
        <f t="shared" ref="E1248:E1311" si="47">IF(MID(F1248,10,2)="99",F1248&amp;H1248,LEFT(F1248,14))</f>
        <v/>
      </c>
    </row>
    <row r="1249" spans="2:5">
      <c r="B1249" s="571" t="str">
        <f>IF(F1249="","",(SUMIF(INTGRATE!$Y:$Y,data!D1249,INTGRATE!$L:$L)+SUMIF(BRAN!$V:$V,data!D1249,BRAN!$J:$J)))</f>
        <v/>
      </c>
      <c r="C1249" s="572" t="str">
        <f t="shared" si="46"/>
        <v/>
      </c>
      <c r="D1249" s="573" t="str">
        <f>IFERROR(VLOOKUP(E1249,Map!$B:$F,4,0),"")&amp;IFERROR(VLOOKUP(E1249,Map!$B:$F,5,0),"")</f>
        <v/>
      </c>
      <c r="E1249" s="574" t="str">
        <f t="shared" si="47"/>
        <v/>
      </c>
    </row>
    <row r="1250" spans="2:5">
      <c r="B1250" s="571" t="str">
        <f>IF(F1250="","",(SUMIF(INTGRATE!$Y:$Y,data!D1250,INTGRATE!$L:$L)+SUMIF(BRAN!$V:$V,data!D1250,BRAN!$J:$J)))</f>
        <v/>
      </c>
      <c r="C1250" s="572" t="str">
        <f t="shared" si="46"/>
        <v/>
      </c>
      <c r="D1250" s="573" t="str">
        <f>IFERROR(VLOOKUP(E1250,Map!$B:$F,4,0),"")&amp;IFERROR(VLOOKUP(E1250,Map!$B:$F,5,0),"")</f>
        <v/>
      </c>
      <c r="E1250" s="574" t="str">
        <f t="shared" si="47"/>
        <v/>
      </c>
    </row>
    <row r="1251" spans="2:5">
      <c r="B1251" s="571" t="str">
        <f>IF(F1251="","",(SUMIF(INTGRATE!$Y:$Y,data!D1251,INTGRATE!$L:$L)+SUMIF(BRAN!$V:$V,data!D1251,BRAN!$J:$J)))</f>
        <v/>
      </c>
      <c r="C1251" s="572" t="str">
        <f t="shared" si="46"/>
        <v/>
      </c>
      <c r="D1251" s="573" t="str">
        <f>IFERROR(VLOOKUP(E1251,Map!$B:$F,4,0),"")&amp;IFERROR(VLOOKUP(E1251,Map!$B:$F,5,0),"")</f>
        <v/>
      </c>
      <c r="E1251" s="574" t="str">
        <f t="shared" si="47"/>
        <v/>
      </c>
    </row>
    <row r="1252" spans="2:5">
      <c r="B1252" s="571" t="str">
        <f>IF(F1252="","",(SUMIF(INTGRATE!$Y:$Y,data!D1252,INTGRATE!$L:$L)+SUMIF(BRAN!$V:$V,data!D1252,BRAN!$J:$J)))</f>
        <v/>
      </c>
      <c r="C1252" s="572" t="str">
        <f t="shared" si="46"/>
        <v/>
      </c>
      <c r="D1252" s="573" t="str">
        <f>IFERROR(VLOOKUP(E1252,Map!$B:$F,4,0),"")&amp;IFERROR(VLOOKUP(E1252,Map!$B:$F,5,0),"")</f>
        <v/>
      </c>
      <c r="E1252" s="574" t="str">
        <f t="shared" si="47"/>
        <v/>
      </c>
    </row>
    <row r="1253" spans="2:5">
      <c r="B1253" s="571" t="str">
        <f>IF(F1253="","",(SUMIF(INTGRATE!$Y:$Y,data!D1253,INTGRATE!$L:$L)+SUMIF(BRAN!$V:$V,data!D1253,BRAN!$J:$J)))</f>
        <v/>
      </c>
      <c r="C1253" s="572" t="str">
        <f t="shared" si="46"/>
        <v/>
      </c>
      <c r="D1253" s="573" t="str">
        <f>IFERROR(VLOOKUP(E1253,Map!$B:$F,4,0),"")&amp;IFERROR(VLOOKUP(E1253,Map!$B:$F,5,0),"")</f>
        <v/>
      </c>
      <c r="E1253" s="574" t="str">
        <f t="shared" si="47"/>
        <v/>
      </c>
    </row>
    <row r="1254" spans="2:5">
      <c r="B1254" s="571" t="str">
        <f>IF(F1254="","",(SUMIF(INTGRATE!$Y:$Y,data!D1254,INTGRATE!$L:$L)+SUMIF(BRAN!$V:$V,data!D1254,BRAN!$J:$J)))</f>
        <v/>
      </c>
      <c r="C1254" s="572" t="str">
        <f t="shared" si="46"/>
        <v/>
      </c>
      <c r="D1254" s="573" t="str">
        <f>IFERROR(VLOOKUP(E1254,Map!$B:$F,4,0),"")&amp;IFERROR(VLOOKUP(E1254,Map!$B:$F,5,0),"")</f>
        <v/>
      </c>
      <c r="E1254" s="574" t="str">
        <f t="shared" si="47"/>
        <v/>
      </c>
    </row>
    <row r="1255" spans="2:5">
      <c r="B1255" s="571" t="str">
        <f>IF(F1255="","",(SUMIF(INTGRATE!$Y:$Y,data!D1255,INTGRATE!$L:$L)+SUMIF(BRAN!$V:$V,data!D1255,BRAN!$J:$J)))</f>
        <v/>
      </c>
      <c r="C1255" s="572" t="str">
        <f t="shared" si="46"/>
        <v/>
      </c>
      <c r="D1255" s="573" t="str">
        <f>IFERROR(VLOOKUP(E1255,Map!$B:$F,4,0),"")&amp;IFERROR(VLOOKUP(E1255,Map!$B:$F,5,0),"")</f>
        <v/>
      </c>
      <c r="E1255" s="574" t="str">
        <f t="shared" si="47"/>
        <v/>
      </c>
    </row>
    <row r="1256" spans="2:5">
      <c r="B1256" s="571" t="str">
        <f>IF(F1256="","",(SUMIF(INTGRATE!$Y:$Y,data!D1256,INTGRATE!$L:$L)+SUMIF(BRAN!$V:$V,data!D1256,BRAN!$J:$J)))</f>
        <v/>
      </c>
      <c r="C1256" s="572" t="str">
        <f t="shared" si="46"/>
        <v/>
      </c>
      <c r="D1256" s="573" t="str">
        <f>IFERROR(VLOOKUP(E1256,Map!$B:$F,4,0),"")&amp;IFERROR(VLOOKUP(E1256,Map!$B:$F,5,0),"")</f>
        <v/>
      </c>
      <c r="E1256" s="574" t="str">
        <f t="shared" si="47"/>
        <v/>
      </c>
    </row>
    <row r="1257" spans="2:5">
      <c r="B1257" s="571" t="str">
        <f>IF(F1257="","",(SUMIF(INTGRATE!$Y:$Y,data!D1257,INTGRATE!$L:$L)+SUMIF(BRAN!$V:$V,data!D1257,BRAN!$J:$J)))</f>
        <v/>
      </c>
      <c r="C1257" s="572" t="str">
        <f t="shared" si="46"/>
        <v/>
      </c>
      <c r="D1257" s="573" t="str">
        <f>IFERROR(VLOOKUP(E1257,Map!$B:$F,4,0),"")&amp;IFERROR(VLOOKUP(E1257,Map!$B:$F,5,0),"")</f>
        <v/>
      </c>
      <c r="E1257" s="574" t="str">
        <f t="shared" si="47"/>
        <v/>
      </c>
    </row>
    <row r="1258" spans="2:5">
      <c r="B1258" s="571" t="str">
        <f>IF(F1258="","",(SUMIF(INTGRATE!$Y:$Y,data!D1258,INTGRATE!$L:$L)+SUMIF(BRAN!$V:$V,data!D1258,BRAN!$J:$J)))</f>
        <v/>
      </c>
      <c r="C1258" s="572" t="str">
        <f t="shared" si="46"/>
        <v/>
      </c>
      <c r="D1258" s="573" t="str">
        <f>IFERROR(VLOOKUP(E1258,Map!$B:$F,4,0),"")&amp;IFERROR(VLOOKUP(E1258,Map!$B:$F,5,0),"")</f>
        <v/>
      </c>
      <c r="E1258" s="574" t="str">
        <f t="shared" si="47"/>
        <v/>
      </c>
    </row>
    <row r="1259" spans="2:5">
      <c r="B1259" s="571" t="str">
        <f>IF(F1259="","",(SUMIF(INTGRATE!$Y:$Y,data!D1259,INTGRATE!$L:$L)+SUMIF(BRAN!$V:$V,data!D1259,BRAN!$J:$J)))</f>
        <v/>
      </c>
      <c r="C1259" s="572" t="str">
        <f t="shared" si="46"/>
        <v/>
      </c>
      <c r="D1259" s="573" t="str">
        <f>IFERROR(VLOOKUP(E1259,Map!$B:$F,4,0),"")&amp;IFERROR(VLOOKUP(E1259,Map!$B:$F,5,0),"")</f>
        <v/>
      </c>
      <c r="E1259" s="574" t="str">
        <f t="shared" si="47"/>
        <v/>
      </c>
    </row>
    <row r="1260" spans="2:5">
      <c r="B1260" s="571" t="str">
        <f>IF(F1260="","",(SUMIF(INTGRATE!$Y:$Y,data!D1260,INTGRATE!$L:$L)+SUMIF(BRAN!$V:$V,data!D1260,BRAN!$J:$J)))</f>
        <v/>
      </c>
      <c r="C1260" s="572" t="str">
        <f t="shared" si="46"/>
        <v/>
      </c>
      <c r="D1260" s="573" t="str">
        <f>IFERROR(VLOOKUP(E1260,Map!$B:$F,4,0),"")&amp;IFERROR(VLOOKUP(E1260,Map!$B:$F,5,0),"")</f>
        <v/>
      </c>
      <c r="E1260" s="574" t="str">
        <f t="shared" si="47"/>
        <v/>
      </c>
    </row>
    <row r="1261" spans="2:5">
      <c r="B1261" s="571" t="str">
        <f>IF(F1261="","",(SUMIF(INTGRATE!$Y:$Y,data!D1261,INTGRATE!$L:$L)+SUMIF(BRAN!$V:$V,data!D1261,BRAN!$J:$J)))</f>
        <v/>
      </c>
      <c r="C1261" s="572" t="str">
        <f t="shared" si="46"/>
        <v/>
      </c>
      <c r="D1261" s="573" t="str">
        <f>IFERROR(VLOOKUP(E1261,Map!$B:$F,4,0),"")&amp;IFERROR(VLOOKUP(E1261,Map!$B:$F,5,0),"")</f>
        <v/>
      </c>
      <c r="E1261" s="574" t="str">
        <f t="shared" si="47"/>
        <v/>
      </c>
    </row>
    <row r="1262" spans="2:5">
      <c r="B1262" s="571" t="str">
        <f>IF(F1262="","",(SUMIF(INTGRATE!$Y:$Y,data!D1262,INTGRATE!$L:$L)+SUMIF(BRAN!$V:$V,data!D1262,BRAN!$J:$J)))</f>
        <v/>
      </c>
      <c r="C1262" s="572" t="str">
        <f t="shared" si="46"/>
        <v/>
      </c>
      <c r="D1262" s="573" t="str">
        <f>IFERROR(VLOOKUP(E1262,Map!$B:$F,4,0),"")&amp;IFERROR(VLOOKUP(E1262,Map!$B:$F,5,0),"")</f>
        <v/>
      </c>
      <c r="E1262" s="574" t="str">
        <f t="shared" si="47"/>
        <v/>
      </c>
    </row>
    <row r="1263" spans="2:5">
      <c r="B1263" s="571" t="str">
        <f>IF(F1263="","",(SUMIF(INTGRATE!$Y:$Y,data!D1263,INTGRATE!$L:$L)+SUMIF(BRAN!$V:$V,data!D1263,BRAN!$J:$J)))</f>
        <v/>
      </c>
      <c r="C1263" s="572" t="str">
        <f t="shared" si="46"/>
        <v/>
      </c>
      <c r="D1263" s="573" t="str">
        <f>IFERROR(VLOOKUP(E1263,Map!$B:$F,4,0),"")&amp;IFERROR(VLOOKUP(E1263,Map!$B:$F,5,0),"")</f>
        <v/>
      </c>
      <c r="E1263" s="574" t="str">
        <f t="shared" si="47"/>
        <v/>
      </c>
    </row>
    <row r="1264" spans="2:5">
      <c r="B1264" s="571" t="str">
        <f>IF(F1264="","",(SUMIF(INTGRATE!$Y:$Y,data!D1264,INTGRATE!$L:$L)+SUMIF(BRAN!$V:$V,data!D1264,BRAN!$J:$J)))</f>
        <v/>
      </c>
      <c r="C1264" s="572" t="str">
        <f t="shared" si="46"/>
        <v/>
      </c>
      <c r="D1264" s="573" t="str">
        <f>IFERROR(VLOOKUP(E1264,Map!$B:$F,4,0),"")&amp;IFERROR(VLOOKUP(E1264,Map!$B:$F,5,0),"")</f>
        <v/>
      </c>
      <c r="E1264" s="574" t="str">
        <f t="shared" si="47"/>
        <v/>
      </c>
    </row>
    <row r="1265" spans="2:5">
      <c r="B1265" s="571" t="str">
        <f>IF(F1265="","",(SUMIF(INTGRATE!$Y:$Y,data!D1265,INTGRATE!$L:$L)+SUMIF(BRAN!$V:$V,data!D1265,BRAN!$J:$J)))</f>
        <v/>
      </c>
      <c r="C1265" s="572" t="str">
        <f t="shared" si="46"/>
        <v/>
      </c>
      <c r="D1265" s="573" t="str">
        <f>IFERROR(VLOOKUP(E1265,Map!$B:$F,4,0),"")&amp;IFERROR(VLOOKUP(E1265,Map!$B:$F,5,0),"")</f>
        <v/>
      </c>
      <c r="E1265" s="574" t="str">
        <f t="shared" si="47"/>
        <v/>
      </c>
    </row>
    <row r="1266" spans="2:5">
      <c r="B1266" s="571" t="str">
        <f>IF(F1266="","",(SUMIF(INTGRATE!$Y:$Y,data!D1266,INTGRATE!$L:$L)+SUMIF(BRAN!$V:$V,data!D1266,BRAN!$J:$J)))</f>
        <v/>
      </c>
      <c r="C1266" s="572" t="str">
        <f t="shared" si="46"/>
        <v/>
      </c>
      <c r="D1266" s="573" t="str">
        <f>IFERROR(VLOOKUP(E1266,Map!$B:$F,4,0),"")&amp;IFERROR(VLOOKUP(E1266,Map!$B:$F,5,0),"")</f>
        <v/>
      </c>
      <c r="E1266" s="574" t="str">
        <f t="shared" si="47"/>
        <v/>
      </c>
    </row>
    <row r="1267" spans="2:5">
      <c r="B1267" s="571" t="str">
        <f>IF(F1267="","",(SUMIF(INTGRATE!$Y:$Y,data!D1267,INTGRATE!$L:$L)+SUMIF(BRAN!$V:$V,data!D1267,BRAN!$J:$J)))</f>
        <v/>
      </c>
      <c r="C1267" s="572" t="str">
        <f t="shared" si="46"/>
        <v/>
      </c>
      <c r="D1267" s="573" t="str">
        <f>IFERROR(VLOOKUP(E1267,Map!$B:$F,4,0),"")&amp;IFERROR(VLOOKUP(E1267,Map!$B:$F,5,0),"")</f>
        <v/>
      </c>
      <c r="E1267" s="574" t="str">
        <f t="shared" si="47"/>
        <v/>
      </c>
    </row>
    <row r="1268" spans="2:5">
      <c r="B1268" s="571" t="str">
        <f>IF(F1268="","",(SUMIF(INTGRATE!$Y:$Y,data!D1268,INTGRATE!$L:$L)+SUMIF(BRAN!$V:$V,data!D1268,BRAN!$J:$J)))</f>
        <v/>
      </c>
      <c r="C1268" s="572" t="str">
        <f t="shared" si="46"/>
        <v/>
      </c>
      <c r="D1268" s="573" t="str">
        <f>IFERROR(VLOOKUP(E1268,Map!$B:$F,4,0),"")&amp;IFERROR(VLOOKUP(E1268,Map!$B:$F,5,0),"")</f>
        <v/>
      </c>
      <c r="E1268" s="574" t="str">
        <f t="shared" si="47"/>
        <v/>
      </c>
    </row>
    <row r="1269" spans="2:5">
      <c r="B1269" s="571" t="str">
        <f>IF(F1269="","",(SUMIF(INTGRATE!$Y:$Y,data!D1269,INTGRATE!$L:$L)+SUMIF(BRAN!$V:$V,data!D1269,BRAN!$J:$J)))</f>
        <v/>
      </c>
      <c r="C1269" s="572" t="str">
        <f t="shared" si="46"/>
        <v/>
      </c>
      <c r="D1269" s="573" t="str">
        <f>IFERROR(VLOOKUP(E1269,Map!$B:$F,4,0),"")&amp;IFERROR(VLOOKUP(E1269,Map!$B:$F,5,0),"")</f>
        <v/>
      </c>
      <c r="E1269" s="574" t="str">
        <f t="shared" si="47"/>
        <v/>
      </c>
    </row>
    <row r="1270" spans="2:5">
      <c r="B1270" s="571" t="str">
        <f>IF(F1270="","",(SUMIF(INTGRATE!$Y:$Y,data!D1270,INTGRATE!$L:$L)+SUMIF(BRAN!$V:$V,data!D1270,BRAN!$J:$J)))</f>
        <v/>
      </c>
      <c r="C1270" s="572" t="str">
        <f t="shared" si="46"/>
        <v/>
      </c>
      <c r="D1270" s="573" t="str">
        <f>IFERROR(VLOOKUP(E1270,Map!$B:$F,4,0),"")&amp;IFERROR(VLOOKUP(E1270,Map!$B:$F,5,0),"")</f>
        <v/>
      </c>
      <c r="E1270" s="574" t="str">
        <f t="shared" si="47"/>
        <v/>
      </c>
    </row>
    <row r="1271" spans="2:5">
      <c r="B1271" s="571" t="str">
        <f>IF(F1271="","",(SUMIF(INTGRATE!$Y:$Y,data!D1271,INTGRATE!$L:$L)+SUMIF(BRAN!$V:$V,data!D1271,BRAN!$J:$J)))</f>
        <v/>
      </c>
      <c r="C1271" s="572" t="str">
        <f t="shared" si="46"/>
        <v/>
      </c>
      <c r="D1271" s="573" t="str">
        <f>IFERROR(VLOOKUP(E1271,Map!$B:$F,4,0),"")&amp;IFERROR(VLOOKUP(E1271,Map!$B:$F,5,0),"")</f>
        <v/>
      </c>
      <c r="E1271" s="574" t="str">
        <f t="shared" si="47"/>
        <v/>
      </c>
    </row>
    <row r="1272" spans="2:5">
      <c r="B1272" s="571" t="str">
        <f>IF(F1272="","",(SUMIF(INTGRATE!$Y:$Y,data!D1272,INTGRATE!$L:$L)+SUMIF(BRAN!$V:$V,data!D1272,BRAN!$J:$J)))</f>
        <v/>
      </c>
      <c r="C1272" s="572" t="str">
        <f t="shared" si="46"/>
        <v/>
      </c>
      <c r="D1272" s="573" t="str">
        <f>IFERROR(VLOOKUP(E1272,Map!$B:$F,4,0),"")&amp;IFERROR(VLOOKUP(E1272,Map!$B:$F,5,0),"")</f>
        <v/>
      </c>
      <c r="E1272" s="574" t="str">
        <f t="shared" si="47"/>
        <v/>
      </c>
    </row>
    <row r="1273" spans="2:5">
      <c r="B1273" s="571" t="str">
        <f>IF(F1273="","",(SUMIF(INTGRATE!$Y:$Y,data!D1273,INTGRATE!$L:$L)+SUMIF(BRAN!$V:$V,data!D1273,BRAN!$J:$J)))</f>
        <v/>
      </c>
      <c r="C1273" s="572" t="str">
        <f t="shared" si="46"/>
        <v/>
      </c>
      <c r="D1273" s="573" t="str">
        <f>IFERROR(VLOOKUP(E1273,Map!$B:$F,4,0),"")&amp;IFERROR(VLOOKUP(E1273,Map!$B:$F,5,0),"")</f>
        <v/>
      </c>
      <c r="E1273" s="574" t="str">
        <f t="shared" si="47"/>
        <v/>
      </c>
    </row>
    <row r="1274" spans="2:5">
      <c r="B1274" s="571" t="str">
        <f>IF(F1274="","",(SUMIF(INTGRATE!$Y:$Y,data!D1274,INTGRATE!$L:$L)+SUMIF(BRAN!$V:$V,data!D1274,BRAN!$J:$J)))</f>
        <v/>
      </c>
      <c r="C1274" s="572" t="str">
        <f t="shared" si="46"/>
        <v/>
      </c>
      <c r="D1274" s="573" t="str">
        <f>IFERROR(VLOOKUP(E1274,Map!$B:$F,4,0),"")&amp;IFERROR(VLOOKUP(E1274,Map!$B:$F,5,0),"")</f>
        <v/>
      </c>
      <c r="E1274" s="574" t="str">
        <f t="shared" si="47"/>
        <v/>
      </c>
    </row>
    <row r="1275" spans="2:5">
      <c r="B1275" s="571" t="str">
        <f>IF(F1275="","",(SUMIF(INTGRATE!$Y:$Y,data!D1275,INTGRATE!$L:$L)+SUMIF(BRAN!$V:$V,data!D1275,BRAN!$J:$J)))</f>
        <v/>
      </c>
      <c r="C1275" s="572" t="str">
        <f t="shared" si="46"/>
        <v/>
      </c>
      <c r="D1275" s="573" t="str">
        <f>IFERROR(VLOOKUP(E1275,Map!$B:$F,4,0),"")&amp;IFERROR(VLOOKUP(E1275,Map!$B:$F,5,0),"")</f>
        <v/>
      </c>
      <c r="E1275" s="574" t="str">
        <f t="shared" si="47"/>
        <v/>
      </c>
    </row>
    <row r="1276" spans="2:5">
      <c r="B1276" s="571" t="str">
        <f>IF(F1276="","",(SUMIF(INTGRATE!$Y:$Y,data!D1276,INTGRATE!$L:$L)+SUMIF(BRAN!$V:$V,data!D1276,BRAN!$J:$J)))</f>
        <v/>
      </c>
      <c r="C1276" s="572" t="str">
        <f t="shared" si="46"/>
        <v/>
      </c>
      <c r="D1276" s="573" t="str">
        <f>IFERROR(VLOOKUP(E1276,Map!$B:$F,4,0),"")&amp;IFERROR(VLOOKUP(E1276,Map!$B:$F,5,0),"")</f>
        <v/>
      </c>
      <c r="E1276" s="574" t="str">
        <f t="shared" si="47"/>
        <v/>
      </c>
    </row>
    <row r="1277" spans="2:5">
      <c r="B1277" s="571" t="str">
        <f>IF(F1277="","",(SUMIF(INTGRATE!$Y:$Y,data!D1277,INTGRATE!$L:$L)+SUMIF(BRAN!$V:$V,data!D1277,BRAN!$J:$J)))</f>
        <v/>
      </c>
      <c r="C1277" s="572" t="str">
        <f t="shared" si="46"/>
        <v/>
      </c>
      <c r="D1277" s="573" t="str">
        <f>IFERROR(VLOOKUP(E1277,Map!$B:$F,4,0),"")&amp;IFERROR(VLOOKUP(E1277,Map!$B:$F,5,0),"")</f>
        <v/>
      </c>
      <c r="E1277" s="574" t="str">
        <f t="shared" si="47"/>
        <v/>
      </c>
    </row>
    <row r="1278" spans="2:5">
      <c r="B1278" s="571" t="str">
        <f>IF(F1278="","",(SUMIF(INTGRATE!$Y:$Y,data!D1278,INTGRATE!$L:$L)+SUMIF(BRAN!$V:$V,data!D1278,BRAN!$J:$J)))</f>
        <v/>
      </c>
      <c r="C1278" s="572" t="str">
        <f t="shared" si="46"/>
        <v/>
      </c>
      <c r="D1278" s="573" t="str">
        <f>IFERROR(VLOOKUP(E1278,Map!$B:$F,4,0),"")&amp;IFERROR(VLOOKUP(E1278,Map!$B:$F,5,0),"")</f>
        <v/>
      </c>
      <c r="E1278" s="574" t="str">
        <f t="shared" si="47"/>
        <v/>
      </c>
    </row>
    <row r="1279" spans="2:5">
      <c r="B1279" s="571" t="str">
        <f>IF(F1279="","",(SUMIF(INTGRATE!$Y:$Y,data!D1279,INTGRATE!$L:$L)+SUMIF(BRAN!$V:$V,data!D1279,BRAN!$J:$J)))</f>
        <v/>
      </c>
      <c r="C1279" s="572" t="str">
        <f t="shared" ref="C1279:C1342" si="48">IF(F1279="","",B1279-K1279)</f>
        <v/>
      </c>
      <c r="D1279" s="573" t="str">
        <f>IFERROR(VLOOKUP(E1279,Map!$B:$F,4,0),"")&amp;IFERROR(VLOOKUP(E1279,Map!$B:$F,5,0),"")</f>
        <v/>
      </c>
      <c r="E1279" s="574" t="str">
        <f t="shared" si="47"/>
        <v/>
      </c>
    </row>
    <row r="1280" spans="2:5">
      <c r="B1280" s="571" t="str">
        <f>IF(F1280="","",(SUMIF(INTGRATE!$Y:$Y,data!D1280,INTGRATE!$L:$L)+SUMIF(BRAN!$V:$V,data!D1280,BRAN!$J:$J)))</f>
        <v/>
      </c>
      <c r="C1280" s="572" t="str">
        <f t="shared" si="48"/>
        <v/>
      </c>
      <c r="D1280" s="573" t="str">
        <f>IFERROR(VLOOKUP(E1280,Map!$B:$F,4,0),"")&amp;IFERROR(VLOOKUP(E1280,Map!$B:$F,5,0),"")</f>
        <v/>
      </c>
      <c r="E1280" s="574" t="str">
        <f t="shared" si="47"/>
        <v/>
      </c>
    </row>
    <row r="1281" spans="2:5">
      <c r="B1281" s="571" t="str">
        <f>IF(F1281="","",(SUMIF(INTGRATE!$Y:$Y,data!D1281,INTGRATE!$L:$L)+SUMIF(BRAN!$V:$V,data!D1281,BRAN!$J:$J)))</f>
        <v/>
      </c>
      <c r="C1281" s="572" t="str">
        <f t="shared" si="48"/>
        <v/>
      </c>
      <c r="D1281" s="573" t="str">
        <f>IFERROR(VLOOKUP(E1281,Map!$B:$F,4,0),"")&amp;IFERROR(VLOOKUP(E1281,Map!$B:$F,5,0),"")</f>
        <v/>
      </c>
      <c r="E1281" s="574" t="str">
        <f t="shared" si="47"/>
        <v/>
      </c>
    </row>
    <row r="1282" spans="2:5">
      <c r="B1282" s="571" t="str">
        <f>IF(F1282="","",(SUMIF(INTGRATE!$Y:$Y,data!D1282,INTGRATE!$L:$L)+SUMIF(BRAN!$V:$V,data!D1282,BRAN!$J:$J)))</f>
        <v/>
      </c>
      <c r="C1282" s="572" t="str">
        <f t="shared" si="48"/>
        <v/>
      </c>
      <c r="D1282" s="573" t="str">
        <f>IFERROR(VLOOKUP(E1282,Map!$B:$F,4,0),"")&amp;IFERROR(VLOOKUP(E1282,Map!$B:$F,5,0),"")</f>
        <v/>
      </c>
      <c r="E1282" s="574" t="str">
        <f t="shared" si="47"/>
        <v/>
      </c>
    </row>
    <row r="1283" spans="2:5">
      <c r="B1283" s="571" t="str">
        <f>IF(F1283="","",(SUMIF(INTGRATE!$Y:$Y,data!D1283,INTGRATE!$L:$L)+SUMIF(BRAN!$V:$V,data!D1283,BRAN!$J:$J)))</f>
        <v/>
      </c>
      <c r="C1283" s="572" t="str">
        <f t="shared" si="48"/>
        <v/>
      </c>
      <c r="D1283" s="573" t="str">
        <f>IFERROR(VLOOKUP(E1283,Map!$B:$F,4,0),"")&amp;IFERROR(VLOOKUP(E1283,Map!$B:$F,5,0),"")</f>
        <v/>
      </c>
      <c r="E1283" s="574" t="str">
        <f t="shared" si="47"/>
        <v/>
      </c>
    </row>
    <row r="1284" spans="2:5">
      <c r="B1284" s="571" t="str">
        <f>IF(F1284="","",(SUMIF(INTGRATE!$Y:$Y,data!D1284,INTGRATE!$L:$L)+SUMIF(BRAN!$V:$V,data!D1284,BRAN!$J:$J)))</f>
        <v/>
      </c>
      <c r="C1284" s="572" t="str">
        <f t="shared" si="48"/>
        <v/>
      </c>
      <c r="D1284" s="573" t="str">
        <f>IFERROR(VLOOKUP(E1284,Map!$B:$F,4,0),"")&amp;IFERROR(VLOOKUP(E1284,Map!$B:$F,5,0),"")</f>
        <v/>
      </c>
      <c r="E1284" s="574" t="str">
        <f t="shared" si="47"/>
        <v/>
      </c>
    </row>
    <row r="1285" spans="2:5">
      <c r="B1285" s="571" t="str">
        <f>IF(F1285="","",(SUMIF(INTGRATE!$Y:$Y,data!D1285,INTGRATE!$L:$L)+SUMIF(BRAN!$V:$V,data!D1285,BRAN!$J:$J)))</f>
        <v/>
      </c>
      <c r="C1285" s="572" t="str">
        <f t="shared" si="48"/>
        <v/>
      </c>
      <c r="D1285" s="573" t="str">
        <f>IFERROR(VLOOKUP(E1285,Map!$B:$F,4,0),"")&amp;IFERROR(VLOOKUP(E1285,Map!$B:$F,5,0),"")</f>
        <v/>
      </c>
      <c r="E1285" s="574" t="str">
        <f t="shared" si="47"/>
        <v/>
      </c>
    </row>
    <row r="1286" spans="2:5">
      <c r="B1286" s="571" t="str">
        <f>IF(F1286="","",(SUMIF(INTGRATE!$Y:$Y,data!D1286,INTGRATE!$L:$L)+SUMIF(BRAN!$V:$V,data!D1286,BRAN!$J:$J)))</f>
        <v/>
      </c>
      <c r="C1286" s="572" t="str">
        <f t="shared" si="48"/>
        <v/>
      </c>
      <c r="D1286" s="573" t="str">
        <f>IFERROR(VLOOKUP(E1286,Map!$B:$F,4,0),"")&amp;IFERROR(VLOOKUP(E1286,Map!$B:$F,5,0),"")</f>
        <v/>
      </c>
      <c r="E1286" s="574" t="str">
        <f t="shared" si="47"/>
        <v/>
      </c>
    </row>
    <row r="1287" spans="2:5">
      <c r="B1287" s="571" t="str">
        <f>IF(F1287="","",(SUMIF(INTGRATE!$Y:$Y,data!D1287,INTGRATE!$L:$L)+SUMIF(BRAN!$V:$V,data!D1287,BRAN!$J:$J)))</f>
        <v/>
      </c>
      <c r="C1287" s="572" t="str">
        <f t="shared" si="48"/>
        <v/>
      </c>
      <c r="D1287" s="573" t="str">
        <f>IFERROR(VLOOKUP(E1287,Map!$B:$F,4,0),"")&amp;IFERROR(VLOOKUP(E1287,Map!$B:$F,5,0),"")</f>
        <v/>
      </c>
      <c r="E1287" s="574" t="str">
        <f t="shared" si="47"/>
        <v/>
      </c>
    </row>
    <row r="1288" spans="2:5">
      <c r="B1288" s="571" t="str">
        <f>IF(F1288="","",(SUMIF(INTGRATE!$Y:$Y,data!D1288,INTGRATE!$L:$L)+SUMIF(BRAN!$V:$V,data!D1288,BRAN!$J:$J)))</f>
        <v/>
      </c>
      <c r="C1288" s="572" t="str">
        <f t="shared" si="48"/>
        <v/>
      </c>
      <c r="D1288" s="573" t="str">
        <f>IFERROR(VLOOKUP(E1288,Map!$B:$F,4,0),"")&amp;IFERROR(VLOOKUP(E1288,Map!$B:$F,5,0),"")</f>
        <v/>
      </c>
      <c r="E1288" s="574" t="str">
        <f t="shared" si="47"/>
        <v/>
      </c>
    </row>
    <row r="1289" spans="2:5">
      <c r="B1289" s="571" t="str">
        <f>IF(F1289="","",(SUMIF(INTGRATE!$Y:$Y,data!D1289,INTGRATE!$L:$L)+SUMIF(BRAN!$V:$V,data!D1289,BRAN!$J:$J)))</f>
        <v/>
      </c>
      <c r="C1289" s="572" t="str">
        <f t="shared" si="48"/>
        <v/>
      </c>
      <c r="D1289" s="573" t="str">
        <f>IFERROR(VLOOKUP(E1289,Map!$B:$F,4,0),"")&amp;IFERROR(VLOOKUP(E1289,Map!$B:$F,5,0),"")</f>
        <v/>
      </c>
      <c r="E1289" s="574" t="str">
        <f t="shared" si="47"/>
        <v/>
      </c>
    </row>
    <row r="1290" spans="2:5">
      <c r="B1290" s="571" t="str">
        <f>IF(F1290="","",(SUMIF(INTGRATE!$Y:$Y,data!D1290,INTGRATE!$L:$L)+SUMIF(BRAN!$V:$V,data!D1290,BRAN!$J:$J)))</f>
        <v/>
      </c>
      <c r="C1290" s="572" t="str">
        <f t="shared" si="48"/>
        <v/>
      </c>
      <c r="D1290" s="573" t="str">
        <f>IFERROR(VLOOKUP(E1290,Map!$B:$F,4,0),"")&amp;IFERROR(VLOOKUP(E1290,Map!$B:$F,5,0),"")</f>
        <v/>
      </c>
      <c r="E1290" s="574" t="str">
        <f t="shared" si="47"/>
        <v/>
      </c>
    </row>
    <row r="1291" spans="2:5">
      <c r="B1291" s="571" t="str">
        <f>IF(F1291="","",(SUMIF(INTGRATE!$Y:$Y,data!D1291,INTGRATE!$L:$L)+SUMIF(BRAN!$V:$V,data!D1291,BRAN!$J:$J)))</f>
        <v/>
      </c>
      <c r="C1291" s="572" t="str">
        <f t="shared" si="48"/>
        <v/>
      </c>
      <c r="D1291" s="573" t="str">
        <f>IFERROR(VLOOKUP(E1291,Map!$B:$F,4,0),"")&amp;IFERROR(VLOOKUP(E1291,Map!$B:$F,5,0),"")</f>
        <v/>
      </c>
      <c r="E1291" s="574" t="str">
        <f t="shared" si="47"/>
        <v/>
      </c>
    </row>
    <row r="1292" spans="2:5">
      <c r="B1292" s="571" t="str">
        <f>IF(F1292="","",(SUMIF(INTGRATE!$Y:$Y,data!D1292,INTGRATE!$L:$L)+SUMIF(BRAN!$V:$V,data!D1292,BRAN!$J:$J)))</f>
        <v/>
      </c>
      <c r="C1292" s="572" t="str">
        <f t="shared" si="48"/>
        <v/>
      </c>
      <c r="D1292" s="573" t="str">
        <f>IFERROR(VLOOKUP(E1292,Map!$B:$F,4,0),"")&amp;IFERROR(VLOOKUP(E1292,Map!$B:$F,5,0),"")</f>
        <v/>
      </c>
      <c r="E1292" s="574" t="str">
        <f t="shared" si="47"/>
        <v/>
      </c>
    </row>
    <row r="1293" spans="2:5">
      <c r="B1293" s="571" t="str">
        <f>IF(F1293="","",(SUMIF(INTGRATE!$Y:$Y,data!D1293,INTGRATE!$L:$L)+SUMIF(BRAN!$V:$V,data!D1293,BRAN!$J:$J)))</f>
        <v/>
      </c>
      <c r="C1293" s="572" t="str">
        <f t="shared" si="48"/>
        <v/>
      </c>
      <c r="D1293" s="573" t="str">
        <f>IFERROR(VLOOKUP(E1293,Map!$B:$F,4,0),"")&amp;IFERROR(VLOOKUP(E1293,Map!$B:$F,5,0),"")</f>
        <v/>
      </c>
      <c r="E1293" s="574" t="str">
        <f t="shared" si="47"/>
        <v/>
      </c>
    </row>
    <row r="1294" spans="2:5">
      <c r="B1294" s="571" t="str">
        <f>IF(F1294="","",(SUMIF(INTGRATE!$Y:$Y,data!D1294,INTGRATE!$L:$L)+SUMIF(BRAN!$V:$V,data!D1294,BRAN!$J:$J)))</f>
        <v/>
      </c>
      <c r="C1294" s="572" t="str">
        <f t="shared" si="48"/>
        <v/>
      </c>
      <c r="D1294" s="573" t="str">
        <f>IFERROR(VLOOKUP(E1294,Map!$B:$F,4,0),"")&amp;IFERROR(VLOOKUP(E1294,Map!$B:$F,5,0),"")</f>
        <v/>
      </c>
      <c r="E1294" s="574" t="str">
        <f t="shared" si="47"/>
        <v/>
      </c>
    </row>
    <row r="1295" spans="2:5">
      <c r="B1295" s="571" t="str">
        <f>IF(F1295="","",(SUMIF(INTGRATE!$Y:$Y,data!D1295,INTGRATE!$L:$L)+SUMIF(BRAN!$V:$V,data!D1295,BRAN!$J:$J)))</f>
        <v/>
      </c>
      <c r="C1295" s="572" t="str">
        <f t="shared" si="48"/>
        <v/>
      </c>
      <c r="D1295" s="573" t="str">
        <f>IFERROR(VLOOKUP(E1295,Map!$B:$F,4,0),"")&amp;IFERROR(VLOOKUP(E1295,Map!$B:$F,5,0),"")</f>
        <v/>
      </c>
      <c r="E1295" s="574" t="str">
        <f t="shared" si="47"/>
        <v/>
      </c>
    </row>
    <row r="1296" spans="2:5">
      <c r="B1296" s="571" t="str">
        <f>IF(F1296="","",(SUMIF(INTGRATE!$Y:$Y,data!D1296,INTGRATE!$L:$L)+SUMIF(BRAN!$V:$V,data!D1296,BRAN!$J:$J)))</f>
        <v/>
      </c>
      <c r="C1296" s="572" t="str">
        <f t="shared" si="48"/>
        <v/>
      </c>
      <c r="D1296" s="573" t="str">
        <f>IFERROR(VLOOKUP(E1296,Map!$B:$F,4,0),"")&amp;IFERROR(VLOOKUP(E1296,Map!$B:$F,5,0),"")</f>
        <v/>
      </c>
      <c r="E1296" s="574" t="str">
        <f t="shared" si="47"/>
        <v/>
      </c>
    </row>
    <row r="1297" spans="2:5">
      <c r="B1297" s="571" t="str">
        <f>IF(F1297="","",(SUMIF(INTGRATE!$Y:$Y,data!D1297,INTGRATE!$L:$L)+SUMIF(BRAN!$V:$V,data!D1297,BRAN!$J:$J)))</f>
        <v/>
      </c>
      <c r="C1297" s="572" t="str">
        <f t="shared" si="48"/>
        <v/>
      </c>
      <c r="D1297" s="573" t="str">
        <f>IFERROR(VLOOKUP(E1297,Map!$B:$F,4,0),"")&amp;IFERROR(VLOOKUP(E1297,Map!$B:$F,5,0),"")</f>
        <v/>
      </c>
      <c r="E1297" s="574" t="str">
        <f t="shared" si="47"/>
        <v/>
      </c>
    </row>
    <row r="1298" spans="2:5">
      <c r="B1298" s="571" t="str">
        <f>IF(F1298="","",(SUMIF(INTGRATE!$Y:$Y,data!D1298,INTGRATE!$L:$L)+SUMIF(BRAN!$V:$V,data!D1298,BRAN!$J:$J)))</f>
        <v/>
      </c>
      <c r="C1298" s="572" t="str">
        <f t="shared" si="48"/>
        <v/>
      </c>
      <c r="D1298" s="573" t="str">
        <f>IFERROR(VLOOKUP(E1298,Map!$B:$F,4,0),"")&amp;IFERROR(VLOOKUP(E1298,Map!$B:$F,5,0),"")</f>
        <v/>
      </c>
      <c r="E1298" s="574" t="str">
        <f t="shared" si="47"/>
        <v/>
      </c>
    </row>
    <row r="1299" spans="2:5">
      <c r="B1299" s="571" t="str">
        <f>IF(F1299="","",(SUMIF(INTGRATE!$Y:$Y,data!D1299,INTGRATE!$L:$L)+SUMIF(BRAN!$V:$V,data!D1299,BRAN!$J:$J)))</f>
        <v/>
      </c>
      <c r="C1299" s="572" t="str">
        <f t="shared" si="48"/>
        <v/>
      </c>
      <c r="D1299" s="573" t="str">
        <f>IFERROR(VLOOKUP(E1299,Map!$B:$F,4,0),"")&amp;IFERROR(VLOOKUP(E1299,Map!$B:$F,5,0),"")</f>
        <v/>
      </c>
      <c r="E1299" s="574" t="str">
        <f t="shared" si="47"/>
        <v/>
      </c>
    </row>
    <row r="1300" spans="2:5">
      <c r="B1300" s="571" t="str">
        <f>IF(F1300="","",(SUMIF(INTGRATE!$Y:$Y,data!D1300,INTGRATE!$L:$L)+SUMIF(BRAN!$V:$V,data!D1300,BRAN!$J:$J)))</f>
        <v/>
      </c>
      <c r="C1300" s="572" t="str">
        <f t="shared" si="48"/>
        <v/>
      </c>
      <c r="D1300" s="573" t="str">
        <f>IFERROR(VLOOKUP(E1300,Map!$B:$F,4,0),"")&amp;IFERROR(VLOOKUP(E1300,Map!$B:$F,5,0),"")</f>
        <v/>
      </c>
      <c r="E1300" s="574" t="str">
        <f t="shared" si="47"/>
        <v/>
      </c>
    </row>
    <row r="1301" spans="2:5">
      <c r="B1301" s="571" t="str">
        <f>IF(F1301="","",(SUMIF(INTGRATE!$Y:$Y,data!D1301,INTGRATE!$L:$L)+SUMIF(BRAN!$V:$V,data!D1301,BRAN!$J:$J)))</f>
        <v/>
      </c>
      <c r="C1301" s="572" t="str">
        <f t="shared" si="48"/>
        <v/>
      </c>
      <c r="D1301" s="573" t="str">
        <f>IFERROR(VLOOKUP(E1301,Map!$B:$F,4,0),"")&amp;IFERROR(VLOOKUP(E1301,Map!$B:$F,5,0),"")</f>
        <v/>
      </c>
      <c r="E1301" s="574" t="str">
        <f t="shared" si="47"/>
        <v/>
      </c>
    </row>
    <row r="1302" spans="2:5">
      <c r="B1302" s="571" t="str">
        <f>IF(F1302="","",(SUMIF(INTGRATE!$Y:$Y,data!D1302,INTGRATE!$L:$L)+SUMIF(BRAN!$V:$V,data!D1302,BRAN!$J:$J)))</f>
        <v/>
      </c>
      <c r="C1302" s="572" t="str">
        <f t="shared" si="48"/>
        <v/>
      </c>
      <c r="D1302" s="573" t="str">
        <f>IFERROR(VLOOKUP(E1302,Map!$B:$F,4,0),"")&amp;IFERROR(VLOOKUP(E1302,Map!$B:$F,5,0),"")</f>
        <v/>
      </c>
      <c r="E1302" s="574" t="str">
        <f t="shared" si="47"/>
        <v/>
      </c>
    </row>
    <row r="1303" spans="2:5">
      <c r="B1303" s="571" t="str">
        <f>IF(F1303="","",(SUMIF(INTGRATE!$Y:$Y,data!D1303,INTGRATE!$L:$L)+SUMIF(BRAN!$V:$V,data!D1303,BRAN!$J:$J)))</f>
        <v/>
      </c>
      <c r="C1303" s="572" t="str">
        <f t="shared" si="48"/>
        <v/>
      </c>
      <c r="D1303" s="573" t="str">
        <f>IFERROR(VLOOKUP(E1303,Map!$B:$F,4,0),"")&amp;IFERROR(VLOOKUP(E1303,Map!$B:$F,5,0),"")</f>
        <v/>
      </c>
      <c r="E1303" s="574" t="str">
        <f t="shared" si="47"/>
        <v/>
      </c>
    </row>
    <row r="1304" spans="2:5">
      <c r="B1304" s="571" t="str">
        <f>IF(F1304="","",(SUMIF(INTGRATE!$Y:$Y,data!D1304,INTGRATE!$L:$L)+SUMIF(BRAN!$V:$V,data!D1304,BRAN!$J:$J)))</f>
        <v/>
      </c>
      <c r="C1304" s="572" t="str">
        <f t="shared" si="48"/>
        <v/>
      </c>
      <c r="D1304" s="573" t="str">
        <f>IFERROR(VLOOKUP(E1304,Map!$B:$F,4,0),"")&amp;IFERROR(VLOOKUP(E1304,Map!$B:$F,5,0),"")</f>
        <v/>
      </c>
      <c r="E1304" s="574" t="str">
        <f t="shared" si="47"/>
        <v/>
      </c>
    </row>
    <row r="1305" spans="2:5">
      <c r="B1305" s="571" t="str">
        <f>IF(F1305="","",(SUMIF(INTGRATE!$Y:$Y,data!D1305,INTGRATE!$L:$L)+SUMIF(BRAN!$V:$V,data!D1305,BRAN!$J:$J)))</f>
        <v/>
      </c>
      <c r="C1305" s="572" t="str">
        <f t="shared" si="48"/>
        <v/>
      </c>
      <c r="D1305" s="573" t="str">
        <f>IFERROR(VLOOKUP(E1305,Map!$B:$F,4,0),"")&amp;IFERROR(VLOOKUP(E1305,Map!$B:$F,5,0),"")</f>
        <v/>
      </c>
      <c r="E1305" s="574" t="str">
        <f t="shared" si="47"/>
        <v/>
      </c>
    </row>
    <row r="1306" spans="2:5">
      <c r="B1306" s="571" t="str">
        <f>IF(F1306="","",(SUMIF(INTGRATE!$Y:$Y,data!D1306,INTGRATE!$L:$L)+SUMIF(BRAN!$V:$V,data!D1306,BRAN!$J:$J)))</f>
        <v/>
      </c>
      <c r="C1306" s="572" t="str">
        <f t="shared" si="48"/>
        <v/>
      </c>
      <c r="D1306" s="573" t="str">
        <f>IFERROR(VLOOKUP(E1306,Map!$B:$F,4,0),"")&amp;IFERROR(VLOOKUP(E1306,Map!$B:$F,5,0),"")</f>
        <v/>
      </c>
      <c r="E1306" s="574" t="str">
        <f t="shared" si="47"/>
        <v/>
      </c>
    </row>
    <row r="1307" spans="2:5">
      <c r="B1307" s="571" t="str">
        <f>IF(F1307="","",(SUMIF(INTGRATE!$Y:$Y,data!D1307,INTGRATE!$L:$L)+SUMIF(BRAN!$V:$V,data!D1307,BRAN!$J:$J)))</f>
        <v/>
      </c>
      <c r="C1307" s="572" t="str">
        <f t="shared" si="48"/>
        <v/>
      </c>
      <c r="D1307" s="573" t="str">
        <f>IFERROR(VLOOKUP(E1307,Map!$B:$F,4,0),"")&amp;IFERROR(VLOOKUP(E1307,Map!$B:$F,5,0),"")</f>
        <v/>
      </c>
      <c r="E1307" s="574" t="str">
        <f t="shared" si="47"/>
        <v/>
      </c>
    </row>
    <row r="1308" spans="2:5">
      <c r="B1308" s="571" t="str">
        <f>IF(F1308="","",(SUMIF(INTGRATE!$Y:$Y,data!D1308,INTGRATE!$L:$L)+SUMIF(BRAN!$V:$V,data!D1308,BRAN!$J:$J)))</f>
        <v/>
      </c>
      <c r="C1308" s="572" t="str">
        <f t="shared" si="48"/>
        <v/>
      </c>
      <c r="D1308" s="573" t="str">
        <f>IFERROR(VLOOKUP(E1308,Map!$B:$F,4,0),"")&amp;IFERROR(VLOOKUP(E1308,Map!$B:$F,5,0),"")</f>
        <v/>
      </c>
      <c r="E1308" s="574" t="str">
        <f t="shared" si="47"/>
        <v/>
      </c>
    </row>
    <row r="1309" spans="2:5">
      <c r="B1309" s="571" t="str">
        <f>IF(F1309="","",(SUMIF(INTGRATE!$Y:$Y,data!D1309,INTGRATE!$L:$L)+SUMIF(BRAN!$V:$V,data!D1309,BRAN!$J:$J)))</f>
        <v/>
      </c>
      <c r="C1309" s="572" t="str">
        <f t="shared" si="48"/>
        <v/>
      </c>
      <c r="D1309" s="573" t="str">
        <f>IFERROR(VLOOKUP(E1309,Map!$B:$F,4,0),"")&amp;IFERROR(VLOOKUP(E1309,Map!$B:$F,5,0),"")</f>
        <v/>
      </c>
      <c r="E1309" s="574" t="str">
        <f t="shared" si="47"/>
        <v/>
      </c>
    </row>
    <row r="1310" spans="2:5">
      <c r="B1310" s="571" t="str">
        <f>IF(F1310="","",(SUMIF(INTGRATE!$Y:$Y,data!D1310,INTGRATE!$L:$L)+SUMIF(BRAN!$V:$V,data!D1310,BRAN!$J:$J)))</f>
        <v/>
      </c>
      <c r="C1310" s="572" t="str">
        <f t="shared" si="48"/>
        <v/>
      </c>
      <c r="D1310" s="573" t="str">
        <f>IFERROR(VLOOKUP(E1310,Map!$B:$F,4,0),"")&amp;IFERROR(VLOOKUP(E1310,Map!$B:$F,5,0),"")</f>
        <v/>
      </c>
      <c r="E1310" s="574" t="str">
        <f t="shared" si="47"/>
        <v/>
      </c>
    </row>
    <row r="1311" spans="2:5">
      <c r="B1311" s="571" t="str">
        <f>IF(F1311="","",(SUMIF(INTGRATE!$Y:$Y,data!D1311,INTGRATE!$L:$L)+SUMIF(BRAN!$V:$V,data!D1311,BRAN!$J:$J)))</f>
        <v/>
      </c>
      <c r="C1311" s="572" t="str">
        <f t="shared" si="48"/>
        <v/>
      </c>
      <c r="D1311" s="573" t="str">
        <f>IFERROR(VLOOKUP(E1311,Map!$B:$F,4,0),"")&amp;IFERROR(VLOOKUP(E1311,Map!$B:$F,5,0),"")</f>
        <v/>
      </c>
      <c r="E1311" s="574" t="str">
        <f t="shared" si="47"/>
        <v/>
      </c>
    </row>
    <row r="1312" spans="2:5">
      <c r="B1312" s="571" t="str">
        <f>IF(F1312="","",(SUMIF(INTGRATE!$Y:$Y,data!D1312,INTGRATE!$L:$L)+SUMIF(BRAN!$V:$V,data!D1312,BRAN!$J:$J)))</f>
        <v/>
      </c>
      <c r="C1312" s="572" t="str">
        <f t="shared" si="48"/>
        <v/>
      </c>
      <c r="D1312" s="573" t="str">
        <f>IFERROR(VLOOKUP(E1312,Map!$B:$F,4,0),"")&amp;IFERROR(VLOOKUP(E1312,Map!$B:$F,5,0),"")</f>
        <v/>
      </c>
      <c r="E1312" s="574" t="str">
        <f t="shared" ref="E1312:E1375" si="49">IF(MID(F1312,10,2)="99",F1312&amp;H1312,LEFT(F1312,14))</f>
        <v/>
      </c>
    </row>
    <row r="1313" spans="2:5">
      <c r="B1313" s="571" t="str">
        <f>IF(F1313="","",(SUMIF(INTGRATE!$Y:$Y,data!D1313,INTGRATE!$L:$L)+SUMIF(BRAN!$V:$V,data!D1313,BRAN!$J:$J)))</f>
        <v/>
      </c>
      <c r="C1313" s="572" t="str">
        <f t="shared" si="48"/>
        <v/>
      </c>
      <c r="D1313" s="573" t="str">
        <f>IFERROR(VLOOKUP(E1313,Map!$B:$F,4,0),"")&amp;IFERROR(VLOOKUP(E1313,Map!$B:$F,5,0),"")</f>
        <v/>
      </c>
      <c r="E1313" s="574" t="str">
        <f t="shared" si="49"/>
        <v/>
      </c>
    </row>
    <row r="1314" spans="2:5">
      <c r="B1314" s="571" t="str">
        <f>IF(F1314="","",(SUMIF(INTGRATE!$Y:$Y,data!D1314,INTGRATE!$L:$L)+SUMIF(BRAN!$V:$V,data!D1314,BRAN!$J:$J)))</f>
        <v/>
      </c>
      <c r="C1314" s="572" t="str">
        <f t="shared" si="48"/>
        <v/>
      </c>
      <c r="D1314" s="573" t="str">
        <f>IFERROR(VLOOKUP(E1314,Map!$B:$F,4,0),"")&amp;IFERROR(VLOOKUP(E1314,Map!$B:$F,5,0),"")</f>
        <v/>
      </c>
      <c r="E1314" s="574" t="str">
        <f t="shared" si="49"/>
        <v/>
      </c>
    </row>
    <row r="1315" spans="2:5">
      <c r="B1315" s="571" t="str">
        <f>IF(F1315="","",(SUMIF(INTGRATE!$Y:$Y,data!D1315,INTGRATE!$L:$L)+SUMIF(BRAN!$V:$V,data!D1315,BRAN!$J:$J)))</f>
        <v/>
      </c>
      <c r="C1315" s="572" t="str">
        <f t="shared" si="48"/>
        <v/>
      </c>
      <c r="D1315" s="573" t="str">
        <f>IFERROR(VLOOKUP(E1315,Map!$B:$F,4,0),"")&amp;IFERROR(VLOOKUP(E1315,Map!$B:$F,5,0),"")</f>
        <v/>
      </c>
      <c r="E1315" s="574" t="str">
        <f t="shared" si="49"/>
        <v/>
      </c>
    </row>
    <row r="1316" spans="2:5">
      <c r="B1316" s="571" t="str">
        <f>IF(F1316="","",(SUMIF(INTGRATE!$Y:$Y,data!D1316,INTGRATE!$L:$L)+SUMIF(BRAN!$V:$V,data!D1316,BRAN!$J:$J)))</f>
        <v/>
      </c>
      <c r="C1316" s="572" t="str">
        <f t="shared" si="48"/>
        <v/>
      </c>
      <c r="D1316" s="573" t="str">
        <f>IFERROR(VLOOKUP(E1316,Map!$B:$F,4,0),"")&amp;IFERROR(VLOOKUP(E1316,Map!$B:$F,5,0),"")</f>
        <v/>
      </c>
      <c r="E1316" s="574" t="str">
        <f t="shared" si="49"/>
        <v/>
      </c>
    </row>
    <row r="1317" spans="2:5">
      <c r="B1317" s="571" t="str">
        <f>IF(F1317="","",(SUMIF(INTGRATE!$Y:$Y,data!D1317,INTGRATE!$L:$L)+SUMIF(BRAN!$V:$V,data!D1317,BRAN!$J:$J)))</f>
        <v/>
      </c>
      <c r="C1317" s="572" t="str">
        <f t="shared" si="48"/>
        <v/>
      </c>
      <c r="D1317" s="573" t="str">
        <f>IFERROR(VLOOKUP(E1317,Map!$B:$F,4,0),"")&amp;IFERROR(VLOOKUP(E1317,Map!$B:$F,5,0),"")</f>
        <v/>
      </c>
      <c r="E1317" s="574" t="str">
        <f t="shared" si="49"/>
        <v/>
      </c>
    </row>
    <row r="1318" spans="2:5">
      <c r="B1318" s="571" t="str">
        <f>IF(F1318="","",(SUMIF(INTGRATE!$Y:$Y,data!D1318,INTGRATE!$L:$L)+SUMIF(BRAN!$V:$V,data!D1318,BRAN!$J:$J)))</f>
        <v/>
      </c>
      <c r="C1318" s="572" t="str">
        <f t="shared" si="48"/>
        <v/>
      </c>
      <c r="D1318" s="573" t="str">
        <f>IFERROR(VLOOKUP(E1318,Map!$B:$F,4,0),"")&amp;IFERROR(VLOOKUP(E1318,Map!$B:$F,5,0),"")</f>
        <v/>
      </c>
      <c r="E1318" s="574" t="str">
        <f t="shared" si="49"/>
        <v/>
      </c>
    </row>
    <row r="1319" spans="2:5">
      <c r="B1319" s="571" t="str">
        <f>IF(F1319="","",(SUMIF(INTGRATE!$Y:$Y,data!D1319,INTGRATE!$L:$L)+SUMIF(BRAN!$V:$V,data!D1319,BRAN!$J:$J)))</f>
        <v/>
      </c>
      <c r="C1319" s="572" t="str">
        <f t="shared" si="48"/>
        <v/>
      </c>
      <c r="D1319" s="573" t="str">
        <f>IFERROR(VLOOKUP(E1319,Map!$B:$F,4,0),"")&amp;IFERROR(VLOOKUP(E1319,Map!$B:$F,5,0),"")</f>
        <v/>
      </c>
      <c r="E1319" s="574" t="str">
        <f t="shared" si="49"/>
        <v/>
      </c>
    </row>
    <row r="1320" spans="2:5">
      <c r="B1320" s="571" t="str">
        <f>IF(F1320="","",(SUMIF(INTGRATE!$Y:$Y,data!D1320,INTGRATE!$L:$L)+SUMIF(BRAN!$V:$V,data!D1320,BRAN!$J:$J)))</f>
        <v/>
      </c>
      <c r="C1320" s="572" t="str">
        <f t="shared" si="48"/>
        <v/>
      </c>
      <c r="D1320" s="573" t="str">
        <f>IFERROR(VLOOKUP(E1320,Map!$B:$F,4,0),"")&amp;IFERROR(VLOOKUP(E1320,Map!$B:$F,5,0),"")</f>
        <v/>
      </c>
      <c r="E1320" s="574" t="str">
        <f t="shared" si="49"/>
        <v/>
      </c>
    </row>
    <row r="1321" spans="2:5">
      <c r="B1321" s="571" t="str">
        <f>IF(F1321="","",(SUMIF(INTGRATE!$Y:$Y,data!D1321,INTGRATE!$L:$L)+SUMIF(BRAN!$V:$V,data!D1321,BRAN!$J:$J)))</f>
        <v/>
      </c>
      <c r="C1321" s="572" t="str">
        <f t="shared" si="48"/>
        <v/>
      </c>
      <c r="D1321" s="573" t="str">
        <f>IFERROR(VLOOKUP(E1321,Map!$B:$F,4,0),"")&amp;IFERROR(VLOOKUP(E1321,Map!$B:$F,5,0),"")</f>
        <v/>
      </c>
      <c r="E1321" s="574" t="str">
        <f t="shared" si="49"/>
        <v/>
      </c>
    </row>
    <row r="1322" spans="2:5">
      <c r="B1322" s="571" t="str">
        <f>IF(F1322="","",(SUMIF(INTGRATE!$Y:$Y,data!D1322,INTGRATE!$L:$L)+SUMIF(BRAN!$V:$V,data!D1322,BRAN!$J:$J)))</f>
        <v/>
      </c>
      <c r="C1322" s="572" t="str">
        <f t="shared" si="48"/>
        <v/>
      </c>
      <c r="D1322" s="573" t="str">
        <f>IFERROR(VLOOKUP(E1322,Map!$B:$F,4,0),"")&amp;IFERROR(VLOOKUP(E1322,Map!$B:$F,5,0),"")</f>
        <v/>
      </c>
      <c r="E1322" s="574" t="str">
        <f t="shared" si="49"/>
        <v/>
      </c>
    </row>
    <row r="1323" spans="2:5">
      <c r="B1323" s="571" t="str">
        <f>IF(F1323="","",(SUMIF(INTGRATE!$Y:$Y,data!D1323,INTGRATE!$L:$L)+SUMIF(BRAN!$V:$V,data!D1323,BRAN!$J:$J)))</f>
        <v/>
      </c>
      <c r="C1323" s="572" t="str">
        <f t="shared" si="48"/>
        <v/>
      </c>
      <c r="D1323" s="573" t="str">
        <f>IFERROR(VLOOKUP(E1323,Map!$B:$F,4,0),"")&amp;IFERROR(VLOOKUP(E1323,Map!$B:$F,5,0),"")</f>
        <v/>
      </c>
      <c r="E1323" s="574" t="str">
        <f t="shared" si="49"/>
        <v/>
      </c>
    </row>
    <row r="1324" spans="2:5">
      <c r="B1324" s="571" t="str">
        <f>IF(F1324="","",(SUMIF(INTGRATE!$Y:$Y,data!D1324,INTGRATE!$L:$L)+SUMIF(BRAN!$V:$V,data!D1324,BRAN!$J:$J)))</f>
        <v/>
      </c>
      <c r="C1324" s="572" t="str">
        <f t="shared" si="48"/>
        <v/>
      </c>
      <c r="D1324" s="573" t="str">
        <f>IFERROR(VLOOKUP(E1324,Map!$B:$F,4,0),"")&amp;IFERROR(VLOOKUP(E1324,Map!$B:$F,5,0),"")</f>
        <v/>
      </c>
      <c r="E1324" s="574" t="str">
        <f t="shared" si="49"/>
        <v/>
      </c>
    </row>
    <row r="1325" spans="2:5">
      <c r="B1325" s="571" t="str">
        <f>IF(F1325="","",(SUMIF(INTGRATE!$Y:$Y,data!D1325,INTGRATE!$L:$L)+SUMIF(BRAN!$V:$V,data!D1325,BRAN!$J:$J)))</f>
        <v/>
      </c>
      <c r="C1325" s="572" t="str">
        <f t="shared" si="48"/>
        <v/>
      </c>
      <c r="D1325" s="573" t="str">
        <f>IFERROR(VLOOKUP(E1325,Map!$B:$F,4,0),"")&amp;IFERROR(VLOOKUP(E1325,Map!$B:$F,5,0),"")</f>
        <v/>
      </c>
      <c r="E1325" s="574" t="str">
        <f t="shared" si="49"/>
        <v/>
      </c>
    </row>
    <row r="1326" spans="2:5">
      <c r="B1326" s="571" t="str">
        <f>IF(F1326="","",(SUMIF(INTGRATE!$Y:$Y,data!D1326,INTGRATE!$L:$L)+SUMIF(BRAN!$V:$V,data!D1326,BRAN!$J:$J)))</f>
        <v/>
      </c>
      <c r="C1326" s="572" t="str">
        <f t="shared" si="48"/>
        <v/>
      </c>
      <c r="D1326" s="573" t="str">
        <f>IFERROR(VLOOKUP(E1326,Map!$B:$F,4,0),"")&amp;IFERROR(VLOOKUP(E1326,Map!$B:$F,5,0),"")</f>
        <v/>
      </c>
      <c r="E1326" s="574" t="str">
        <f t="shared" si="49"/>
        <v/>
      </c>
    </row>
    <row r="1327" spans="2:5">
      <c r="B1327" s="571" t="str">
        <f>IF(F1327="","",(SUMIF(INTGRATE!$Y:$Y,data!D1327,INTGRATE!$L:$L)+SUMIF(BRAN!$V:$V,data!D1327,BRAN!$J:$J)))</f>
        <v/>
      </c>
      <c r="C1327" s="572" t="str">
        <f t="shared" si="48"/>
        <v/>
      </c>
      <c r="D1327" s="573" t="str">
        <f>IFERROR(VLOOKUP(E1327,Map!$B:$F,4,0),"")&amp;IFERROR(VLOOKUP(E1327,Map!$B:$F,5,0),"")</f>
        <v/>
      </c>
      <c r="E1327" s="574" t="str">
        <f t="shared" si="49"/>
        <v/>
      </c>
    </row>
    <row r="1328" spans="2:5">
      <c r="B1328" s="571" t="str">
        <f>IF(F1328="","",(SUMIF(INTGRATE!$Y:$Y,data!D1328,INTGRATE!$L:$L)+SUMIF(BRAN!$V:$V,data!D1328,BRAN!$J:$J)))</f>
        <v/>
      </c>
      <c r="C1328" s="572" t="str">
        <f t="shared" si="48"/>
        <v/>
      </c>
      <c r="D1328" s="573" t="str">
        <f>IFERROR(VLOOKUP(E1328,Map!$B:$F,4,0),"")&amp;IFERROR(VLOOKUP(E1328,Map!$B:$F,5,0),"")</f>
        <v/>
      </c>
      <c r="E1328" s="574" t="str">
        <f t="shared" si="49"/>
        <v/>
      </c>
    </row>
    <row r="1329" spans="2:5">
      <c r="B1329" s="571" t="str">
        <f>IF(F1329="","",(SUMIF(INTGRATE!$Y:$Y,data!D1329,INTGRATE!$L:$L)+SUMIF(BRAN!$V:$V,data!D1329,BRAN!$J:$J)))</f>
        <v/>
      </c>
      <c r="C1329" s="572" t="str">
        <f t="shared" si="48"/>
        <v/>
      </c>
      <c r="D1329" s="573" t="str">
        <f>IFERROR(VLOOKUP(E1329,Map!$B:$F,4,0),"")&amp;IFERROR(VLOOKUP(E1329,Map!$B:$F,5,0),"")</f>
        <v/>
      </c>
      <c r="E1329" s="574" t="str">
        <f t="shared" si="49"/>
        <v/>
      </c>
    </row>
    <row r="1330" spans="2:5">
      <c r="B1330" s="571" t="str">
        <f>IF(F1330="","",(SUMIF(INTGRATE!$Y:$Y,data!D1330,INTGRATE!$L:$L)+SUMIF(BRAN!$V:$V,data!D1330,BRAN!$J:$J)))</f>
        <v/>
      </c>
      <c r="C1330" s="572" t="str">
        <f t="shared" si="48"/>
        <v/>
      </c>
      <c r="D1330" s="573" t="str">
        <f>IFERROR(VLOOKUP(E1330,Map!$B:$F,4,0),"")&amp;IFERROR(VLOOKUP(E1330,Map!$B:$F,5,0),"")</f>
        <v/>
      </c>
      <c r="E1330" s="574" t="str">
        <f t="shared" si="49"/>
        <v/>
      </c>
    </row>
    <row r="1331" spans="2:5">
      <c r="B1331" s="571" t="str">
        <f>IF(F1331="","",(SUMIF(INTGRATE!$Y:$Y,data!D1331,INTGRATE!$L:$L)+SUMIF(BRAN!$V:$V,data!D1331,BRAN!$J:$J)))</f>
        <v/>
      </c>
      <c r="C1331" s="572" t="str">
        <f t="shared" si="48"/>
        <v/>
      </c>
      <c r="D1331" s="573" t="str">
        <f>IFERROR(VLOOKUP(E1331,Map!$B:$F,4,0),"")&amp;IFERROR(VLOOKUP(E1331,Map!$B:$F,5,0),"")</f>
        <v/>
      </c>
      <c r="E1331" s="574" t="str">
        <f t="shared" si="49"/>
        <v/>
      </c>
    </row>
    <row r="1332" spans="2:5">
      <c r="B1332" s="571" t="str">
        <f>IF(F1332="","",(SUMIF(INTGRATE!$Y:$Y,data!D1332,INTGRATE!$L:$L)+SUMIF(BRAN!$V:$V,data!D1332,BRAN!$J:$J)))</f>
        <v/>
      </c>
      <c r="C1332" s="572" t="str">
        <f t="shared" si="48"/>
        <v/>
      </c>
      <c r="D1332" s="573" t="str">
        <f>IFERROR(VLOOKUP(E1332,Map!$B:$F,4,0),"")&amp;IFERROR(VLOOKUP(E1332,Map!$B:$F,5,0),"")</f>
        <v/>
      </c>
      <c r="E1332" s="574" t="str">
        <f t="shared" si="49"/>
        <v/>
      </c>
    </row>
    <row r="1333" spans="2:5">
      <c r="B1333" s="571" t="str">
        <f>IF(F1333="","",(SUMIF(INTGRATE!$Y:$Y,data!D1333,INTGRATE!$L:$L)+SUMIF(BRAN!$V:$V,data!D1333,BRAN!$J:$J)))</f>
        <v/>
      </c>
      <c r="C1333" s="572" t="str">
        <f t="shared" si="48"/>
        <v/>
      </c>
      <c r="D1333" s="573" t="str">
        <f>IFERROR(VLOOKUP(E1333,Map!$B:$F,4,0),"")&amp;IFERROR(VLOOKUP(E1333,Map!$B:$F,5,0),"")</f>
        <v/>
      </c>
      <c r="E1333" s="574" t="str">
        <f t="shared" si="49"/>
        <v/>
      </c>
    </row>
    <row r="1334" spans="2:5">
      <c r="B1334" s="571" t="str">
        <f>IF(F1334="","",(SUMIF(INTGRATE!$Y:$Y,data!D1334,INTGRATE!$L:$L)+SUMIF(BRAN!$V:$V,data!D1334,BRAN!$J:$J)))</f>
        <v/>
      </c>
      <c r="C1334" s="572" t="str">
        <f t="shared" si="48"/>
        <v/>
      </c>
      <c r="D1334" s="573" t="str">
        <f>IFERROR(VLOOKUP(E1334,Map!$B:$F,4,0),"")&amp;IFERROR(VLOOKUP(E1334,Map!$B:$F,5,0),"")</f>
        <v/>
      </c>
      <c r="E1334" s="574" t="str">
        <f t="shared" si="49"/>
        <v/>
      </c>
    </row>
    <row r="1335" spans="2:5">
      <c r="B1335" s="571" t="str">
        <f>IF(F1335="","",(SUMIF(INTGRATE!$Y:$Y,data!D1335,INTGRATE!$L:$L)+SUMIF(BRAN!$V:$V,data!D1335,BRAN!$J:$J)))</f>
        <v/>
      </c>
      <c r="C1335" s="572" t="str">
        <f t="shared" si="48"/>
        <v/>
      </c>
      <c r="D1335" s="573" t="str">
        <f>IFERROR(VLOOKUP(E1335,Map!$B:$F,4,0),"")&amp;IFERROR(VLOOKUP(E1335,Map!$B:$F,5,0),"")</f>
        <v/>
      </c>
      <c r="E1335" s="574" t="str">
        <f t="shared" si="49"/>
        <v/>
      </c>
    </row>
    <row r="1336" spans="2:5">
      <c r="B1336" s="571" t="str">
        <f>IF(F1336="","",(SUMIF(INTGRATE!$Y:$Y,data!D1336,INTGRATE!$L:$L)+SUMIF(BRAN!$V:$V,data!D1336,BRAN!$J:$J)))</f>
        <v/>
      </c>
      <c r="C1336" s="572" t="str">
        <f t="shared" si="48"/>
        <v/>
      </c>
      <c r="D1336" s="573" t="str">
        <f>IFERROR(VLOOKUP(E1336,Map!$B:$F,4,0),"")&amp;IFERROR(VLOOKUP(E1336,Map!$B:$F,5,0),"")</f>
        <v/>
      </c>
      <c r="E1336" s="574" t="str">
        <f t="shared" si="49"/>
        <v/>
      </c>
    </row>
    <row r="1337" spans="2:5">
      <c r="B1337" s="571" t="str">
        <f>IF(F1337="","",(SUMIF(INTGRATE!$Y:$Y,data!D1337,INTGRATE!$L:$L)+SUMIF(BRAN!$V:$V,data!D1337,BRAN!$J:$J)))</f>
        <v/>
      </c>
      <c r="C1337" s="572" t="str">
        <f t="shared" si="48"/>
        <v/>
      </c>
      <c r="D1337" s="573" t="str">
        <f>IFERROR(VLOOKUP(E1337,Map!$B:$F,4,0),"")&amp;IFERROR(VLOOKUP(E1337,Map!$B:$F,5,0),"")</f>
        <v/>
      </c>
      <c r="E1337" s="574" t="str">
        <f t="shared" si="49"/>
        <v/>
      </c>
    </row>
    <row r="1338" spans="2:5">
      <c r="B1338" s="571" t="str">
        <f>IF(F1338="","",(SUMIF(INTGRATE!$Y:$Y,data!D1338,INTGRATE!$L:$L)+SUMIF(BRAN!$V:$V,data!D1338,BRAN!$J:$J)))</f>
        <v/>
      </c>
      <c r="C1338" s="572" t="str">
        <f t="shared" si="48"/>
        <v/>
      </c>
      <c r="D1338" s="573" t="str">
        <f>IFERROR(VLOOKUP(E1338,Map!$B:$F,4,0),"")&amp;IFERROR(VLOOKUP(E1338,Map!$B:$F,5,0),"")</f>
        <v/>
      </c>
      <c r="E1338" s="574" t="str">
        <f t="shared" si="49"/>
        <v/>
      </c>
    </row>
    <row r="1339" spans="2:5">
      <c r="B1339" s="571" t="str">
        <f>IF(F1339="","",(SUMIF(INTGRATE!$Y:$Y,data!D1339,INTGRATE!$L:$L)+SUMIF(BRAN!$V:$V,data!D1339,BRAN!$J:$J)))</f>
        <v/>
      </c>
      <c r="C1339" s="572" t="str">
        <f t="shared" si="48"/>
        <v/>
      </c>
      <c r="D1339" s="573" t="str">
        <f>IFERROR(VLOOKUP(E1339,Map!$B:$F,4,0),"")&amp;IFERROR(VLOOKUP(E1339,Map!$B:$F,5,0),"")</f>
        <v/>
      </c>
      <c r="E1339" s="574" t="str">
        <f t="shared" si="49"/>
        <v/>
      </c>
    </row>
    <row r="1340" spans="2:5">
      <c r="B1340" s="571" t="str">
        <f>IF(F1340="","",(SUMIF(INTGRATE!$Y:$Y,data!D1340,INTGRATE!$L:$L)+SUMIF(BRAN!$V:$V,data!D1340,BRAN!$J:$J)))</f>
        <v/>
      </c>
      <c r="C1340" s="572" t="str">
        <f t="shared" si="48"/>
        <v/>
      </c>
      <c r="D1340" s="573" t="str">
        <f>IFERROR(VLOOKUP(E1340,Map!$B:$F,4,0),"")&amp;IFERROR(VLOOKUP(E1340,Map!$B:$F,5,0),"")</f>
        <v/>
      </c>
      <c r="E1340" s="574" t="str">
        <f t="shared" si="49"/>
        <v/>
      </c>
    </row>
    <row r="1341" spans="2:5">
      <c r="B1341" s="571" t="str">
        <f>IF(F1341="","",(SUMIF(INTGRATE!$Y:$Y,data!D1341,INTGRATE!$L:$L)+SUMIF(BRAN!$V:$V,data!D1341,BRAN!$J:$J)))</f>
        <v/>
      </c>
      <c r="C1341" s="572" t="str">
        <f t="shared" si="48"/>
        <v/>
      </c>
      <c r="D1341" s="573" t="str">
        <f>IFERROR(VLOOKUP(E1341,Map!$B:$F,4,0),"")&amp;IFERROR(VLOOKUP(E1341,Map!$B:$F,5,0),"")</f>
        <v/>
      </c>
      <c r="E1341" s="574" t="str">
        <f t="shared" si="49"/>
        <v/>
      </c>
    </row>
    <row r="1342" spans="2:5">
      <c r="B1342" s="571" t="str">
        <f>IF(F1342="","",(SUMIF(INTGRATE!$Y:$Y,data!D1342,INTGRATE!$L:$L)+SUMIF(BRAN!$V:$V,data!D1342,BRAN!$J:$J)))</f>
        <v/>
      </c>
      <c r="C1342" s="572" t="str">
        <f t="shared" si="48"/>
        <v/>
      </c>
      <c r="D1342" s="573" t="str">
        <f>IFERROR(VLOOKUP(E1342,Map!$B:$F,4,0),"")&amp;IFERROR(VLOOKUP(E1342,Map!$B:$F,5,0),"")</f>
        <v/>
      </c>
      <c r="E1342" s="574" t="str">
        <f t="shared" si="49"/>
        <v/>
      </c>
    </row>
    <row r="1343" spans="2:5">
      <c r="B1343" s="571" t="str">
        <f>IF(F1343="","",(SUMIF(INTGRATE!$Y:$Y,data!D1343,INTGRATE!$L:$L)+SUMIF(BRAN!$V:$V,data!D1343,BRAN!$J:$J)))</f>
        <v/>
      </c>
      <c r="C1343" s="572" t="str">
        <f t="shared" ref="C1343:C1406" si="50">IF(F1343="","",B1343-K1343)</f>
        <v/>
      </c>
      <c r="D1343" s="573" t="str">
        <f>IFERROR(VLOOKUP(E1343,Map!$B:$F,4,0),"")&amp;IFERROR(VLOOKUP(E1343,Map!$B:$F,5,0),"")</f>
        <v/>
      </c>
      <c r="E1343" s="574" t="str">
        <f t="shared" si="49"/>
        <v/>
      </c>
    </row>
    <row r="1344" spans="2:5">
      <c r="B1344" s="571" t="str">
        <f>IF(F1344="","",(SUMIF(INTGRATE!$Y:$Y,data!D1344,INTGRATE!$L:$L)+SUMIF(BRAN!$V:$V,data!D1344,BRAN!$J:$J)))</f>
        <v/>
      </c>
      <c r="C1344" s="572" t="str">
        <f t="shared" si="50"/>
        <v/>
      </c>
      <c r="D1344" s="573" t="str">
        <f>IFERROR(VLOOKUP(E1344,Map!$B:$F,4,0),"")&amp;IFERROR(VLOOKUP(E1344,Map!$B:$F,5,0),"")</f>
        <v/>
      </c>
      <c r="E1344" s="574" t="str">
        <f t="shared" si="49"/>
        <v/>
      </c>
    </row>
    <row r="1345" spans="2:5">
      <c r="B1345" s="571" t="str">
        <f>IF(F1345="","",(SUMIF(INTGRATE!$Y:$Y,data!D1345,INTGRATE!$L:$L)+SUMIF(BRAN!$V:$V,data!D1345,BRAN!$J:$J)))</f>
        <v/>
      </c>
      <c r="C1345" s="572" t="str">
        <f t="shared" si="50"/>
        <v/>
      </c>
      <c r="D1345" s="573" t="str">
        <f>IFERROR(VLOOKUP(E1345,Map!$B:$F,4,0),"")&amp;IFERROR(VLOOKUP(E1345,Map!$B:$F,5,0),"")</f>
        <v/>
      </c>
      <c r="E1345" s="574" t="str">
        <f t="shared" si="49"/>
        <v/>
      </c>
    </row>
    <row r="1346" spans="2:5">
      <c r="B1346" s="571" t="str">
        <f>IF(F1346="","",(SUMIF(INTGRATE!$Y:$Y,data!D1346,INTGRATE!$L:$L)+SUMIF(BRAN!$V:$V,data!D1346,BRAN!$J:$J)))</f>
        <v/>
      </c>
      <c r="C1346" s="572" t="str">
        <f t="shared" si="50"/>
        <v/>
      </c>
      <c r="D1346" s="573" t="str">
        <f>IFERROR(VLOOKUP(E1346,Map!$B:$F,4,0),"")&amp;IFERROR(VLOOKUP(E1346,Map!$B:$F,5,0),"")</f>
        <v/>
      </c>
      <c r="E1346" s="574" t="str">
        <f t="shared" si="49"/>
        <v/>
      </c>
    </row>
    <row r="1347" spans="2:5">
      <c r="B1347" s="571" t="str">
        <f>IF(F1347="","",(SUMIF(INTGRATE!$Y:$Y,data!D1347,INTGRATE!$L:$L)+SUMIF(BRAN!$V:$V,data!D1347,BRAN!$J:$J)))</f>
        <v/>
      </c>
      <c r="C1347" s="572" t="str">
        <f t="shared" si="50"/>
        <v/>
      </c>
      <c r="D1347" s="573" t="str">
        <f>IFERROR(VLOOKUP(E1347,Map!$B:$F,4,0),"")&amp;IFERROR(VLOOKUP(E1347,Map!$B:$F,5,0),"")</f>
        <v/>
      </c>
      <c r="E1347" s="574" t="str">
        <f t="shared" si="49"/>
        <v/>
      </c>
    </row>
    <row r="1348" spans="2:5">
      <c r="B1348" s="571" t="str">
        <f>IF(F1348="","",(SUMIF(INTGRATE!$Y:$Y,data!D1348,INTGRATE!$L:$L)+SUMIF(BRAN!$V:$V,data!D1348,BRAN!$J:$J)))</f>
        <v/>
      </c>
      <c r="C1348" s="572" t="str">
        <f t="shared" si="50"/>
        <v/>
      </c>
      <c r="D1348" s="573" t="str">
        <f>IFERROR(VLOOKUP(E1348,Map!$B:$F,4,0),"")&amp;IFERROR(VLOOKUP(E1348,Map!$B:$F,5,0),"")</f>
        <v/>
      </c>
      <c r="E1348" s="574" t="str">
        <f t="shared" si="49"/>
        <v/>
      </c>
    </row>
    <row r="1349" spans="2:5">
      <c r="B1349" s="571" t="str">
        <f>IF(F1349="","",(SUMIF(INTGRATE!$Y:$Y,data!D1349,INTGRATE!$L:$L)+SUMIF(BRAN!$V:$V,data!D1349,BRAN!$J:$J)))</f>
        <v/>
      </c>
      <c r="C1349" s="572" t="str">
        <f t="shared" si="50"/>
        <v/>
      </c>
      <c r="D1349" s="573" t="str">
        <f>IFERROR(VLOOKUP(E1349,Map!$B:$F,4,0),"")&amp;IFERROR(VLOOKUP(E1349,Map!$B:$F,5,0),"")</f>
        <v/>
      </c>
      <c r="E1349" s="574" t="str">
        <f t="shared" si="49"/>
        <v/>
      </c>
    </row>
    <row r="1350" spans="2:5">
      <c r="B1350" s="571" t="str">
        <f>IF(F1350="","",(SUMIF(INTGRATE!$Y:$Y,data!D1350,INTGRATE!$L:$L)+SUMIF(BRAN!$V:$V,data!D1350,BRAN!$J:$J)))</f>
        <v/>
      </c>
      <c r="C1350" s="572" t="str">
        <f t="shared" si="50"/>
        <v/>
      </c>
      <c r="D1350" s="573" t="str">
        <f>IFERROR(VLOOKUP(E1350,Map!$B:$F,4,0),"")&amp;IFERROR(VLOOKUP(E1350,Map!$B:$F,5,0),"")</f>
        <v/>
      </c>
      <c r="E1350" s="574" t="str">
        <f t="shared" si="49"/>
        <v/>
      </c>
    </row>
    <row r="1351" spans="2:5">
      <c r="B1351" s="571" t="str">
        <f>IF(F1351="","",(SUMIF(INTGRATE!$Y:$Y,data!D1351,INTGRATE!$L:$L)+SUMIF(BRAN!$V:$V,data!D1351,BRAN!$J:$J)))</f>
        <v/>
      </c>
      <c r="C1351" s="572" t="str">
        <f t="shared" si="50"/>
        <v/>
      </c>
      <c r="D1351" s="573" t="str">
        <f>IFERROR(VLOOKUP(E1351,Map!$B:$F,4,0),"")&amp;IFERROR(VLOOKUP(E1351,Map!$B:$F,5,0),"")</f>
        <v/>
      </c>
      <c r="E1351" s="574" t="str">
        <f t="shared" si="49"/>
        <v/>
      </c>
    </row>
    <row r="1352" spans="2:5">
      <c r="B1352" s="571" t="str">
        <f>IF(F1352="","",(SUMIF(INTGRATE!$Y:$Y,data!D1352,INTGRATE!$L:$L)+SUMIF(BRAN!$V:$V,data!D1352,BRAN!$J:$J)))</f>
        <v/>
      </c>
      <c r="C1352" s="572" t="str">
        <f t="shared" si="50"/>
        <v/>
      </c>
      <c r="D1352" s="573" t="str">
        <f>IFERROR(VLOOKUP(E1352,Map!$B:$F,4,0),"")&amp;IFERROR(VLOOKUP(E1352,Map!$B:$F,5,0),"")</f>
        <v/>
      </c>
      <c r="E1352" s="574" t="str">
        <f t="shared" si="49"/>
        <v/>
      </c>
    </row>
    <row r="1353" spans="2:5">
      <c r="B1353" s="571" t="str">
        <f>IF(F1353="","",(SUMIF(INTGRATE!$Y:$Y,data!D1353,INTGRATE!$L:$L)+SUMIF(BRAN!$V:$V,data!D1353,BRAN!$J:$J)))</f>
        <v/>
      </c>
      <c r="C1353" s="572" t="str">
        <f t="shared" si="50"/>
        <v/>
      </c>
      <c r="D1353" s="573" t="str">
        <f>IFERROR(VLOOKUP(E1353,Map!$B:$F,4,0),"")&amp;IFERROR(VLOOKUP(E1353,Map!$B:$F,5,0),"")</f>
        <v/>
      </c>
      <c r="E1353" s="574" t="str">
        <f t="shared" si="49"/>
        <v/>
      </c>
    </row>
    <row r="1354" spans="2:5">
      <c r="B1354" s="571" t="str">
        <f>IF(F1354="","",(SUMIF(INTGRATE!$Y:$Y,data!D1354,INTGRATE!$L:$L)+SUMIF(BRAN!$V:$V,data!D1354,BRAN!$J:$J)))</f>
        <v/>
      </c>
      <c r="C1354" s="572" t="str">
        <f t="shared" si="50"/>
        <v/>
      </c>
      <c r="D1354" s="573" t="str">
        <f>IFERROR(VLOOKUP(E1354,Map!$B:$F,4,0),"")&amp;IFERROR(VLOOKUP(E1354,Map!$B:$F,5,0),"")</f>
        <v/>
      </c>
      <c r="E1354" s="574" t="str">
        <f t="shared" si="49"/>
        <v/>
      </c>
    </row>
    <row r="1355" spans="2:5">
      <c r="B1355" s="571" t="str">
        <f>IF(F1355="","",(SUMIF(INTGRATE!$Y:$Y,data!D1355,INTGRATE!$L:$L)+SUMIF(BRAN!$V:$V,data!D1355,BRAN!$J:$J)))</f>
        <v/>
      </c>
      <c r="C1355" s="572" t="str">
        <f t="shared" si="50"/>
        <v/>
      </c>
      <c r="D1355" s="573" t="str">
        <f>IFERROR(VLOOKUP(E1355,Map!$B:$F,4,0),"")&amp;IFERROR(VLOOKUP(E1355,Map!$B:$F,5,0),"")</f>
        <v/>
      </c>
      <c r="E1355" s="574" t="str">
        <f t="shared" si="49"/>
        <v/>
      </c>
    </row>
    <row r="1356" spans="2:5">
      <c r="B1356" s="571" t="str">
        <f>IF(F1356="","",(SUMIF(INTGRATE!$Y:$Y,data!D1356,INTGRATE!$L:$L)+SUMIF(BRAN!$V:$V,data!D1356,BRAN!$J:$J)))</f>
        <v/>
      </c>
      <c r="C1356" s="572" t="str">
        <f t="shared" si="50"/>
        <v/>
      </c>
      <c r="D1356" s="573" t="str">
        <f>IFERROR(VLOOKUP(E1356,Map!$B:$F,4,0),"")&amp;IFERROR(VLOOKUP(E1356,Map!$B:$F,5,0),"")</f>
        <v/>
      </c>
      <c r="E1356" s="574" t="str">
        <f t="shared" si="49"/>
        <v/>
      </c>
    </row>
    <row r="1357" spans="2:5">
      <c r="B1357" s="571" t="str">
        <f>IF(F1357="","",(SUMIF(INTGRATE!$Y:$Y,data!D1357,INTGRATE!$L:$L)+SUMIF(BRAN!$V:$V,data!D1357,BRAN!$J:$J)))</f>
        <v/>
      </c>
      <c r="C1357" s="572" t="str">
        <f t="shared" si="50"/>
        <v/>
      </c>
      <c r="D1357" s="573" t="str">
        <f>IFERROR(VLOOKUP(E1357,Map!$B:$F,4,0),"")&amp;IFERROR(VLOOKUP(E1357,Map!$B:$F,5,0),"")</f>
        <v/>
      </c>
      <c r="E1357" s="574" t="str">
        <f t="shared" si="49"/>
        <v/>
      </c>
    </row>
    <row r="1358" spans="2:5">
      <c r="B1358" s="571" t="str">
        <f>IF(F1358="","",(SUMIF(INTGRATE!$Y:$Y,data!D1358,INTGRATE!$L:$L)+SUMIF(BRAN!$V:$V,data!D1358,BRAN!$J:$J)))</f>
        <v/>
      </c>
      <c r="C1358" s="572" t="str">
        <f t="shared" si="50"/>
        <v/>
      </c>
      <c r="D1358" s="573" t="str">
        <f>IFERROR(VLOOKUP(E1358,Map!$B:$F,4,0),"")&amp;IFERROR(VLOOKUP(E1358,Map!$B:$F,5,0),"")</f>
        <v/>
      </c>
      <c r="E1358" s="574" t="str">
        <f t="shared" si="49"/>
        <v/>
      </c>
    </row>
    <row r="1359" spans="2:5">
      <c r="B1359" s="571" t="str">
        <f>IF(F1359="","",(SUMIF(INTGRATE!$Y:$Y,data!D1359,INTGRATE!$L:$L)+SUMIF(BRAN!$V:$V,data!D1359,BRAN!$J:$J)))</f>
        <v/>
      </c>
      <c r="C1359" s="572" t="str">
        <f t="shared" si="50"/>
        <v/>
      </c>
      <c r="D1359" s="573" t="str">
        <f>IFERROR(VLOOKUP(E1359,Map!$B:$F,4,0),"")&amp;IFERROR(VLOOKUP(E1359,Map!$B:$F,5,0),"")</f>
        <v/>
      </c>
      <c r="E1359" s="574" t="str">
        <f t="shared" si="49"/>
        <v/>
      </c>
    </row>
    <row r="1360" spans="2:5">
      <c r="B1360" s="571" t="str">
        <f>IF(F1360="","",(SUMIF(INTGRATE!$Y:$Y,data!D1360,INTGRATE!$L:$L)+SUMIF(BRAN!$V:$V,data!D1360,BRAN!$J:$J)))</f>
        <v/>
      </c>
      <c r="C1360" s="572" t="str">
        <f t="shared" si="50"/>
        <v/>
      </c>
      <c r="D1360" s="573" t="str">
        <f>IFERROR(VLOOKUP(E1360,Map!$B:$F,4,0),"")&amp;IFERROR(VLOOKUP(E1360,Map!$B:$F,5,0),"")</f>
        <v/>
      </c>
      <c r="E1360" s="574" t="str">
        <f t="shared" si="49"/>
        <v/>
      </c>
    </row>
    <row r="1361" spans="2:5">
      <c r="B1361" s="571" t="str">
        <f>IF(F1361="","",(SUMIF(INTGRATE!$Y:$Y,data!D1361,INTGRATE!$L:$L)+SUMIF(BRAN!$V:$V,data!D1361,BRAN!$J:$J)))</f>
        <v/>
      </c>
      <c r="C1361" s="572" t="str">
        <f t="shared" si="50"/>
        <v/>
      </c>
      <c r="D1361" s="573" t="str">
        <f>IFERROR(VLOOKUP(E1361,Map!$B:$F,4,0),"")&amp;IFERROR(VLOOKUP(E1361,Map!$B:$F,5,0),"")</f>
        <v/>
      </c>
      <c r="E1361" s="574" t="str">
        <f t="shared" si="49"/>
        <v/>
      </c>
    </row>
    <row r="1362" spans="2:5">
      <c r="B1362" s="571" t="str">
        <f>IF(F1362="","",(SUMIF(INTGRATE!$Y:$Y,data!D1362,INTGRATE!$L:$L)+SUMIF(BRAN!$V:$V,data!D1362,BRAN!$J:$J)))</f>
        <v/>
      </c>
      <c r="C1362" s="572" t="str">
        <f t="shared" si="50"/>
        <v/>
      </c>
      <c r="D1362" s="573" t="str">
        <f>IFERROR(VLOOKUP(E1362,Map!$B:$F,4,0),"")&amp;IFERROR(VLOOKUP(E1362,Map!$B:$F,5,0),"")</f>
        <v/>
      </c>
      <c r="E1362" s="574" t="str">
        <f t="shared" si="49"/>
        <v/>
      </c>
    </row>
    <row r="1363" spans="2:5">
      <c r="B1363" s="571" t="str">
        <f>IF(F1363="","",(SUMIF(INTGRATE!$Y:$Y,data!D1363,INTGRATE!$L:$L)+SUMIF(BRAN!$V:$V,data!D1363,BRAN!$J:$J)))</f>
        <v/>
      </c>
      <c r="C1363" s="572" t="str">
        <f t="shared" si="50"/>
        <v/>
      </c>
      <c r="D1363" s="573" t="str">
        <f>IFERROR(VLOOKUP(E1363,Map!$B:$F,4,0),"")&amp;IFERROR(VLOOKUP(E1363,Map!$B:$F,5,0),"")</f>
        <v/>
      </c>
      <c r="E1363" s="574" t="str">
        <f t="shared" si="49"/>
        <v/>
      </c>
    </row>
    <row r="1364" spans="2:5">
      <c r="B1364" s="571" t="str">
        <f>IF(F1364="","",(SUMIF(INTGRATE!$Y:$Y,data!D1364,INTGRATE!$L:$L)+SUMIF(BRAN!$V:$V,data!D1364,BRAN!$J:$J)))</f>
        <v/>
      </c>
      <c r="C1364" s="572" t="str">
        <f t="shared" si="50"/>
        <v/>
      </c>
      <c r="D1364" s="573" t="str">
        <f>IFERROR(VLOOKUP(E1364,Map!$B:$F,4,0),"")&amp;IFERROR(VLOOKUP(E1364,Map!$B:$F,5,0),"")</f>
        <v/>
      </c>
      <c r="E1364" s="574" t="str">
        <f t="shared" si="49"/>
        <v/>
      </c>
    </row>
    <row r="1365" spans="2:5">
      <c r="B1365" s="571" t="str">
        <f>IF(F1365="","",(SUMIF(INTGRATE!$Y:$Y,data!D1365,INTGRATE!$L:$L)+SUMIF(BRAN!$V:$V,data!D1365,BRAN!$J:$J)))</f>
        <v/>
      </c>
      <c r="C1365" s="572" t="str">
        <f t="shared" si="50"/>
        <v/>
      </c>
      <c r="D1365" s="573" t="str">
        <f>IFERROR(VLOOKUP(E1365,Map!$B:$F,4,0),"")&amp;IFERROR(VLOOKUP(E1365,Map!$B:$F,5,0),"")</f>
        <v/>
      </c>
      <c r="E1365" s="574" t="str">
        <f t="shared" si="49"/>
        <v/>
      </c>
    </row>
    <row r="1366" spans="2:5">
      <c r="B1366" s="571" t="str">
        <f>IF(F1366="","",(SUMIF(INTGRATE!$Y:$Y,data!D1366,INTGRATE!$L:$L)+SUMIF(BRAN!$V:$V,data!D1366,BRAN!$J:$J)))</f>
        <v/>
      </c>
      <c r="C1366" s="572" t="str">
        <f t="shared" si="50"/>
        <v/>
      </c>
      <c r="D1366" s="573" t="str">
        <f>IFERROR(VLOOKUP(E1366,Map!$B:$F,4,0),"")&amp;IFERROR(VLOOKUP(E1366,Map!$B:$F,5,0),"")</f>
        <v/>
      </c>
      <c r="E1366" s="574" t="str">
        <f t="shared" si="49"/>
        <v/>
      </c>
    </row>
    <row r="1367" spans="2:5">
      <c r="B1367" s="571" t="str">
        <f>IF(F1367="","",(SUMIF(INTGRATE!$Y:$Y,data!D1367,INTGRATE!$L:$L)+SUMIF(BRAN!$V:$V,data!D1367,BRAN!$J:$J)))</f>
        <v/>
      </c>
      <c r="C1367" s="572" t="str">
        <f t="shared" si="50"/>
        <v/>
      </c>
      <c r="D1367" s="573" t="str">
        <f>IFERROR(VLOOKUP(E1367,Map!$B:$F,4,0),"")&amp;IFERROR(VLOOKUP(E1367,Map!$B:$F,5,0),"")</f>
        <v/>
      </c>
      <c r="E1367" s="574" t="str">
        <f t="shared" si="49"/>
        <v/>
      </c>
    </row>
    <row r="1368" spans="2:5">
      <c r="B1368" s="571" t="str">
        <f>IF(F1368="","",(SUMIF(INTGRATE!$Y:$Y,data!D1368,INTGRATE!$L:$L)+SUMIF(BRAN!$V:$V,data!D1368,BRAN!$J:$J)))</f>
        <v/>
      </c>
      <c r="C1368" s="572" t="str">
        <f t="shared" si="50"/>
        <v/>
      </c>
      <c r="D1368" s="573" t="str">
        <f>IFERROR(VLOOKUP(E1368,Map!$B:$F,4,0),"")&amp;IFERROR(VLOOKUP(E1368,Map!$B:$F,5,0),"")</f>
        <v/>
      </c>
      <c r="E1368" s="574" t="str">
        <f t="shared" si="49"/>
        <v/>
      </c>
    </row>
    <row r="1369" spans="2:5">
      <c r="B1369" s="571" t="str">
        <f>IF(F1369="","",(SUMIF(INTGRATE!$Y:$Y,data!D1369,INTGRATE!$L:$L)+SUMIF(BRAN!$V:$V,data!D1369,BRAN!$J:$J)))</f>
        <v/>
      </c>
      <c r="C1369" s="572" t="str">
        <f t="shared" si="50"/>
        <v/>
      </c>
      <c r="D1369" s="573" t="str">
        <f>IFERROR(VLOOKUP(E1369,Map!$B:$F,4,0),"")&amp;IFERROR(VLOOKUP(E1369,Map!$B:$F,5,0),"")</f>
        <v/>
      </c>
      <c r="E1369" s="574" t="str">
        <f t="shared" si="49"/>
        <v/>
      </c>
    </row>
    <row r="1370" spans="2:5">
      <c r="B1370" s="571" t="str">
        <f>IF(F1370="","",(SUMIF(INTGRATE!$Y:$Y,data!D1370,INTGRATE!$L:$L)+SUMIF(BRAN!$V:$V,data!D1370,BRAN!$J:$J)))</f>
        <v/>
      </c>
      <c r="C1370" s="572" t="str">
        <f t="shared" si="50"/>
        <v/>
      </c>
      <c r="D1370" s="573" t="str">
        <f>IFERROR(VLOOKUP(E1370,Map!$B:$F,4,0),"")&amp;IFERROR(VLOOKUP(E1370,Map!$B:$F,5,0),"")</f>
        <v/>
      </c>
      <c r="E1370" s="574" t="str">
        <f t="shared" si="49"/>
        <v/>
      </c>
    </row>
    <row r="1371" spans="2:5">
      <c r="B1371" s="571" t="str">
        <f>IF(F1371="","",(SUMIF(INTGRATE!$Y:$Y,data!D1371,INTGRATE!$L:$L)+SUMIF(BRAN!$V:$V,data!D1371,BRAN!$J:$J)))</f>
        <v/>
      </c>
      <c r="C1371" s="572" t="str">
        <f t="shared" si="50"/>
        <v/>
      </c>
      <c r="D1371" s="573" t="str">
        <f>IFERROR(VLOOKUP(E1371,Map!$B:$F,4,0),"")&amp;IFERROR(VLOOKUP(E1371,Map!$B:$F,5,0),"")</f>
        <v/>
      </c>
      <c r="E1371" s="574" t="str">
        <f t="shared" si="49"/>
        <v/>
      </c>
    </row>
    <row r="1372" spans="2:5">
      <c r="B1372" s="571" t="str">
        <f>IF(F1372="","",(SUMIF(INTGRATE!$Y:$Y,data!D1372,INTGRATE!$L:$L)+SUMIF(BRAN!$V:$V,data!D1372,BRAN!$J:$J)))</f>
        <v/>
      </c>
      <c r="C1372" s="572" t="str">
        <f t="shared" si="50"/>
        <v/>
      </c>
      <c r="D1372" s="573" t="str">
        <f>IFERROR(VLOOKUP(E1372,Map!$B:$F,4,0),"")&amp;IFERROR(VLOOKUP(E1372,Map!$B:$F,5,0),"")</f>
        <v/>
      </c>
      <c r="E1372" s="574" t="str">
        <f t="shared" si="49"/>
        <v/>
      </c>
    </row>
    <row r="1373" spans="2:5">
      <c r="B1373" s="571" t="str">
        <f>IF(F1373="","",(SUMIF(INTGRATE!$Y:$Y,data!D1373,INTGRATE!$L:$L)+SUMIF(BRAN!$V:$V,data!D1373,BRAN!$J:$J)))</f>
        <v/>
      </c>
      <c r="C1373" s="572" t="str">
        <f t="shared" si="50"/>
        <v/>
      </c>
      <c r="D1373" s="573" t="str">
        <f>IFERROR(VLOOKUP(E1373,Map!$B:$F,4,0),"")&amp;IFERROR(VLOOKUP(E1373,Map!$B:$F,5,0),"")</f>
        <v/>
      </c>
      <c r="E1373" s="574" t="str">
        <f t="shared" si="49"/>
        <v/>
      </c>
    </row>
    <row r="1374" spans="2:5">
      <c r="B1374" s="571" t="str">
        <f>IF(F1374="","",(SUMIF(INTGRATE!$Y:$Y,data!D1374,INTGRATE!$L:$L)+SUMIF(BRAN!$V:$V,data!D1374,BRAN!$J:$J)))</f>
        <v/>
      </c>
      <c r="C1374" s="572" t="str">
        <f t="shared" si="50"/>
        <v/>
      </c>
      <c r="D1374" s="573" t="str">
        <f>IFERROR(VLOOKUP(E1374,Map!$B:$F,4,0),"")&amp;IFERROR(VLOOKUP(E1374,Map!$B:$F,5,0),"")</f>
        <v/>
      </c>
      <c r="E1374" s="574" t="str">
        <f t="shared" si="49"/>
        <v/>
      </c>
    </row>
    <row r="1375" spans="2:5">
      <c r="B1375" s="571" t="str">
        <f>IF(F1375="","",(SUMIF(INTGRATE!$Y:$Y,data!D1375,INTGRATE!$L:$L)+SUMIF(BRAN!$V:$V,data!D1375,BRAN!$J:$J)))</f>
        <v/>
      </c>
      <c r="C1375" s="572" t="str">
        <f t="shared" si="50"/>
        <v/>
      </c>
      <c r="D1375" s="573" t="str">
        <f>IFERROR(VLOOKUP(E1375,Map!$B:$F,4,0),"")&amp;IFERROR(VLOOKUP(E1375,Map!$B:$F,5,0),"")</f>
        <v/>
      </c>
      <c r="E1375" s="574" t="str">
        <f t="shared" si="49"/>
        <v/>
      </c>
    </row>
    <row r="1376" spans="2:5">
      <c r="B1376" s="571" t="str">
        <f>IF(F1376="","",(SUMIF(INTGRATE!$Y:$Y,data!D1376,INTGRATE!$L:$L)+SUMIF(BRAN!$V:$V,data!D1376,BRAN!$J:$J)))</f>
        <v/>
      </c>
      <c r="C1376" s="572" t="str">
        <f t="shared" si="50"/>
        <v/>
      </c>
      <c r="D1376" s="573" t="str">
        <f>IFERROR(VLOOKUP(E1376,Map!$B:$F,4,0),"")&amp;IFERROR(VLOOKUP(E1376,Map!$B:$F,5,0),"")</f>
        <v/>
      </c>
      <c r="E1376" s="574" t="str">
        <f t="shared" ref="E1376:E1439" si="51">IF(MID(F1376,10,2)="99",F1376&amp;H1376,LEFT(F1376,14))</f>
        <v/>
      </c>
    </row>
    <row r="1377" spans="2:5">
      <c r="B1377" s="571" t="str">
        <f>IF(F1377="","",(SUMIF(INTGRATE!$Y:$Y,data!D1377,INTGRATE!$L:$L)+SUMIF(BRAN!$V:$V,data!D1377,BRAN!$J:$J)))</f>
        <v/>
      </c>
      <c r="C1377" s="572" t="str">
        <f t="shared" si="50"/>
        <v/>
      </c>
      <c r="D1377" s="573" t="str">
        <f>IFERROR(VLOOKUP(E1377,Map!$B:$F,4,0),"")&amp;IFERROR(VLOOKUP(E1377,Map!$B:$F,5,0),"")</f>
        <v/>
      </c>
      <c r="E1377" s="574" t="str">
        <f t="shared" si="51"/>
        <v/>
      </c>
    </row>
    <row r="1378" spans="2:5">
      <c r="B1378" s="571" t="str">
        <f>IF(F1378="","",(SUMIF(INTGRATE!$Y:$Y,data!D1378,INTGRATE!$L:$L)+SUMIF(BRAN!$V:$V,data!D1378,BRAN!$J:$J)))</f>
        <v/>
      </c>
      <c r="C1378" s="572" t="str">
        <f t="shared" si="50"/>
        <v/>
      </c>
      <c r="D1378" s="573" t="str">
        <f>IFERROR(VLOOKUP(E1378,Map!$B:$F,4,0),"")&amp;IFERROR(VLOOKUP(E1378,Map!$B:$F,5,0),"")</f>
        <v/>
      </c>
      <c r="E1378" s="574" t="str">
        <f t="shared" si="51"/>
        <v/>
      </c>
    </row>
    <row r="1379" spans="2:5">
      <c r="B1379" s="571" t="str">
        <f>IF(F1379="","",(SUMIF(INTGRATE!$Y:$Y,data!D1379,INTGRATE!$L:$L)+SUMIF(BRAN!$V:$V,data!D1379,BRAN!$J:$J)))</f>
        <v/>
      </c>
      <c r="C1379" s="572" t="str">
        <f t="shared" si="50"/>
        <v/>
      </c>
      <c r="D1379" s="573" t="str">
        <f>IFERROR(VLOOKUP(E1379,Map!$B:$F,4,0),"")&amp;IFERROR(VLOOKUP(E1379,Map!$B:$F,5,0),"")</f>
        <v/>
      </c>
      <c r="E1379" s="574" t="str">
        <f t="shared" si="51"/>
        <v/>
      </c>
    </row>
    <row r="1380" spans="2:5">
      <c r="B1380" s="571" t="str">
        <f>IF(F1380="","",(SUMIF(INTGRATE!$Y:$Y,data!D1380,INTGRATE!$L:$L)+SUMIF(BRAN!$V:$V,data!D1380,BRAN!$J:$J)))</f>
        <v/>
      </c>
      <c r="C1380" s="572" t="str">
        <f t="shared" si="50"/>
        <v/>
      </c>
      <c r="D1380" s="573" t="str">
        <f>IFERROR(VLOOKUP(E1380,Map!$B:$F,4,0),"")&amp;IFERROR(VLOOKUP(E1380,Map!$B:$F,5,0),"")</f>
        <v/>
      </c>
      <c r="E1380" s="574" t="str">
        <f t="shared" si="51"/>
        <v/>
      </c>
    </row>
    <row r="1381" spans="2:5">
      <c r="B1381" s="571" t="str">
        <f>IF(F1381="","",(SUMIF(INTGRATE!$Y:$Y,data!D1381,INTGRATE!$L:$L)+SUMIF(BRAN!$V:$V,data!D1381,BRAN!$J:$J)))</f>
        <v/>
      </c>
      <c r="C1381" s="572" t="str">
        <f t="shared" si="50"/>
        <v/>
      </c>
      <c r="D1381" s="573" t="str">
        <f>IFERROR(VLOOKUP(E1381,Map!$B:$F,4,0),"")&amp;IFERROR(VLOOKUP(E1381,Map!$B:$F,5,0),"")</f>
        <v/>
      </c>
      <c r="E1381" s="574" t="str">
        <f t="shared" si="51"/>
        <v/>
      </c>
    </row>
    <row r="1382" spans="2:5">
      <c r="B1382" s="571" t="str">
        <f>IF(F1382="","",(SUMIF(INTGRATE!$Y:$Y,data!D1382,INTGRATE!$L:$L)+SUMIF(BRAN!$V:$V,data!D1382,BRAN!$J:$J)))</f>
        <v/>
      </c>
      <c r="C1382" s="572" t="str">
        <f t="shared" si="50"/>
        <v/>
      </c>
      <c r="D1382" s="573" t="str">
        <f>IFERROR(VLOOKUP(E1382,Map!$B:$F,4,0),"")&amp;IFERROR(VLOOKUP(E1382,Map!$B:$F,5,0),"")</f>
        <v/>
      </c>
      <c r="E1382" s="574" t="str">
        <f t="shared" si="51"/>
        <v/>
      </c>
    </row>
    <row r="1383" spans="2:5">
      <c r="B1383" s="571" t="str">
        <f>IF(F1383="","",(SUMIF(INTGRATE!$Y:$Y,data!D1383,INTGRATE!$L:$L)+SUMIF(BRAN!$V:$V,data!D1383,BRAN!$J:$J)))</f>
        <v/>
      </c>
      <c r="C1383" s="572" t="str">
        <f t="shared" si="50"/>
        <v/>
      </c>
      <c r="D1383" s="573" t="str">
        <f>IFERROR(VLOOKUP(E1383,Map!$B:$F,4,0),"")&amp;IFERROR(VLOOKUP(E1383,Map!$B:$F,5,0),"")</f>
        <v/>
      </c>
      <c r="E1383" s="574" t="str">
        <f t="shared" si="51"/>
        <v/>
      </c>
    </row>
    <row r="1384" spans="2:5">
      <c r="B1384" s="571" t="str">
        <f>IF(F1384="","",(SUMIF(INTGRATE!$Y:$Y,data!D1384,INTGRATE!$L:$L)+SUMIF(BRAN!$V:$V,data!D1384,BRAN!$J:$J)))</f>
        <v/>
      </c>
      <c r="C1384" s="572" t="str">
        <f t="shared" si="50"/>
        <v/>
      </c>
      <c r="D1384" s="573" t="str">
        <f>IFERROR(VLOOKUP(E1384,Map!$B:$F,4,0),"")&amp;IFERROR(VLOOKUP(E1384,Map!$B:$F,5,0),"")</f>
        <v/>
      </c>
      <c r="E1384" s="574" t="str">
        <f t="shared" si="51"/>
        <v/>
      </c>
    </row>
    <row r="1385" spans="2:5">
      <c r="B1385" s="571" t="str">
        <f>IF(F1385="","",(SUMIF(INTGRATE!$Y:$Y,data!D1385,INTGRATE!$L:$L)+SUMIF(BRAN!$V:$V,data!D1385,BRAN!$J:$J)))</f>
        <v/>
      </c>
      <c r="C1385" s="572" t="str">
        <f t="shared" si="50"/>
        <v/>
      </c>
      <c r="D1385" s="573" t="str">
        <f>IFERROR(VLOOKUP(E1385,Map!$B:$F,4,0),"")&amp;IFERROR(VLOOKUP(E1385,Map!$B:$F,5,0),"")</f>
        <v/>
      </c>
      <c r="E1385" s="574" t="str">
        <f t="shared" si="51"/>
        <v/>
      </c>
    </row>
    <row r="1386" spans="2:5">
      <c r="B1386" s="571" t="str">
        <f>IF(F1386="","",(SUMIF(INTGRATE!$Y:$Y,data!D1386,INTGRATE!$L:$L)+SUMIF(BRAN!$V:$V,data!D1386,BRAN!$J:$J)))</f>
        <v/>
      </c>
      <c r="C1386" s="572" t="str">
        <f t="shared" si="50"/>
        <v/>
      </c>
      <c r="D1386" s="573" t="str">
        <f>IFERROR(VLOOKUP(E1386,Map!$B:$F,4,0),"")&amp;IFERROR(VLOOKUP(E1386,Map!$B:$F,5,0),"")</f>
        <v/>
      </c>
      <c r="E1386" s="574" t="str">
        <f t="shared" si="51"/>
        <v/>
      </c>
    </row>
    <row r="1387" spans="2:5">
      <c r="B1387" s="571" t="str">
        <f>IF(F1387="","",(SUMIF(INTGRATE!$Y:$Y,data!D1387,INTGRATE!$L:$L)+SUMIF(BRAN!$V:$V,data!D1387,BRAN!$J:$J)))</f>
        <v/>
      </c>
      <c r="C1387" s="572" t="str">
        <f t="shared" si="50"/>
        <v/>
      </c>
      <c r="D1387" s="573" t="str">
        <f>IFERROR(VLOOKUP(E1387,Map!$B:$F,4,0),"")&amp;IFERROR(VLOOKUP(E1387,Map!$B:$F,5,0),"")</f>
        <v/>
      </c>
      <c r="E1387" s="574" t="str">
        <f t="shared" si="51"/>
        <v/>
      </c>
    </row>
    <row r="1388" spans="2:5">
      <c r="B1388" s="571" t="str">
        <f>IF(F1388="","",(SUMIF(INTGRATE!$Y:$Y,data!D1388,INTGRATE!$L:$L)+SUMIF(BRAN!$V:$V,data!D1388,BRAN!$J:$J)))</f>
        <v/>
      </c>
      <c r="C1388" s="572" t="str">
        <f t="shared" si="50"/>
        <v/>
      </c>
      <c r="D1388" s="573" t="str">
        <f>IFERROR(VLOOKUP(E1388,Map!$B:$F,4,0),"")&amp;IFERROR(VLOOKUP(E1388,Map!$B:$F,5,0),"")</f>
        <v/>
      </c>
      <c r="E1388" s="574" t="str">
        <f t="shared" si="51"/>
        <v/>
      </c>
    </row>
    <row r="1389" spans="2:5">
      <c r="B1389" s="571" t="str">
        <f>IF(F1389="","",(SUMIF(INTGRATE!$Y:$Y,data!D1389,INTGRATE!$L:$L)+SUMIF(BRAN!$V:$V,data!D1389,BRAN!$J:$J)))</f>
        <v/>
      </c>
      <c r="C1389" s="572" t="str">
        <f t="shared" si="50"/>
        <v/>
      </c>
      <c r="D1389" s="573" t="str">
        <f>IFERROR(VLOOKUP(E1389,Map!$B:$F,4,0),"")&amp;IFERROR(VLOOKUP(E1389,Map!$B:$F,5,0),"")</f>
        <v/>
      </c>
      <c r="E1389" s="574" t="str">
        <f t="shared" si="51"/>
        <v/>
      </c>
    </row>
    <row r="1390" spans="2:5">
      <c r="B1390" s="571" t="str">
        <f>IF(F1390="","",(SUMIF(INTGRATE!$Y:$Y,data!D1390,INTGRATE!$L:$L)+SUMIF(BRAN!$V:$V,data!D1390,BRAN!$J:$J)))</f>
        <v/>
      </c>
      <c r="C1390" s="572" t="str">
        <f t="shared" si="50"/>
        <v/>
      </c>
      <c r="D1390" s="573" t="str">
        <f>IFERROR(VLOOKUP(E1390,Map!$B:$F,4,0),"")&amp;IFERROR(VLOOKUP(E1390,Map!$B:$F,5,0),"")</f>
        <v/>
      </c>
      <c r="E1390" s="574" t="str">
        <f t="shared" si="51"/>
        <v/>
      </c>
    </row>
    <row r="1391" spans="2:5">
      <c r="B1391" s="571" t="str">
        <f>IF(F1391="","",(SUMIF(INTGRATE!$Y:$Y,data!D1391,INTGRATE!$L:$L)+SUMIF(BRAN!$V:$V,data!D1391,BRAN!$J:$J)))</f>
        <v/>
      </c>
      <c r="C1391" s="572" t="str">
        <f t="shared" si="50"/>
        <v/>
      </c>
      <c r="D1391" s="573" t="str">
        <f>IFERROR(VLOOKUP(E1391,Map!$B:$F,4,0),"")&amp;IFERROR(VLOOKUP(E1391,Map!$B:$F,5,0),"")</f>
        <v/>
      </c>
      <c r="E1391" s="574" t="str">
        <f t="shared" si="51"/>
        <v/>
      </c>
    </row>
    <row r="1392" spans="2:5">
      <c r="B1392" s="571" t="str">
        <f>IF(F1392="","",(SUMIF(INTGRATE!$Y:$Y,data!D1392,INTGRATE!$L:$L)+SUMIF(BRAN!$V:$V,data!D1392,BRAN!$J:$J)))</f>
        <v/>
      </c>
      <c r="C1392" s="572" t="str">
        <f t="shared" si="50"/>
        <v/>
      </c>
      <c r="D1392" s="573" t="str">
        <f>IFERROR(VLOOKUP(E1392,Map!$B:$F,4,0),"")&amp;IFERROR(VLOOKUP(E1392,Map!$B:$F,5,0),"")</f>
        <v/>
      </c>
      <c r="E1392" s="574" t="str">
        <f t="shared" si="51"/>
        <v/>
      </c>
    </row>
    <row r="1393" spans="2:5">
      <c r="B1393" s="571" t="str">
        <f>IF(F1393="","",(SUMIF(INTGRATE!$Y:$Y,data!D1393,INTGRATE!$L:$L)+SUMIF(BRAN!$V:$V,data!D1393,BRAN!$J:$J)))</f>
        <v/>
      </c>
      <c r="C1393" s="572" t="str">
        <f t="shared" si="50"/>
        <v/>
      </c>
      <c r="D1393" s="573" t="str">
        <f>IFERROR(VLOOKUP(E1393,Map!$B:$F,4,0),"")&amp;IFERROR(VLOOKUP(E1393,Map!$B:$F,5,0),"")</f>
        <v/>
      </c>
      <c r="E1393" s="574" t="str">
        <f t="shared" si="51"/>
        <v/>
      </c>
    </row>
    <row r="1394" spans="2:5">
      <c r="B1394" s="571" t="str">
        <f>IF(F1394="","",(SUMIF(INTGRATE!$Y:$Y,data!D1394,INTGRATE!$L:$L)+SUMIF(BRAN!$V:$V,data!D1394,BRAN!$J:$J)))</f>
        <v/>
      </c>
      <c r="C1394" s="572" t="str">
        <f t="shared" si="50"/>
        <v/>
      </c>
      <c r="D1394" s="573" t="str">
        <f>IFERROR(VLOOKUP(E1394,Map!$B:$F,4,0),"")&amp;IFERROR(VLOOKUP(E1394,Map!$B:$F,5,0),"")</f>
        <v/>
      </c>
      <c r="E1394" s="574" t="str">
        <f t="shared" si="51"/>
        <v/>
      </c>
    </row>
    <row r="1395" spans="2:5">
      <c r="B1395" s="571" t="str">
        <f>IF(F1395="","",(SUMIF(INTGRATE!$Y:$Y,data!D1395,INTGRATE!$L:$L)+SUMIF(BRAN!$V:$V,data!D1395,BRAN!$J:$J)))</f>
        <v/>
      </c>
      <c r="C1395" s="572" t="str">
        <f t="shared" si="50"/>
        <v/>
      </c>
      <c r="D1395" s="573" t="str">
        <f>IFERROR(VLOOKUP(E1395,Map!$B:$F,4,0),"")&amp;IFERROR(VLOOKUP(E1395,Map!$B:$F,5,0),"")</f>
        <v/>
      </c>
      <c r="E1395" s="574" t="str">
        <f t="shared" si="51"/>
        <v/>
      </c>
    </row>
    <row r="1396" spans="2:5">
      <c r="B1396" s="571" t="str">
        <f>IF(F1396="","",(SUMIF(INTGRATE!$Y:$Y,data!D1396,INTGRATE!$L:$L)+SUMIF(BRAN!$V:$V,data!D1396,BRAN!$J:$J)))</f>
        <v/>
      </c>
      <c r="C1396" s="572" t="str">
        <f t="shared" si="50"/>
        <v/>
      </c>
      <c r="D1396" s="573" t="str">
        <f>IFERROR(VLOOKUP(E1396,Map!$B:$F,4,0),"")&amp;IFERROR(VLOOKUP(E1396,Map!$B:$F,5,0),"")</f>
        <v/>
      </c>
      <c r="E1396" s="574" t="str">
        <f t="shared" si="51"/>
        <v/>
      </c>
    </row>
    <row r="1397" spans="2:5">
      <c r="B1397" s="571" t="str">
        <f>IF(F1397="","",(SUMIF(INTGRATE!$Y:$Y,data!D1397,INTGRATE!$L:$L)+SUMIF(BRAN!$V:$V,data!D1397,BRAN!$J:$J)))</f>
        <v/>
      </c>
      <c r="C1397" s="572" t="str">
        <f t="shared" si="50"/>
        <v/>
      </c>
      <c r="D1397" s="573" t="str">
        <f>IFERROR(VLOOKUP(E1397,Map!$B:$F,4,0),"")&amp;IFERROR(VLOOKUP(E1397,Map!$B:$F,5,0),"")</f>
        <v/>
      </c>
      <c r="E1397" s="574" t="str">
        <f t="shared" si="51"/>
        <v/>
      </c>
    </row>
    <row r="1398" spans="2:5">
      <c r="B1398" s="571" t="str">
        <f>IF(F1398="","",(SUMIF(INTGRATE!$Y:$Y,data!D1398,INTGRATE!$L:$L)+SUMIF(BRAN!$V:$V,data!D1398,BRAN!$J:$J)))</f>
        <v/>
      </c>
      <c r="C1398" s="572" t="str">
        <f t="shared" si="50"/>
        <v/>
      </c>
      <c r="D1398" s="573" t="str">
        <f>IFERROR(VLOOKUP(E1398,Map!$B:$F,4,0),"")&amp;IFERROR(VLOOKUP(E1398,Map!$B:$F,5,0),"")</f>
        <v/>
      </c>
      <c r="E1398" s="574" t="str">
        <f t="shared" si="51"/>
        <v/>
      </c>
    </row>
    <row r="1399" spans="2:5">
      <c r="B1399" s="571" t="str">
        <f>IF(F1399="","",(SUMIF(INTGRATE!$Y:$Y,data!D1399,INTGRATE!$L:$L)+SUMIF(BRAN!$V:$V,data!D1399,BRAN!$J:$J)))</f>
        <v/>
      </c>
      <c r="C1399" s="572" t="str">
        <f t="shared" si="50"/>
        <v/>
      </c>
      <c r="D1399" s="573" t="str">
        <f>IFERROR(VLOOKUP(E1399,Map!$B:$F,4,0),"")&amp;IFERROR(VLOOKUP(E1399,Map!$B:$F,5,0),"")</f>
        <v/>
      </c>
      <c r="E1399" s="574" t="str">
        <f t="shared" si="51"/>
        <v/>
      </c>
    </row>
    <row r="1400" spans="2:5">
      <c r="B1400" s="571" t="str">
        <f>IF(F1400="","",(SUMIF(INTGRATE!$Y:$Y,data!D1400,INTGRATE!$L:$L)+SUMIF(BRAN!$V:$V,data!D1400,BRAN!$J:$J)))</f>
        <v/>
      </c>
      <c r="C1400" s="572" t="str">
        <f t="shared" si="50"/>
        <v/>
      </c>
      <c r="D1400" s="573" t="str">
        <f>IFERROR(VLOOKUP(E1400,Map!$B:$F,4,0),"")&amp;IFERROR(VLOOKUP(E1400,Map!$B:$F,5,0),"")</f>
        <v/>
      </c>
      <c r="E1400" s="574" t="str">
        <f t="shared" si="51"/>
        <v/>
      </c>
    </row>
    <row r="1401" spans="2:5">
      <c r="B1401" s="571" t="str">
        <f>IF(F1401="","",(SUMIF(INTGRATE!$Y:$Y,data!D1401,INTGRATE!$L:$L)+SUMIF(BRAN!$V:$V,data!D1401,BRAN!$J:$J)))</f>
        <v/>
      </c>
      <c r="C1401" s="572" t="str">
        <f t="shared" si="50"/>
        <v/>
      </c>
      <c r="D1401" s="573" t="str">
        <f>IFERROR(VLOOKUP(E1401,Map!$B:$F,4,0),"")&amp;IFERROR(VLOOKUP(E1401,Map!$B:$F,5,0),"")</f>
        <v/>
      </c>
      <c r="E1401" s="574" t="str">
        <f t="shared" si="51"/>
        <v/>
      </c>
    </row>
    <row r="1402" spans="2:5">
      <c r="B1402" s="571" t="str">
        <f>IF(F1402="","",(SUMIF(INTGRATE!$Y:$Y,data!D1402,INTGRATE!$L:$L)+SUMIF(BRAN!$V:$V,data!D1402,BRAN!$J:$J)))</f>
        <v/>
      </c>
      <c r="C1402" s="572" t="str">
        <f t="shared" si="50"/>
        <v/>
      </c>
      <c r="D1402" s="573" t="str">
        <f>IFERROR(VLOOKUP(E1402,Map!$B:$F,4,0),"")&amp;IFERROR(VLOOKUP(E1402,Map!$B:$F,5,0),"")</f>
        <v/>
      </c>
      <c r="E1402" s="574" t="str">
        <f t="shared" si="51"/>
        <v/>
      </c>
    </row>
    <row r="1403" spans="2:5">
      <c r="B1403" s="571" t="str">
        <f>IF(F1403="","",(SUMIF(INTGRATE!$Y:$Y,data!D1403,INTGRATE!$L:$L)+SUMIF(BRAN!$V:$V,data!D1403,BRAN!$J:$J)))</f>
        <v/>
      </c>
      <c r="C1403" s="572" t="str">
        <f t="shared" si="50"/>
        <v/>
      </c>
      <c r="D1403" s="573" t="str">
        <f>IFERROR(VLOOKUP(E1403,Map!$B:$F,4,0),"")&amp;IFERROR(VLOOKUP(E1403,Map!$B:$F,5,0),"")</f>
        <v/>
      </c>
      <c r="E1403" s="574" t="str">
        <f t="shared" si="51"/>
        <v/>
      </c>
    </row>
    <row r="1404" spans="2:5">
      <c r="B1404" s="571" t="str">
        <f>IF(F1404="","",(SUMIF(INTGRATE!$Y:$Y,data!D1404,INTGRATE!$L:$L)+SUMIF(BRAN!$V:$V,data!D1404,BRAN!$J:$J)))</f>
        <v/>
      </c>
      <c r="C1404" s="572" t="str">
        <f t="shared" si="50"/>
        <v/>
      </c>
      <c r="D1404" s="573" t="str">
        <f>IFERROR(VLOOKUP(E1404,Map!$B:$F,4,0),"")&amp;IFERROR(VLOOKUP(E1404,Map!$B:$F,5,0),"")</f>
        <v/>
      </c>
      <c r="E1404" s="574" t="str">
        <f t="shared" si="51"/>
        <v/>
      </c>
    </row>
    <row r="1405" spans="2:5">
      <c r="B1405" s="571" t="str">
        <f>IF(F1405="","",(SUMIF(INTGRATE!$Y:$Y,data!D1405,INTGRATE!$L:$L)+SUMIF(BRAN!$V:$V,data!D1405,BRAN!$J:$J)))</f>
        <v/>
      </c>
      <c r="C1405" s="572" t="str">
        <f t="shared" si="50"/>
        <v/>
      </c>
      <c r="D1405" s="573" t="str">
        <f>IFERROR(VLOOKUP(E1405,Map!$B:$F,4,0),"")&amp;IFERROR(VLOOKUP(E1405,Map!$B:$F,5,0),"")</f>
        <v/>
      </c>
      <c r="E1405" s="574" t="str">
        <f t="shared" si="51"/>
        <v/>
      </c>
    </row>
    <row r="1406" spans="2:5">
      <c r="B1406" s="571" t="str">
        <f>IF(F1406="","",(SUMIF(INTGRATE!$Y:$Y,data!D1406,INTGRATE!$L:$L)+SUMIF(BRAN!$V:$V,data!D1406,BRAN!$J:$J)))</f>
        <v/>
      </c>
      <c r="C1406" s="572" t="str">
        <f t="shared" si="50"/>
        <v/>
      </c>
      <c r="D1406" s="573" t="str">
        <f>IFERROR(VLOOKUP(E1406,Map!$B:$F,4,0),"")&amp;IFERROR(VLOOKUP(E1406,Map!$B:$F,5,0),"")</f>
        <v/>
      </c>
      <c r="E1406" s="574" t="str">
        <f t="shared" si="51"/>
        <v/>
      </c>
    </row>
    <row r="1407" spans="2:5">
      <c r="B1407" s="571" t="str">
        <f>IF(F1407="","",(SUMIF(INTGRATE!$Y:$Y,data!D1407,INTGRATE!$L:$L)+SUMIF(BRAN!$V:$V,data!D1407,BRAN!$J:$J)))</f>
        <v/>
      </c>
      <c r="C1407" s="572" t="str">
        <f t="shared" ref="C1407:C1470" si="52">IF(F1407="","",B1407-K1407)</f>
        <v/>
      </c>
      <c r="D1407" s="573" t="str">
        <f>IFERROR(VLOOKUP(E1407,Map!$B:$F,4,0),"")&amp;IFERROR(VLOOKUP(E1407,Map!$B:$F,5,0),"")</f>
        <v/>
      </c>
      <c r="E1407" s="574" t="str">
        <f t="shared" si="51"/>
        <v/>
      </c>
    </row>
    <row r="1408" spans="2:5">
      <c r="B1408" s="571" t="str">
        <f>IF(F1408="","",(SUMIF(INTGRATE!$Y:$Y,data!D1408,INTGRATE!$L:$L)+SUMIF(BRAN!$V:$V,data!D1408,BRAN!$J:$J)))</f>
        <v/>
      </c>
      <c r="C1408" s="572" t="str">
        <f t="shared" si="52"/>
        <v/>
      </c>
      <c r="D1408" s="573" t="str">
        <f>IFERROR(VLOOKUP(E1408,Map!$B:$F,4,0),"")&amp;IFERROR(VLOOKUP(E1408,Map!$B:$F,5,0),"")</f>
        <v/>
      </c>
      <c r="E1408" s="574" t="str">
        <f t="shared" si="51"/>
        <v/>
      </c>
    </row>
    <row r="1409" spans="2:5">
      <c r="B1409" s="571" t="str">
        <f>IF(F1409="","",(SUMIF(INTGRATE!$Y:$Y,data!D1409,INTGRATE!$L:$L)+SUMIF(BRAN!$V:$V,data!D1409,BRAN!$J:$J)))</f>
        <v/>
      </c>
      <c r="C1409" s="572" t="str">
        <f t="shared" si="52"/>
        <v/>
      </c>
      <c r="D1409" s="573" t="str">
        <f>IFERROR(VLOOKUP(E1409,Map!$B:$F,4,0),"")&amp;IFERROR(VLOOKUP(E1409,Map!$B:$F,5,0),"")</f>
        <v/>
      </c>
      <c r="E1409" s="574" t="str">
        <f t="shared" si="51"/>
        <v/>
      </c>
    </row>
    <row r="1410" spans="2:5">
      <c r="B1410" s="571" t="str">
        <f>IF(F1410="","",(SUMIF(INTGRATE!$Y:$Y,data!D1410,INTGRATE!$L:$L)+SUMIF(BRAN!$V:$V,data!D1410,BRAN!$J:$J)))</f>
        <v/>
      </c>
      <c r="C1410" s="572" t="str">
        <f t="shared" si="52"/>
        <v/>
      </c>
      <c r="D1410" s="573" t="str">
        <f>IFERROR(VLOOKUP(E1410,Map!$B:$F,4,0),"")&amp;IFERROR(VLOOKUP(E1410,Map!$B:$F,5,0),"")</f>
        <v/>
      </c>
      <c r="E1410" s="574" t="str">
        <f t="shared" si="51"/>
        <v/>
      </c>
    </row>
    <row r="1411" spans="2:5">
      <c r="B1411" s="571" t="str">
        <f>IF(F1411="","",(SUMIF(INTGRATE!$Y:$Y,data!D1411,INTGRATE!$L:$L)+SUMIF(BRAN!$V:$V,data!D1411,BRAN!$J:$J)))</f>
        <v/>
      </c>
      <c r="C1411" s="572" t="str">
        <f t="shared" si="52"/>
        <v/>
      </c>
      <c r="D1411" s="573" t="str">
        <f>IFERROR(VLOOKUP(E1411,Map!$B:$F,4,0),"")&amp;IFERROR(VLOOKUP(E1411,Map!$B:$F,5,0),"")</f>
        <v/>
      </c>
      <c r="E1411" s="574" t="str">
        <f t="shared" si="51"/>
        <v/>
      </c>
    </row>
    <row r="1412" spans="2:5">
      <c r="B1412" s="571" t="str">
        <f>IF(F1412="","",(SUMIF(INTGRATE!$Y:$Y,data!D1412,INTGRATE!$L:$L)+SUMIF(BRAN!$V:$V,data!D1412,BRAN!$J:$J)))</f>
        <v/>
      </c>
      <c r="C1412" s="572" t="str">
        <f t="shared" si="52"/>
        <v/>
      </c>
      <c r="D1412" s="573" t="str">
        <f>IFERROR(VLOOKUP(E1412,Map!$B:$F,4,0),"")&amp;IFERROR(VLOOKUP(E1412,Map!$B:$F,5,0),"")</f>
        <v/>
      </c>
      <c r="E1412" s="574" t="str">
        <f t="shared" si="51"/>
        <v/>
      </c>
    </row>
    <row r="1413" spans="2:5">
      <c r="B1413" s="571" t="str">
        <f>IF(F1413="","",(SUMIF(INTGRATE!$Y:$Y,data!D1413,INTGRATE!$L:$L)+SUMIF(BRAN!$V:$V,data!D1413,BRAN!$J:$J)))</f>
        <v/>
      </c>
      <c r="C1413" s="572" t="str">
        <f t="shared" si="52"/>
        <v/>
      </c>
      <c r="D1413" s="573" t="str">
        <f>IFERROR(VLOOKUP(E1413,Map!$B:$F,4,0),"")&amp;IFERROR(VLOOKUP(E1413,Map!$B:$F,5,0),"")</f>
        <v/>
      </c>
      <c r="E1413" s="574" t="str">
        <f t="shared" si="51"/>
        <v/>
      </c>
    </row>
    <row r="1414" spans="2:5">
      <c r="B1414" s="571" t="str">
        <f>IF(F1414="","",(SUMIF(INTGRATE!$Y:$Y,data!D1414,INTGRATE!$L:$L)+SUMIF(BRAN!$V:$V,data!D1414,BRAN!$J:$J)))</f>
        <v/>
      </c>
      <c r="C1414" s="572" t="str">
        <f t="shared" si="52"/>
        <v/>
      </c>
      <c r="D1414" s="573" t="str">
        <f>IFERROR(VLOOKUP(E1414,Map!$B:$F,4,0),"")&amp;IFERROR(VLOOKUP(E1414,Map!$B:$F,5,0),"")</f>
        <v/>
      </c>
      <c r="E1414" s="574" t="str">
        <f t="shared" si="51"/>
        <v/>
      </c>
    </row>
    <row r="1415" spans="2:5">
      <c r="B1415" s="571" t="str">
        <f>IF(F1415="","",(SUMIF(INTGRATE!$Y:$Y,data!D1415,INTGRATE!$L:$L)+SUMIF(BRAN!$V:$V,data!D1415,BRAN!$J:$J)))</f>
        <v/>
      </c>
      <c r="C1415" s="572" t="str">
        <f t="shared" si="52"/>
        <v/>
      </c>
      <c r="D1415" s="573" t="str">
        <f>IFERROR(VLOOKUP(E1415,Map!$B:$F,4,0),"")&amp;IFERROR(VLOOKUP(E1415,Map!$B:$F,5,0),"")</f>
        <v/>
      </c>
      <c r="E1415" s="574" t="str">
        <f t="shared" si="51"/>
        <v/>
      </c>
    </row>
    <row r="1416" spans="2:5">
      <c r="B1416" s="571" t="str">
        <f>IF(F1416="","",(SUMIF(INTGRATE!$Y:$Y,data!D1416,INTGRATE!$L:$L)+SUMIF(BRAN!$V:$V,data!D1416,BRAN!$J:$J)))</f>
        <v/>
      </c>
      <c r="C1416" s="572" t="str">
        <f t="shared" si="52"/>
        <v/>
      </c>
      <c r="D1416" s="573" t="str">
        <f>IFERROR(VLOOKUP(E1416,Map!$B:$F,4,0),"")&amp;IFERROR(VLOOKUP(E1416,Map!$B:$F,5,0),"")</f>
        <v/>
      </c>
      <c r="E1416" s="574" t="str">
        <f t="shared" si="51"/>
        <v/>
      </c>
    </row>
    <row r="1417" spans="2:5">
      <c r="B1417" s="571" t="str">
        <f>IF(F1417="","",(SUMIF(INTGRATE!$Y:$Y,data!D1417,INTGRATE!$L:$L)+SUMIF(BRAN!$V:$V,data!D1417,BRAN!$J:$J)))</f>
        <v/>
      </c>
      <c r="C1417" s="572" t="str">
        <f t="shared" si="52"/>
        <v/>
      </c>
      <c r="D1417" s="573" t="str">
        <f>IFERROR(VLOOKUP(E1417,Map!$B:$F,4,0),"")&amp;IFERROR(VLOOKUP(E1417,Map!$B:$F,5,0),"")</f>
        <v/>
      </c>
      <c r="E1417" s="574" t="str">
        <f t="shared" si="51"/>
        <v/>
      </c>
    </row>
    <row r="1418" spans="2:5">
      <c r="B1418" s="571" t="str">
        <f>IF(F1418="","",(SUMIF(INTGRATE!$Y:$Y,data!D1418,INTGRATE!$L:$L)+SUMIF(BRAN!$V:$V,data!D1418,BRAN!$J:$J)))</f>
        <v/>
      </c>
      <c r="C1418" s="572" t="str">
        <f t="shared" si="52"/>
        <v/>
      </c>
      <c r="D1418" s="573" t="str">
        <f>IFERROR(VLOOKUP(E1418,Map!$B:$F,4,0),"")&amp;IFERROR(VLOOKUP(E1418,Map!$B:$F,5,0),"")</f>
        <v/>
      </c>
      <c r="E1418" s="574" t="str">
        <f t="shared" si="51"/>
        <v/>
      </c>
    </row>
    <row r="1419" spans="2:5">
      <c r="B1419" s="571" t="str">
        <f>IF(F1419="","",(SUMIF(INTGRATE!$Y:$Y,data!D1419,INTGRATE!$L:$L)+SUMIF(BRAN!$V:$V,data!D1419,BRAN!$J:$J)))</f>
        <v/>
      </c>
      <c r="C1419" s="572" t="str">
        <f t="shared" si="52"/>
        <v/>
      </c>
      <c r="D1419" s="573" t="str">
        <f>IFERROR(VLOOKUP(E1419,Map!$B:$F,4,0),"")&amp;IFERROR(VLOOKUP(E1419,Map!$B:$F,5,0),"")</f>
        <v/>
      </c>
      <c r="E1419" s="574" t="str">
        <f t="shared" si="51"/>
        <v/>
      </c>
    </row>
    <row r="1420" spans="2:5">
      <c r="B1420" s="571" t="str">
        <f>IF(F1420="","",(SUMIF(INTGRATE!$Y:$Y,data!D1420,INTGRATE!$L:$L)+SUMIF(BRAN!$V:$V,data!D1420,BRAN!$J:$J)))</f>
        <v/>
      </c>
      <c r="C1420" s="572" t="str">
        <f t="shared" si="52"/>
        <v/>
      </c>
      <c r="D1420" s="573" t="str">
        <f>IFERROR(VLOOKUP(E1420,Map!$B:$F,4,0),"")&amp;IFERROR(VLOOKUP(E1420,Map!$B:$F,5,0),"")</f>
        <v/>
      </c>
      <c r="E1420" s="574" t="str">
        <f t="shared" si="51"/>
        <v/>
      </c>
    </row>
    <row r="1421" spans="2:5">
      <c r="B1421" s="571" t="str">
        <f>IF(F1421="","",(SUMIF(INTGRATE!$Y:$Y,data!D1421,INTGRATE!$L:$L)+SUMIF(BRAN!$V:$V,data!D1421,BRAN!$J:$J)))</f>
        <v/>
      </c>
      <c r="C1421" s="572" t="str">
        <f t="shared" si="52"/>
        <v/>
      </c>
      <c r="D1421" s="573" t="str">
        <f>IFERROR(VLOOKUP(E1421,Map!$B:$F,4,0),"")&amp;IFERROR(VLOOKUP(E1421,Map!$B:$F,5,0),"")</f>
        <v/>
      </c>
      <c r="E1421" s="574" t="str">
        <f t="shared" si="51"/>
        <v/>
      </c>
    </row>
    <row r="1422" spans="2:5">
      <c r="B1422" s="571" t="str">
        <f>IF(F1422="","",(SUMIF(INTGRATE!$Y:$Y,data!D1422,INTGRATE!$L:$L)+SUMIF(BRAN!$V:$V,data!D1422,BRAN!$J:$J)))</f>
        <v/>
      </c>
      <c r="C1422" s="572" t="str">
        <f t="shared" si="52"/>
        <v/>
      </c>
      <c r="D1422" s="573" t="str">
        <f>IFERROR(VLOOKUP(E1422,Map!$B:$F,4,0),"")&amp;IFERROR(VLOOKUP(E1422,Map!$B:$F,5,0),"")</f>
        <v/>
      </c>
      <c r="E1422" s="574" t="str">
        <f t="shared" si="51"/>
        <v/>
      </c>
    </row>
    <row r="1423" spans="2:5">
      <c r="B1423" s="571" t="str">
        <f>IF(F1423="","",(SUMIF(INTGRATE!$Y:$Y,data!D1423,INTGRATE!$L:$L)+SUMIF(BRAN!$V:$V,data!D1423,BRAN!$J:$J)))</f>
        <v/>
      </c>
      <c r="C1423" s="572" t="str">
        <f t="shared" si="52"/>
        <v/>
      </c>
      <c r="D1423" s="573" t="str">
        <f>IFERROR(VLOOKUP(E1423,Map!$B:$F,4,0),"")&amp;IFERROR(VLOOKUP(E1423,Map!$B:$F,5,0),"")</f>
        <v/>
      </c>
      <c r="E1423" s="574" t="str">
        <f t="shared" si="51"/>
        <v/>
      </c>
    </row>
    <row r="1424" spans="2:5">
      <c r="B1424" s="571" t="str">
        <f>IF(F1424="","",(SUMIF(INTGRATE!$Y:$Y,data!D1424,INTGRATE!$L:$L)+SUMIF(BRAN!$V:$V,data!D1424,BRAN!$J:$J)))</f>
        <v/>
      </c>
      <c r="C1424" s="572" t="str">
        <f t="shared" si="52"/>
        <v/>
      </c>
      <c r="D1424" s="573" t="str">
        <f>IFERROR(VLOOKUP(E1424,Map!$B:$F,4,0),"")&amp;IFERROR(VLOOKUP(E1424,Map!$B:$F,5,0),"")</f>
        <v/>
      </c>
      <c r="E1424" s="574" t="str">
        <f t="shared" si="51"/>
        <v/>
      </c>
    </row>
    <row r="1425" spans="2:5">
      <c r="B1425" s="571" t="str">
        <f>IF(F1425="","",(SUMIF(INTGRATE!$Y:$Y,data!D1425,INTGRATE!$L:$L)+SUMIF(BRAN!$V:$V,data!D1425,BRAN!$J:$J)))</f>
        <v/>
      </c>
      <c r="C1425" s="572" t="str">
        <f t="shared" si="52"/>
        <v/>
      </c>
      <c r="D1425" s="573" t="str">
        <f>IFERROR(VLOOKUP(E1425,Map!$B:$F,4,0),"")&amp;IFERROR(VLOOKUP(E1425,Map!$B:$F,5,0),"")</f>
        <v/>
      </c>
      <c r="E1425" s="574" t="str">
        <f t="shared" si="51"/>
        <v/>
      </c>
    </row>
    <row r="1426" spans="2:5">
      <c r="B1426" s="571" t="str">
        <f>IF(F1426="","",(SUMIF(INTGRATE!$Y:$Y,data!D1426,INTGRATE!$L:$L)+SUMIF(BRAN!$V:$V,data!D1426,BRAN!$J:$J)))</f>
        <v/>
      </c>
      <c r="C1426" s="572" t="str">
        <f t="shared" si="52"/>
        <v/>
      </c>
      <c r="D1426" s="573" t="str">
        <f>IFERROR(VLOOKUP(E1426,Map!$B:$F,4,0),"")&amp;IFERROR(VLOOKUP(E1426,Map!$B:$F,5,0),"")</f>
        <v/>
      </c>
      <c r="E1426" s="574" t="str">
        <f t="shared" si="51"/>
        <v/>
      </c>
    </row>
    <row r="1427" spans="2:5">
      <c r="B1427" s="571" t="str">
        <f>IF(F1427="","",(SUMIF(INTGRATE!$Y:$Y,data!D1427,INTGRATE!$L:$L)+SUMIF(BRAN!$V:$V,data!D1427,BRAN!$J:$J)))</f>
        <v/>
      </c>
      <c r="C1427" s="572" t="str">
        <f t="shared" si="52"/>
        <v/>
      </c>
      <c r="D1427" s="573" t="str">
        <f>IFERROR(VLOOKUP(E1427,Map!$B:$F,4,0),"")&amp;IFERROR(VLOOKUP(E1427,Map!$B:$F,5,0),"")</f>
        <v/>
      </c>
      <c r="E1427" s="574" t="str">
        <f t="shared" si="51"/>
        <v/>
      </c>
    </row>
    <row r="1428" spans="2:5">
      <c r="B1428" s="571" t="str">
        <f>IF(F1428="","",(SUMIF(INTGRATE!$Y:$Y,data!D1428,INTGRATE!$L:$L)+SUMIF(BRAN!$V:$V,data!D1428,BRAN!$J:$J)))</f>
        <v/>
      </c>
      <c r="C1428" s="572" t="str">
        <f t="shared" si="52"/>
        <v/>
      </c>
      <c r="D1428" s="573" t="str">
        <f>IFERROR(VLOOKUP(E1428,Map!$B:$F,4,0),"")&amp;IFERROR(VLOOKUP(E1428,Map!$B:$F,5,0),"")</f>
        <v/>
      </c>
      <c r="E1428" s="574" t="str">
        <f t="shared" si="51"/>
        <v/>
      </c>
    </row>
    <row r="1429" spans="2:5">
      <c r="B1429" s="571" t="str">
        <f>IF(F1429="","",(SUMIF(INTGRATE!$Y:$Y,data!D1429,INTGRATE!$L:$L)+SUMIF(BRAN!$V:$V,data!D1429,BRAN!$J:$J)))</f>
        <v/>
      </c>
      <c r="C1429" s="572" t="str">
        <f t="shared" si="52"/>
        <v/>
      </c>
      <c r="D1429" s="573" t="str">
        <f>IFERROR(VLOOKUP(E1429,Map!$B:$F,4,0),"")&amp;IFERROR(VLOOKUP(E1429,Map!$B:$F,5,0),"")</f>
        <v/>
      </c>
      <c r="E1429" s="574" t="str">
        <f t="shared" si="51"/>
        <v/>
      </c>
    </row>
    <row r="1430" spans="2:5">
      <c r="B1430" s="571" t="str">
        <f>IF(F1430="","",(SUMIF(INTGRATE!$Y:$Y,data!D1430,INTGRATE!$L:$L)+SUMIF(BRAN!$V:$V,data!D1430,BRAN!$J:$J)))</f>
        <v/>
      </c>
      <c r="C1430" s="572" t="str">
        <f t="shared" si="52"/>
        <v/>
      </c>
      <c r="D1430" s="573" t="str">
        <f>IFERROR(VLOOKUP(E1430,Map!$B:$F,4,0),"")&amp;IFERROR(VLOOKUP(E1430,Map!$B:$F,5,0),"")</f>
        <v/>
      </c>
      <c r="E1430" s="574" t="str">
        <f t="shared" si="51"/>
        <v/>
      </c>
    </row>
    <row r="1431" spans="2:5">
      <c r="B1431" s="571" t="str">
        <f>IF(F1431="","",(SUMIF(INTGRATE!$Y:$Y,data!D1431,INTGRATE!$L:$L)+SUMIF(BRAN!$V:$V,data!D1431,BRAN!$J:$J)))</f>
        <v/>
      </c>
      <c r="C1431" s="572" t="str">
        <f t="shared" si="52"/>
        <v/>
      </c>
      <c r="D1431" s="573" t="str">
        <f>IFERROR(VLOOKUP(E1431,Map!$B:$F,4,0),"")&amp;IFERROR(VLOOKUP(E1431,Map!$B:$F,5,0),"")</f>
        <v/>
      </c>
      <c r="E1431" s="574" t="str">
        <f t="shared" si="51"/>
        <v/>
      </c>
    </row>
    <row r="1432" spans="2:5">
      <c r="B1432" s="571" t="str">
        <f>IF(F1432="","",(SUMIF(INTGRATE!$Y:$Y,data!D1432,INTGRATE!$L:$L)+SUMIF(BRAN!$V:$V,data!D1432,BRAN!$J:$J)))</f>
        <v/>
      </c>
      <c r="C1432" s="572" t="str">
        <f t="shared" si="52"/>
        <v/>
      </c>
      <c r="D1432" s="573" t="str">
        <f>IFERROR(VLOOKUP(E1432,Map!$B:$F,4,0),"")&amp;IFERROR(VLOOKUP(E1432,Map!$B:$F,5,0),"")</f>
        <v/>
      </c>
      <c r="E1432" s="574" t="str">
        <f t="shared" si="51"/>
        <v/>
      </c>
    </row>
    <row r="1433" spans="2:5">
      <c r="B1433" s="571" t="str">
        <f>IF(F1433="","",(SUMIF(INTGRATE!$Y:$Y,data!D1433,INTGRATE!$L:$L)+SUMIF(BRAN!$V:$V,data!D1433,BRAN!$J:$J)))</f>
        <v/>
      </c>
      <c r="C1433" s="572" t="str">
        <f t="shared" si="52"/>
        <v/>
      </c>
      <c r="D1433" s="573" t="str">
        <f>IFERROR(VLOOKUP(E1433,Map!$B:$F,4,0),"")&amp;IFERROR(VLOOKUP(E1433,Map!$B:$F,5,0),"")</f>
        <v/>
      </c>
      <c r="E1433" s="574" t="str">
        <f t="shared" si="51"/>
        <v/>
      </c>
    </row>
    <row r="1434" spans="2:5">
      <c r="B1434" s="571" t="str">
        <f>IF(F1434="","",(SUMIF(INTGRATE!$Y:$Y,data!D1434,INTGRATE!$L:$L)+SUMIF(BRAN!$V:$V,data!D1434,BRAN!$J:$J)))</f>
        <v/>
      </c>
      <c r="C1434" s="572" t="str">
        <f t="shared" si="52"/>
        <v/>
      </c>
      <c r="D1434" s="573" t="str">
        <f>IFERROR(VLOOKUP(E1434,Map!$B:$F,4,0),"")&amp;IFERROR(VLOOKUP(E1434,Map!$B:$F,5,0),"")</f>
        <v/>
      </c>
      <c r="E1434" s="574" t="str">
        <f t="shared" si="51"/>
        <v/>
      </c>
    </row>
    <row r="1435" spans="2:5">
      <c r="B1435" s="571" t="str">
        <f>IF(F1435="","",(SUMIF(INTGRATE!$Y:$Y,data!D1435,INTGRATE!$L:$L)+SUMIF(BRAN!$V:$V,data!D1435,BRAN!$J:$J)))</f>
        <v/>
      </c>
      <c r="C1435" s="572" t="str">
        <f t="shared" si="52"/>
        <v/>
      </c>
      <c r="D1435" s="573" t="str">
        <f>IFERROR(VLOOKUP(E1435,Map!$B:$F,4,0),"")&amp;IFERROR(VLOOKUP(E1435,Map!$B:$F,5,0),"")</f>
        <v/>
      </c>
      <c r="E1435" s="574" t="str">
        <f t="shared" si="51"/>
        <v/>
      </c>
    </row>
    <row r="1436" spans="2:5">
      <c r="B1436" s="571" t="str">
        <f>IF(F1436="","",(SUMIF(INTGRATE!$Y:$Y,data!D1436,INTGRATE!$L:$L)+SUMIF(BRAN!$V:$V,data!D1436,BRAN!$J:$J)))</f>
        <v/>
      </c>
      <c r="C1436" s="572" t="str">
        <f t="shared" si="52"/>
        <v/>
      </c>
      <c r="D1436" s="573" t="str">
        <f>IFERROR(VLOOKUP(E1436,Map!$B:$F,4,0),"")&amp;IFERROR(VLOOKUP(E1436,Map!$B:$F,5,0),"")</f>
        <v/>
      </c>
      <c r="E1436" s="574" t="str">
        <f t="shared" si="51"/>
        <v/>
      </c>
    </row>
    <row r="1437" spans="2:5">
      <c r="B1437" s="571" t="str">
        <f>IF(F1437="","",(SUMIF(INTGRATE!$Y:$Y,data!D1437,INTGRATE!$L:$L)+SUMIF(BRAN!$V:$V,data!D1437,BRAN!$J:$J)))</f>
        <v/>
      </c>
      <c r="C1437" s="572" t="str">
        <f t="shared" si="52"/>
        <v/>
      </c>
      <c r="D1437" s="573" t="str">
        <f>IFERROR(VLOOKUP(E1437,Map!$B:$F,4,0),"")&amp;IFERROR(VLOOKUP(E1437,Map!$B:$F,5,0),"")</f>
        <v/>
      </c>
      <c r="E1437" s="574" t="str">
        <f t="shared" si="51"/>
        <v/>
      </c>
    </row>
    <row r="1438" spans="2:5">
      <c r="B1438" s="571" t="str">
        <f>IF(F1438="","",(SUMIF(INTGRATE!$Y:$Y,data!D1438,INTGRATE!$L:$L)+SUMIF(BRAN!$V:$V,data!D1438,BRAN!$J:$J)))</f>
        <v/>
      </c>
      <c r="C1438" s="572" t="str">
        <f t="shared" si="52"/>
        <v/>
      </c>
      <c r="D1438" s="573" t="str">
        <f>IFERROR(VLOOKUP(E1438,Map!$B:$F,4,0),"")&amp;IFERROR(VLOOKUP(E1438,Map!$B:$F,5,0),"")</f>
        <v/>
      </c>
      <c r="E1438" s="574" t="str">
        <f t="shared" si="51"/>
        <v/>
      </c>
    </row>
    <row r="1439" spans="2:5">
      <c r="B1439" s="571" t="str">
        <f>IF(F1439="","",(SUMIF(INTGRATE!$Y:$Y,data!D1439,INTGRATE!$L:$L)+SUMIF(BRAN!$V:$V,data!D1439,BRAN!$J:$J)))</f>
        <v/>
      </c>
      <c r="C1439" s="572" t="str">
        <f t="shared" si="52"/>
        <v/>
      </c>
      <c r="D1439" s="573" t="str">
        <f>IFERROR(VLOOKUP(E1439,Map!$B:$F,4,0),"")&amp;IFERROR(VLOOKUP(E1439,Map!$B:$F,5,0),"")</f>
        <v/>
      </c>
      <c r="E1439" s="574" t="str">
        <f t="shared" si="51"/>
        <v/>
      </c>
    </row>
    <row r="1440" spans="2:5">
      <c r="B1440" s="571" t="str">
        <f>IF(F1440="","",(SUMIF(INTGRATE!$Y:$Y,data!D1440,INTGRATE!$L:$L)+SUMIF(BRAN!$V:$V,data!D1440,BRAN!$J:$J)))</f>
        <v/>
      </c>
      <c r="C1440" s="572" t="str">
        <f t="shared" si="52"/>
        <v/>
      </c>
      <c r="D1440" s="573" t="str">
        <f>IFERROR(VLOOKUP(E1440,Map!$B:$F,4,0),"")&amp;IFERROR(VLOOKUP(E1440,Map!$B:$F,5,0),"")</f>
        <v/>
      </c>
      <c r="E1440" s="574" t="str">
        <f t="shared" ref="E1440:E1503" si="53">IF(MID(F1440,10,2)="99",F1440&amp;H1440,LEFT(F1440,14))</f>
        <v/>
      </c>
    </row>
    <row r="1441" spans="2:5">
      <c r="B1441" s="571" t="str">
        <f>IF(F1441="","",(SUMIF(INTGRATE!$Y:$Y,data!D1441,INTGRATE!$L:$L)+SUMIF(BRAN!$V:$V,data!D1441,BRAN!$J:$J)))</f>
        <v/>
      </c>
      <c r="C1441" s="572" t="str">
        <f t="shared" si="52"/>
        <v/>
      </c>
      <c r="D1441" s="573" t="str">
        <f>IFERROR(VLOOKUP(E1441,Map!$B:$F,4,0),"")&amp;IFERROR(VLOOKUP(E1441,Map!$B:$F,5,0),"")</f>
        <v/>
      </c>
      <c r="E1441" s="574" t="str">
        <f t="shared" si="53"/>
        <v/>
      </c>
    </row>
    <row r="1442" spans="2:5">
      <c r="B1442" s="571" t="str">
        <f>IF(F1442="","",(SUMIF(INTGRATE!$Y:$Y,data!D1442,INTGRATE!$L:$L)+SUMIF(BRAN!$V:$V,data!D1442,BRAN!$J:$J)))</f>
        <v/>
      </c>
      <c r="C1442" s="572" t="str">
        <f t="shared" si="52"/>
        <v/>
      </c>
      <c r="D1442" s="573" t="str">
        <f>IFERROR(VLOOKUP(E1442,Map!$B:$F,4,0),"")&amp;IFERROR(VLOOKUP(E1442,Map!$B:$F,5,0),"")</f>
        <v/>
      </c>
      <c r="E1442" s="574" t="str">
        <f t="shared" si="53"/>
        <v/>
      </c>
    </row>
    <row r="1443" spans="2:5">
      <c r="B1443" s="571" t="str">
        <f>IF(F1443="","",(SUMIF(INTGRATE!$Y:$Y,data!D1443,INTGRATE!$L:$L)+SUMIF(BRAN!$V:$V,data!D1443,BRAN!$J:$J)))</f>
        <v/>
      </c>
      <c r="C1443" s="572" t="str">
        <f t="shared" si="52"/>
        <v/>
      </c>
      <c r="D1443" s="573" t="str">
        <f>IFERROR(VLOOKUP(E1443,Map!$B:$F,4,0),"")&amp;IFERROR(VLOOKUP(E1443,Map!$B:$F,5,0),"")</f>
        <v/>
      </c>
      <c r="E1443" s="574" t="str">
        <f t="shared" si="53"/>
        <v/>
      </c>
    </row>
    <row r="1444" spans="2:5">
      <c r="B1444" s="571" t="str">
        <f>IF(F1444="","",(SUMIF(INTGRATE!$Y:$Y,data!D1444,INTGRATE!$L:$L)+SUMIF(BRAN!$V:$V,data!D1444,BRAN!$J:$J)))</f>
        <v/>
      </c>
      <c r="C1444" s="572" t="str">
        <f t="shared" si="52"/>
        <v/>
      </c>
      <c r="D1444" s="573" t="str">
        <f>IFERROR(VLOOKUP(E1444,Map!$B:$F,4,0),"")&amp;IFERROR(VLOOKUP(E1444,Map!$B:$F,5,0),"")</f>
        <v/>
      </c>
      <c r="E1444" s="574" t="str">
        <f t="shared" si="53"/>
        <v/>
      </c>
    </row>
    <row r="1445" spans="2:5">
      <c r="B1445" s="571" t="str">
        <f>IF(F1445="","",(SUMIF(INTGRATE!$Y:$Y,data!D1445,INTGRATE!$L:$L)+SUMIF(BRAN!$V:$V,data!D1445,BRAN!$J:$J)))</f>
        <v/>
      </c>
      <c r="C1445" s="572" t="str">
        <f t="shared" si="52"/>
        <v/>
      </c>
      <c r="D1445" s="573" t="str">
        <f>IFERROR(VLOOKUP(E1445,Map!$B:$F,4,0),"")&amp;IFERROR(VLOOKUP(E1445,Map!$B:$F,5,0),"")</f>
        <v/>
      </c>
      <c r="E1445" s="574" t="str">
        <f t="shared" si="53"/>
        <v/>
      </c>
    </row>
    <row r="1446" spans="2:5">
      <c r="B1446" s="571" t="str">
        <f>IF(F1446="","",(SUMIF(INTGRATE!$Y:$Y,data!D1446,INTGRATE!$L:$L)+SUMIF(BRAN!$V:$V,data!D1446,BRAN!$J:$J)))</f>
        <v/>
      </c>
      <c r="C1446" s="572" t="str">
        <f t="shared" si="52"/>
        <v/>
      </c>
      <c r="D1446" s="573" t="str">
        <f>IFERROR(VLOOKUP(E1446,Map!$B:$F,4,0),"")&amp;IFERROR(VLOOKUP(E1446,Map!$B:$F,5,0),"")</f>
        <v/>
      </c>
      <c r="E1446" s="574" t="str">
        <f t="shared" si="53"/>
        <v/>
      </c>
    </row>
    <row r="1447" spans="2:5">
      <c r="B1447" s="571" t="str">
        <f>IF(F1447="","",(SUMIF(INTGRATE!$Y:$Y,data!D1447,INTGRATE!$L:$L)+SUMIF(BRAN!$V:$V,data!D1447,BRAN!$J:$J)))</f>
        <v/>
      </c>
      <c r="C1447" s="572" t="str">
        <f t="shared" si="52"/>
        <v/>
      </c>
      <c r="D1447" s="573" t="str">
        <f>IFERROR(VLOOKUP(E1447,Map!$B:$F,4,0),"")&amp;IFERROR(VLOOKUP(E1447,Map!$B:$F,5,0),"")</f>
        <v/>
      </c>
      <c r="E1447" s="574" t="str">
        <f t="shared" si="53"/>
        <v/>
      </c>
    </row>
    <row r="1448" spans="2:5">
      <c r="B1448" s="571" t="str">
        <f>IF(F1448="","",(SUMIF(INTGRATE!$Y:$Y,data!D1448,INTGRATE!$L:$L)+SUMIF(BRAN!$V:$V,data!D1448,BRAN!$J:$J)))</f>
        <v/>
      </c>
      <c r="C1448" s="572" t="str">
        <f t="shared" si="52"/>
        <v/>
      </c>
      <c r="D1448" s="573" t="str">
        <f>IFERROR(VLOOKUP(E1448,Map!$B:$F,4,0),"")&amp;IFERROR(VLOOKUP(E1448,Map!$B:$F,5,0),"")</f>
        <v/>
      </c>
      <c r="E1448" s="574" t="str">
        <f t="shared" si="53"/>
        <v/>
      </c>
    </row>
    <row r="1449" spans="2:5">
      <c r="B1449" s="571" t="str">
        <f>IF(F1449="","",(SUMIF(INTGRATE!$Y:$Y,data!D1449,INTGRATE!$L:$L)+SUMIF(BRAN!$V:$V,data!D1449,BRAN!$J:$J)))</f>
        <v/>
      </c>
      <c r="C1449" s="572" t="str">
        <f t="shared" si="52"/>
        <v/>
      </c>
      <c r="D1449" s="573" t="str">
        <f>IFERROR(VLOOKUP(E1449,Map!$B:$F,4,0),"")&amp;IFERROR(VLOOKUP(E1449,Map!$B:$F,5,0),"")</f>
        <v/>
      </c>
      <c r="E1449" s="574" t="str">
        <f t="shared" si="53"/>
        <v/>
      </c>
    </row>
    <row r="1450" spans="2:5">
      <c r="B1450" s="571" t="str">
        <f>IF(F1450="","",(SUMIF(INTGRATE!$Y:$Y,data!D1450,INTGRATE!$L:$L)+SUMIF(BRAN!$V:$V,data!D1450,BRAN!$J:$J)))</f>
        <v/>
      </c>
      <c r="C1450" s="572" t="str">
        <f t="shared" si="52"/>
        <v/>
      </c>
      <c r="D1450" s="573" t="str">
        <f>IFERROR(VLOOKUP(E1450,Map!$B:$F,4,0),"")&amp;IFERROR(VLOOKUP(E1450,Map!$B:$F,5,0),"")</f>
        <v/>
      </c>
      <c r="E1450" s="574" t="str">
        <f t="shared" si="53"/>
        <v/>
      </c>
    </row>
    <row r="1451" spans="2:5">
      <c r="B1451" s="571" t="str">
        <f>IF(F1451="","",(SUMIF(INTGRATE!$Y:$Y,data!D1451,INTGRATE!$L:$L)+SUMIF(BRAN!$V:$V,data!D1451,BRAN!$J:$J)))</f>
        <v/>
      </c>
      <c r="C1451" s="572" t="str">
        <f t="shared" si="52"/>
        <v/>
      </c>
      <c r="D1451" s="573" t="str">
        <f>IFERROR(VLOOKUP(E1451,Map!$B:$F,4,0),"")&amp;IFERROR(VLOOKUP(E1451,Map!$B:$F,5,0),"")</f>
        <v/>
      </c>
      <c r="E1451" s="574" t="str">
        <f t="shared" si="53"/>
        <v/>
      </c>
    </row>
    <row r="1452" spans="2:5">
      <c r="B1452" s="571" t="str">
        <f>IF(F1452="","",(SUMIF(INTGRATE!$Y:$Y,data!D1452,INTGRATE!$L:$L)+SUMIF(BRAN!$V:$V,data!D1452,BRAN!$J:$J)))</f>
        <v/>
      </c>
      <c r="C1452" s="572" t="str">
        <f t="shared" si="52"/>
        <v/>
      </c>
      <c r="D1452" s="573" t="str">
        <f>IFERROR(VLOOKUP(E1452,Map!$B:$F,4,0),"")&amp;IFERROR(VLOOKUP(E1452,Map!$B:$F,5,0),"")</f>
        <v/>
      </c>
      <c r="E1452" s="574" t="str">
        <f t="shared" si="53"/>
        <v/>
      </c>
    </row>
    <row r="1453" spans="2:5">
      <c r="B1453" s="571" t="str">
        <f>IF(F1453="","",(SUMIF(INTGRATE!$Y:$Y,data!D1453,INTGRATE!$L:$L)+SUMIF(BRAN!$V:$V,data!D1453,BRAN!$J:$J)))</f>
        <v/>
      </c>
      <c r="C1453" s="572" t="str">
        <f t="shared" si="52"/>
        <v/>
      </c>
      <c r="D1453" s="573" t="str">
        <f>IFERROR(VLOOKUP(E1453,Map!$B:$F,4,0),"")&amp;IFERROR(VLOOKUP(E1453,Map!$B:$F,5,0),"")</f>
        <v/>
      </c>
      <c r="E1453" s="574" t="str">
        <f t="shared" si="53"/>
        <v/>
      </c>
    </row>
    <row r="1454" spans="2:5">
      <c r="B1454" s="571" t="str">
        <f>IF(F1454="","",(SUMIF(INTGRATE!$Y:$Y,data!D1454,INTGRATE!$L:$L)+SUMIF(BRAN!$V:$V,data!D1454,BRAN!$J:$J)))</f>
        <v/>
      </c>
      <c r="C1454" s="572" t="str">
        <f t="shared" si="52"/>
        <v/>
      </c>
      <c r="D1454" s="573" t="str">
        <f>IFERROR(VLOOKUP(E1454,Map!$B:$F,4,0),"")&amp;IFERROR(VLOOKUP(E1454,Map!$B:$F,5,0),"")</f>
        <v/>
      </c>
      <c r="E1454" s="574" t="str">
        <f t="shared" si="53"/>
        <v/>
      </c>
    </row>
    <row r="1455" spans="2:5">
      <c r="B1455" s="571" t="str">
        <f>IF(F1455="","",(SUMIF(INTGRATE!$Y:$Y,data!D1455,INTGRATE!$L:$L)+SUMIF(BRAN!$V:$V,data!D1455,BRAN!$J:$J)))</f>
        <v/>
      </c>
      <c r="C1455" s="572" t="str">
        <f t="shared" si="52"/>
        <v/>
      </c>
      <c r="D1455" s="573" t="str">
        <f>IFERROR(VLOOKUP(E1455,Map!$B:$F,4,0),"")&amp;IFERROR(VLOOKUP(E1455,Map!$B:$F,5,0),"")</f>
        <v/>
      </c>
      <c r="E1455" s="574" t="str">
        <f t="shared" si="53"/>
        <v/>
      </c>
    </row>
    <row r="1456" spans="2:5">
      <c r="B1456" s="571" t="str">
        <f>IF(F1456="","",(SUMIF(INTGRATE!$Y:$Y,data!D1456,INTGRATE!$L:$L)+SUMIF(BRAN!$V:$V,data!D1456,BRAN!$J:$J)))</f>
        <v/>
      </c>
      <c r="C1456" s="572" t="str">
        <f t="shared" si="52"/>
        <v/>
      </c>
      <c r="D1456" s="573" t="str">
        <f>IFERROR(VLOOKUP(E1456,Map!$B:$F,4,0),"")&amp;IFERROR(VLOOKUP(E1456,Map!$B:$F,5,0),"")</f>
        <v/>
      </c>
      <c r="E1456" s="574" t="str">
        <f t="shared" si="53"/>
        <v/>
      </c>
    </row>
    <row r="1457" spans="2:5">
      <c r="B1457" s="571" t="str">
        <f>IF(F1457="","",(SUMIF(INTGRATE!$Y:$Y,data!D1457,INTGRATE!$L:$L)+SUMIF(BRAN!$V:$V,data!D1457,BRAN!$J:$J)))</f>
        <v/>
      </c>
      <c r="C1457" s="572" t="str">
        <f t="shared" si="52"/>
        <v/>
      </c>
      <c r="D1457" s="573" t="str">
        <f>IFERROR(VLOOKUP(E1457,Map!$B:$F,4,0),"")&amp;IFERROR(VLOOKUP(E1457,Map!$B:$F,5,0),"")</f>
        <v/>
      </c>
      <c r="E1457" s="574" t="str">
        <f t="shared" si="53"/>
        <v/>
      </c>
    </row>
    <row r="1458" spans="2:5">
      <c r="B1458" s="571" t="str">
        <f>IF(F1458="","",(SUMIF(INTGRATE!$Y:$Y,data!D1458,INTGRATE!$L:$L)+SUMIF(BRAN!$V:$V,data!D1458,BRAN!$J:$J)))</f>
        <v/>
      </c>
      <c r="C1458" s="572" t="str">
        <f t="shared" si="52"/>
        <v/>
      </c>
      <c r="D1458" s="573" t="str">
        <f>IFERROR(VLOOKUP(E1458,Map!$B:$F,4,0),"")&amp;IFERROR(VLOOKUP(E1458,Map!$B:$F,5,0),"")</f>
        <v/>
      </c>
      <c r="E1458" s="574" t="str">
        <f t="shared" si="53"/>
        <v/>
      </c>
    </row>
    <row r="1459" spans="2:5">
      <c r="B1459" s="571" t="str">
        <f>IF(F1459="","",(SUMIF(INTGRATE!$Y:$Y,data!D1459,INTGRATE!$L:$L)+SUMIF(BRAN!$V:$V,data!D1459,BRAN!$J:$J)))</f>
        <v/>
      </c>
      <c r="C1459" s="572" t="str">
        <f t="shared" si="52"/>
        <v/>
      </c>
      <c r="D1459" s="573" t="str">
        <f>IFERROR(VLOOKUP(E1459,Map!$B:$F,4,0),"")&amp;IFERROR(VLOOKUP(E1459,Map!$B:$F,5,0),"")</f>
        <v/>
      </c>
      <c r="E1459" s="574" t="str">
        <f t="shared" si="53"/>
        <v/>
      </c>
    </row>
    <row r="1460" spans="2:5">
      <c r="B1460" s="571" t="str">
        <f>IF(F1460="","",(SUMIF(INTGRATE!$Y:$Y,data!D1460,INTGRATE!$L:$L)+SUMIF(BRAN!$V:$V,data!D1460,BRAN!$J:$J)))</f>
        <v/>
      </c>
      <c r="C1460" s="572" t="str">
        <f t="shared" si="52"/>
        <v/>
      </c>
      <c r="D1460" s="573" t="str">
        <f>IFERROR(VLOOKUP(E1460,Map!$B:$F,4,0),"")&amp;IFERROR(VLOOKUP(E1460,Map!$B:$F,5,0),"")</f>
        <v/>
      </c>
      <c r="E1460" s="574" t="str">
        <f t="shared" si="53"/>
        <v/>
      </c>
    </row>
    <row r="1461" spans="2:5">
      <c r="B1461" s="571" t="str">
        <f>IF(F1461="","",(SUMIF(INTGRATE!$Y:$Y,data!D1461,INTGRATE!$L:$L)+SUMIF(BRAN!$V:$V,data!D1461,BRAN!$J:$J)))</f>
        <v/>
      </c>
      <c r="C1461" s="572" t="str">
        <f t="shared" si="52"/>
        <v/>
      </c>
      <c r="D1461" s="573" t="str">
        <f>IFERROR(VLOOKUP(E1461,Map!$B:$F,4,0),"")&amp;IFERROR(VLOOKUP(E1461,Map!$B:$F,5,0),"")</f>
        <v/>
      </c>
      <c r="E1461" s="574" t="str">
        <f t="shared" si="53"/>
        <v/>
      </c>
    </row>
    <row r="1462" spans="2:5">
      <c r="B1462" s="571" t="str">
        <f>IF(F1462="","",(SUMIF(INTGRATE!$Y:$Y,data!D1462,INTGRATE!$L:$L)+SUMIF(BRAN!$V:$V,data!D1462,BRAN!$J:$J)))</f>
        <v/>
      </c>
      <c r="C1462" s="572" t="str">
        <f t="shared" si="52"/>
        <v/>
      </c>
      <c r="D1462" s="573" t="str">
        <f>IFERROR(VLOOKUP(E1462,Map!$B:$F,4,0),"")&amp;IFERROR(VLOOKUP(E1462,Map!$B:$F,5,0),"")</f>
        <v/>
      </c>
      <c r="E1462" s="574" t="str">
        <f t="shared" si="53"/>
        <v/>
      </c>
    </row>
    <row r="1463" spans="2:5">
      <c r="B1463" s="571" t="str">
        <f>IF(F1463="","",(SUMIF(INTGRATE!$Y:$Y,data!D1463,INTGRATE!$L:$L)+SUMIF(BRAN!$V:$V,data!D1463,BRAN!$J:$J)))</f>
        <v/>
      </c>
      <c r="C1463" s="572" t="str">
        <f t="shared" si="52"/>
        <v/>
      </c>
      <c r="D1463" s="573" t="str">
        <f>IFERROR(VLOOKUP(E1463,Map!$B:$F,4,0),"")&amp;IFERROR(VLOOKUP(E1463,Map!$B:$F,5,0),"")</f>
        <v/>
      </c>
      <c r="E1463" s="574" t="str">
        <f t="shared" si="53"/>
        <v/>
      </c>
    </row>
    <row r="1464" spans="2:5">
      <c r="B1464" s="571" t="str">
        <f>IF(F1464="","",(SUMIF(INTGRATE!$Y:$Y,data!D1464,INTGRATE!$L:$L)+SUMIF(BRAN!$V:$V,data!D1464,BRAN!$J:$J)))</f>
        <v/>
      </c>
      <c r="C1464" s="572" t="str">
        <f t="shared" si="52"/>
        <v/>
      </c>
      <c r="D1464" s="573" t="str">
        <f>IFERROR(VLOOKUP(E1464,Map!$B:$F,4,0),"")&amp;IFERROR(VLOOKUP(E1464,Map!$B:$F,5,0),"")</f>
        <v/>
      </c>
      <c r="E1464" s="574" t="str">
        <f t="shared" si="53"/>
        <v/>
      </c>
    </row>
    <row r="1465" spans="2:5">
      <c r="B1465" s="571" t="str">
        <f>IF(F1465="","",(SUMIF(INTGRATE!$Y:$Y,data!D1465,INTGRATE!$L:$L)+SUMIF(BRAN!$V:$V,data!D1465,BRAN!$J:$J)))</f>
        <v/>
      </c>
      <c r="C1465" s="572" t="str">
        <f t="shared" si="52"/>
        <v/>
      </c>
      <c r="D1465" s="573" t="str">
        <f>IFERROR(VLOOKUP(E1465,Map!$B:$F,4,0),"")&amp;IFERROR(VLOOKUP(E1465,Map!$B:$F,5,0),"")</f>
        <v/>
      </c>
      <c r="E1465" s="574" t="str">
        <f t="shared" si="53"/>
        <v/>
      </c>
    </row>
    <row r="1466" spans="2:5">
      <c r="B1466" s="571" t="str">
        <f>IF(F1466="","",(SUMIF(INTGRATE!$Y:$Y,data!D1466,INTGRATE!$L:$L)+SUMIF(BRAN!$V:$V,data!D1466,BRAN!$J:$J)))</f>
        <v/>
      </c>
      <c r="C1466" s="572" t="str">
        <f t="shared" si="52"/>
        <v/>
      </c>
      <c r="D1466" s="573" t="str">
        <f>IFERROR(VLOOKUP(E1466,Map!$B:$F,4,0),"")&amp;IFERROR(VLOOKUP(E1466,Map!$B:$F,5,0),"")</f>
        <v/>
      </c>
      <c r="E1466" s="574" t="str">
        <f t="shared" si="53"/>
        <v/>
      </c>
    </row>
    <row r="1467" spans="2:5">
      <c r="B1467" s="571" t="str">
        <f>IF(F1467="","",(SUMIF(INTGRATE!$Y:$Y,data!D1467,INTGRATE!$L:$L)+SUMIF(BRAN!$V:$V,data!D1467,BRAN!$J:$J)))</f>
        <v/>
      </c>
      <c r="C1467" s="572" t="str">
        <f t="shared" si="52"/>
        <v/>
      </c>
      <c r="D1467" s="573" t="str">
        <f>IFERROR(VLOOKUP(E1467,Map!$B:$F,4,0),"")&amp;IFERROR(VLOOKUP(E1467,Map!$B:$F,5,0),"")</f>
        <v/>
      </c>
      <c r="E1467" s="574" t="str">
        <f t="shared" si="53"/>
        <v/>
      </c>
    </row>
    <row r="1468" spans="2:5">
      <c r="B1468" s="571" t="str">
        <f>IF(F1468="","",(SUMIF(INTGRATE!$Y:$Y,data!D1468,INTGRATE!$L:$L)+SUMIF(BRAN!$V:$V,data!D1468,BRAN!$J:$J)))</f>
        <v/>
      </c>
      <c r="C1468" s="572" t="str">
        <f t="shared" si="52"/>
        <v/>
      </c>
      <c r="D1468" s="573" t="str">
        <f>IFERROR(VLOOKUP(E1468,Map!$B:$F,4,0),"")&amp;IFERROR(VLOOKUP(E1468,Map!$B:$F,5,0),"")</f>
        <v/>
      </c>
      <c r="E1468" s="574" t="str">
        <f t="shared" si="53"/>
        <v/>
      </c>
    </row>
    <row r="1469" spans="2:5">
      <c r="B1469" s="571" t="str">
        <f>IF(F1469="","",(SUMIF(INTGRATE!$Y:$Y,data!D1469,INTGRATE!$L:$L)+SUMIF(BRAN!$V:$V,data!D1469,BRAN!$J:$J)))</f>
        <v/>
      </c>
      <c r="C1469" s="572" t="str">
        <f t="shared" si="52"/>
        <v/>
      </c>
      <c r="D1469" s="573" t="str">
        <f>IFERROR(VLOOKUP(E1469,Map!$B:$F,4,0),"")&amp;IFERROR(VLOOKUP(E1469,Map!$B:$F,5,0),"")</f>
        <v/>
      </c>
      <c r="E1469" s="574" t="str">
        <f t="shared" si="53"/>
        <v/>
      </c>
    </row>
    <row r="1470" spans="2:5">
      <c r="B1470" s="571" t="str">
        <f>IF(F1470="","",(SUMIF(INTGRATE!$Y:$Y,data!D1470,INTGRATE!$L:$L)+SUMIF(BRAN!$V:$V,data!D1470,BRAN!$J:$J)))</f>
        <v/>
      </c>
      <c r="C1470" s="572" t="str">
        <f t="shared" si="52"/>
        <v/>
      </c>
      <c r="D1470" s="573" t="str">
        <f>IFERROR(VLOOKUP(E1470,Map!$B:$F,4,0),"")&amp;IFERROR(VLOOKUP(E1470,Map!$B:$F,5,0),"")</f>
        <v/>
      </c>
      <c r="E1470" s="574" t="str">
        <f t="shared" si="53"/>
        <v/>
      </c>
    </row>
    <row r="1471" spans="2:5">
      <c r="B1471" s="571" t="str">
        <f>IF(F1471="","",(SUMIF(INTGRATE!$Y:$Y,data!D1471,INTGRATE!$L:$L)+SUMIF(BRAN!$V:$V,data!D1471,BRAN!$J:$J)))</f>
        <v/>
      </c>
      <c r="C1471" s="572" t="str">
        <f t="shared" ref="C1471:C1534" si="54">IF(F1471="","",B1471-K1471)</f>
        <v/>
      </c>
      <c r="D1471" s="573" t="str">
        <f>IFERROR(VLOOKUP(E1471,Map!$B:$F,4,0),"")&amp;IFERROR(VLOOKUP(E1471,Map!$B:$F,5,0),"")</f>
        <v/>
      </c>
      <c r="E1471" s="574" t="str">
        <f t="shared" si="53"/>
        <v/>
      </c>
    </row>
    <row r="1472" spans="2:5">
      <c r="B1472" s="571" t="str">
        <f>IF(F1472="","",(SUMIF(INTGRATE!$Y:$Y,data!D1472,INTGRATE!$L:$L)+SUMIF(BRAN!$V:$V,data!D1472,BRAN!$J:$J)))</f>
        <v/>
      </c>
      <c r="C1472" s="572" t="str">
        <f t="shared" si="54"/>
        <v/>
      </c>
      <c r="D1472" s="573" t="str">
        <f>IFERROR(VLOOKUP(E1472,Map!$B:$F,4,0),"")&amp;IFERROR(VLOOKUP(E1472,Map!$B:$F,5,0),"")</f>
        <v/>
      </c>
      <c r="E1472" s="574" t="str">
        <f t="shared" si="53"/>
        <v/>
      </c>
    </row>
    <row r="1473" spans="2:5">
      <c r="B1473" s="571" t="str">
        <f>IF(F1473="","",(SUMIF(INTGRATE!$Y:$Y,data!D1473,INTGRATE!$L:$L)+SUMIF(BRAN!$V:$V,data!D1473,BRAN!$J:$J)))</f>
        <v/>
      </c>
      <c r="C1473" s="572" t="str">
        <f t="shared" si="54"/>
        <v/>
      </c>
      <c r="D1473" s="573" t="str">
        <f>IFERROR(VLOOKUP(E1473,Map!$B:$F,4,0),"")&amp;IFERROR(VLOOKUP(E1473,Map!$B:$F,5,0),"")</f>
        <v/>
      </c>
      <c r="E1473" s="574" t="str">
        <f t="shared" si="53"/>
        <v/>
      </c>
    </row>
    <row r="1474" spans="2:5">
      <c r="B1474" s="571" t="str">
        <f>IF(F1474="","",(SUMIF(INTGRATE!$Y:$Y,data!D1474,INTGRATE!$L:$L)+SUMIF(BRAN!$V:$V,data!D1474,BRAN!$J:$J)))</f>
        <v/>
      </c>
      <c r="C1474" s="572" t="str">
        <f t="shared" si="54"/>
        <v/>
      </c>
      <c r="D1474" s="573" t="str">
        <f>IFERROR(VLOOKUP(E1474,Map!$B:$F,4,0),"")&amp;IFERROR(VLOOKUP(E1474,Map!$B:$F,5,0),"")</f>
        <v/>
      </c>
      <c r="E1474" s="574" t="str">
        <f t="shared" si="53"/>
        <v/>
      </c>
    </row>
    <row r="1475" spans="2:5">
      <c r="B1475" s="571" t="str">
        <f>IF(F1475="","",(SUMIF(INTGRATE!$Y:$Y,data!D1475,INTGRATE!$L:$L)+SUMIF(BRAN!$V:$V,data!D1475,BRAN!$J:$J)))</f>
        <v/>
      </c>
      <c r="C1475" s="572" t="str">
        <f t="shared" si="54"/>
        <v/>
      </c>
      <c r="D1475" s="573" t="str">
        <f>IFERROR(VLOOKUP(E1475,Map!$B:$F,4,0),"")&amp;IFERROR(VLOOKUP(E1475,Map!$B:$F,5,0),"")</f>
        <v/>
      </c>
      <c r="E1475" s="574" t="str">
        <f t="shared" si="53"/>
        <v/>
      </c>
    </row>
    <row r="1476" spans="2:5">
      <c r="B1476" s="571" t="str">
        <f>IF(F1476="","",(SUMIF(INTGRATE!$Y:$Y,data!D1476,INTGRATE!$L:$L)+SUMIF(BRAN!$V:$V,data!D1476,BRAN!$J:$J)))</f>
        <v/>
      </c>
      <c r="C1476" s="572" t="str">
        <f t="shared" si="54"/>
        <v/>
      </c>
      <c r="D1476" s="573" t="str">
        <f>IFERROR(VLOOKUP(E1476,Map!$B:$F,4,0),"")&amp;IFERROR(VLOOKUP(E1476,Map!$B:$F,5,0),"")</f>
        <v/>
      </c>
      <c r="E1476" s="574" t="str">
        <f t="shared" si="53"/>
        <v/>
      </c>
    </row>
    <row r="1477" spans="2:5">
      <c r="B1477" s="571" t="str">
        <f>IF(F1477="","",(SUMIF(INTGRATE!$Y:$Y,data!D1477,INTGRATE!$L:$L)+SUMIF(BRAN!$V:$V,data!D1477,BRAN!$J:$J)))</f>
        <v/>
      </c>
      <c r="C1477" s="572" t="str">
        <f t="shared" si="54"/>
        <v/>
      </c>
      <c r="D1477" s="573" t="str">
        <f>IFERROR(VLOOKUP(E1477,Map!$B:$F,4,0),"")&amp;IFERROR(VLOOKUP(E1477,Map!$B:$F,5,0),"")</f>
        <v/>
      </c>
      <c r="E1477" s="574" t="str">
        <f t="shared" si="53"/>
        <v/>
      </c>
    </row>
    <row r="1478" spans="2:5">
      <c r="B1478" s="571" t="str">
        <f>IF(F1478="","",(SUMIF(INTGRATE!$Y:$Y,data!D1478,INTGRATE!$L:$L)+SUMIF(BRAN!$V:$V,data!D1478,BRAN!$J:$J)))</f>
        <v/>
      </c>
      <c r="C1478" s="572" t="str">
        <f t="shared" si="54"/>
        <v/>
      </c>
      <c r="D1478" s="573" t="str">
        <f>IFERROR(VLOOKUP(E1478,Map!$B:$F,4,0),"")&amp;IFERROR(VLOOKUP(E1478,Map!$B:$F,5,0),"")</f>
        <v/>
      </c>
      <c r="E1478" s="574" t="str">
        <f t="shared" si="53"/>
        <v/>
      </c>
    </row>
    <row r="1479" spans="2:5">
      <c r="B1479" s="571" t="str">
        <f>IF(F1479="","",(SUMIF(INTGRATE!$Y:$Y,data!D1479,INTGRATE!$L:$L)+SUMIF(BRAN!$V:$V,data!D1479,BRAN!$J:$J)))</f>
        <v/>
      </c>
      <c r="C1479" s="572" t="str">
        <f t="shared" si="54"/>
        <v/>
      </c>
      <c r="D1479" s="573" t="str">
        <f>IFERROR(VLOOKUP(E1479,Map!$B:$F,4,0),"")&amp;IFERROR(VLOOKUP(E1479,Map!$B:$F,5,0),"")</f>
        <v/>
      </c>
      <c r="E1479" s="574" t="str">
        <f t="shared" si="53"/>
        <v/>
      </c>
    </row>
    <row r="1480" spans="2:5">
      <c r="B1480" s="571" t="str">
        <f>IF(F1480="","",(SUMIF(INTGRATE!$Y:$Y,data!D1480,INTGRATE!$L:$L)+SUMIF(BRAN!$V:$V,data!D1480,BRAN!$J:$J)))</f>
        <v/>
      </c>
      <c r="C1480" s="572" t="str">
        <f t="shared" si="54"/>
        <v/>
      </c>
      <c r="D1480" s="573" t="str">
        <f>IFERROR(VLOOKUP(E1480,Map!$B:$F,4,0),"")&amp;IFERROR(VLOOKUP(E1480,Map!$B:$F,5,0),"")</f>
        <v/>
      </c>
      <c r="E1480" s="574" t="str">
        <f t="shared" si="53"/>
        <v/>
      </c>
    </row>
    <row r="1481" spans="2:5">
      <c r="B1481" s="571" t="str">
        <f>IF(F1481="","",(SUMIF(INTGRATE!$Y:$Y,data!D1481,INTGRATE!$L:$L)+SUMIF(BRAN!$V:$V,data!D1481,BRAN!$J:$J)))</f>
        <v/>
      </c>
      <c r="C1481" s="572" t="str">
        <f t="shared" si="54"/>
        <v/>
      </c>
      <c r="D1481" s="573" t="str">
        <f>IFERROR(VLOOKUP(E1481,Map!$B:$F,4,0),"")&amp;IFERROR(VLOOKUP(E1481,Map!$B:$F,5,0),"")</f>
        <v/>
      </c>
      <c r="E1481" s="574" t="str">
        <f t="shared" si="53"/>
        <v/>
      </c>
    </row>
    <row r="1482" spans="2:5">
      <c r="B1482" s="571" t="str">
        <f>IF(F1482="","",(SUMIF(INTGRATE!$Y:$Y,data!D1482,INTGRATE!$L:$L)+SUMIF(BRAN!$V:$V,data!D1482,BRAN!$J:$J)))</f>
        <v/>
      </c>
      <c r="C1482" s="572" t="str">
        <f t="shared" si="54"/>
        <v/>
      </c>
      <c r="D1482" s="573" t="str">
        <f>IFERROR(VLOOKUP(E1482,Map!$B:$F,4,0),"")&amp;IFERROR(VLOOKUP(E1482,Map!$B:$F,5,0),"")</f>
        <v/>
      </c>
      <c r="E1482" s="574" t="str">
        <f t="shared" si="53"/>
        <v/>
      </c>
    </row>
    <row r="1483" spans="2:5">
      <c r="B1483" s="571" t="str">
        <f>IF(F1483="","",(SUMIF(INTGRATE!$Y:$Y,data!D1483,INTGRATE!$L:$L)+SUMIF(BRAN!$V:$V,data!D1483,BRAN!$J:$J)))</f>
        <v/>
      </c>
      <c r="C1483" s="572" t="str">
        <f t="shared" si="54"/>
        <v/>
      </c>
      <c r="D1483" s="573" t="str">
        <f>IFERROR(VLOOKUP(E1483,Map!$B:$F,4,0),"")&amp;IFERROR(VLOOKUP(E1483,Map!$B:$F,5,0),"")</f>
        <v/>
      </c>
      <c r="E1483" s="574" t="str">
        <f t="shared" si="53"/>
        <v/>
      </c>
    </row>
    <row r="1484" spans="2:5">
      <c r="B1484" s="571" t="str">
        <f>IF(F1484="","",(SUMIF(INTGRATE!$Y:$Y,data!D1484,INTGRATE!$L:$L)+SUMIF(BRAN!$V:$V,data!D1484,BRAN!$J:$J)))</f>
        <v/>
      </c>
      <c r="C1484" s="572" t="str">
        <f t="shared" si="54"/>
        <v/>
      </c>
      <c r="D1484" s="573" t="str">
        <f>IFERROR(VLOOKUP(E1484,Map!$B:$F,4,0),"")&amp;IFERROR(VLOOKUP(E1484,Map!$B:$F,5,0),"")</f>
        <v/>
      </c>
      <c r="E1484" s="574" t="str">
        <f t="shared" si="53"/>
        <v/>
      </c>
    </row>
    <row r="1485" spans="2:5">
      <c r="B1485" s="571" t="str">
        <f>IF(F1485="","",(SUMIF(INTGRATE!$Y:$Y,data!D1485,INTGRATE!$L:$L)+SUMIF(BRAN!$V:$V,data!D1485,BRAN!$J:$J)))</f>
        <v/>
      </c>
      <c r="C1485" s="572" t="str">
        <f t="shared" si="54"/>
        <v/>
      </c>
      <c r="D1485" s="573" t="str">
        <f>IFERROR(VLOOKUP(E1485,Map!$B:$F,4,0),"")&amp;IFERROR(VLOOKUP(E1485,Map!$B:$F,5,0),"")</f>
        <v/>
      </c>
      <c r="E1485" s="574" t="str">
        <f t="shared" si="53"/>
        <v/>
      </c>
    </row>
    <row r="1486" spans="2:5">
      <c r="B1486" s="571" t="str">
        <f>IF(F1486="","",(SUMIF(INTGRATE!$Y:$Y,data!D1486,INTGRATE!$L:$L)+SUMIF(BRAN!$V:$V,data!D1486,BRAN!$J:$J)))</f>
        <v/>
      </c>
      <c r="C1486" s="572" t="str">
        <f t="shared" si="54"/>
        <v/>
      </c>
      <c r="D1486" s="573" t="str">
        <f>IFERROR(VLOOKUP(E1486,Map!$B:$F,4,0),"")&amp;IFERROR(VLOOKUP(E1486,Map!$B:$F,5,0),"")</f>
        <v/>
      </c>
      <c r="E1486" s="574" t="str">
        <f t="shared" si="53"/>
        <v/>
      </c>
    </row>
    <row r="1487" spans="2:5">
      <c r="B1487" s="571" t="str">
        <f>IF(F1487="","",(SUMIF(INTGRATE!$Y:$Y,data!D1487,INTGRATE!$L:$L)+SUMIF(BRAN!$V:$V,data!D1487,BRAN!$J:$J)))</f>
        <v/>
      </c>
      <c r="C1487" s="572" t="str">
        <f t="shared" si="54"/>
        <v/>
      </c>
      <c r="D1487" s="573" t="str">
        <f>IFERROR(VLOOKUP(E1487,Map!$B:$F,4,0),"")&amp;IFERROR(VLOOKUP(E1487,Map!$B:$F,5,0),"")</f>
        <v/>
      </c>
      <c r="E1487" s="574" t="str">
        <f t="shared" si="53"/>
        <v/>
      </c>
    </row>
    <row r="1488" spans="2:5">
      <c r="B1488" s="571" t="str">
        <f>IF(F1488="","",(SUMIF(INTGRATE!$Y:$Y,data!D1488,INTGRATE!$L:$L)+SUMIF(BRAN!$V:$V,data!D1488,BRAN!$J:$J)))</f>
        <v/>
      </c>
      <c r="C1488" s="572" t="str">
        <f t="shared" si="54"/>
        <v/>
      </c>
      <c r="D1488" s="573" t="str">
        <f>IFERROR(VLOOKUP(E1488,Map!$B:$F,4,0),"")&amp;IFERROR(VLOOKUP(E1488,Map!$B:$F,5,0),"")</f>
        <v/>
      </c>
      <c r="E1488" s="574" t="str">
        <f t="shared" si="53"/>
        <v/>
      </c>
    </row>
    <row r="1489" spans="2:5">
      <c r="B1489" s="571" t="str">
        <f>IF(F1489="","",(SUMIF(INTGRATE!$Y:$Y,data!D1489,INTGRATE!$L:$L)+SUMIF(BRAN!$V:$V,data!D1489,BRAN!$J:$J)))</f>
        <v/>
      </c>
      <c r="C1489" s="572" t="str">
        <f t="shared" si="54"/>
        <v/>
      </c>
      <c r="D1489" s="573" t="str">
        <f>IFERROR(VLOOKUP(E1489,Map!$B:$F,4,0),"")&amp;IFERROR(VLOOKUP(E1489,Map!$B:$F,5,0),"")</f>
        <v/>
      </c>
      <c r="E1489" s="574" t="str">
        <f t="shared" si="53"/>
        <v/>
      </c>
    </row>
    <row r="1490" spans="2:5">
      <c r="B1490" s="571" t="str">
        <f>IF(F1490="","",(SUMIF(INTGRATE!$Y:$Y,data!D1490,INTGRATE!$L:$L)+SUMIF(BRAN!$V:$V,data!D1490,BRAN!$J:$J)))</f>
        <v/>
      </c>
      <c r="C1490" s="572" t="str">
        <f t="shared" si="54"/>
        <v/>
      </c>
      <c r="D1490" s="573" t="str">
        <f>IFERROR(VLOOKUP(E1490,Map!$B:$F,4,0),"")&amp;IFERROR(VLOOKUP(E1490,Map!$B:$F,5,0),"")</f>
        <v/>
      </c>
      <c r="E1490" s="574" t="str">
        <f t="shared" si="53"/>
        <v/>
      </c>
    </row>
    <row r="1491" spans="2:5">
      <c r="B1491" s="571" t="str">
        <f>IF(F1491="","",(SUMIF(INTGRATE!$Y:$Y,data!D1491,INTGRATE!$L:$L)+SUMIF(BRAN!$V:$V,data!D1491,BRAN!$J:$J)))</f>
        <v/>
      </c>
      <c r="C1491" s="572" t="str">
        <f t="shared" si="54"/>
        <v/>
      </c>
      <c r="D1491" s="573" t="str">
        <f>IFERROR(VLOOKUP(E1491,Map!$B:$F,4,0),"")&amp;IFERROR(VLOOKUP(E1491,Map!$B:$F,5,0),"")</f>
        <v/>
      </c>
      <c r="E1491" s="574" t="str">
        <f t="shared" si="53"/>
        <v/>
      </c>
    </row>
    <row r="1492" spans="2:5">
      <c r="B1492" s="571" t="str">
        <f>IF(F1492="","",(SUMIF(INTGRATE!$Y:$Y,data!D1492,INTGRATE!$L:$L)+SUMIF(BRAN!$V:$V,data!D1492,BRAN!$J:$J)))</f>
        <v/>
      </c>
      <c r="C1492" s="572" t="str">
        <f t="shared" si="54"/>
        <v/>
      </c>
      <c r="D1492" s="573" t="str">
        <f>IFERROR(VLOOKUP(E1492,Map!$B:$F,4,0),"")&amp;IFERROR(VLOOKUP(E1492,Map!$B:$F,5,0),"")</f>
        <v/>
      </c>
      <c r="E1492" s="574" t="str">
        <f t="shared" si="53"/>
        <v/>
      </c>
    </row>
    <row r="1493" spans="2:5">
      <c r="B1493" s="571" t="str">
        <f>IF(F1493="","",(SUMIF(INTGRATE!$Y:$Y,data!D1493,INTGRATE!$L:$L)+SUMIF(BRAN!$V:$V,data!D1493,BRAN!$J:$J)))</f>
        <v/>
      </c>
      <c r="C1493" s="572" t="str">
        <f t="shared" si="54"/>
        <v/>
      </c>
      <c r="D1493" s="573" t="str">
        <f>IFERROR(VLOOKUP(E1493,Map!$B:$F,4,0),"")&amp;IFERROR(VLOOKUP(E1493,Map!$B:$F,5,0),"")</f>
        <v/>
      </c>
      <c r="E1493" s="574" t="str">
        <f t="shared" si="53"/>
        <v/>
      </c>
    </row>
    <row r="1494" spans="2:5">
      <c r="B1494" s="571" t="str">
        <f>IF(F1494="","",(SUMIF(INTGRATE!$Y:$Y,data!D1494,INTGRATE!$L:$L)+SUMIF(BRAN!$V:$V,data!D1494,BRAN!$J:$J)))</f>
        <v/>
      </c>
      <c r="C1494" s="572" t="str">
        <f t="shared" si="54"/>
        <v/>
      </c>
      <c r="D1494" s="573" t="str">
        <f>IFERROR(VLOOKUP(E1494,Map!$B:$F,4,0),"")&amp;IFERROR(VLOOKUP(E1494,Map!$B:$F,5,0),"")</f>
        <v/>
      </c>
      <c r="E1494" s="574" t="str">
        <f t="shared" si="53"/>
        <v/>
      </c>
    </row>
    <row r="1495" spans="2:5">
      <c r="B1495" s="571" t="str">
        <f>IF(F1495="","",(SUMIF(INTGRATE!$Y:$Y,data!D1495,INTGRATE!$L:$L)+SUMIF(BRAN!$V:$V,data!D1495,BRAN!$J:$J)))</f>
        <v/>
      </c>
      <c r="C1495" s="572" t="str">
        <f t="shared" si="54"/>
        <v/>
      </c>
      <c r="D1495" s="573" t="str">
        <f>IFERROR(VLOOKUP(E1495,Map!$B:$F,4,0),"")&amp;IFERROR(VLOOKUP(E1495,Map!$B:$F,5,0),"")</f>
        <v/>
      </c>
      <c r="E1495" s="574" t="str">
        <f t="shared" si="53"/>
        <v/>
      </c>
    </row>
    <row r="1496" spans="2:5">
      <c r="B1496" s="571" t="str">
        <f>IF(F1496="","",(SUMIF(INTGRATE!$Y:$Y,data!D1496,INTGRATE!$L:$L)+SUMIF(BRAN!$V:$V,data!D1496,BRAN!$J:$J)))</f>
        <v/>
      </c>
      <c r="C1496" s="572" t="str">
        <f t="shared" si="54"/>
        <v/>
      </c>
      <c r="D1496" s="573" t="str">
        <f>IFERROR(VLOOKUP(E1496,Map!$B:$F,4,0),"")&amp;IFERROR(VLOOKUP(E1496,Map!$B:$F,5,0),"")</f>
        <v/>
      </c>
      <c r="E1496" s="574" t="str">
        <f t="shared" si="53"/>
        <v/>
      </c>
    </row>
    <row r="1497" spans="2:5">
      <c r="B1497" s="571" t="str">
        <f>IF(F1497="","",(SUMIF(INTGRATE!$Y:$Y,data!D1497,INTGRATE!$L:$L)+SUMIF(BRAN!$V:$V,data!D1497,BRAN!$J:$J)))</f>
        <v/>
      </c>
      <c r="C1497" s="572" t="str">
        <f t="shared" si="54"/>
        <v/>
      </c>
      <c r="D1497" s="573" t="str">
        <f>IFERROR(VLOOKUP(E1497,Map!$B:$F,4,0),"")&amp;IFERROR(VLOOKUP(E1497,Map!$B:$F,5,0),"")</f>
        <v/>
      </c>
      <c r="E1497" s="574" t="str">
        <f t="shared" si="53"/>
        <v/>
      </c>
    </row>
    <row r="1498" spans="2:5">
      <c r="B1498" s="571" t="str">
        <f>IF(F1498="","",(SUMIF(INTGRATE!$Y:$Y,data!D1498,INTGRATE!$L:$L)+SUMIF(BRAN!$V:$V,data!D1498,BRAN!$J:$J)))</f>
        <v/>
      </c>
      <c r="C1498" s="572" t="str">
        <f t="shared" si="54"/>
        <v/>
      </c>
      <c r="D1498" s="573" t="str">
        <f>IFERROR(VLOOKUP(E1498,Map!$B:$F,4,0),"")&amp;IFERROR(VLOOKUP(E1498,Map!$B:$F,5,0),"")</f>
        <v/>
      </c>
      <c r="E1498" s="574" t="str">
        <f t="shared" si="53"/>
        <v/>
      </c>
    </row>
    <row r="1499" spans="2:5">
      <c r="B1499" s="571" t="str">
        <f>IF(F1499="","",(SUMIF(INTGRATE!$Y:$Y,data!D1499,INTGRATE!$L:$L)+SUMIF(BRAN!$V:$V,data!D1499,BRAN!$J:$J)))</f>
        <v/>
      </c>
      <c r="C1499" s="572" t="str">
        <f t="shared" si="54"/>
        <v/>
      </c>
      <c r="D1499" s="573" t="str">
        <f>IFERROR(VLOOKUP(E1499,Map!$B:$F,4,0),"")&amp;IFERROR(VLOOKUP(E1499,Map!$B:$F,5,0),"")</f>
        <v/>
      </c>
      <c r="E1499" s="574" t="str">
        <f t="shared" si="53"/>
        <v/>
      </c>
    </row>
    <row r="1500" spans="2:5">
      <c r="B1500" s="571" t="str">
        <f>IF(F1500="","",(SUMIF(INTGRATE!$Y:$Y,data!D1500,INTGRATE!$L:$L)+SUMIF(BRAN!$V:$V,data!D1500,BRAN!$J:$J)))</f>
        <v/>
      </c>
      <c r="C1500" s="572" t="str">
        <f t="shared" si="54"/>
        <v/>
      </c>
      <c r="D1500" s="573" t="str">
        <f>IFERROR(VLOOKUP(E1500,Map!$B:$F,4,0),"")&amp;IFERROR(VLOOKUP(E1500,Map!$B:$F,5,0),"")</f>
        <v/>
      </c>
      <c r="E1500" s="574" t="str">
        <f t="shared" si="53"/>
        <v/>
      </c>
    </row>
    <row r="1501" spans="2:5">
      <c r="B1501" s="571" t="str">
        <f>IF(F1501="","",(SUMIF(INTGRATE!$Y:$Y,data!D1501,INTGRATE!$L:$L)+SUMIF(BRAN!$V:$V,data!D1501,BRAN!$J:$J)))</f>
        <v/>
      </c>
      <c r="C1501" s="572" t="str">
        <f t="shared" si="54"/>
        <v/>
      </c>
      <c r="D1501" s="573" t="str">
        <f>IFERROR(VLOOKUP(E1501,Map!$B:$F,4,0),"")&amp;IFERROR(VLOOKUP(E1501,Map!$B:$F,5,0),"")</f>
        <v/>
      </c>
      <c r="E1501" s="574" t="str">
        <f t="shared" si="53"/>
        <v/>
      </c>
    </row>
    <row r="1502" spans="2:5">
      <c r="B1502" s="571" t="str">
        <f>IF(F1502="","",(SUMIF(INTGRATE!$Y:$Y,data!D1502,INTGRATE!$L:$L)+SUMIF(BRAN!$V:$V,data!D1502,BRAN!$J:$J)))</f>
        <v/>
      </c>
      <c r="C1502" s="572" t="str">
        <f t="shared" si="54"/>
        <v/>
      </c>
      <c r="D1502" s="573" t="str">
        <f>IFERROR(VLOOKUP(E1502,Map!$B:$F,4,0),"")&amp;IFERROR(VLOOKUP(E1502,Map!$B:$F,5,0),"")</f>
        <v/>
      </c>
      <c r="E1502" s="574" t="str">
        <f t="shared" si="53"/>
        <v/>
      </c>
    </row>
    <row r="1503" spans="2:5">
      <c r="B1503" s="571" t="str">
        <f>IF(F1503="","",(SUMIF(INTGRATE!$Y:$Y,data!D1503,INTGRATE!$L:$L)+SUMIF(BRAN!$V:$V,data!D1503,BRAN!$J:$J)))</f>
        <v/>
      </c>
      <c r="C1503" s="572" t="str">
        <f t="shared" si="54"/>
        <v/>
      </c>
      <c r="D1503" s="573" t="str">
        <f>IFERROR(VLOOKUP(E1503,Map!$B:$F,4,0),"")&amp;IFERROR(VLOOKUP(E1503,Map!$B:$F,5,0),"")</f>
        <v/>
      </c>
      <c r="E1503" s="574" t="str">
        <f t="shared" si="53"/>
        <v/>
      </c>
    </row>
    <row r="1504" spans="2:5">
      <c r="B1504" s="571" t="str">
        <f>IF(F1504="","",(SUMIF(INTGRATE!$Y:$Y,data!D1504,INTGRATE!$L:$L)+SUMIF(BRAN!$V:$V,data!D1504,BRAN!$J:$J)))</f>
        <v/>
      </c>
      <c r="C1504" s="572" t="str">
        <f t="shared" si="54"/>
        <v/>
      </c>
      <c r="D1504" s="573" t="str">
        <f>IFERROR(VLOOKUP(E1504,Map!$B:$F,4,0),"")&amp;IFERROR(VLOOKUP(E1504,Map!$B:$F,5,0),"")</f>
        <v/>
      </c>
      <c r="E1504" s="574" t="str">
        <f t="shared" ref="E1504:E1567" si="55">IF(MID(F1504,10,2)="99",F1504&amp;H1504,LEFT(F1504,14))</f>
        <v/>
      </c>
    </row>
    <row r="1505" spans="2:5">
      <c r="B1505" s="571" t="str">
        <f>IF(F1505="","",(SUMIF(INTGRATE!$Y:$Y,data!D1505,INTGRATE!$L:$L)+SUMIF(BRAN!$V:$V,data!D1505,BRAN!$J:$J)))</f>
        <v/>
      </c>
      <c r="C1505" s="572" t="str">
        <f t="shared" si="54"/>
        <v/>
      </c>
      <c r="D1505" s="573" t="str">
        <f>IFERROR(VLOOKUP(E1505,Map!$B:$F,4,0),"")&amp;IFERROR(VLOOKUP(E1505,Map!$B:$F,5,0),"")</f>
        <v/>
      </c>
      <c r="E1505" s="574" t="str">
        <f t="shared" si="55"/>
        <v/>
      </c>
    </row>
    <row r="1506" spans="2:5">
      <c r="B1506" s="571" t="str">
        <f>IF(F1506="","",(SUMIF(INTGRATE!$Y:$Y,data!D1506,INTGRATE!$L:$L)+SUMIF(BRAN!$V:$V,data!D1506,BRAN!$J:$J)))</f>
        <v/>
      </c>
      <c r="C1506" s="572" t="str">
        <f t="shared" si="54"/>
        <v/>
      </c>
      <c r="D1506" s="573" t="str">
        <f>IFERROR(VLOOKUP(E1506,Map!$B:$F,4,0),"")&amp;IFERROR(VLOOKUP(E1506,Map!$B:$F,5,0),"")</f>
        <v/>
      </c>
      <c r="E1506" s="574" t="str">
        <f t="shared" si="55"/>
        <v/>
      </c>
    </row>
    <row r="1507" spans="2:5">
      <c r="B1507" s="571" t="str">
        <f>IF(F1507="","",(SUMIF(INTGRATE!$Y:$Y,data!D1507,INTGRATE!$L:$L)+SUMIF(BRAN!$V:$V,data!D1507,BRAN!$J:$J)))</f>
        <v/>
      </c>
      <c r="C1507" s="572" t="str">
        <f t="shared" si="54"/>
        <v/>
      </c>
      <c r="D1507" s="573" t="str">
        <f>IFERROR(VLOOKUP(E1507,Map!$B:$F,4,0),"")&amp;IFERROR(VLOOKUP(E1507,Map!$B:$F,5,0),"")</f>
        <v/>
      </c>
      <c r="E1507" s="574" t="str">
        <f t="shared" si="55"/>
        <v/>
      </c>
    </row>
    <row r="1508" spans="2:5">
      <c r="B1508" s="571" t="str">
        <f>IF(F1508="","",(SUMIF(INTGRATE!$Y:$Y,data!D1508,INTGRATE!$L:$L)+SUMIF(BRAN!$V:$V,data!D1508,BRAN!$J:$J)))</f>
        <v/>
      </c>
      <c r="C1508" s="572" t="str">
        <f t="shared" si="54"/>
        <v/>
      </c>
      <c r="D1508" s="573" t="str">
        <f>IFERROR(VLOOKUP(E1508,Map!$B:$F,4,0),"")&amp;IFERROR(VLOOKUP(E1508,Map!$B:$F,5,0),"")</f>
        <v/>
      </c>
      <c r="E1508" s="574" t="str">
        <f t="shared" si="55"/>
        <v/>
      </c>
    </row>
    <row r="1509" spans="2:5">
      <c r="B1509" s="571" t="str">
        <f>IF(F1509="","",(SUMIF(INTGRATE!$Y:$Y,data!D1509,INTGRATE!$L:$L)+SUMIF(BRAN!$V:$V,data!D1509,BRAN!$J:$J)))</f>
        <v/>
      </c>
      <c r="C1509" s="572" t="str">
        <f t="shared" si="54"/>
        <v/>
      </c>
      <c r="D1509" s="573" t="str">
        <f>IFERROR(VLOOKUP(E1509,Map!$B:$F,4,0),"")&amp;IFERROR(VLOOKUP(E1509,Map!$B:$F,5,0),"")</f>
        <v/>
      </c>
      <c r="E1509" s="574" t="str">
        <f t="shared" si="55"/>
        <v/>
      </c>
    </row>
    <row r="1510" spans="2:5">
      <c r="B1510" s="571" t="str">
        <f>IF(F1510="","",(SUMIF(INTGRATE!$Y:$Y,data!D1510,INTGRATE!$L:$L)+SUMIF(BRAN!$V:$V,data!D1510,BRAN!$J:$J)))</f>
        <v/>
      </c>
      <c r="C1510" s="572" t="str">
        <f t="shared" si="54"/>
        <v/>
      </c>
      <c r="D1510" s="573" t="str">
        <f>IFERROR(VLOOKUP(E1510,Map!$B:$F,4,0),"")&amp;IFERROR(VLOOKUP(E1510,Map!$B:$F,5,0),"")</f>
        <v/>
      </c>
      <c r="E1510" s="574" t="str">
        <f t="shared" si="55"/>
        <v/>
      </c>
    </row>
    <row r="1511" spans="2:5">
      <c r="B1511" s="571" t="str">
        <f>IF(F1511="","",(SUMIF(INTGRATE!$Y:$Y,data!D1511,INTGRATE!$L:$L)+SUMIF(BRAN!$V:$V,data!D1511,BRAN!$J:$J)))</f>
        <v/>
      </c>
      <c r="C1511" s="572" t="str">
        <f t="shared" si="54"/>
        <v/>
      </c>
      <c r="D1511" s="573" t="str">
        <f>IFERROR(VLOOKUP(E1511,Map!$B:$F,4,0),"")&amp;IFERROR(VLOOKUP(E1511,Map!$B:$F,5,0),"")</f>
        <v/>
      </c>
      <c r="E1511" s="574" t="str">
        <f t="shared" si="55"/>
        <v/>
      </c>
    </row>
    <row r="1512" spans="2:5">
      <c r="B1512" s="571" t="str">
        <f>IF(F1512="","",(SUMIF(INTGRATE!$Y:$Y,data!D1512,INTGRATE!$L:$L)+SUMIF(BRAN!$V:$V,data!D1512,BRAN!$J:$J)))</f>
        <v/>
      </c>
      <c r="C1512" s="572" t="str">
        <f t="shared" si="54"/>
        <v/>
      </c>
      <c r="D1512" s="573" t="str">
        <f>IFERROR(VLOOKUP(E1512,Map!$B:$F,4,0),"")&amp;IFERROR(VLOOKUP(E1512,Map!$B:$F,5,0),"")</f>
        <v/>
      </c>
      <c r="E1512" s="574" t="str">
        <f t="shared" si="55"/>
        <v/>
      </c>
    </row>
    <row r="1513" spans="2:5">
      <c r="B1513" s="571" t="str">
        <f>IF(F1513="","",(SUMIF(INTGRATE!$Y:$Y,data!D1513,INTGRATE!$L:$L)+SUMIF(BRAN!$V:$V,data!D1513,BRAN!$J:$J)))</f>
        <v/>
      </c>
      <c r="C1513" s="572" t="str">
        <f t="shared" si="54"/>
        <v/>
      </c>
      <c r="D1513" s="573" t="str">
        <f>IFERROR(VLOOKUP(E1513,Map!$B:$F,4,0),"")&amp;IFERROR(VLOOKUP(E1513,Map!$B:$F,5,0),"")</f>
        <v/>
      </c>
      <c r="E1513" s="574" t="str">
        <f t="shared" si="55"/>
        <v/>
      </c>
    </row>
    <row r="1514" spans="2:5">
      <c r="B1514" s="571" t="str">
        <f>IF(F1514="","",(SUMIF(INTGRATE!$Y:$Y,data!D1514,INTGRATE!$L:$L)+SUMIF(BRAN!$V:$V,data!D1514,BRAN!$J:$J)))</f>
        <v/>
      </c>
      <c r="C1514" s="572" t="str">
        <f t="shared" si="54"/>
        <v/>
      </c>
      <c r="D1514" s="573" t="str">
        <f>IFERROR(VLOOKUP(E1514,Map!$B:$F,4,0),"")&amp;IFERROR(VLOOKUP(E1514,Map!$B:$F,5,0),"")</f>
        <v/>
      </c>
      <c r="E1514" s="574" t="str">
        <f t="shared" si="55"/>
        <v/>
      </c>
    </row>
    <row r="1515" spans="2:5">
      <c r="B1515" s="571" t="str">
        <f>IF(F1515="","",(SUMIF(INTGRATE!$Y:$Y,data!D1515,INTGRATE!$L:$L)+SUMIF(BRAN!$V:$V,data!D1515,BRAN!$J:$J)))</f>
        <v/>
      </c>
      <c r="C1515" s="572" t="str">
        <f t="shared" si="54"/>
        <v/>
      </c>
      <c r="D1515" s="573" t="str">
        <f>IFERROR(VLOOKUP(E1515,Map!$B:$F,4,0),"")&amp;IFERROR(VLOOKUP(E1515,Map!$B:$F,5,0),"")</f>
        <v/>
      </c>
      <c r="E1515" s="574" t="str">
        <f t="shared" si="55"/>
        <v/>
      </c>
    </row>
    <row r="1516" spans="2:5">
      <c r="B1516" s="571" t="str">
        <f>IF(F1516="","",(SUMIF(INTGRATE!$Y:$Y,data!D1516,INTGRATE!$L:$L)+SUMIF(BRAN!$V:$V,data!D1516,BRAN!$J:$J)))</f>
        <v/>
      </c>
      <c r="C1516" s="572" t="str">
        <f t="shared" si="54"/>
        <v/>
      </c>
      <c r="D1516" s="573" t="str">
        <f>IFERROR(VLOOKUP(E1516,Map!$B:$F,4,0),"")&amp;IFERROR(VLOOKUP(E1516,Map!$B:$F,5,0),"")</f>
        <v/>
      </c>
      <c r="E1516" s="574" t="str">
        <f t="shared" si="55"/>
        <v/>
      </c>
    </row>
    <row r="1517" spans="2:5">
      <c r="B1517" s="571" t="str">
        <f>IF(F1517="","",(SUMIF(INTGRATE!$Y:$Y,data!D1517,INTGRATE!$L:$L)+SUMIF(BRAN!$V:$V,data!D1517,BRAN!$J:$J)))</f>
        <v/>
      </c>
      <c r="C1517" s="572" t="str">
        <f t="shared" si="54"/>
        <v/>
      </c>
      <c r="D1517" s="573" t="str">
        <f>IFERROR(VLOOKUP(E1517,Map!$B:$F,4,0),"")&amp;IFERROR(VLOOKUP(E1517,Map!$B:$F,5,0),"")</f>
        <v/>
      </c>
      <c r="E1517" s="574" t="str">
        <f t="shared" si="55"/>
        <v/>
      </c>
    </row>
    <row r="1518" spans="2:5">
      <c r="B1518" s="571" t="str">
        <f>IF(F1518="","",(SUMIF(INTGRATE!$Y:$Y,data!D1518,INTGRATE!$L:$L)+SUMIF(BRAN!$V:$V,data!D1518,BRAN!$J:$J)))</f>
        <v/>
      </c>
      <c r="C1518" s="572" t="str">
        <f t="shared" si="54"/>
        <v/>
      </c>
      <c r="D1518" s="573" t="str">
        <f>IFERROR(VLOOKUP(E1518,Map!$B:$F,4,0),"")&amp;IFERROR(VLOOKUP(E1518,Map!$B:$F,5,0),"")</f>
        <v/>
      </c>
      <c r="E1518" s="574" t="str">
        <f t="shared" si="55"/>
        <v/>
      </c>
    </row>
    <row r="1519" spans="2:5">
      <c r="B1519" s="571" t="str">
        <f>IF(F1519="","",(SUMIF(INTGRATE!$Y:$Y,data!D1519,INTGRATE!$L:$L)+SUMIF(BRAN!$V:$V,data!D1519,BRAN!$J:$J)))</f>
        <v/>
      </c>
      <c r="C1519" s="572" t="str">
        <f t="shared" si="54"/>
        <v/>
      </c>
      <c r="D1519" s="573" t="str">
        <f>IFERROR(VLOOKUP(E1519,Map!$B:$F,4,0),"")&amp;IFERROR(VLOOKUP(E1519,Map!$B:$F,5,0),"")</f>
        <v/>
      </c>
      <c r="E1519" s="574" t="str">
        <f t="shared" si="55"/>
        <v/>
      </c>
    </row>
    <row r="1520" spans="2:5">
      <c r="B1520" s="571" t="str">
        <f>IF(F1520="","",(SUMIF(INTGRATE!$Y:$Y,data!D1520,INTGRATE!$L:$L)+SUMIF(BRAN!$V:$V,data!D1520,BRAN!$J:$J)))</f>
        <v/>
      </c>
      <c r="C1520" s="572" t="str">
        <f t="shared" si="54"/>
        <v/>
      </c>
      <c r="D1520" s="573" t="str">
        <f>IFERROR(VLOOKUP(E1520,Map!$B:$F,4,0),"")&amp;IFERROR(VLOOKUP(E1520,Map!$B:$F,5,0),"")</f>
        <v/>
      </c>
      <c r="E1520" s="574" t="str">
        <f t="shared" si="55"/>
        <v/>
      </c>
    </row>
    <row r="1521" spans="2:5">
      <c r="B1521" s="571" t="str">
        <f>IF(F1521="","",(SUMIF(INTGRATE!$Y:$Y,data!D1521,INTGRATE!$L:$L)+SUMIF(BRAN!$V:$V,data!D1521,BRAN!$J:$J)))</f>
        <v/>
      </c>
      <c r="C1521" s="572" t="str">
        <f t="shared" si="54"/>
        <v/>
      </c>
      <c r="D1521" s="573" t="str">
        <f>IFERROR(VLOOKUP(E1521,Map!$B:$F,4,0),"")&amp;IFERROR(VLOOKUP(E1521,Map!$B:$F,5,0),"")</f>
        <v/>
      </c>
      <c r="E1521" s="574" t="str">
        <f t="shared" si="55"/>
        <v/>
      </c>
    </row>
    <row r="1522" spans="2:5">
      <c r="B1522" s="571" t="str">
        <f>IF(F1522="","",(SUMIF(INTGRATE!$Y:$Y,data!D1522,INTGRATE!$L:$L)+SUMIF(BRAN!$V:$V,data!D1522,BRAN!$J:$J)))</f>
        <v/>
      </c>
      <c r="C1522" s="572" t="str">
        <f t="shared" si="54"/>
        <v/>
      </c>
      <c r="D1522" s="573" t="str">
        <f>IFERROR(VLOOKUP(E1522,Map!$B:$F,4,0),"")&amp;IFERROR(VLOOKUP(E1522,Map!$B:$F,5,0),"")</f>
        <v/>
      </c>
      <c r="E1522" s="574" t="str">
        <f t="shared" si="55"/>
        <v/>
      </c>
    </row>
    <row r="1523" spans="2:5">
      <c r="B1523" s="571" t="str">
        <f>IF(F1523="","",(SUMIF(INTGRATE!$Y:$Y,data!D1523,INTGRATE!$L:$L)+SUMIF(BRAN!$V:$V,data!D1523,BRAN!$J:$J)))</f>
        <v/>
      </c>
      <c r="C1523" s="572" t="str">
        <f t="shared" si="54"/>
        <v/>
      </c>
      <c r="D1523" s="573" t="str">
        <f>IFERROR(VLOOKUP(E1523,Map!$B:$F,4,0),"")&amp;IFERROR(VLOOKUP(E1523,Map!$B:$F,5,0),"")</f>
        <v/>
      </c>
      <c r="E1523" s="574" t="str">
        <f t="shared" si="55"/>
        <v/>
      </c>
    </row>
    <row r="1524" spans="2:5">
      <c r="B1524" s="571" t="str">
        <f>IF(F1524="","",(SUMIF(INTGRATE!$Y:$Y,data!D1524,INTGRATE!$L:$L)+SUMIF(BRAN!$V:$V,data!D1524,BRAN!$J:$J)))</f>
        <v/>
      </c>
      <c r="C1524" s="572" t="str">
        <f t="shared" si="54"/>
        <v/>
      </c>
      <c r="D1524" s="573" t="str">
        <f>IFERROR(VLOOKUP(E1524,Map!$B:$F,4,0),"")&amp;IFERROR(VLOOKUP(E1524,Map!$B:$F,5,0),"")</f>
        <v/>
      </c>
      <c r="E1524" s="574" t="str">
        <f t="shared" si="55"/>
        <v/>
      </c>
    </row>
    <row r="1525" spans="2:5">
      <c r="B1525" s="571" t="str">
        <f>IF(F1525="","",(SUMIF(INTGRATE!$Y:$Y,data!D1525,INTGRATE!$L:$L)+SUMIF(BRAN!$V:$V,data!D1525,BRAN!$J:$J)))</f>
        <v/>
      </c>
      <c r="C1525" s="572" t="str">
        <f t="shared" si="54"/>
        <v/>
      </c>
      <c r="D1525" s="573" t="str">
        <f>IFERROR(VLOOKUP(E1525,Map!$B:$F,4,0),"")&amp;IFERROR(VLOOKUP(E1525,Map!$B:$F,5,0),"")</f>
        <v/>
      </c>
      <c r="E1525" s="574" t="str">
        <f t="shared" si="55"/>
        <v/>
      </c>
    </row>
    <row r="1526" spans="2:5">
      <c r="B1526" s="571" t="str">
        <f>IF(F1526="","",(SUMIF(INTGRATE!$Y:$Y,data!D1526,INTGRATE!$L:$L)+SUMIF(BRAN!$V:$V,data!D1526,BRAN!$J:$J)))</f>
        <v/>
      </c>
      <c r="C1526" s="572" t="str">
        <f t="shared" si="54"/>
        <v/>
      </c>
      <c r="D1526" s="573" t="str">
        <f>IFERROR(VLOOKUP(E1526,Map!$B:$F,4,0),"")&amp;IFERROR(VLOOKUP(E1526,Map!$B:$F,5,0),"")</f>
        <v/>
      </c>
      <c r="E1526" s="574" t="str">
        <f t="shared" si="55"/>
        <v/>
      </c>
    </row>
    <row r="1527" spans="2:5">
      <c r="B1527" s="571" t="str">
        <f>IF(F1527="","",(SUMIF(INTGRATE!$Y:$Y,data!D1527,INTGRATE!$L:$L)+SUMIF(BRAN!$V:$V,data!D1527,BRAN!$J:$J)))</f>
        <v/>
      </c>
      <c r="C1527" s="572" t="str">
        <f t="shared" si="54"/>
        <v/>
      </c>
      <c r="D1527" s="573" t="str">
        <f>IFERROR(VLOOKUP(E1527,Map!$B:$F,4,0),"")&amp;IFERROR(VLOOKUP(E1527,Map!$B:$F,5,0),"")</f>
        <v/>
      </c>
      <c r="E1527" s="574" t="str">
        <f t="shared" si="55"/>
        <v/>
      </c>
    </row>
    <row r="1528" spans="2:5">
      <c r="B1528" s="571" t="str">
        <f>IF(F1528="","",(SUMIF(INTGRATE!$Y:$Y,data!D1528,INTGRATE!$L:$L)+SUMIF(BRAN!$V:$V,data!D1528,BRAN!$J:$J)))</f>
        <v/>
      </c>
      <c r="C1528" s="572" t="str">
        <f t="shared" si="54"/>
        <v/>
      </c>
      <c r="D1528" s="573" t="str">
        <f>IFERROR(VLOOKUP(E1528,Map!$B:$F,4,0),"")&amp;IFERROR(VLOOKUP(E1528,Map!$B:$F,5,0),"")</f>
        <v/>
      </c>
      <c r="E1528" s="574" t="str">
        <f t="shared" si="55"/>
        <v/>
      </c>
    </row>
    <row r="1529" spans="2:5">
      <c r="B1529" s="571" t="str">
        <f>IF(F1529="","",(SUMIF(INTGRATE!$Y:$Y,data!D1529,INTGRATE!$L:$L)+SUMIF(BRAN!$V:$V,data!D1529,BRAN!$J:$J)))</f>
        <v/>
      </c>
      <c r="C1529" s="572" t="str">
        <f t="shared" si="54"/>
        <v/>
      </c>
      <c r="D1529" s="573" t="str">
        <f>IFERROR(VLOOKUP(E1529,Map!$B:$F,4,0),"")&amp;IFERROR(VLOOKUP(E1529,Map!$B:$F,5,0),"")</f>
        <v/>
      </c>
      <c r="E1529" s="574" t="str">
        <f t="shared" si="55"/>
        <v/>
      </c>
    </row>
    <row r="1530" spans="2:5">
      <c r="B1530" s="571" t="str">
        <f>IF(F1530="","",(SUMIF(INTGRATE!$Y:$Y,data!D1530,INTGRATE!$L:$L)+SUMIF(BRAN!$V:$V,data!D1530,BRAN!$J:$J)))</f>
        <v/>
      </c>
      <c r="C1530" s="572" t="str">
        <f t="shared" si="54"/>
        <v/>
      </c>
      <c r="D1530" s="573" t="str">
        <f>IFERROR(VLOOKUP(E1530,Map!$B:$F,4,0),"")&amp;IFERROR(VLOOKUP(E1530,Map!$B:$F,5,0),"")</f>
        <v/>
      </c>
      <c r="E1530" s="574" t="str">
        <f t="shared" si="55"/>
        <v/>
      </c>
    </row>
    <row r="1531" spans="2:5">
      <c r="B1531" s="571" t="str">
        <f>IF(F1531="","",(SUMIF(INTGRATE!$Y:$Y,data!D1531,INTGRATE!$L:$L)+SUMIF(BRAN!$V:$V,data!D1531,BRAN!$J:$J)))</f>
        <v/>
      </c>
      <c r="C1531" s="572" t="str">
        <f t="shared" si="54"/>
        <v/>
      </c>
      <c r="D1531" s="573" t="str">
        <f>IFERROR(VLOOKUP(E1531,Map!$B:$F,4,0),"")&amp;IFERROR(VLOOKUP(E1531,Map!$B:$F,5,0),"")</f>
        <v/>
      </c>
      <c r="E1531" s="574" t="str">
        <f t="shared" si="55"/>
        <v/>
      </c>
    </row>
    <row r="1532" spans="2:5">
      <c r="B1532" s="571" t="str">
        <f>IF(F1532="","",(SUMIF(INTGRATE!$Y:$Y,data!D1532,INTGRATE!$L:$L)+SUMIF(BRAN!$V:$V,data!D1532,BRAN!$J:$J)))</f>
        <v/>
      </c>
      <c r="C1532" s="572" t="str">
        <f t="shared" si="54"/>
        <v/>
      </c>
      <c r="D1532" s="573" t="str">
        <f>IFERROR(VLOOKUP(E1532,Map!$B:$F,4,0),"")&amp;IFERROR(VLOOKUP(E1532,Map!$B:$F,5,0),"")</f>
        <v/>
      </c>
      <c r="E1532" s="574" t="str">
        <f t="shared" si="55"/>
        <v/>
      </c>
    </row>
    <row r="1533" spans="2:5">
      <c r="B1533" s="571" t="str">
        <f>IF(F1533="","",(SUMIF(INTGRATE!$Y:$Y,data!D1533,INTGRATE!$L:$L)+SUMIF(BRAN!$V:$V,data!D1533,BRAN!$J:$J)))</f>
        <v/>
      </c>
      <c r="C1533" s="572" t="str">
        <f t="shared" si="54"/>
        <v/>
      </c>
      <c r="D1533" s="573" t="str">
        <f>IFERROR(VLOOKUP(E1533,Map!$B:$F,4,0),"")&amp;IFERROR(VLOOKUP(E1533,Map!$B:$F,5,0),"")</f>
        <v/>
      </c>
      <c r="E1533" s="574" t="str">
        <f t="shared" si="55"/>
        <v/>
      </c>
    </row>
    <row r="1534" spans="2:5">
      <c r="B1534" s="571" t="str">
        <f>IF(F1534="","",(SUMIF(INTGRATE!$Y:$Y,data!D1534,INTGRATE!$L:$L)+SUMIF(BRAN!$V:$V,data!D1534,BRAN!$J:$J)))</f>
        <v/>
      </c>
      <c r="C1534" s="572" t="str">
        <f t="shared" si="54"/>
        <v/>
      </c>
      <c r="D1534" s="573" t="str">
        <f>IFERROR(VLOOKUP(E1534,Map!$B:$F,4,0),"")&amp;IFERROR(VLOOKUP(E1534,Map!$B:$F,5,0),"")</f>
        <v/>
      </c>
      <c r="E1534" s="574" t="str">
        <f t="shared" si="55"/>
        <v/>
      </c>
    </row>
    <row r="1535" spans="2:5">
      <c r="B1535" s="571" t="str">
        <f>IF(F1535="","",(SUMIF(INTGRATE!$Y:$Y,data!D1535,INTGRATE!$L:$L)+SUMIF(BRAN!$V:$V,data!D1535,BRAN!$J:$J)))</f>
        <v/>
      </c>
      <c r="C1535" s="572" t="str">
        <f t="shared" ref="C1535:C1598" si="56">IF(F1535="","",B1535-K1535)</f>
        <v/>
      </c>
      <c r="D1535" s="573" t="str">
        <f>IFERROR(VLOOKUP(E1535,Map!$B:$F,4,0),"")&amp;IFERROR(VLOOKUP(E1535,Map!$B:$F,5,0),"")</f>
        <v/>
      </c>
      <c r="E1535" s="574" t="str">
        <f t="shared" si="55"/>
        <v/>
      </c>
    </row>
    <row r="1536" spans="2:5">
      <c r="B1536" s="571" t="str">
        <f>IF(F1536="","",(SUMIF(INTGRATE!$Y:$Y,data!D1536,INTGRATE!$L:$L)+SUMIF(BRAN!$V:$V,data!D1536,BRAN!$J:$J)))</f>
        <v/>
      </c>
      <c r="C1536" s="572" t="str">
        <f t="shared" si="56"/>
        <v/>
      </c>
      <c r="D1536" s="573" t="str">
        <f>IFERROR(VLOOKUP(E1536,Map!$B:$F,4,0),"")&amp;IFERROR(VLOOKUP(E1536,Map!$B:$F,5,0),"")</f>
        <v/>
      </c>
      <c r="E1536" s="574" t="str">
        <f t="shared" si="55"/>
        <v/>
      </c>
    </row>
    <row r="1537" spans="2:5">
      <c r="B1537" s="571" t="str">
        <f>IF(F1537="","",(SUMIF(INTGRATE!$Y:$Y,data!D1537,INTGRATE!$L:$L)+SUMIF(BRAN!$V:$V,data!D1537,BRAN!$J:$J)))</f>
        <v/>
      </c>
      <c r="C1537" s="572" t="str">
        <f t="shared" si="56"/>
        <v/>
      </c>
      <c r="D1537" s="573" t="str">
        <f>IFERROR(VLOOKUP(E1537,Map!$B:$F,4,0),"")&amp;IFERROR(VLOOKUP(E1537,Map!$B:$F,5,0),"")</f>
        <v/>
      </c>
      <c r="E1537" s="574" t="str">
        <f t="shared" si="55"/>
        <v/>
      </c>
    </row>
    <row r="1538" spans="2:5">
      <c r="B1538" s="571" t="str">
        <f>IF(F1538="","",(SUMIF(INTGRATE!$Y:$Y,data!D1538,INTGRATE!$L:$L)+SUMIF(BRAN!$V:$V,data!D1538,BRAN!$J:$J)))</f>
        <v/>
      </c>
      <c r="C1538" s="572" t="str">
        <f t="shared" si="56"/>
        <v/>
      </c>
      <c r="D1538" s="573" t="str">
        <f>IFERROR(VLOOKUP(E1538,Map!$B:$F,4,0),"")&amp;IFERROR(VLOOKUP(E1538,Map!$B:$F,5,0),"")</f>
        <v/>
      </c>
      <c r="E1538" s="574" t="str">
        <f t="shared" si="55"/>
        <v/>
      </c>
    </row>
    <row r="1539" spans="2:5">
      <c r="B1539" s="571" t="str">
        <f>IF(F1539="","",(SUMIF(INTGRATE!$Y:$Y,data!D1539,INTGRATE!$L:$L)+SUMIF(BRAN!$V:$V,data!D1539,BRAN!$J:$J)))</f>
        <v/>
      </c>
      <c r="C1539" s="572" t="str">
        <f t="shared" si="56"/>
        <v/>
      </c>
      <c r="D1539" s="573" t="str">
        <f>IFERROR(VLOOKUP(E1539,Map!$B:$F,4,0),"")&amp;IFERROR(VLOOKUP(E1539,Map!$B:$F,5,0),"")</f>
        <v/>
      </c>
      <c r="E1539" s="574" t="str">
        <f t="shared" si="55"/>
        <v/>
      </c>
    </row>
    <row r="1540" spans="2:5">
      <c r="B1540" s="571" t="str">
        <f>IF(F1540="","",(SUMIF(INTGRATE!$Y:$Y,data!D1540,INTGRATE!$L:$L)+SUMIF(BRAN!$V:$V,data!D1540,BRAN!$J:$J)))</f>
        <v/>
      </c>
      <c r="C1540" s="572" t="str">
        <f t="shared" si="56"/>
        <v/>
      </c>
      <c r="D1540" s="573" t="str">
        <f>IFERROR(VLOOKUP(E1540,Map!$B:$F,4,0),"")&amp;IFERROR(VLOOKUP(E1540,Map!$B:$F,5,0),"")</f>
        <v/>
      </c>
      <c r="E1540" s="574" t="str">
        <f t="shared" si="55"/>
        <v/>
      </c>
    </row>
    <row r="1541" spans="2:5">
      <c r="B1541" s="571" t="str">
        <f>IF(F1541="","",(SUMIF(INTGRATE!$Y:$Y,data!D1541,INTGRATE!$L:$L)+SUMIF(BRAN!$V:$V,data!D1541,BRAN!$J:$J)))</f>
        <v/>
      </c>
      <c r="C1541" s="572" t="str">
        <f t="shared" si="56"/>
        <v/>
      </c>
      <c r="D1541" s="573" t="str">
        <f>IFERROR(VLOOKUP(E1541,Map!$B:$F,4,0),"")&amp;IFERROR(VLOOKUP(E1541,Map!$B:$F,5,0),"")</f>
        <v/>
      </c>
      <c r="E1541" s="574" t="str">
        <f t="shared" si="55"/>
        <v/>
      </c>
    </row>
    <row r="1542" spans="2:5">
      <c r="B1542" s="571" t="str">
        <f>IF(F1542="","",(SUMIF(INTGRATE!$Y:$Y,data!D1542,INTGRATE!$L:$L)+SUMIF(BRAN!$V:$V,data!D1542,BRAN!$J:$J)))</f>
        <v/>
      </c>
      <c r="C1542" s="572" t="str">
        <f t="shared" si="56"/>
        <v/>
      </c>
      <c r="D1542" s="573" t="str">
        <f>IFERROR(VLOOKUP(E1542,Map!$B:$F,4,0),"")&amp;IFERROR(VLOOKUP(E1542,Map!$B:$F,5,0),"")</f>
        <v/>
      </c>
      <c r="E1542" s="574" t="str">
        <f t="shared" si="55"/>
        <v/>
      </c>
    </row>
    <row r="1543" spans="2:5">
      <c r="B1543" s="571" t="str">
        <f>IF(F1543="","",(SUMIF(INTGRATE!$Y:$Y,data!D1543,INTGRATE!$L:$L)+SUMIF(BRAN!$V:$V,data!D1543,BRAN!$J:$J)))</f>
        <v/>
      </c>
      <c r="C1543" s="572" t="str">
        <f t="shared" si="56"/>
        <v/>
      </c>
      <c r="D1543" s="573" t="str">
        <f>IFERROR(VLOOKUP(E1543,Map!$B:$F,4,0),"")&amp;IFERROR(VLOOKUP(E1543,Map!$B:$F,5,0),"")</f>
        <v/>
      </c>
      <c r="E1543" s="574" t="str">
        <f t="shared" si="55"/>
        <v/>
      </c>
    </row>
    <row r="1544" spans="2:5">
      <c r="B1544" s="571" t="str">
        <f>IF(F1544="","",(SUMIF(INTGRATE!$Y:$Y,data!D1544,INTGRATE!$L:$L)+SUMIF(BRAN!$V:$V,data!D1544,BRAN!$J:$J)))</f>
        <v/>
      </c>
      <c r="C1544" s="572" t="str">
        <f t="shared" si="56"/>
        <v/>
      </c>
      <c r="D1544" s="573" t="str">
        <f>IFERROR(VLOOKUP(E1544,Map!$B:$F,4,0),"")&amp;IFERROR(VLOOKUP(E1544,Map!$B:$F,5,0),"")</f>
        <v/>
      </c>
      <c r="E1544" s="574" t="str">
        <f t="shared" si="55"/>
        <v/>
      </c>
    </row>
    <row r="1545" spans="2:5">
      <c r="B1545" s="571" t="str">
        <f>IF(F1545="","",(SUMIF(INTGRATE!$Y:$Y,data!D1545,INTGRATE!$L:$L)+SUMIF(BRAN!$V:$V,data!D1545,BRAN!$J:$J)))</f>
        <v/>
      </c>
      <c r="C1545" s="572" t="str">
        <f t="shared" si="56"/>
        <v/>
      </c>
      <c r="D1545" s="573" t="str">
        <f>IFERROR(VLOOKUP(E1545,Map!$B:$F,4,0),"")&amp;IFERROR(VLOOKUP(E1545,Map!$B:$F,5,0),"")</f>
        <v/>
      </c>
      <c r="E1545" s="574" t="str">
        <f t="shared" si="55"/>
        <v/>
      </c>
    </row>
    <row r="1546" spans="2:5">
      <c r="B1546" s="571" t="str">
        <f>IF(F1546="","",(SUMIF(INTGRATE!$Y:$Y,data!D1546,INTGRATE!$L:$L)+SUMIF(BRAN!$V:$V,data!D1546,BRAN!$J:$J)))</f>
        <v/>
      </c>
      <c r="C1546" s="572" t="str">
        <f t="shared" si="56"/>
        <v/>
      </c>
      <c r="D1546" s="573" t="str">
        <f>IFERROR(VLOOKUP(E1546,Map!$B:$F,4,0),"")&amp;IFERROR(VLOOKUP(E1546,Map!$B:$F,5,0),"")</f>
        <v/>
      </c>
      <c r="E1546" s="574" t="str">
        <f t="shared" si="55"/>
        <v/>
      </c>
    </row>
    <row r="1547" spans="2:5">
      <c r="B1547" s="571" t="str">
        <f>IF(F1547="","",(SUMIF(INTGRATE!$Y:$Y,data!D1547,INTGRATE!$L:$L)+SUMIF(BRAN!$V:$V,data!D1547,BRAN!$J:$J)))</f>
        <v/>
      </c>
      <c r="C1547" s="572" t="str">
        <f t="shared" si="56"/>
        <v/>
      </c>
      <c r="D1547" s="573" t="str">
        <f>IFERROR(VLOOKUP(E1547,Map!$B:$F,4,0),"")&amp;IFERROR(VLOOKUP(E1547,Map!$B:$F,5,0),"")</f>
        <v/>
      </c>
      <c r="E1547" s="574" t="str">
        <f t="shared" si="55"/>
        <v/>
      </c>
    </row>
    <row r="1548" spans="2:5">
      <c r="B1548" s="571" t="str">
        <f>IF(F1548="","",(SUMIF(INTGRATE!$Y:$Y,data!D1548,INTGRATE!$L:$L)+SUMIF(BRAN!$V:$V,data!D1548,BRAN!$J:$J)))</f>
        <v/>
      </c>
      <c r="C1548" s="572" t="str">
        <f t="shared" si="56"/>
        <v/>
      </c>
      <c r="D1548" s="573" t="str">
        <f>IFERROR(VLOOKUP(E1548,Map!$B:$F,4,0),"")&amp;IFERROR(VLOOKUP(E1548,Map!$B:$F,5,0),"")</f>
        <v/>
      </c>
      <c r="E1548" s="574" t="str">
        <f t="shared" si="55"/>
        <v/>
      </c>
    </row>
    <row r="1549" spans="2:5">
      <c r="B1549" s="571" t="str">
        <f>IF(F1549="","",(SUMIF(INTGRATE!$Y:$Y,data!D1549,INTGRATE!$L:$L)+SUMIF(BRAN!$V:$V,data!D1549,BRAN!$J:$J)))</f>
        <v/>
      </c>
      <c r="C1549" s="572" t="str">
        <f t="shared" si="56"/>
        <v/>
      </c>
      <c r="D1549" s="573" t="str">
        <f>IFERROR(VLOOKUP(E1549,Map!$B:$F,4,0),"")&amp;IFERROR(VLOOKUP(E1549,Map!$B:$F,5,0),"")</f>
        <v/>
      </c>
      <c r="E1549" s="574" t="str">
        <f t="shared" si="55"/>
        <v/>
      </c>
    </row>
    <row r="1550" spans="2:5">
      <c r="B1550" s="571" t="str">
        <f>IF(F1550="","",(SUMIF(INTGRATE!$Y:$Y,data!D1550,INTGRATE!$L:$L)+SUMIF(BRAN!$V:$V,data!D1550,BRAN!$J:$J)))</f>
        <v/>
      </c>
      <c r="C1550" s="572" t="str">
        <f t="shared" si="56"/>
        <v/>
      </c>
      <c r="D1550" s="573" t="str">
        <f>IFERROR(VLOOKUP(E1550,Map!$B:$F,4,0),"")&amp;IFERROR(VLOOKUP(E1550,Map!$B:$F,5,0),"")</f>
        <v/>
      </c>
      <c r="E1550" s="574" t="str">
        <f t="shared" si="55"/>
        <v/>
      </c>
    </row>
    <row r="1551" spans="2:5">
      <c r="B1551" s="571" t="str">
        <f>IF(F1551="","",(SUMIF(INTGRATE!$Y:$Y,data!D1551,INTGRATE!$L:$L)+SUMIF(BRAN!$V:$V,data!D1551,BRAN!$J:$J)))</f>
        <v/>
      </c>
      <c r="C1551" s="572" t="str">
        <f t="shared" si="56"/>
        <v/>
      </c>
      <c r="D1551" s="573" t="str">
        <f>IFERROR(VLOOKUP(E1551,Map!$B:$F,4,0),"")&amp;IFERROR(VLOOKUP(E1551,Map!$B:$F,5,0),"")</f>
        <v/>
      </c>
      <c r="E1551" s="574" t="str">
        <f t="shared" si="55"/>
        <v/>
      </c>
    </row>
    <row r="1552" spans="2:5">
      <c r="B1552" s="571" t="str">
        <f>IF(F1552="","",(SUMIF(INTGRATE!$Y:$Y,data!D1552,INTGRATE!$L:$L)+SUMIF(BRAN!$V:$V,data!D1552,BRAN!$J:$J)))</f>
        <v/>
      </c>
      <c r="C1552" s="572" t="str">
        <f t="shared" si="56"/>
        <v/>
      </c>
      <c r="D1552" s="573" t="str">
        <f>IFERROR(VLOOKUP(E1552,Map!$B:$F,4,0),"")&amp;IFERROR(VLOOKUP(E1552,Map!$B:$F,5,0),"")</f>
        <v/>
      </c>
      <c r="E1552" s="574" t="str">
        <f t="shared" si="55"/>
        <v/>
      </c>
    </row>
    <row r="1553" spans="2:5">
      <c r="B1553" s="571" t="str">
        <f>IF(F1553="","",(SUMIF(INTGRATE!$Y:$Y,data!D1553,INTGRATE!$L:$L)+SUMIF(BRAN!$V:$V,data!D1553,BRAN!$J:$J)))</f>
        <v/>
      </c>
      <c r="C1553" s="572" t="str">
        <f t="shared" si="56"/>
        <v/>
      </c>
      <c r="D1553" s="573" t="str">
        <f>IFERROR(VLOOKUP(E1553,Map!$B:$F,4,0),"")&amp;IFERROR(VLOOKUP(E1553,Map!$B:$F,5,0),"")</f>
        <v/>
      </c>
      <c r="E1553" s="574" t="str">
        <f t="shared" si="55"/>
        <v/>
      </c>
    </row>
    <row r="1554" spans="2:5">
      <c r="B1554" s="571" t="str">
        <f>IF(F1554="","",(SUMIF(INTGRATE!$Y:$Y,data!D1554,INTGRATE!$L:$L)+SUMIF(BRAN!$V:$V,data!D1554,BRAN!$J:$J)))</f>
        <v/>
      </c>
      <c r="C1554" s="572" t="str">
        <f t="shared" si="56"/>
        <v/>
      </c>
      <c r="D1554" s="573" t="str">
        <f>IFERROR(VLOOKUP(E1554,Map!$B:$F,4,0),"")&amp;IFERROR(VLOOKUP(E1554,Map!$B:$F,5,0),"")</f>
        <v/>
      </c>
      <c r="E1554" s="574" t="str">
        <f t="shared" si="55"/>
        <v/>
      </c>
    </row>
    <row r="1555" spans="2:5">
      <c r="B1555" s="571" t="str">
        <f>IF(F1555="","",(SUMIF(INTGRATE!$Y:$Y,data!D1555,INTGRATE!$L:$L)+SUMIF(BRAN!$V:$V,data!D1555,BRAN!$J:$J)))</f>
        <v/>
      </c>
      <c r="C1555" s="572" t="str">
        <f t="shared" si="56"/>
        <v/>
      </c>
      <c r="D1555" s="573" t="str">
        <f>IFERROR(VLOOKUP(E1555,Map!$B:$F,4,0),"")&amp;IFERROR(VLOOKUP(E1555,Map!$B:$F,5,0),"")</f>
        <v/>
      </c>
      <c r="E1555" s="574" t="str">
        <f t="shared" si="55"/>
        <v/>
      </c>
    </row>
    <row r="1556" spans="2:5">
      <c r="B1556" s="571" t="str">
        <f>IF(F1556="","",(SUMIF(INTGRATE!$Y:$Y,data!D1556,INTGRATE!$L:$L)+SUMIF(BRAN!$V:$V,data!D1556,BRAN!$J:$J)))</f>
        <v/>
      </c>
      <c r="C1556" s="572" t="str">
        <f t="shared" si="56"/>
        <v/>
      </c>
      <c r="D1556" s="573" t="str">
        <f>IFERROR(VLOOKUP(E1556,Map!$B:$F,4,0),"")&amp;IFERROR(VLOOKUP(E1556,Map!$B:$F,5,0),"")</f>
        <v/>
      </c>
      <c r="E1556" s="574" t="str">
        <f t="shared" si="55"/>
        <v/>
      </c>
    </row>
    <row r="1557" spans="2:5">
      <c r="B1557" s="571" t="str">
        <f>IF(F1557="","",(SUMIF(INTGRATE!$Y:$Y,data!D1557,INTGRATE!$L:$L)+SUMIF(BRAN!$V:$V,data!D1557,BRAN!$J:$J)))</f>
        <v/>
      </c>
      <c r="C1557" s="572" t="str">
        <f t="shared" si="56"/>
        <v/>
      </c>
      <c r="D1557" s="573" t="str">
        <f>IFERROR(VLOOKUP(E1557,Map!$B:$F,4,0),"")&amp;IFERROR(VLOOKUP(E1557,Map!$B:$F,5,0),"")</f>
        <v/>
      </c>
      <c r="E1557" s="574" t="str">
        <f t="shared" si="55"/>
        <v/>
      </c>
    </row>
    <row r="1558" spans="2:5">
      <c r="B1558" s="571" t="str">
        <f>IF(F1558="","",(SUMIF(INTGRATE!$Y:$Y,data!D1558,INTGRATE!$L:$L)+SUMIF(BRAN!$V:$V,data!D1558,BRAN!$J:$J)))</f>
        <v/>
      </c>
      <c r="C1558" s="572" t="str">
        <f t="shared" si="56"/>
        <v/>
      </c>
      <c r="D1558" s="573" t="str">
        <f>IFERROR(VLOOKUP(E1558,Map!$B:$F,4,0),"")&amp;IFERROR(VLOOKUP(E1558,Map!$B:$F,5,0),"")</f>
        <v/>
      </c>
      <c r="E1558" s="574" t="str">
        <f t="shared" si="55"/>
        <v/>
      </c>
    </row>
    <row r="1559" spans="2:5">
      <c r="B1559" s="571" t="str">
        <f>IF(F1559="","",(SUMIF(INTGRATE!$Y:$Y,data!D1559,INTGRATE!$L:$L)+SUMIF(BRAN!$V:$V,data!D1559,BRAN!$J:$J)))</f>
        <v/>
      </c>
      <c r="C1559" s="572" t="str">
        <f t="shared" si="56"/>
        <v/>
      </c>
      <c r="D1559" s="573" t="str">
        <f>IFERROR(VLOOKUP(E1559,Map!$B:$F,4,0),"")&amp;IFERROR(VLOOKUP(E1559,Map!$B:$F,5,0),"")</f>
        <v/>
      </c>
      <c r="E1559" s="574" t="str">
        <f t="shared" si="55"/>
        <v/>
      </c>
    </row>
    <row r="1560" spans="2:5">
      <c r="B1560" s="571" t="str">
        <f>IF(F1560="","",(SUMIF(INTGRATE!$Y:$Y,data!D1560,INTGRATE!$L:$L)+SUMIF(BRAN!$V:$V,data!D1560,BRAN!$J:$J)))</f>
        <v/>
      </c>
      <c r="C1560" s="572" t="str">
        <f t="shared" si="56"/>
        <v/>
      </c>
      <c r="D1560" s="573" t="str">
        <f>IFERROR(VLOOKUP(E1560,Map!$B:$F,4,0),"")&amp;IFERROR(VLOOKUP(E1560,Map!$B:$F,5,0),"")</f>
        <v/>
      </c>
      <c r="E1560" s="574" t="str">
        <f t="shared" si="55"/>
        <v/>
      </c>
    </row>
    <row r="1561" spans="2:5">
      <c r="B1561" s="571" t="str">
        <f>IF(F1561="","",(SUMIF(INTGRATE!$Y:$Y,data!D1561,INTGRATE!$L:$L)+SUMIF(BRAN!$V:$V,data!D1561,BRAN!$J:$J)))</f>
        <v/>
      </c>
      <c r="C1561" s="572" t="str">
        <f t="shared" si="56"/>
        <v/>
      </c>
      <c r="D1561" s="573" t="str">
        <f>IFERROR(VLOOKUP(E1561,Map!$B:$F,4,0),"")&amp;IFERROR(VLOOKUP(E1561,Map!$B:$F,5,0),"")</f>
        <v/>
      </c>
      <c r="E1561" s="574" t="str">
        <f t="shared" si="55"/>
        <v/>
      </c>
    </row>
    <row r="1562" spans="2:5">
      <c r="B1562" s="571" t="str">
        <f>IF(F1562="","",(SUMIF(INTGRATE!$Y:$Y,data!D1562,INTGRATE!$L:$L)+SUMIF(BRAN!$V:$V,data!D1562,BRAN!$J:$J)))</f>
        <v/>
      </c>
      <c r="C1562" s="572" t="str">
        <f t="shared" si="56"/>
        <v/>
      </c>
      <c r="D1562" s="573" t="str">
        <f>IFERROR(VLOOKUP(E1562,Map!$B:$F,4,0),"")&amp;IFERROR(VLOOKUP(E1562,Map!$B:$F,5,0),"")</f>
        <v/>
      </c>
      <c r="E1562" s="574" t="str">
        <f t="shared" si="55"/>
        <v/>
      </c>
    </row>
    <row r="1563" spans="2:5">
      <c r="B1563" s="571" t="str">
        <f>IF(F1563="","",(SUMIF(INTGRATE!$Y:$Y,data!D1563,INTGRATE!$L:$L)+SUMIF(BRAN!$V:$V,data!D1563,BRAN!$J:$J)))</f>
        <v/>
      </c>
      <c r="C1563" s="572" t="str">
        <f t="shared" si="56"/>
        <v/>
      </c>
      <c r="D1563" s="573" t="str">
        <f>IFERROR(VLOOKUP(E1563,Map!$B:$F,4,0),"")&amp;IFERROR(VLOOKUP(E1563,Map!$B:$F,5,0),"")</f>
        <v/>
      </c>
      <c r="E1563" s="574" t="str">
        <f t="shared" si="55"/>
        <v/>
      </c>
    </row>
    <row r="1564" spans="2:5">
      <c r="B1564" s="571" t="str">
        <f>IF(F1564="","",(SUMIF(INTGRATE!$Y:$Y,data!D1564,INTGRATE!$L:$L)+SUMIF(BRAN!$V:$V,data!D1564,BRAN!$J:$J)))</f>
        <v/>
      </c>
      <c r="C1564" s="572" t="str">
        <f t="shared" si="56"/>
        <v/>
      </c>
      <c r="D1564" s="573" t="str">
        <f>IFERROR(VLOOKUP(E1564,Map!$B:$F,4,0),"")&amp;IFERROR(VLOOKUP(E1564,Map!$B:$F,5,0),"")</f>
        <v/>
      </c>
      <c r="E1564" s="574" t="str">
        <f t="shared" si="55"/>
        <v/>
      </c>
    </row>
    <row r="1565" spans="2:5">
      <c r="B1565" s="571" t="str">
        <f>IF(F1565="","",(SUMIF(INTGRATE!$Y:$Y,data!D1565,INTGRATE!$L:$L)+SUMIF(BRAN!$V:$V,data!D1565,BRAN!$J:$J)))</f>
        <v/>
      </c>
      <c r="C1565" s="572" t="str">
        <f t="shared" si="56"/>
        <v/>
      </c>
      <c r="D1565" s="573" t="str">
        <f>IFERROR(VLOOKUP(E1565,Map!$B:$F,4,0),"")&amp;IFERROR(VLOOKUP(E1565,Map!$B:$F,5,0),"")</f>
        <v/>
      </c>
      <c r="E1565" s="574" t="str">
        <f t="shared" si="55"/>
        <v/>
      </c>
    </row>
    <row r="1566" spans="2:5">
      <c r="B1566" s="571" t="str">
        <f>IF(F1566="","",(SUMIF(INTGRATE!$Y:$Y,data!D1566,INTGRATE!$L:$L)+SUMIF(BRAN!$V:$V,data!D1566,BRAN!$J:$J)))</f>
        <v/>
      </c>
      <c r="C1566" s="572" t="str">
        <f t="shared" si="56"/>
        <v/>
      </c>
      <c r="D1566" s="573" t="str">
        <f>IFERROR(VLOOKUP(E1566,Map!$B:$F,4,0),"")&amp;IFERROR(VLOOKUP(E1566,Map!$B:$F,5,0),"")</f>
        <v/>
      </c>
      <c r="E1566" s="574" t="str">
        <f t="shared" si="55"/>
        <v/>
      </c>
    </row>
    <row r="1567" spans="2:5">
      <c r="B1567" s="571" t="str">
        <f>IF(F1567="","",(SUMIF(INTGRATE!$Y:$Y,data!D1567,INTGRATE!$L:$L)+SUMIF(BRAN!$V:$V,data!D1567,BRAN!$J:$J)))</f>
        <v/>
      </c>
      <c r="C1567" s="572" t="str">
        <f t="shared" si="56"/>
        <v/>
      </c>
      <c r="D1567" s="573" t="str">
        <f>IFERROR(VLOOKUP(E1567,Map!$B:$F,4,0),"")&amp;IFERROR(VLOOKUP(E1567,Map!$B:$F,5,0),"")</f>
        <v/>
      </c>
      <c r="E1567" s="574" t="str">
        <f t="shared" si="55"/>
        <v/>
      </c>
    </row>
    <row r="1568" spans="2:5">
      <c r="B1568" s="571" t="str">
        <f>IF(F1568="","",(SUMIF(INTGRATE!$Y:$Y,data!D1568,INTGRATE!$L:$L)+SUMIF(BRAN!$V:$V,data!D1568,BRAN!$J:$J)))</f>
        <v/>
      </c>
      <c r="C1568" s="572" t="str">
        <f t="shared" si="56"/>
        <v/>
      </c>
      <c r="D1568" s="573" t="str">
        <f>IFERROR(VLOOKUP(E1568,Map!$B:$F,4,0),"")&amp;IFERROR(VLOOKUP(E1568,Map!$B:$F,5,0),"")</f>
        <v/>
      </c>
      <c r="E1568" s="574" t="str">
        <f t="shared" ref="E1568:E1631" si="57">IF(MID(F1568,10,2)="99",F1568&amp;H1568,LEFT(F1568,14))</f>
        <v/>
      </c>
    </row>
    <row r="1569" spans="2:5">
      <c r="B1569" s="571" t="str">
        <f>IF(F1569="","",(SUMIF(INTGRATE!$Y:$Y,data!D1569,INTGRATE!$L:$L)+SUMIF(BRAN!$V:$V,data!D1569,BRAN!$J:$J)))</f>
        <v/>
      </c>
      <c r="C1569" s="572" t="str">
        <f t="shared" si="56"/>
        <v/>
      </c>
      <c r="D1569" s="573" t="str">
        <f>IFERROR(VLOOKUP(E1569,Map!$B:$F,4,0),"")&amp;IFERROR(VLOOKUP(E1569,Map!$B:$F,5,0),"")</f>
        <v/>
      </c>
      <c r="E1569" s="574" t="str">
        <f t="shared" si="57"/>
        <v/>
      </c>
    </row>
    <row r="1570" spans="2:5">
      <c r="B1570" s="571" t="str">
        <f>IF(F1570="","",(SUMIF(INTGRATE!$Y:$Y,data!D1570,INTGRATE!$L:$L)+SUMIF(BRAN!$V:$V,data!D1570,BRAN!$J:$J)))</f>
        <v/>
      </c>
      <c r="C1570" s="572" t="str">
        <f t="shared" si="56"/>
        <v/>
      </c>
      <c r="D1570" s="573" t="str">
        <f>IFERROR(VLOOKUP(E1570,Map!$B:$F,4,0),"")&amp;IFERROR(VLOOKUP(E1570,Map!$B:$F,5,0),"")</f>
        <v/>
      </c>
      <c r="E1570" s="574" t="str">
        <f t="shared" si="57"/>
        <v/>
      </c>
    </row>
    <row r="1571" spans="2:5">
      <c r="B1571" s="571" t="str">
        <f>IF(F1571="","",(SUMIF(INTGRATE!$Y:$Y,data!D1571,INTGRATE!$L:$L)+SUMIF(BRAN!$V:$V,data!D1571,BRAN!$J:$J)))</f>
        <v/>
      </c>
      <c r="C1571" s="572" t="str">
        <f t="shared" si="56"/>
        <v/>
      </c>
      <c r="D1571" s="573" t="str">
        <f>IFERROR(VLOOKUP(E1571,Map!$B:$F,4,0),"")&amp;IFERROR(VLOOKUP(E1571,Map!$B:$F,5,0),"")</f>
        <v/>
      </c>
      <c r="E1571" s="574" t="str">
        <f t="shared" si="57"/>
        <v/>
      </c>
    </row>
    <row r="1572" spans="2:5">
      <c r="B1572" s="571" t="str">
        <f>IF(F1572="","",(SUMIF(INTGRATE!$Y:$Y,data!D1572,INTGRATE!$L:$L)+SUMIF(BRAN!$V:$V,data!D1572,BRAN!$J:$J)))</f>
        <v/>
      </c>
      <c r="C1572" s="572" t="str">
        <f t="shared" si="56"/>
        <v/>
      </c>
      <c r="D1572" s="573" t="str">
        <f>IFERROR(VLOOKUP(E1572,Map!$B:$F,4,0),"")&amp;IFERROR(VLOOKUP(E1572,Map!$B:$F,5,0),"")</f>
        <v/>
      </c>
      <c r="E1572" s="574" t="str">
        <f t="shared" si="57"/>
        <v/>
      </c>
    </row>
    <row r="1573" spans="2:5">
      <c r="B1573" s="571" t="str">
        <f>IF(F1573="","",(SUMIF(INTGRATE!$Y:$Y,data!D1573,INTGRATE!$L:$L)+SUMIF(BRAN!$V:$V,data!D1573,BRAN!$J:$J)))</f>
        <v/>
      </c>
      <c r="C1573" s="572" t="str">
        <f t="shared" si="56"/>
        <v/>
      </c>
      <c r="D1573" s="573" t="str">
        <f>IFERROR(VLOOKUP(E1573,Map!$B:$F,4,0),"")&amp;IFERROR(VLOOKUP(E1573,Map!$B:$F,5,0),"")</f>
        <v/>
      </c>
      <c r="E1573" s="574" t="str">
        <f t="shared" si="57"/>
        <v/>
      </c>
    </row>
    <row r="1574" spans="2:5">
      <c r="B1574" s="571" t="str">
        <f>IF(F1574="","",(SUMIF(INTGRATE!$Y:$Y,data!D1574,INTGRATE!$L:$L)+SUMIF(BRAN!$V:$V,data!D1574,BRAN!$J:$J)))</f>
        <v/>
      </c>
      <c r="C1574" s="572" t="str">
        <f t="shared" si="56"/>
        <v/>
      </c>
      <c r="D1574" s="573" t="str">
        <f>IFERROR(VLOOKUP(E1574,Map!$B:$F,4,0),"")&amp;IFERROR(VLOOKUP(E1574,Map!$B:$F,5,0),"")</f>
        <v/>
      </c>
      <c r="E1574" s="574" t="str">
        <f t="shared" si="57"/>
        <v/>
      </c>
    </row>
    <row r="1575" spans="2:5">
      <c r="B1575" s="571" t="str">
        <f>IF(F1575="","",(SUMIF(INTGRATE!$Y:$Y,data!D1575,INTGRATE!$L:$L)+SUMIF(BRAN!$V:$V,data!D1575,BRAN!$J:$J)))</f>
        <v/>
      </c>
      <c r="C1575" s="572" t="str">
        <f t="shared" si="56"/>
        <v/>
      </c>
      <c r="D1575" s="573" t="str">
        <f>IFERROR(VLOOKUP(E1575,Map!$B:$F,4,0),"")&amp;IFERROR(VLOOKUP(E1575,Map!$B:$F,5,0),"")</f>
        <v/>
      </c>
      <c r="E1575" s="574" t="str">
        <f t="shared" si="57"/>
        <v/>
      </c>
    </row>
    <row r="1576" spans="2:5">
      <c r="B1576" s="571" t="str">
        <f>IF(F1576="","",(SUMIF(INTGRATE!$Y:$Y,data!D1576,INTGRATE!$L:$L)+SUMIF(BRAN!$V:$V,data!D1576,BRAN!$J:$J)))</f>
        <v/>
      </c>
      <c r="C1576" s="572" t="str">
        <f t="shared" si="56"/>
        <v/>
      </c>
      <c r="D1576" s="573" t="str">
        <f>IFERROR(VLOOKUP(E1576,Map!$B:$F,4,0),"")&amp;IFERROR(VLOOKUP(E1576,Map!$B:$F,5,0),"")</f>
        <v/>
      </c>
      <c r="E1576" s="574" t="str">
        <f t="shared" si="57"/>
        <v/>
      </c>
    </row>
    <row r="1577" spans="2:5">
      <c r="B1577" s="571" t="str">
        <f>IF(F1577="","",(SUMIF(INTGRATE!$Y:$Y,data!D1577,INTGRATE!$L:$L)+SUMIF(BRAN!$V:$V,data!D1577,BRAN!$J:$J)))</f>
        <v/>
      </c>
      <c r="C1577" s="572" t="str">
        <f t="shared" si="56"/>
        <v/>
      </c>
      <c r="D1577" s="573" t="str">
        <f>IFERROR(VLOOKUP(E1577,Map!$B:$F,4,0),"")&amp;IFERROR(VLOOKUP(E1577,Map!$B:$F,5,0),"")</f>
        <v/>
      </c>
      <c r="E1577" s="574" t="str">
        <f t="shared" si="57"/>
        <v/>
      </c>
    </row>
    <row r="1578" spans="2:5">
      <c r="B1578" s="571" t="str">
        <f>IF(F1578="","",(SUMIF(INTGRATE!$Y:$Y,data!D1578,INTGRATE!$L:$L)+SUMIF(BRAN!$V:$V,data!D1578,BRAN!$J:$J)))</f>
        <v/>
      </c>
      <c r="C1578" s="572" t="str">
        <f t="shared" si="56"/>
        <v/>
      </c>
      <c r="D1578" s="573" t="str">
        <f>IFERROR(VLOOKUP(E1578,Map!$B:$F,4,0),"")&amp;IFERROR(VLOOKUP(E1578,Map!$B:$F,5,0),"")</f>
        <v/>
      </c>
      <c r="E1578" s="574" t="str">
        <f t="shared" si="57"/>
        <v/>
      </c>
    </row>
    <row r="1579" spans="2:5">
      <c r="B1579" s="571" t="str">
        <f>IF(F1579="","",(SUMIF(INTGRATE!$Y:$Y,data!D1579,INTGRATE!$L:$L)+SUMIF(BRAN!$V:$V,data!D1579,BRAN!$J:$J)))</f>
        <v/>
      </c>
      <c r="C1579" s="572" t="str">
        <f t="shared" si="56"/>
        <v/>
      </c>
      <c r="D1579" s="573" t="str">
        <f>IFERROR(VLOOKUP(E1579,Map!$B:$F,4,0),"")&amp;IFERROR(VLOOKUP(E1579,Map!$B:$F,5,0),"")</f>
        <v/>
      </c>
      <c r="E1579" s="574" t="str">
        <f t="shared" si="57"/>
        <v/>
      </c>
    </row>
    <row r="1580" spans="2:5">
      <c r="B1580" s="571" t="str">
        <f>IF(F1580="","",(SUMIF(INTGRATE!$Y:$Y,data!D1580,INTGRATE!$L:$L)+SUMIF(BRAN!$V:$V,data!D1580,BRAN!$J:$J)))</f>
        <v/>
      </c>
      <c r="C1580" s="572" t="str">
        <f t="shared" si="56"/>
        <v/>
      </c>
      <c r="D1580" s="573" t="str">
        <f>IFERROR(VLOOKUP(E1580,Map!$B:$F,4,0),"")&amp;IFERROR(VLOOKUP(E1580,Map!$B:$F,5,0),"")</f>
        <v/>
      </c>
      <c r="E1580" s="574" t="str">
        <f t="shared" si="57"/>
        <v/>
      </c>
    </row>
    <row r="1581" spans="2:5">
      <c r="B1581" s="571" t="str">
        <f>IF(F1581="","",(SUMIF(INTGRATE!$Y:$Y,data!D1581,INTGRATE!$L:$L)+SUMIF(BRAN!$V:$V,data!D1581,BRAN!$J:$J)))</f>
        <v/>
      </c>
      <c r="C1581" s="572" t="str">
        <f t="shared" si="56"/>
        <v/>
      </c>
      <c r="D1581" s="573" t="str">
        <f>IFERROR(VLOOKUP(E1581,Map!$B:$F,4,0),"")&amp;IFERROR(VLOOKUP(E1581,Map!$B:$F,5,0),"")</f>
        <v/>
      </c>
      <c r="E1581" s="574" t="str">
        <f t="shared" si="57"/>
        <v/>
      </c>
    </row>
    <row r="1582" spans="2:5">
      <c r="B1582" s="571" t="str">
        <f>IF(F1582="","",(SUMIF(INTGRATE!$Y:$Y,data!D1582,INTGRATE!$L:$L)+SUMIF(BRAN!$V:$V,data!D1582,BRAN!$J:$J)))</f>
        <v/>
      </c>
      <c r="C1582" s="572" t="str">
        <f t="shared" si="56"/>
        <v/>
      </c>
      <c r="D1582" s="573" t="str">
        <f>IFERROR(VLOOKUP(E1582,Map!$B:$F,4,0),"")&amp;IFERROR(VLOOKUP(E1582,Map!$B:$F,5,0),"")</f>
        <v/>
      </c>
      <c r="E1582" s="574" t="str">
        <f t="shared" si="57"/>
        <v/>
      </c>
    </row>
    <row r="1583" spans="2:5">
      <c r="B1583" s="571" t="str">
        <f>IF(F1583="","",(SUMIF(INTGRATE!$Y:$Y,data!D1583,INTGRATE!$L:$L)+SUMIF(BRAN!$V:$V,data!D1583,BRAN!$J:$J)))</f>
        <v/>
      </c>
      <c r="C1583" s="572" t="str">
        <f t="shared" si="56"/>
        <v/>
      </c>
      <c r="D1583" s="573" t="str">
        <f>IFERROR(VLOOKUP(E1583,Map!$B:$F,4,0),"")&amp;IFERROR(VLOOKUP(E1583,Map!$B:$F,5,0),"")</f>
        <v/>
      </c>
      <c r="E1583" s="574" t="str">
        <f t="shared" si="57"/>
        <v/>
      </c>
    </row>
    <row r="1584" spans="2:5">
      <c r="B1584" s="571" t="str">
        <f>IF(F1584="","",(SUMIF(INTGRATE!$Y:$Y,data!D1584,INTGRATE!$L:$L)+SUMIF(BRAN!$V:$V,data!D1584,BRAN!$J:$J)))</f>
        <v/>
      </c>
      <c r="C1584" s="572" t="str">
        <f t="shared" si="56"/>
        <v/>
      </c>
      <c r="D1584" s="573" t="str">
        <f>IFERROR(VLOOKUP(E1584,Map!$B:$F,4,0),"")&amp;IFERROR(VLOOKUP(E1584,Map!$B:$F,5,0),"")</f>
        <v/>
      </c>
      <c r="E1584" s="574" t="str">
        <f t="shared" si="57"/>
        <v/>
      </c>
    </row>
    <row r="1585" spans="2:5">
      <c r="B1585" s="571" t="str">
        <f>IF(F1585="","",(SUMIF(INTGRATE!$Y:$Y,data!D1585,INTGRATE!$L:$L)+SUMIF(BRAN!$V:$V,data!D1585,BRAN!$J:$J)))</f>
        <v/>
      </c>
      <c r="C1585" s="572" t="str">
        <f t="shared" si="56"/>
        <v/>
      </c>
      <c r="D1585" s="573" t="str">
        <f>IFERROR(VLOOKUP(E1585,Map!$B:$F,4,0),"")&amp;IFERROR(VLOOKUP(E1585,Map!$B:$F,5,0),"")</f>
        <v/>
      </c>
      <c r="E1585" s="574" t="str">
        <f t="shared" si="57"/>
        <v/>
      </c>
    </row>
    <row r="1586" spans="2:5">
      <c r="B1586" s="571" t="str">
        <f>IF(F1586="","",(SUMIF(INTGRATE!$Y:$Y,data!D1586,INTGRATE!$L:$L)+SUMIF(BRAN!$V:$V,data!D1586,BRAN!$J:$J)))</f>
        <v/>
      </c>
      <c r="C1586" s="572" t="str">
        <f t="shared" si="56"/>
        <v/>
      </c>
      <c r="D1586" s="573" t="str">
        <f>IFERROR(VLOOKUP(E1586,Map!$B:$F,4,0),"")&amp;IFERROR(VLOOKUP(E1586,Map!$B:$F,5,0),"")</f>
        <v/>
      </c>
      <c r="E1586" s="574" t="str">
        <f t="shared" si="57"/>
        <v/>
      </c>
    </row>
    <row r="1587" spans="2:5">
      <c r="B1587" s="571" t="str">
        <f>IF(F1587="","",(SUMIF(INTGRATE!$Y:$Y,data!D1587,INTGRATE!$L:$L)+SUMIF(BRAN!$V:$V,data!D1587,BRAN!$J:$J)))</f>
        <v/>
      </c>
      <c r="C1587" s="572" t="str">
        <f t="shared" si="56"/>
        <v/>
      </c>
      <c r="D1587" s="573" t="str">
        <f>IFERROR(VLOOKUP(E1587,Map!$B:$F,4,0),"")&amp;IFERROR(VLOOKUP(E1587,Map!$B:$F,5,0),"")</f>
        <v/>
      </c>
      <c r="E1587" s="574" t="str">
        <f t="shared" si="57"/>
        <v/>
      </c>
    </row>
    <row r="1588" spans="2:5">
      <c r="B1588" s="571" t="str">
        <f>IF(F1588="","",(SUMIF(INTGRATE!$Y:$Y,data!D1588,INTGRATE!$L:$L)+SUMIF(BRAN!$V:$V,data!D1588,BRAN!$J:$J)))</f>
        <v/>
      </c>
      <c r="C1588" s="572" t="str">
        <f t="shared" si="56"/>
        <v/>
      </c>
      <c r="D1588" s="573" t="str">
        <f>IFERROR(VLOOKUP(E1588,Map!$B:$F,4,0),"")&amp;IFERROR(VLOOKUP(E1588,Map!$B:$F,5,0),"")</f>
        <v/>
      </c>
      <c r="E1588" s="574" t="str">
        <f t="shared" si="57"/>
        <v/>
      </c>
    </row>
    <row r="1589" spans="2:5">
      <c r="B1589" s="571" t="str">
        <f>IF(F1589="","",(SUMIF(INTGRATE!$Y:$Y,data!D1589,INTGRATE!$L:$L)+SUMIF(BRAN!$V:$V,data!D1589,BRAN!$J:$J)))</f>
        <v/>
      </c>
      <c r="C1589" s="572" t="str">
        <f t="shared" si="56"/>
        <v/>
      </c>
      <c r="D1589" s="573" t="str">
        <f>IFERROR(VLOOKUP(E1589,Map!$B:$F,4,0),"")&amp;IFERROR(VLOOKUP(E1589,Map!$B:$F,5,0),"")</f>
        <v/>
      </c>
      <c r="E1589" s="574" t="str">
        <f t="shared" si="57"/>
        <v/>
      </c>
    </row>
    <row r="1590" spans="2:5">
      <c r="B1590" s="571" t="str">
        <f>IF(F1590="","",(SUMIF(INTGRATE!$Y:$Y,data!D1590,INTGRATE!$L:$L)+SUMIF(BRAN!$V:$V,data!D1590,BRAN!$J:$J)))</f>
        <v/>
      </c>
      <c r="C1590" s="572" t="str">
        <f t="shared" si="56"/>
        <v/>
      </c>
      <c r="D1590" s="573" t="str">
        <f>IFERROR(VLOOKUP(E1590,Map!$B:$F,4,0),"")&amp;IFERROR(VLOOKUP(E1590,Map!$B:$F,5,0),"")</f>
        <v/>
      </c>
      <c r="E1590" s="574" t="str">
        <f t="shared" si="57"/>
        <v/>
      </c>
    </row>
    <row r="1591" spans="2:5">
      <c r="B1591" s="571" t="str">
        <f>IF(F1591="","",(SUMIF(INTGRATE!$Y:$Y,data!D1591,INTGRATE!$L:$L)+SUMIF(BRAN!$V:$V,data!D1591,BRAN!$J:$J)))</f>
        <v/>
      </c>
      <c r="C1591" s="572" t="str">
        <f t="shared" si="56"/>
        <v/>
      </c>
      <c r="D1591" s="573" t="str">
        <f>IFERROR(VLOOKUP(E1591,Map!$B:$F,4,0),"")&amp;IFERROR(VLOOKUP(E1591,Map!$B:$F,5,0),"")</f>
        <v/>
      </c>
      <c r="E1591" s="574" t="str">
        <f t="shared" si="57"/>
        <v/>
      </c>
    </row>
    <row r="1592" spans="2:5">
      <c r="B1592" s="571" t="str">
        <f>IF(F1592="","",(SUMIF(INTGRATE!$Y:$Y,data!D1592,INTGRATE!$L:$L)+SUMIF(BRAN!$V:$V,data!D1592,BRAN!$J:$J)))</f>
        <v/>
      </c>
      <c r="C1592" s="572" t="str">
        <f t="shared" si="56"/>
        <v/>
      </c>
      <c r="D1592" s="573" t="str">
        <f>IFERROR(VLOOKUP(E1592,Map!$B:$F,4,0),"")&amp;IFERROR(VLOOKUP(E1592,Map!$B:$F,5,0),"")</f>
        <v/>
      </c>
      <c r="E1592" s="574" t="str">
        <f t="shared" si="57"/>
        <v/>
      </c>
    </row>
    <row r="1593" spans="2:5">
      <c r="B1593" s="571" t="str">
        <f>IF(F1593="","",(SUMIF(INTGRATE!$Y:$Y,data!D1593,INTGRATE!$L:$L)+SUMIF(BRAN!$V:$V,data!D1593,BRAN!$J:$J)))</f>
        <v/>
      </c>
      <c r="C1593" s="572" t="str">
        <f t="shared" si="56"/>
        <v/>
      </c>
      <c r="D1593" s="573" t="str">
        <f>IFERROR(VLOOKUP(E1593,Map!$B:$F,4,0),"")&amp;IFERROR(VLOOKUP(E1593,Map!$B:$F,5,0),"")</f>
        <v/>
      </c>
      <c r="E1593" s="574" t="str">
        <f t="shared" si="57"/>
        <v/>
      </c>
    </row>
    <row r="1594" spans="2:5">
      <c r="B1594" s="571" t="str">
        <f>IF(F1594="","",(SUMIF(INTGRATE!$Y:$Y,data!D1594,INTGRATE!$L:$L)+SUMIF(BRAN!$V:$V,data!D1594,BRAN!$J:$J)))</f>
        <v/>
      </c>
      <c r="C1594" s="572" t="str">
        <f t="shared" si="56"/>
        <v/>
      </c>
      <c r="D1594" s="573" t="str">
        <f>IFERROR(VLOOKUP(E1594,Map!$B:$F,4,0),"")&amp;IFERROR(VLOOKUP(E1594,Map!$B:$F,5,0),"")</f>
        <v/>
      </c>
      <c r="E1594" s="574" t="str">
        <f t="shared" si="57"/>
        <v/>
      </c>
    </row>
    <row r="1595" spans="2:5">
      <c r="B1595" s="571" t="str">
        <f>IF(F1595="","",(SUMIF(INTGRATE!$Y:$Y,data!D1595,INTGRATE!$L:$L)+SUMIF(BRAN!$V:$V,data!D1595,BRAN!$J:$J)))</f>
        <v/>
      </c>
      <c r="C1595" s="572" t="str">
        <f t="shared" si="56"/>
        <v/>
      </c>
      <c r="D1595" s="573" t="str">
        <f>IFERROR(VLOOKUP(E1595,Map!$B:$F,4,0),"")&amp;IFERROR(VLOOKUP(E1595,Map!$B:$F,5,0),"")</f>
        <v/>
      </c>
      <c r="E1595" s="574" t="str">
        <f t="shared" si="57"/>
        <v/>
      </c>
    </row>
    <row r="1596" spans="2:5">
      <c r="B1596" s="571" t="str">
        <f>IF(F1596="","",(SUMIF(INTGRATE!$Y:$Y,data!D1596,INTGRATE!$L:$L)+SUMIF(BRAN!$V:$V,data!D1596,BRAN!$J:$J)))</f>
        <v/>
      </c>
      <c r="C1596" s="572" t="str">
        <f t="shared" si="56"/>
        <v/>
      </c>
      <c r="D1596" s="573" t="str">
        <f>IFERROR(VLOOKUP(E1596,Map!$B:$F,4,0),"")&amp;IFERROR(VLOOKUP(E1596,Map!$B:$F,5,0),"")</f>
        <v/>
      </c>
      <c r="E1596" s="574" t="str">
        <f t="shared" si="57"/>
        <v/>
      </c>
    </row>
    <row r="1597" spans="2:5">
      <c r="B1597" s="571" t="str">
        <f>IF(F1597="","",(SUMIF(INTGRATE!$Y:$Y,data!D1597,INTGRATE!$L:$L)+SUMIF(BRAN!$V:$V,data!D1597,BRAN!$J:$J)))</f>
        <v/>
      </c>
      <c r="C1597" s="572" t="str">
        <f t="shared" si="56"/>
        <v/>
      </c>
      <c r="D1597" s="573" t="str">
        <f>IFERROR(VLOOKUP(E1597,Map!$B:$F,4,0),"")&amp;IFERROR(VLOOKUP(E1597,Map!$B:$F,5,0),"")</f>
        <v/>
      </c>
      <c r="E1597" s="574" t="str">
        <f t="shared" si="57"/>
        <v/>
      </c>
    </row>
    <row r="1598" spans="2:5">
      <c r="B1598" s="571" t="str">
        <f>IF(F1598="","",(SUMIF(INTGRATE!$Y:$Y,data!D1598,INTGRATE!$L:$L)+SUMIF(BRAN!$V:$V,data!D1598,BRAN!$J:$J)))</f>
        <v/>
      </c>
      <c r="C1598" s="572" t="str">
        <f t="shared" si="56"/>
        <v/>
      </c>
      <c r="D1598" s="573" t="str">
        <f>IFERROR(VLOOKUP(E1598,Map!$B:$F,4,0),"")&amp;IFERROR(VLOOKUP(E1598,Map!$B:$F,5,0),"")</f>
        <v/>
      </c>
      <c r="E1598" s="574" t="str">
        <f t="shared" si="57"/>
        <v/>
      </c>
    </row>
    <row r="1599" spans="2:5">
      <c r="B1599" s="571" t="str">
        <f>IF(F1599="","",(SUMIF(INTGRATE!$Y:$Y,data!D1599,INTGRATE!$L:$L)+SUMIF(BRAN!$V:$V,data!D1599,BRAN!$J:$J)))</f>
        <v/>
      </c>
      <c r="C1599" s="572" t="str">
        <f t="shared" ref="C1599:C1647" si="58">IF(F1599="","",B1599-K1599)</f>
        <v/>
      </c>
      <c r="D1599" s="573" t="str">
        <f>IFERROR(VLOOKUP(E1599,Map!$B:$F,4,0),"")&amp;IFERROR(VLOOKUP(E1599,Map!$B:$F,5,0),"")</f>
        <v/>
      </c>
      <c r="E1599" s="574" t="str">
        <f t="shared" si="57"/>
        <v/>
      </c>
    </row>
    <row r="1600" spans="2:5">
      <c r="B1600" s="571" t="str">
        <f>IF(F1600="","",(SUMIF(INTGRATE!$Y:$Y,data!D1600,INTGRATE!$L:$L)+SUMIF(BRAN!$V:$V,data!D1600,BRAN!$J:$J)))</f>
        <v/>
      </c>
      <c r="C1600" s="572" t="str">
        <f t="shared" si="58"/>
        <v/>
      </c>
      <c r="D1600" s="573" t="str">
        <f>IFERROR(VLOOKUP(E1600,Map!$B:$F,4,0),"")&amp;IFERROR(VLOOKUP(E1600,Map!$B:$F,5,0),"")</f>
        <v/>
      </c>
      <c r="E1600" s="574" t="str">
        <f t="shared" si="57"/>
        <v/>
      </c>
    </row>
    <row r="1601" spans="2:5">
      <c r="B1601" s="571" t="str">
        <f>IF(F1601="","",(SUMIF(INTGRATE!$Y:$Y,data!D1601,INTGRATE!$L:$L)+SUMIF(BRAN!$V:$V,data!D1601,BRAN!$J:$J)))</f>
        <v/>
      </c>
      <c r="C1601" s="572" t="str">
        <f t="shared" si="58"/>
        <v/>
      </c>
      <c r="D1601" s="573" t="str">
        <f>IFERROR(VLOOKUP(E1601,Map!$B:$F,4,0),"")&amp;IFERROR(VLOOKUP(E1601,Map!$B:$F,5,0),"")</f>
        <v/>
      </c>
      <c r="E1601" s="574" t="str">
        <f t="shared" si="57"/>
        <v/>
      </c>
    </row>
    <row r="1602" spans="2:5">
      <c r="B1602" s="571" t="str">
        <f>IF(F1602="","",(SUMIF(INTGRATE!$Y:$Y,data!D1602,INTGRATE!$L:$L)+SUMIF(BRAN!$V:$V,data!D1602,BRAN!$J:$J)))</f>
        <v/>
      </c>
      <c r="C1602" s="572" t="str">
        <f t="shared" si="58"/>
        <v/>
      </c>
      <c r="D1602" s="573" t="str">
        <f>IFERROR(VLOOKUP(E1602,Map!$B:$F,4,0),"")&amp;IFERROR(VLOOKUP(E1602,Map!$B:$F,5,0),"")</f>
        <v/>
      </c>
      <c r="E1602" s="574" t="str">
        <f t="shared" si="57"/>
        <v/>
      </c>
    </row>
    <row r="1603" spans="2:5">
      <c r="B1603" s="571" t="str">
        <f>IF(F1603="","",(SUMIF(INTGRATE!$Y:$Y,data!D1603,INTGRATE!$L:$L)+SUMIF(BRAN!$V:$V,data!D1603,BRAN!$J:$J)))</f>
        <v/>
      </c>
      <c r="C1603" s="572" t="str">
        <f t="shared" si="58"/>
        <v/>
      </c>
      <c r="D1603" s="573" t="str">
        <f>IFERROR(VLOOKUP(E1603,Map!$B:$F,4,0),"")&amp;IFERROR(VLOOKUP(E1603,Map!$B:$F,5,0),"")</f>
        <v/>
      </c>
      <c r="E1603" s="574" t="str">
        <f t="shared" si="57"/>
        <v/>
      </c>
    </row>
    <row r="1604" spans="2:5">
      <c r="B1604" s="571" t="str">
        <f>IF(F1604="","",(SUMIF(INTGRATE!$Y:$Y,data!D1604,INTGRATE!$L:$L)+SUMIF(BRAN!$V:$V,data!D1604,BRAN!$J:$J)))</f>
        <v/>
      </c>
      <c r="C1604" s="572" t="str">
        <f t="shared" si="58"/>
        <v/>
      </c>
      <c r="D1604" s="573" t="str">
        <f>IFERROR(VLOOKUP(E1604,Map!$B:$F,4,0),"")&amp;IFERROR(VLOOKUP(E1604,Map!$B:$F,5,0),"")</f>
        <v/>
      </c>
      <c r="E1604" s="574" t="str">
        <f t="shared" si="57"/>
        <v/>
      </c>
    </row>
    <row r="1605" spans="2:5">
      <c r="B1605" s="571" t="str">
        <f>IF(F1605="","",(SUMIF(INTGRATE!$Y:$Y,data!D1605,INTGRATE!$L:$L)+SUMIF(BRAN!$V:$V,data!D1605,BRAN!$J:$J)))</f>
        <v/>
      </c>
      <c r="C1605" s="572" t="str">
        <f t="shared" si="58"/>
        <v/>
      </c>
      <c r="D1605" s="573" t="str">
        <f>IFERROR(VLOOKUP(E1605,Map!$B:$F,4,0),"")&amp;IFERROR(VLOOKUP(E1605,Map!$B:$F,5,0),"")</f>
        <v/>
      </c>
      <c r="E1605" s="574" t="str">
        <f t="shared" si="57"/>
        <v/>
      </c>
    </row>
    <row r="1606" spans="2:5">
      <c r="B1606" s="571" t="str">
        <f>IF(F1606="","",(SUMIF(INTGRATE!$Y:$Y,data!D1606,INTGRATE!$L:$L)+SUMIF(BRAN!$V:$V,data!D1606,BRAN!$J:$J)))</f>
        <v/>
      </c>
      <c r="C1606" s="572" t="str">
        <f t="shared" si="58"/>
        <v/>
      </c>
      <c r="D1606" s="573" t="str">
        <f>IFERROR(VLOOKUP(E1606,Map!$B:$F,4,0),"")&amp;IFERROR(VLOOKUP(E1606,Map!$B:$F,5,0),"")</f>
        <v/>
      </c>
      <c r="E1606" s="574" t="str">
        <f t="shared" si="57"/>
        <v/>
      </c>
    </row>
    <row r="1607" spans="2:5">
      <c r="B1607" s="571" t="str">
        <f>IF(F1607="","",(SUMIF(INTGRATE!$Y:$Y,data!D1607,INTGRATE!$L:$L)+SUMIF(BRAN!$V:$V,data!D1607,BRAN!$J:$J)))</f>
        <v/>
      </c>
      <c r="C1607" s="572" t="str">
        <f t="shared" si="58"/>
        <v/>
      </c>
      <c r="D1607" s="573" t="str">
        <f>IFERROR(VLOOKUP(E1607,Map!$B:$F,4,0),"")&amp;IFERROR(VLOOKUP(E1607,Map!$B:$F,5,0),"")</f>
        <v/>
      </c>
      <c r="E1607" s="574" t="str">
        <f t="shared" si="57"/>
        <v/>
      </c>
    </row>
    <row r="1608" spans="2:5">
      <c r="B1608" s="571" t="str">
        <f>IF(F1608="","",(SUMIF(INTGRATE!$Y:$Y,data!D1608,INTGRATE!$L:$L)+SUMIF(BRAN!$V:$V,data!D1608,BRAN!$J:$J)))</f>
        <v/>
      </c>
      <c r="C1608" s="572" t="str">
        <f t="shared" si="58"/>
        <v/>
      </c>
      <c r="D1608" s="573" t="str">
        <f>IFERROR(VLOOKUP(E1608,Map!$B:$F,4,0),"")&amp;IFERROR(VLOOKUP(E1608,Map!$B:$F,5,0),"")</f>
        <v/>
      </c>
      <c r="E1608" s="574" t="str">
        <f t="shared" si="57"/>
        <v/>
      </c>
    </row>
    <row r="1609" spans="2:5">
      <c r="B1609" s="571" t="str">
        <f>IF(F1609="","",(SUMIF(INTGRATE!$Y:$Y,data!D1609,INTGRATE!$L:$L)+SUMIF(BRAN!$V:$V,data!D1609,BRAN!$J:$J)))</f>
        <v/>
      </c>
      <c r="C1609" s="572" t="str">
        <f t="shared" si="58"/>
        <v/>
      </c>
      <c r="D1609" s="573" t="str">
        <f>IFERROR(VLOOKUP(E1609,Map!$B:$F,4,0),"")&amp;IFERROR(VLOOKUP(E1609,Map!$B:$F,5,0),"")</f>
        <v/>
      </c>
      <c r="E1609" s="574" t="str">
        <f t="shared" si="57"/>
        <v/>
      </c>
    </row>
    <row r="1610" spans="2:5">
      <c r="B1610" s="571" t="str">
        <f>IF(F1610="","",(SUMIF(INTGRATE!$Y:$Y,data!D1610,INTGRATE!$L:$L)+SUMIF(BRAN!$V:$V,data!D1610,BRAN!$J:$J)))</f>
        <v/>
      </c>
      <c r="C1610" s="572" t="str">
        <f t="shared" si="58"/>
        <v/>
      </c>
      <c r="D1610" s="573" t="str">
        <f>IFERROR(VLOOKUP(E1610,Map!$B:$F,4,0),"")&amp;IFERROR(VLOOKUP(E1610,Map!$B:$F,5,0),"")</f>
        <v/>
      </c>
      <c r="E1610" s="574" t="str">
        <f t="shared" si="57"/>
        <v/>
      </c>
    </row>
    <row r="1611" spans="2:5">
      <c r="B1611" s="571" t="str">
        <f>IF(F1611="","",(SUMIF(INTGRATE!$Y:$Y,data!D1611,INTGRATE!$L:$L)+SUMIF(BRAN!$V:$V,data!D1611,BRAN!$J:$J)))</f>
        <v/>
      </c>
      <c r="C1611" s="572" t="str">
        <f t="shared" si="58"/>
        <v/>
      </c>
      <c r="D1611" s="573" t="str">
        <f>IFERROR(VLOOKUP(E1611,Map!$B:$F,4,0),"")&amp;IFERROR(VLOOKUP(E1611,Map!$B:$F,5,0),"")</f>
        <v/>
      </c>
      <c r="E1611" s="574" t="str">
        <f t="shared" si="57"/>
        <v/>
      </c>
    </row>
    <row r="1612" spans="2:5">
      <c r="B1612" s="571" t="str">
        <f>IF(F1612="","",(SUMIF(INTGRATE!$Y:$Y,data!D1612,INTGRATE!$L:$L)+SUMIF(BRAN!$V:$V,data!D1612,BRAN!$J:$J)))</f>
        <v/>
      </c>
      <c r="C1612" s="572" t="str">
        <f t="shared" si="58"/>
        <v/>
      </c>
      <c r="D1612" s="573" t="str">
        <f>IFERROR(VLOOKUP(E1612,Map!$B:$F,4,0),"")&amp;IFERROR(VLOOKUP(E1612,Map!$B:$F,5,0),"")</f>
        <v/>
      </c>
      <c r="E1612" s="574" t="str">
        <f t="shared" si="57"/>
        <v/>
      </c>
    </row>
    <row r="1613" spans="2:5">
      <c r="B1613" s="571" t="str">
        <f>IF(F1613="","",(SUMIF(INTGRATE!$Y:$Y,data!D1613,INTGRATE!$L:$L)+SUMIF(BRAN!$V:$V,data!D1613,BRAN!$J:$J)))</f>
        <v/>
      </c>
      <c r="C1613" s="572" t="str">
        <f t="shared" si="58"/>
        <v/>
      </c>
      <c r="D1613" s="573" t="str">
        <f>IFERROR(VLOOKUP(E1613,Map!$B:$F,4,0),"")&amp;IFERROR(VLOOKUP(E1613,Map!$B:$F,5,0),"")</f>
        <v/>
      </c>
      <c r="E1613" s="574" t="str">
        <f t="shared" si="57"/>
        <v/>
      </c>
    </row>
    <row r="1614" spans="2:5">
      <c r="B1614" s="571" t="str">
        <f>IF(F1614="","",(SUMIF(INTGRATE!$Y:$Y,data!D1614,INTGRATE!$L:$L)+SUMIF(BRAN!$V:$V,data!D1614,BRAN!$J:$J)))</f>
        <v/>
      </c>
      <c r="C1614" s="572" t="str">
        <f t="shared" si="58"/>
        <v/>
      </c>
      <c r="D1614" s="573" t="str">
        <f>IFERROR(VLOOKUP(E1614,Map!$B:$F,4,0),"")&amp;IFERROR(VLOOKUP(E1614,Map!$B:$F,5,0),"")</f>
        <v/>
      </c>
      <c r="E1614" s="574" t="str">
        <f t="shared" si="57"/>
        <v/>
      </c>
    </row>
    <row r="1615" spans="2:5">
      <c r="B1615" s="571" t="str">
        <f>IF(F1615="","",(SUMIF(INTGRATE!$Y:$Y,data!D1615,INTGRATE!$L:$L)+SUMIF(BRAN!$V:$V,data!D1615,BRAN!$J:$J)))</f>
        <v/>
      </c>
      <c r="C1615" s="572" t="str">
        <f t="shared" si="58"/>
        <v/>
      </c>
      <c r="D1615" s="573" t="str">
        <f>IFERROR(VLOOKUP(E1615,Map!$B:$F,4,0),"")&amp;IFERROR(VLOOKUP(E1615,Map!$B:$F,5,0),"")</f>
        <v/>
      </c>
      <c r="E1615" s="574" t="str">
        <f t="shared" si="57"/>
        <v/>
      </c>
    </row>
    <row r="1616" spans="2:5">
      <c r="B1616" s="571" t="str">
        <f>IF(F1616="","",(SUMIF(INTGRATE!$Y:$Y,data!D1616,INTGRATE!$L:$L)+SUMIF(BRAN!$V:$V,data!D1616,BRAN!$J:$J)))</f>
        <v/>
      </c>
      <c r="C1616" s="572" t="str">
        <f t="shared" si="58"/>
        <v/>
      </c>
      <c r="D1616" s="573" t="str">
        <f>IFERROR(VLOOKUP(E1616,Map!$B:$F,4,0),"")&amp;IFERROR(VLOOKUP(E1616,Map!$B:$F,5,0),"")</f>
        <v/>
      </c>
      <c r="E1616" s="574" t="str">
        <f t="shared" si="57"/>
        <v/>
      </c>
    </row>
    <row r="1617" spans="2:5">
      <c r="B1617" s="571" t="str">
        <f>IF(F1617="","",(SUMIF(INTGRATE!$Y:$Y,data!D1617,INTGRATE!$L:$L)+SUMIF(BRAN!$V:$V,data!D1617,BRAN!$J:$J)))</f>
        <v/>
      </c>
      <c r="C1617" s="572" t="str">
        <f t="shared" si="58"/>
        <v/>
      </c>
      <c r="D1617" s="573" t="str">
        <f>IFERROR(VLOOKUP(E1617,Map!$B:$F,4,0),"")&amp;IFERROR(VLOOKUP(E1617,Map!$B:$F,5,0),"")</f>
        <v/>
      </c>
      <c r="E1617" s="574" t="str">
        <f t="shared" si="57"/>
        <v/>
      </c>
    </row>
    <row r="1618" spans="2:5">
      <c r="B1618" s="571" t="str">
        <f>IF(F1618="","",(SUMIF(INTGRATE!$Y:$Y,data!D1618,INTGRATE!$L:$L)+SUMIF(BRAN!$V:$V,data!D1618,BRAN!$J:$J)))</f>
        <v/>
      </c>
      <c r="C1618" s="572" t="str">
        <f t="shared" si="58"/>
        <v/>
      </c>
      <c r="D1618" s="573" t="str">
        <f>IFERROR(VLOOKUP(E1618,Map!$B:$F,4,0),"")&amp;IFERROR(VLOOKUP(E1618,Map!$B:$F,5,0),"")</f>
        <v/>
      </c>
      <c r="E1618" s="574" t="str">
        <f t="shared" si="57"/>
        <v/>
      </c>
    </row>
    <row r="1619" spans="2:5">
      <c r="B1619" s="571" t="str">
        <f>IF(F1619="","",(SUMIF(INTGRATE!$Y:$Y,data!D1619,INTGRATE!$L:$L)+SUMIF(BRAN!$V:$V,data!D1619,BRAN!$J:$J)))</f>
        <v/>
      </c>
      <c r="C1619" s="572" t="str">
        <f t="shared" si="58"/>
        <v/>
      </c>
      <c r="D1619" s="573" t="str">
        <f>IFERROR(VLOOKUP(E1619,Map!$B:$F,4,0),"")&amp;IFERROR(VLOOKUP(E1619,Map!$B:$F,5,0),"")</f>
        <v/>
      </c>
      <c r="E1619" s="574" t="str">
        <f t="shared" si="57"/>
        <v/>
      </c>
    </row>
    <row r="1620" spans="2:5">
      <c r="B1620" s="571" t="str">
        <f>IF(F1620="","",(SUMIF(INTGRATE!$Y:$Y,data!D1620,INTGRATE!$L:$L)+SUMIF(BRAN!$V:$V,data!D1620,BRAN!$J:$J)))</f>
        <v/>
      </c>
      <c r="C1620" s="572" t="str">
        <f t="shared" si="58"/>
        <v/>
      </c>
      <c r="D1620" s="573" t="str">
        <f>IFERROR(VLOOKUP(E1620,Map!$B:$F,4,0),"")&amp;IFERROR(VLOOKUP(E1620,Map!$B:$F,5,0),"")</f>
        <v/>
      </c>
      <c r="E1620" s="574" t="str">
        <f t="shared" si="57"/>
        <v/>
      </c>
    </row>
    <row r="1621" spans="2:5">
      <c r="B1621" s="571" t="str">
        <f>IF(F1621="","",(SUMIF(INTGRATE!$Y:$Y,data!D1621,INTGRATE!$L:$L)+SUMIF(BRAN!$V:$V,data!D1621,BRAN!$J:$J)))</f>
        <v/>
      </c>
      <c r="C1621" s="572" t="str">
        <f t="shared" si="58"/>
        <v/>
      </c>
      <c r="D1621" s="573" t="str">
        <f>IFERROR(VLOOKUP(E1621,Map!$B:$F,4,0),"")&amp;IFERROR(VLOOKUP(E1621,Map!$B:$F,5,0),"")</f>
        <v/>
      </c>
      <c r="E1621" s="574" t="str">
        <f t="shared" si="57"/>
        <v/>
      </c>
    </row>
    <row r="1622" spans="2:5">
      <c r="B1622" s="571" t="str">
        <f>IF(F1622="","",(SUMIF(INTGRATE!$Y:$Y,data!D1622,INTGRATE!$L:$L)+SUMIF(BRAN!$V:$V,data!D1622,BRAN!$J:$J)))</f>
        <v/>
      </c>
      <c r="C1622" s="572" t="str">
        <f t="shared" si="58"/>
        <v/>
      </c>
      <c r="D1622" s="573" t="str">
        <f>IFERROR(VLOOKUP(E1622,Map!$B:$F,4,0),"")&amp;IFERROR(VLOOKUP(E1622,Map!$B:$F,5,0),"")</f>
        <v/>
      </c>
      <c r="E1622" s="574" t="str">
        <f t="shared" si="57"/>
        <v/>
      </c>
    </row>
    <row r="1623" spans="2:5">
      <c r="B1623" s="571" t="str">
        <f>IF(F1623="","",(SUMIF(INTGRATE!$Y:$Y,data!D1623,INTGRATE!$L:$L)+SUMIF(BRAN!$V:$V,data!D1623,BRAN!$J:$J)))</f>
        <v/>
      </c>
      <c r="C1623" s="572" t="str">
        <f t="shared" si="58"/>
        <v/>
      </c>
      <c r="D1623" s="573" t="str">
        <f>IFERROR(VLOOKUP(E1623,Map!$B:$F,4,0),"")&amp;IFERROR(VLOOKUP(E1623,Map!$B:$F,5,0),"")</f>
        <v/>
      </c>
      <c r="E1623" s="574" t="str">
        <f t="shared" si="57"/>
        <v/>
      </c>
    </row>
    <row r="1624" spans="2:5">
      <c r="B1624" s="571" t="str">
        <f>IF(F1624="","",(SUMIF(INTGRATE!$Y:$Y,data!D1624,INTGRATE!$L:$L)+SUMIF(BRAN!$V:$V,data!D1624,BRAN!$J:$J)))</f>
        <v/>
      </c>
      <c r="C1624" s="572" t="str">
        <f t="shared" si="58"/>
        <v/>
      </c>
      <c r="D1624" s="573" t="str">
        <f>IFERROR(VLOOKUP(E1624,Map!$B:$F,4,0),"")&amp;IFERROR(VLOOKUP(E1624,Map!$B:$F,5,0),"")</f>
        <v/>
      </c>
      <c r="E1624" s="574" t="str">
        <f t="shared" si="57"/>
        <v/>
      </c>
    </row>
    <row r="1625" spans="2:5">
      <c r="B1625" s="571" t="str">
        <f>IF(F1625="","",(SUMIF(INTGRATE!$Y:$Y,data!D1625,INTGRATE!$L:$L)+SUMIF(BRAN!$V:$V,data!D1625,BRAN!$J:$J)))</f>
        <v/>
      </c>
      <c r="C1625" s="572" t="str">
        <f t="shared" si="58"/>
        <v/>
      </c>
      <c r="D1625" s="573" t="str">
        <f>IFERROR(VLOOKUP(E1625,Map!$B:$F,4,0),"")&amp;IFERROR(VLOOKUP(E1625,Map!$B:$F,5,0),"")</f>
        <v/>
      </c>
      <c r="E1625" s="574" t="str">
        <f t="shared" si="57"/>
        <v/>
      </c>
    </row>
    <row r="1626" spans="2:5">
      <c r="B1626" s="571" t="str">
        <f>IF(F1626="","",(SUMIF(INTGRATE!$Y:$Y,data!D1626,INTGRATE!$L:$L)+SUMIF(BRAN!$V:$V,data!D1626,BRAN!$J:$J)))</f>
        <v/>
      </c>
      <c r="C1626" s="572" t="str">
        <f t="shared" si="58"/>
        <v/>
      </c>
      <c r="D1626" s="573" t="str">
        <f>IFERROR(VLOOKUP(E1626,Map!$B:$F,4,0),"")&amp;IFERROR(VLOOKUP(E1626,Map!$B:$F,5,0),"")</f>
        <v/>
      </c>
      <c r="E1626" s="574" t="str">
        <f t="shared" si="57"/>
        <v/>
      </c>
    </row>
    <row r="1627" spans="2:5">
      <c r="B1627" s="571" t="str">
        <f>IF(F1627="","",(SUMIF(INTGRATE!$Y:$Y,data!D1627,INTGRATE!$L:$L)+SUMIF(BRAN!$V:$V,data!D1627,BRAN!$J:$J)))</f>
        <v/>
      </c>
      <c r="C1627" s="572" t="str">
        <f t="shared" si="58"/>
        <v/>
      </c>
      <c r="D1627" s="573" t="str">
        <f>IFERROR(VLOOKUP(E1627,Map!$B:$F,4,0),"")&amp;IFERROR(VLOOKUP(E1627,Map!$B:$F,5,0),"")</f>
        <v/>
      </c>
      <c r="E1627" s="574" t="str">
        <f t="shared" si="57"/>
        <v/>
      </c>
    </row>
    <row r="1628" spans="2:5">
      <c r="B1628" s="571" t="str">
        <f>IF(F1628="","",(SUMIF(INTGRATE!$Y:$Y,data!D1628,INTGRATE!$L:$L)+SUMIF(BRAN!$V:$V,data!D1628,BRAN!$J:$J)))</f>
        <v/>
      </c>
      <c r="C1628" s="572" t="str">
        <f t="shared" si="58"/>
        <v/>
      </c>
      <c r="D1628" s="573" t="str">
        <f>IFERROR(VLOOKUP(E1628,Map!$B:$F,4,0),"")&amp;IFERROR(VLOOKUP(E1628,Map!$B:$F,5,0),"")</f>
        <v/>
      </c>
      <c r="E1628" s="574" t="str">
        <f t="shared" si="57"/>
        <v/>
      </c>
    </row>
    <row r="1629" spans="2:5">
      <c r="B1629" s="571" t="str">
        <f>IF(F1629="","",(SUMIF(INTGRATE!$Y:$Y,data!D1629,INTGRATE!$L:$L)+SUMIF(BRAN!$V:$V,data!D1629,BRAN!$J:$J)))</f>
        <v/>
      </c>
      <c r="C1629" s="572" t="str">
        <f t="shared" si="58"/>
        <v/>
      </c>
      <c r="D1629" s="573" t="str">
        <f>IFERROR(VLOOKUP(E1629,Map!$B:$F,4,0),"")&amp;IFERROR(VLOOKUP(E1629,Map!$B:$F,5,0),"")</f>
        <v/>
      </c>
      <c r="E1629" s="574" t="str">
        <f t="shared" si="57"/>
        <v/>
      </c>
    </row>
    <row r="1630" spans="2:5">
      <c r="B1630" s="571" t="str">
        <f>IF(F1630="","",(SUMIF(INTGRATE!$Y:$Y,data!D1630,INTGRATE!$L:$L)+SUMIF(BRAN!$V:$V,data!D1630,BRAN!$J:$J)))</f>
        <v/>
      </c>
      <c r="C1630" s="572" t="str">
        <f t="shared" si="58"/>
        <v/>
      </c>
      <c r="D1630" s="573" t="str">
        <f>IFERROR(VLOOKUP(E1630,Map!$B:$F,4,0),"")&amp;IFERROR(VLOOKUP(E1630,Map!$B:$F,5,0),"")</f>
        <v/>
      </c>
      <c r="E1630" s="574" t="str">
        <f t="shared" si="57"/>
        <v/>
      </c>
    </row>
    <row r="1631" spans="2:5">
      <c r="B1631" s="571" t="str">
        <f>IF(F1631="","",(SUMIF(INTGRATE!$Y:$Y,data!D1631,INTGRATE!$L:$L)+SUMIF(BRAN!$V:$V,data!D1631,BRAN!$J:$J)))</f>
        <v/>
      </c>
      <c r="C1631" s="572" t="str">
        <f t="shared" si="58"/>
        <v/>
      </c>
      <c r="D1631" s="573" t="str">
        <f>IFERROR(VLOOKUP(E1631,Map!$B:$F,4,0),"")&amp;IFERROR(VLOOKUP(E1631,Map!$B:$F,5,0),"")</f>
        <v/>
      </c>
      <c r="E1631" s="574" t="str">
        <f t="shared" si="57"/>
        <v/>
      </c>
    </row>
    <row r="1632" spans="2:5">
      <c r="B1632" s="571" t="str">
        <f>IF(F1632="","",(SUMIF(INTGRATE!$Y:$Y,data!D1632,INTGRATE!$L:$L)+SUMIF(BRAN!$V:$V,data!D1632,BRAN!$J:$J)))</f>
        <v/>
      </c>
      <c r="C1632" s="572" t="str">
        <f t="shared" si="58"/>
        <v/>
      </c>
      <c r="D1632" s="573" t="str">
        <f>IFERROR(VLOOKUP(E1632,Map!$B:$F,4,0),"")&amp;IFERROR(VLOOKUP(E1632,Map!$B:$F,5,0),"")</f>
        <v/>
      </c>
      <c r="E1632" s="574" t="str">
        <f t="shared" ref="E1632:E1647" si="59">IF(MID(F1632,10,2)="99",F1632&amp;H1632,LEFT(F1632,14))</f>
        <v/>
      </c>
    </row>
    <row r="1633" spans="2:5">
      <c r="B1633" s="571" t="str">
        <f>IF(F1633="","",(SUMIF(INTGRATE!$Y:$Y,data!D1633,INTGRATE!$L:$L)+SUMIF(BRAN!$V:$V,data!D1633,BRAN!$J:$J)))</f>
        <v/>
      </c>
      <c r="C1633" s="572" t="str">
        <f t="shared" si="58"/>
        <v/>
      </c>
      <c r="D1633" s="573" t="str">
        <f>IFERROR(VLOOKUP(E1633,Map!$B:$F,4,0),"")&amp;IFERROR(VLOOKUP(E1633,Map!$B:$F,5,0),"")</f>
        <v/>
      </c>
      <c r="E1633" s="574" t="str">
        <f t="shared" si="59"/>
        <v/>
      </c>
    </row>
    <row r="1634" spans="2:5">
      <c r="B1634" s="571" t="str">
        <f>IF(F1634="","",(SUMIF(INTGRATE!$Y:$Y,data!D1634,INTGRATE!$L:$L)+SUMIF(BRAN!$V:$V,data!D1634,BRAN!$J:$J)))</f>
        <v/>
      </c>
      <c r="C1634" s="572" t="str">
        <f t="shared" si="58"/>
        <v/>
      </c>
      <c r="D1634" s="573" t="str">
        <f>IFERROR(VLOOKUP(E1634,Map!$B:$F,4,0),"")&amp;IFERROR(VLOOKUP(E1634,Map!$B:$F,5,0),"")</f>
        <v/>
      </c>
      <c r="E1634" s="574" t="str">
        <f t="shared" si="59"/>
        <v/>
      </c>
    </row>
    <row r="1635" spans="2:5">
      <c r="B1635" s="571" t="str">
        <f>IF(F1635="","",(SUMIF(INTGRATE!$Y:$Y,data!D1635,INTGRATE!$L:$L)+SUMIF(BRAN!$V:$V,data!D1635,BRAN!$J:$J)))</f>
        <v/>
      </c>
      <c r="C1635" s="572" t="str">
        <f t="shared" si="58"/>
        <v/>
      </c>
      <c r="D1635" s="573" t="str">
        <f>IFERROR(VLOOKUP(E1635,Map!$B:$F,4,0),"")&amp;IFERROR(VLOOKUP(E1635,Map!$B:$F,5,0),"")</f>
        <v/>
      </c>
      <c r="E1635" s="574" t="str">
        <f t="shared" si="59"/>
        <v/>
      </c>
    </row>
    <row r="1636" spans="2:5">
      <c r="B1636" s="571" t="str">
        <f>IF(F1636="","",(SUMIF(INTGRATE!$Y:$Y,data!D1636,INTGRATE!$L:$L)+SUMIF(BRAN!$V:$V,data!D1636,BRAN!$J:$J)))</f>
        <v/>
      </c>
      <c r="C1636" s="572" t="str">
        <f t="shared" si="58"/>
        <v/>
      </c>
      <c r="D1636" s="573" t="str">
        <f>IFERROR(VLOOKUP(E1636,Map!$B:$F,4,0),"")&amp;IFERROR(VLOOKUP(E1636,Map!$B:$F,5,0),"")</f>
        <v/>
      </c>
      <c r="E1636" s="574" t="str">
        <f t="shared" si="59"/>
        <v/>
      </c>
    </row>
    <row r="1637" spans="2:5">
      <c r="B1637" s="571" t="str">
        <f>IF(F1637="","",(SUMIF(INTGRATE!$Y:$Y,data!D1637,INTGRATE!$L:$L)+SUMIF(BRAN!$V:$V,data!D1637,BRAN!$J:$J)))</f>
        <v/>
      </c>
      <c r="C1637" s="572" t="str">
        <f t="shared" si="58"/>
        <v/>
      </c>
      <c r="D1637" s="573" t="str">
        <f>IFERROR(VLOOKUP(E1637,Map!$B:$F,4,0),"")&amp;IFERROR(VLOOKUP(E1637,Map!$B:$F,5,0),"")</f>
        <v/>
      </c>
      <c r="E1637" s="574" t="str">
        <f t="shared" si="59"/>
        <v/>
      </c>
    </row>
    <row r="1638" spans="2:5">
      <c r="B1638" s="571" t="str">
        <f>IF(F1638="","",(SUMIF(INTGRATE!$Y:$Y,data!D1638,INTGRATE!$L:$L)+SUMIF(BRAN!$V:$V,data!D1638,BRAN!$J:$J)))</f>
        <v/>
      </c>
      <c r="C1638" s="572" t="str">
        <f t="shared" si="58"/>
        <v/>
      </c>
      <c r="D1638" s="573" t="str">
        <f>IFERROR(VLOOKUP(E1638,Map!$B:$F,4,0),"")&amp;IFERROR(VLOOKUP(E1638,Map!$B:$F,5,0),"")</f>
        <v/>
      </c>
      <c r="E1638" s="574" t="str">
        <f t="shared" si="59"/>
        <v/>
      </c>
    </row>
    <row r="1639" spans="2:5">
      <c r="B1639" s="571" t="str">
        <f>IF(F1639="","",(SUMIF(INTGRATE!$Y:$Y,data!D1639,INTGRATE!$L:$L)+SUMIF(BRAN!$V:$V,data!D1639,BRAN!$J:$J)))</f>
        <v/>
      </c>
      <c r="C1639" s="572" t="str">
        <f t="shared" si="58"/>
        <v/>
      </c>
      <c r="D1639" s="573" t="str">
        <f>IFERROR(VLOOKUP(E1639,Map!$B:$F,4,0),"")&amp;IFERROR(VLOOKUP(E1639,Map!$B:$F,5,0),"")</f>
        <v/>
      </c>
      <c r="E1639" s="574" t="str">
        <f t="shared" si="59"/>
        <v/>
      </c>
    </row>
    <row r="1640" spans="2:5">
      <c r="B1640" s="571" t="str">
        <f>IF(F1640="","",(SUMIF(INTGRATE!$Y:$Y,data!D1640,INTGRATE!$L:$L)+SUMIF(BRAN!$V:$V,data!D1640,BRAN!$J:$J)))</f>
        <v/>
      </c>
      <c r="C1640" s="572" t="str">
        <f t="shared" si="58"/>
        <v/>
      </c>
      <c r="D1640" s="573" t="str">
        <f>IFERROR(VLOOKUP(E1640,Map!$B:$F,4,0),"")&amp;IFERROR(VLOOKUP(E1640,Map!$B:$F,5,0),"")</f>
        <v/>
      </c>
      <c r="E1640" s="574" t="str">
        <f t="shared" si="59"/>
        <v/>
      </c>
    </row>
    <row r="1641" spans="2:5">
      <c r="B1641" s="571" t="str">
        <f>IF(F1641="","",(SUMIF(INTGRATE!$Y:$Y,data!D1641,INTGRATE!$L:$L)+SUMIF(BRAN!$V:$V,data!D1641,BRAN!$J:$J)))</f>
        <v/>
      </c>
      <c r="C1641" s="572" t="str">
        <f t="shared" si="58"/>
        <v/>
      </c>
      <c r="D1641" s="573" t="str">
        <f>IFERROR(VLOOKUP(E1641,Map!$B:$F,4,0),"")&amp;IFERROR(VLOOKUP(E1641,Map!$B:$F,5,0),"")</f>
        <v/>
      </c>
      <c r="E1641" s="574" t="str">
        <f t="shared" si="59"/>
        <v/>
      </c>
    </row>
    <row r="1642" spans="2:5">
      <c r="B1642" s="571" t="str">
        <f>IF(F1642="","",(SUMIF(INTGRATE!$Y:$Y,data!D1642,INTGRATE!$L:$L)+SUMIF(BRAN!$V:$V,data!D1642,BRAN!$J:$J)))</f>
        <v/>
      </c>
      <c r="C1642" s="572" t="str">
        <f t="shared" si="58"/>
        <v/>
      </c>
      <c r="D1642" s="573" t="str">
        <f>IFERROR(VLOOKUP(E1642,Map!$B:$F,4,0),"")&amp;IFERROR(VLOOKUP(E1642,Map!$B:$F,5,0),"")</f>
        <v/>
      </c>
      <c r="E1642" s="574" t="str">
        <f t="shared" si="59"/>
        <v/>
      </c>
    </row>
    <row r="1643" spans="2:5">
      <c r="B1643" s="571" t="str">
        <f>IF(F1643="","",(SUMIF(INTGRATE!$Y:$Y,data!D1643,INTGRATE!$L:$L)+SUMIF(BRAN!$V:$V,data!D1643,BRAN!$J:$J)))</f>
        <v/>
      </c>
      <c r="C1643" s="572" t="str">
        <f t="shared" si="58"/>
        <v/>
      </c>
      <c r="D1643" s="573" t="str">
        <f>IFERROR(VLOOKUP(E1643,Map!$B:$F,4,0),"")&amp;IFERROR(VLOOKUP(E1643,Map!$B:$F,5,0),"")</f>
        <v/>
      </c>
      <c r="E1643" s="574" t="str">
        <f t="shared" si="59"/>
        <v/>
      </c>
    </row>
    <row r="1644" spans="2:5">
      <c r="B1644" s="571" t="str">
        <f>IF(F1644="","",(SUMIF(INTGRATE!$Y:$Y,data!D1644,INTGRATE!$L:$L)+SUMIF(BRAN!$V:$V,data!D1644,BRAN!$J:$J)))</f>
        <v/>
      </c>
      <c r="C1644" s="572" t="str">
        <f t="shared" si="58"/>
        <v/>
      </c>
      <c r="D1644" s="573" t="str">
        <f>IFERROR(VLOOKUP(E1644,Map!$B:$F,4,0),"")&amp;IFERROR(VLOOKUP(E1644,Map!$B:$F,5,0),"")</f>
        <v/>
      </c>
      <c r="E1644" s="574" t="str">
        <f t="shared" si="59"/>
        <v/>
      </c>
    </row>
    <row r="1645" spans="2:5">
      <c r="B1645" s="571" t="str">
        <f>IF(F1645="","",(SUMIF(INTGRATE!$Y:$Y,data!D1645,INTGRATE!$L:$L)+SUMIF(BRAN!$V:$V,data!D1645,BRAN!$J:$J)))</f>
        <v/>
      </c>
      <c r="C1645" s="572" t="str">
        <f t="shared" si="58"/>
        <v/>
      </c>
      <c r="D1645" s="573" t="str">
        <f>IFERROR(VLOOKUP(E1645,Map!$B:$F,4,0),"")&amp;IFERROR(VLOOKUP(E1645,Map!$B:$F,5,0),"")</f>
        <v/>
      </c>
      <c r="E1645" s="574" t="str">
        <f t="shared" si="59"/>
        <v/>
      </c>
    </row>
    <row r="1646" spans="2:5">
      <c r="B1646" s="571" t="str">
        <f>IF(F1646="","",(SUMIF(INTGRATE!$Y:$Y,data!D1646,INTGRATE!$L:$L)+SUMIF(BRAN!$V:$V,data!D1646,BRAN!$J:$J)))</f>
        <v/>
      </c>
      <c r="C1646" s="572" t="str">
        <f t="shared" si="58"/>
        <v/>
      </c>
      <c r="D1646" s="573" t="str">
        <f>IFERROR(VLOOKUP(E1646,Map!$B:$F,4,0),"")&amp;IFERROR(VLOOKUP(E1646,Map!$B:$F,5,0),"")</f>
        <v/>
      </c>
      <c r="E1646" s="574" t="str">
        <f t="shared" si="59"/>
        <v/>
      </c>
    </row>
    <row r="1647" spans="2:5">
      <c r="B1647" s="571" t="str">
        <f>IF(F1647="","",(SUMIF(INTGRATE!$Y:$Y,data!D1647,INTGRATE!$L:$L)+SUMIF(BRAN!$V:$V,data!D1647,BRAN!$J:$J)))</f>
        <v/>
      </c>
      <c r="C1647" s="572" t="str">
        <f t="shared" si="58"/>
        <v/>
      </c>
      <c r="D1647" s="573" t="str">
        <f>IFERROR(VLOOKUP(E1647,Map!$B:$F,4,0),"")&amp;IFERROR(VLOOKUP(E1647,Map!$B:$F,5,0),"")</f>
        <v/>
      </c>
      <c r="E1647" s="574" t="str">
        <f t="shared" si="59"/>
        <v/>
      </c>
    </row>
  </sheetData>
  <phoneticPr fontId="53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91DD-5EB7-463F-A9F6-9C3091B88CF6}">
  <sheetPr codeName="Sheet11">
    <pageSetUpPr fitToPage="1"/>
  </sheetPr>
  <dimension ref="A1:AB180"/>
  <sheetViews>
    <sheetView zoomScale="80" zoomScaleNormal="80" workbookViewId="0">
      <selection activeCell="F41" sqref="F41"/>
    </sheetView>
  </sheetViews>
  <sheetFormatPr defaultRowHeight="12.75"/>
  <cols>
    <col min="1" max="1" width="19.42578125" style="411" customWidth="1"/>
    <col min="2" max="2" width="11.28515625" style="413" customWidth="1"/>
    <col min="3" max="3" width="15.140625" style="369" customWidth="1"/>
    <col min="4" max="4" width="4.5703125" style="369" customWidth="1"/>
    <col min="5" max="6" width="10.28515625" style="369" customWidth="1"/>
    <col min="7" max="7" width="21.5703125" style="369" customWidth="1"/>
    <col min="8" max="8" width="10.28515625" style="369" customWidth="1"/>
    <col min="9" max="9" width="10.5703125" style="369" customWidth="1"/>
    <col min="10" max="10" width="10.28515625" style="369" customWidth="1"/>
    <col min="11" max="11" width="13.140625" style="369" customWidth="1"/>
    <col min="12" max="12" width="10.28515625" style="369" customWidth="1"/>
    <col min="13" max="13" width="10.85546875" style="369" customWidth="1"/>
    <col min="14" max="14" width="10.28515625" style="369" customWidth="1"/>
    <col min="15" max="15" width="12.85546875" style="369" customWidth="1"/>
    <col min="16" max="16" width="10.140625" style="369" customWidth="1"/>
    <col min="20" max="20" width="11.85546875" customWidth="1"/>
  </cols>
  <sheetData>
    <row r="1" spans="1:28">
      <c r="A1" s="411" t="str">
        <f t="shared" ref="A1:A32" si="0">C1&amp;F1&amp;B1</f>
        <v>Brand CodeMedicineSize</v>
      </c>
      <c r="B1" s="412" t="str">
        <f t="shared" ref="B1:B32" si="1">D1</f>
        <v>Size</v>
      </c>
      <c r="C1" s="369" t="s">
        <v>2070</v>
      </c>
      <c r="D1" s="369" t="s">
        <v>2071</v>
      </c>
      <c r="E1" s="369" t="s">
        <v>2072</v>
      </c>
      <c r="F1" s="369" t="s">
        <v>2073</v>
      </c>
      <c r="G1" s="369" t="s">
        <v>2074</v>
      </c>
      <c r="H1" s="369" t="s">
        <v>2075</v>
      </c>
      <c r="I1" s="369" t="s">
        <v>2076</v>
      </c>
      <c r="J1" s="369" t="s">
        <v>2075</v>
      </c>
      <c r="K1" s="369" t="s">
        <v>2076</v>
      </c>
      <c r="L1" s="369" t="s">
        <v>2075</v>
      </c>
      <c r="M1" s="369" t="s">
        <v>2076</v>
      </c>
      <c r="N1" s="369" t="s">
        <v>2075</v>
      </c>
      <c r="O1" s="369" t="s">
        <v>2076</v>
      </c>
      <c r="P1"/>
      <c r="Q1" s="369"/>
      <c r="R1" s="369"/>
      <c r="S1" s="369"/>
      <c r="T1" s="369"/>
      <c r="U1" s="369"/>
      <c r="V1" s="369"/>
      <c r="W1" s="369"/>
      <c r="X1" s="369"/>
      <c r="Y1" s="369"/>
      <c r="Z1" s="369"/>
      <c r="AA1" s="369"/>
      <c r="AB1" s="369"/>
    </row>
    <row r="2" spans="1:28" ht="14.25" customHeight="1">
      <c r="A2" s="411" t="str">
        <f t="shared" si="0"/>
        <v>30225</v>
      </c>
      <c r="B2" s="412">
        <f t="shared" si="1"/>
        <v>25</v>
      </c>
      <c r="C2" s="369" t="s">
        <v>2077</v>
      </c>
      <c r="D2" s="554">
        <v>25</v>
      </c>
      <c r="E2" s="369" t="s">
        <v>2078</v>
      </c>
      <c r="H2" s="625">
        <v>0</v>
      </c>
      <c r="I2" s="554">
        <v>0</v>
      </c>
      <c r="J2" s="625">
        <v>1009</v>
      </c>
      <c r="K2" s="554">
        <v>25225</v>
      </c>
      <c r="L2" s="625">
        <v>0</v>
      </c>
      <c r="M2" s="554">
        <v>0</v>
      </c>
      <c r="N2" s="625">
        <v>1009</v>
      </c>
      <c r="O2" s="554">
        <v>25225</v>
      </c>
      <c r="P2"/>
      <c r="Q2" s="554"/>
      <c r="R2" s="369"/>
      <c r="S2" s="369"/>
      <c r="T2" s="369"/>
      <c r="U2" s="625"/>
      <c r="V2" s="554"/>
      <c r="W2" s="625"/>
      <c r="X2" s="554"/>
      <c r="Y2" s="625"/>
      <c r="Z2" s="554"/>
      <c r="AA2" s="625"/>
      <c r="AB2" s="554"/>
    </row>
    <row r="3" spans="1:28" ht="14.25" customHeight="1">
      <c r="A3" s="411" t="str">
        <f t="shared" si="0"/>
        <v>51025</v>
      </c>
      <c r="B3" s="412">
        <f t="shared" si="1"/>
        <v>25</v>
      </c>
      <c r="C3" s="369" t="s">
        <v>2079</v>
      </c>
      <c r="D3" s="554">
        <v>25</v>
      </c>
      <c r="E3" s="369" t="s">
        <v>2080</v>
      </c>
      <c r="H3" s="625">
        <v>770</v>
      </c>
      <c r="I3" s="554">
        <v>19250</v>
      </c>
      <c r="J3" s="625">
        <v>986</v>
      </c>
      <c r="K3" s="554">
        <v>24650</v>
      </c>
      <c r="L3" s="625">
        <v>0</v>
      </c>
      <c r="M3" s="554">
        <v>0</v>
      </c>
      <c r="N3" s="625">
        <v>1756</v>
      </c>
      <c r="O3" s="554">
        <v>43900</v>
      </c>
      <c r="P3"/>
      <c r="Q3" s="554"/>
      <c r="R3" s="369"/>
      <c r="S3" s="369"/>
      <c r="T3" s="369"/>
      <c r="U3" s="625"/>
      <c r="V3" s="554"/>
      <c r="W3" s="625"/>
      <c r="X3" s="554"/>
      <c r="Y3" s="625"/>
      <c r="Z3" s="554"/>
      <c r="AA3" s="625"/>
      <c r="AB3" s="554"/>
    </row>
    <row r="4" spans="1:28">
      <c r="A4" s="411" t="str">
        <f t="shared" si="0"/>
        <v>510NFP9250</v>
      </c>
      <c r="B4" s="412">
        <f t="shared" si="1"/>
        <v>50</v>
      </c>
      <c r="C4" s="369" t="s">
        <v>263</v>
      </c>
      <c r="D4" s="554">
        <v>50</v>
      </c>
      <c r="E4" s="369" t="s">
        <v>2081</v>
      </c>
      <c r="F4" s="369" t="s">
        <v>2082</v>
      </c>
      <c r="H4" s="625">
        <v>0</v>
      </c>
      <c r="I4" s="554">
        <v>0</v>
      </c>
      <c r="J4" s="625">
        <v>864</v>
      </c>
      <c r="K4" s="554">
        <v>43200</v>
      </c>
      <c r="L4" s="625">
        <v>642</v>
      </c>
      <c r="M4" s="554">
        <v>32100</v>
      </c>
      <c r="N4" s="625">
        <v>1506</v>
      </c>
      <c r="O4" s="554">
        <v>75300</v>
      </c>
      <c r="P4"/>
      <c r="Q4" s="554"/>
      <c r="R4" s="369"/>
      <c r="S4" s="369"/>
      <c r="T4" s="369"/>
      <c r="U4" s="625"/>
      <c r="V4" s="554"/>
      <c r="W4" s="625"/>
      <c r="X4" s="554"/>
      <c r="Y4" s="625"/>
      <c r="Z4" s="554"/>
      <c r="AA4" s="625"/>
      <c r="AB4" s="554"/>
    </row>
    <row r="5" spans="1:28">
      <c r="A5" s="411" t="str">
        <f t="shared" si="0"/>
        <v>511ANFP9250</v>
      </c>
      <c r="B5" s="412">
        <f t="shared" si="1"/>
        <v>50</v>
      </c>
      <c r="C5" s="369" t="s">
        <v>282</v>
      </c>
      <c r="D5" s="554">
        <v>50</v>
      </c>
      <c r="E5" s="369" t="s">
        <v>2083</v>
      </c>
      <c r="F5" s="369" t="s">
        <v>2082</v>
      </c>
      <c r="H5" s="625">
        <v>0</v>
      </c>
      <c r="I5" s="554">
        <v>0</v>
      </c>
      <c r="J5" s="625">
        <v>938</v>
      </c>
      <c r="K5" s="554">
        <v>46900</v>
      </c>
      <c r="L5" s="625">
        <v>0</v>
      </c>
      <c r="M5" s="554">
        <v>0</v>
      </c>
      <c r="N5" s="625">
        <v>938</v>
      </c>
      <c r="O5" s="554">
        <v>46900</v>
      </c>
      <c r="P5"/>
      <c r="Q5" s="554"/>
      <c r="R5" s="369"/>
      <c r="S5" s="369"/>
      <c r="T5" s="369"/>
      <c r="U5" s="625"/>
      <c r="V5" s="554"/>
      <c r="W5" s="625"/>
      <c r="X5" s="554"/>
      <c r="Y5" s="625"/>
      <c r="Z5" s="554"/>
      <c r="AA5" s="625"/>
      <c r="AB5" s="554"/>
    </row>
    <row r="6" spans="1:28">
      <c r="A6" s="411" t="str">
        <f t="shared" si="0"/>
        <v>513F50</v>
      </c>
      <c r="B6" s="412">
        <f t="shared" si="1"/>
        <v>50</v>
      </c>
      <c r="C6" s="369" t="s">
        <v>309</v>
      </c>
      <c r="D6" s="554">
        <v>50</v>
      </c>
      <c r="E6" s="369" t="s">
        <v>2084</v>
      </c>
      <c r="H6" s="625">
        <v>216</v>
      </c>
      <c r="I6" s="554">
        <v>10800</v>
      </c>
      <c r="J6" s="625">
        <v>2237</v>
      </c>
      <c r="K6" s="554">
        <v>111850</v>
      </c>
      <c r="L6" s="625">
        <v>0</v>
      </c>
      <c r="M6" s="554">
        <v>0</v>
      </c>
      <c r="N6" s="625">
        <v>2453</v>
      </c>
      <c r="O6" s="554">
        <v>122650</v>
      </c>
      <c r="P6"/>
      <c r="Q6" s="554"/>
      <c r="R6" s="369"/>
      <c r="S6" s="369"/>
      <c r="T6" s="369"/>
      <c r="U6" s="625"/>
      <c r="V6" s="554"/>
      <c r="W6" s="625"/>
      <c r="X6" s="554"/>
      <c r="Y6" s="625"/>
      <c r="Z6" s="554"/>
      <c r="AA6" s="625"/>
      <c r="AB6" s="554"/>
    </row>
    <row r="7" spans="1:28">
      <c r="A7" s="411" t="str">
        <f t="shared" si="0"/>
        <v>548F50</v>
      </c>
      <c r="B7" s="412">
        <f t="shared" si="1"/>
        <v>50</v>
      </c>
      <c r="C7" s="369" t="s">
        <v>324</v>
      </c>
      <c r="D7" s="554">
        <v>50</v>
      </c>
      <c r="E7" s="369" t="s">
        <v>2085</v>
      </c>
      <c r="H7" s="625">
        <v>0</v>
      </c>
      <c r="I7" s="554">
        <v>0</v>
      </c>
      <c r="J7" s="625">
        <v>0</v>
      </c>
      <c r="K7" s="554">
        <v>0</v>
      </c>
      <c r="L7" s="625">
        <v>463</v>
      </c>
      <c r="M7" s="554">
        <v>23150</v>
      </c>
      <c r="N7" s="625">
        <v>463</v>
      </c>
      <c r="O7" s="554">
        <v>23150</v>
      </c>
      <c r="P7"/>
      <c r="Q7" s="554"/>
      <c r="R7" s="369"/>
      <c r="S7" s="369"/>
      <c r="T7" s="369"/>
      <c r="U7" s="625"/>
      <c r="V7" s="554"/>
      <c r="W7" s="625"/>
      <c r="X7" s="554"/>
      <c r="Y7" s="625"/>
      <c r="Z7" s="554"/>
      <c r="AA7" s="625"/>
      <c r="AB7" s="554"/>
    </row>
    <row r="8" spans="1:28">
      <c r="A8" s="411" t="str">
        <f t="shared" si="0"/>
        <v>54925</v>
      </c>
      <c r="B8" s="412">
        <f t="shared" si="1"/>
        <v>25</v>
      </c>
      <c r="C8" s="369" t="s">
        <v>2086</v>
      </c>
      <c r="D8" s="554">
        <v>25</v>
      </c>
      <c r="E8" s="369" t="s">
        <v>2087</v>
      </c>
      <c r="H8" s="625">
        <v>0</v>
      </c>
      <c r="I8" s="554">
        <v>0</v>
      </c>
      <c r="J8" s="625">
        <v>0</v>
      </c>
      <c r="K8" s="554">
        <v>0</v>
      </c>
      <c r="L8" s="625">
        <v>573</v>
      </c>
      <c r="M8" s="554">
        <v>14325</v>
      </c>
      <c r="N8" s="625">
        <v>573</v>
      </c>
      <c r="O8" s="554">
        <v>14325</v>
      </c>
      <c r="P8"/>
      <c r="Q8" s="554"/>
      <c r="R8" s="369"/>
      <c r="S8" s="369"/>
      <c r="T8" s="369"/>
      <c r="U8" s="625"/>
      <c r="V8" s="554"/>
      <c r="W8" s="625"/>
      <c r="X8" s="554"/>
      <c r="Y8" s="625"/>
      <c r="Z8" s="554"/>
      <c r="AA8" s="625"/>
      <c r="AB8" s="554"/>
    </row>
    <row r="9" spans="1:28">
      <c r="A9" s="411" t="str">
        <f t="shared" si="0"/>
        <v>549F50</v>
      </c>
      <c r="B9" s="412">
        <f t="shared" si="1"/>
        <v>50</v>
      </c>
      <c r="C9" s="369" t="s">
        <v>329</v>
      </c>
      <c r="D9" s="554">
        <v>50</v>
      </c>
      <c r="E9" s="369" t="s">
        <v>2088</v>
      </c>
      <c r="H9" s="625">
        <v>0</v>
      </c>
      <c r="I9" s="554">
        <v>0</v>
      </c>
      <c r="J9" s="625">
        <v>918</v>
      </c>
      <c r="K9" s="554">
        <v>45900</v>
      </c>
      <c r="L9" s="625">
        <v>425</v>
      </c>
      <c r="M9" s="554">
        <v>21250</v>
      </c>
      <c r="N9" s="625">
        <v>1343</v>
      </c>
      <c r="O9" s="554">
        <v>67150</v>
      </c>
      <c r="P9"/>
      <c r="Q9" s="554"/>
      <c r="R9" s="369"/>
      <c r="S9" s="369"/>
      <c r="T9" s="369"/>
      <c r="U9" s="625"/>
      <c r="V9" s="554"/>
      <c r="W9" s="625"/>
      <c r="X9" s="554"/>
      <c r="Y9" s="625"/>
      <c r="Z9" s="554"/>
      <c r="AA9" s="625"/>
      <c r="AB9" s="554"/>
    </row>
    <row r="10" spans="1:28">
      <c r="A10" s="411" t="str">
        <f t="shared" si="0"/>
        <v>550S25</v>
      </c>
      <c r="B10" s="412">
        <f t="shared" si="1"/>
        <v>25</v>
      </c>
      <c r="C10" s="369" t="s">
        <v>154</v>
      </c>
      <c r="D10" s="554">
        <v>25</v>
      </c>
      <c r="E10" s="369" t="s">
        <v>2089</v>
      </c>
      <c r="H10" s="625">
        <v>0</v>
      </c>
      <c r="I10" s="554">
        <v>0</v>
      </c>
      <c r="J10" s="625">
        <v>394</v>
      </c>
      <c r="K10" s="554">
        <v>9850</v>
      </c>
      <c r="L10" s="625">
        <v>0</v>
      </c>
      <c r="M10" s="554">
        <v>0</v>
      </c>
      <c r="N10" s="625">
        <v>394</v>
      </c>
      <c r="O10" s="554">
        <v>9850</v>
      </c>
      <c r="P10"/>
      <c r="Q10" s="554"/>
      <c r="R10" s="369"/>
      <c r="S10" s="369"/>
      <c r="T10" s="369"/>
      <c r="U10" s="625"/>
      <c r="V10" s="554"/>
      <c r="W10" s="625"/>
      <c r="X10" s="554"/>
      <c r="Y10" s="625"/>
      <c r="Z10" s="554"/>
      <c r="AA10" s="625"/>
      <c r="AB10" s="554"/>
    </row>
    <row r="11" spans="1:28">
      <c r="A11" s="411" t="str">
        <f t="shared" si="0"/>
        <v>550SFS3150</v>
      </c>
      <c r="B11" s="412">
        <f t="shared" si="1"/>
        <v>50</v>
      </c>
      <c r="C11" s="369" t="s">
        <v>344</v>
      </c>
      <c r="D11" s="554">
        <v>50</v>
      </c>
      <c r="E11" s="369" t="s">
        <v>1917</v>
      </c>
      <c r="F11" s="369" t="s">
        <v>2090</v>
      </c>
      <c r="H11" s="625">
        <v>2268</v>
      </c>
      <c r="I11" s="554">
        <v>113400</v>
      </c>
      <c r="J11" s="625">
        <v>1089</v>
      </c>
      <c r="K11" s="554">
        <v>54450</v>
      </c>
      <c r="L11" s="625">
        <v>0</v>
      </c>
      <c r="M11" s="554">
        <v>0</v>
      </c>
      <c r="N11" s="625">
        <v>3357</v>
      </c>
      <c r="O11" s="554">
        <v>167850</v>
      </c>
      <c r="P11"/>
      <c r="Q11" s="554"/>
      <c r="R11" s="369"/>
      <c r="S11" s="369"/>
      <c r="T11" s="369"/>
      <c r="U11" s="625"/>
      <c r="V11" s="554"/>
      <c r="W11" s="625"/>
      <c r="X11" s="554"/>
      <c r="Y11" s="625"/>
      <c r="Z11" s="554"/>
      <c r="AA11" s="625"/>
      <c r="AB11" s="554"/>
    </row>
    <row r="12" spans="1:28">
      <c r="A12" s="411" t="str">
        <f t="shared" si="0"/>
        <v>550SX25</v>
      </c>
      <c r="B12" s="412">
        <f t="shared" si="1"/>
        <v>25</v>
      </c>
      <c r="C12" s="369" t="s">
        <v>155</v>
      </c>
      <c r="D12" s="554">
        <v>25</v>
      </c>
      <c r="E12" s="369" t="s">
        <v>2091</v>
      </c>
      <c r="H12" s="625">
        <v>0</v>
      </c>
      <c r="I12" s="554">
        <v>0</v>
      </c>
      <c r="J12" s="625">
        <v>0</v>
      </c>
      <c r="K12" s="554">
        <v>0</v>
      </c>
      <c r="L12" s="625">
        <v>281</v>
      </c>
      <c r="M12" s="554">
        <v>7025</v>
      </c>
      <c r="N12" s="625">
        <v>281</v>
      </c>
      <c r="O12" s="554">
        <v>7025</v>
      </c>
      <c r="P12"/>
      <c r="Q12" s="554"/>
      <c r="R12" s="369"/>
      <c r="S12" s="369"/>
      <c r="T12" s="369"/>
      <c r="U12" s="625"/>
      <c r="V12" s="554"/>
      <c r="W12" s="625"/>
      <c r="X12" s="554"/>
      <c r="Y12" s="625"/>
      <c r="Z12" s="554"/>
      <c r="AA12" s="625"/>
      <c r="AB12" s="554"/>
    </row>
    <row r="13" spans="1:28">
      <c r="A13" s="411" t="str">
        <f t="shared" si="0"/>
        <v>551FS5450</v>
      </c>
      <c r="B13" s="412">
        <f t="shared" si="1"/>
        <v>50</v>
      </c>
      <c r="C13" s="369" t="s">
        <v>356</v>
      </c>
      <c r="D13" s="554">
        <v>50</v>
      </c>
      <c r="E13" s="369" t="s">
        <v>2092</v>
      </c>
      <c r="F13" s="369" t="s">
        <v>2093</v>
      </c>
      <c r="H13" s="625">
        <v>0</v>
      </c>
      <c r="I13" s="554">
        <v>0</v>
      </c>
      <c r="J13" s="625">
        <v>0</v>
      </c>
      <c r="K13" s="554">
        <v>0</v>
      </c>
      <c r="L13" s="625">
        <v>434</v>
      </c>
      <c r="M13" s="554">
        <v>21700</v>
      </c>
      <c r="N13" s="625">
        <v>434</v>
      </c>
      <c r="O13" s="554">
        <v>21700</v>
      </c>
      <c r="P13"/>
      <c r="Q13" s="554"/>
      <c r="R13" s="369"/>
      <c r="S13" s="369"/>
      <c r="T13" s="369"/>
      <c r="U13" s="625"/>
      <c r="V13" s="554"/>
      <c r="W13" s="625"/>
      <c r="X13" s="554"/>
      <c r="Y13" s="625"/>
      <c r="Z13" s="554"/>
      <c r="AA13" s="625"/>
      <c r="AB13" s="554"/>
    </row>
    <row r="14" spans="1:28">
      <c r="A14" s="411" t="str">
        <f t="shared" si="0"/>
        <v>551GPFS3150</v>
      </c>
      <c r="B14" s="412">
        <f t="shared" si="1"/>
        <v>50</v>
      </c>
      <c r="C14" s="369" t="s">
        <v>368</v>
      </c>
      <c r="D14" s="554">
        <v>50</v>
      </c>
      <c r="E14" s="369" t="s">
        <v>1887</v>
      </c>
      <c r="F14" s="369" t="s">
        <v>2090</v>
      </c>
      <c r="H14" s="625">
        <v>0</v>
      </c>
      <c r="I14" s="554">
        <v>0</v>
      </c>
      <c r="J14" s="625">
        <v>0</v>
      </c>
      <c r="K14" s="554">
        <v>0</v>
      </c>
      <c r="L14" s="625">
        <v>1134</v>
      </c>
      <c r="M14" s="554">
        <v>56700</v>
      </c>
      <c r="N14" s="625">
        <v>1134</v>
      </c>
      <c r="O14" s="554">
        <v>56700</v>
      </c>
      <c r="P14"/>
      <c r="Q14" s="554"/>
      <c r="R14" s="369"/>
      <c r="S14" s="369"/>
      <c r="T14" s="369"/>
      <c r="U14" s="625"/>
      <c r="V14" s="554"/>
      <c r="W14" s="625"/>
      <c r="X14" s="554"/>
      <c r="Y14" s="625"/>
      <c r="Z14" s="554"/>
      <c r="AA14" s="625"/>
      <c r="AB14" s="554"/>
    </row>
    <row r="15" spans="1:28" ht="12" customHeight="1">
      <c r="A15" s="411" t="str">
        <f t="shared" si="0"/>
        <v>551GPFS5450</v>
      </c>
      <c r="B15" s="412">
        <f t="shared" si="1"/>
        <v>50</v>
      </c>
      <c r="C15" s="369" t="s">
        <v>368</v>
      </c>
      <c r="D15" s="554">
        <v>50</v>
      </c>
      <c r="E15" s="369" t="s">
        <v>1887</v>
      </c>
      <c r="F15" s="369" t="s">
        <v>2093</v>
      </c>
      <c r="H15" s="625">
        <v>0</v>
      </c>
      <c r="I15" s="554">
        <v>0</v>
      </c>
      <c r="J15" s="625">
        <v>0</v>
      </c>
      <c r="K15" s="554">
        <v>0</v>
      </c>
      <c r="L15" s="625">
        <v>1627</v>
      </c>
      <c r="M15" s="554">
        <v>81350</v>
      </c>
      <c r="N15" s="625">
        <v>1627</v>
      </c>
      <c r="O15" s="554">
        <v>81350</v>
      </c>
      <c r="P15"/>
      <c r="Q15" s="554"/>
      <c r="R15" s="369"/>
      <c r="S15" s="369"/>
      <c r="T15" s="369"/>
      <c r="U15" s="625"/>
      <c r="V15" s="554"/>
      <c r="W15" s="625"/>
      <c r="X15" s="554"/>
      <c r="Y15" s="625"/>
      <c r="Z15" s="554"/>
      <c r="AA15" s="625"/>
      <c r="AB15" s="554"/>
    </row>
    <row r="16" spans="1:28">
      <c r="A16" s="411" t="str">
        <f t="shared" si="0"/>
        <v>55225</v>
      </c>
      <c r="B16" s="412">
        <f t="shared" si="1"/>
        <v>25</v>
      </c>
      <c r="C16" s="369" t="s">
        <v>2094</v>
      </c>
      <c r="D16" s="554">
        <v>25</v>
      </c>
      <c r="E16" s="369" t="s">
        <v>2095</v>
      </c>
      <c r="H16" s="625">
        <v>1192</v>
      </c>
      <c r="I16" s="554">
        <v>29800</v>
      </c>
      <c r="J16" s="625">
        <v>0</v>
      </c>
      <c r="K16" s="554">
        <v>0</v>
      </c>
      <c r="L16" s="625">
        <v>0</v>
      </c>
      <c r="M16" s="554">
        <v>0</v>
      </c>
      <c r="N16" s="625">
        <v>1192</v>
      </c>
      <c r="O16" s="554">
        <v>29800</v>
      </c>
      <c r="P16"/>
      <c r="Q16" s="554"/>
      <c r="R16" s="369"/>
      <c r="S16" s="369"/>
      <c r="T16" s="369"/>
      <c r="U16" s="625"/>
      <c r="V16" s="554"/>
      <c r="W16" s="625"/>
      <c r="X16" s="554"/>
      <c r="Y16" s="625"/>
      <c r="Z16" s="554"/>
      <c r="AA16" s="625"/>
      <c r="AB16" s="554"/>
    </row>
    <row r="17" spans="1:28">
      <c r="A17" s="411" t="str">
        <f t="shared" si="0"/>
        <v>552F50</v>
      </c>
      <c r="B17" s="412">
        <f t="shared" si="1"/>
        <v>50</v>
      </c>
      <c r="C17" s="369" t="s">
        <v>382</v>
      </c>
      <c r="D17" s="554">
        <v>50</v>
      </c>
      <c r="E17" s="369" t="s">
        <v>2096</v>
      </c>
      <c r="H17" s="625">
        <v>488</v>
      </c>
      <c r="I17" s="554">
        <v>24400</v>
      </c>
      <c r="J17" s="625">
        <v>0</v>
      </c>
      <c r="K17" s="554">
        <v>0</v>
      </c>
      <c r="L17" s="625">
        <v>0</v>
      </c>
      <c r="M17" s="554">
        <v>0</v>
      </c>
      <c r="N17" s="625">
        <v>488</v>
      </c>
      <c r="O17" s="554">
        <v>24400</v>
      </c>
      <c r="P17"/>
      <c r="Q17" s="554"/>
      <c r="R17" s="369"/>
      <c r="S17" s="369"/>
      <c r="T17" s="369"/>
      <c r="U17" s="625"/>
      <c r="V17" s="554"/>
      <c r="W17" s="625"/>
      <c r="X17" s="554"/>
      <c r="Y17" s="625"/>
      <c r="Z17" s="554"/>
      <c r="AA17" s="625"/>
      <c r="AB17" s="554"/>
    </row>
    <row r="18" spans="1:28">
      <c r="A18" s="411" t="str">
        <f t="shared" si="0"/>
        <v>552FS1350</v>
      </c>
      <c r="B18" s="412">
        <f t="shared" si="1"/>
        <v>50</v>
      </c>
      <c r="C18" s="369" t="s">
        <v>382</v>
      </c>
      <c r="D18" s="554">
        <v>50</v>
      </c>
      <c r="E18" s="369" t="s">
        <v>2097</v>
      </c>
      <c r="F18" s="369" t="s">
        <v>2098</v>
      </c>
      <c r="H18" s="625">
        <v>0</v>
      </c>
      <c r="I18" s="554">
        <v>0</v>
      </c>
      <c r="J18" s="625">
        <v>1728</v>
      </c>
      <c r="K18" s="554">
        <v>86400</v>
      </c>
      <c r="L18" s="625">
        <v>686</v>
      </c>
      <c r="M18" s="554">
        <v>34300</v>
      </c>
      <c r="N18" s="625">
        <v>2414</v>
      </c>
      <c r="O18" s="554">
        <v>120700</v>
      </c>
      <c r="P18"/>
      <c r="Q18" s="554"/>
      <c r="R18" s="369"/>
      <c r="S18" s="369"/>
      <c r="T18" s="369"/>
      <c r="U18" s="625"/>
      <c r="V18" s="554"/>
      <c r="W18" s="625"/>
      <c r="X18" s="554"/>
      <c r="Y18" s="625"/>
      <c r="Z18" s="554"/>
      <c r="AA18" s="625"/>
      <c r="AB18" s="554"/>
    </row>
    <row r="19" spans="1:28">
      <c r="A19" s="411" t="str">
        <f t="shared" si="0"/>
        <v>552FS9050</v>
      </c>
      <c r="B19" s="412">
        <f t="shared" si="1"/>
        <v>50</v>
      </c>
      <c r="C19" s="369" t="s">
        <v>382</v>
      </c>
      <c r="D19" s="554">
        <v>50</v>
      </c>
      <c r="E19" s="369" t="s">
        <v>2097</v>
      </c>
      <c r="F19" s="369" t="s">
        <v>2099</v>
      </c>
      <c r="H19" s="625">
        <v>4544</v>
      </c>
      <c r="I19" s="554">
        <v>227200</v>
      </c>
      <c r="J19" s="625">
        <v>1536</v>
      </c>
      <c r="K19" s="554">
        <v>76800</v>
      </c>
      <c r="L19" s="625">
        <v>3179</v>
      </c>
      <c r="M19" s="554">
        <v>158950</v>
      </c>
      <c r="N19" s="625">
        <v>9259</v>
      </c>
      <c r="O19" s="554">
        <v>462950</v>
      </c>
      <c r="P19"/>
      <c r="Q19" s="554"/>
      <c r="R19" s="369"/>
      <c r="S19" s="369"/>
      <c r="T19" s="369"/>
      <c r="U19" s="625"/>
      <c r="V19" s="554"/>
      <c r="W19" s="625"/>
      <c r="X19" s="554"/>
      <c r="Y19" s="625"/>
      <c r="Z19" s="554"/>
      <c r="AA19" s="625"/>
      <c r="AB19" s="554"/>
    </row>
    <row r="20" spans="1:28">
      <c r="A20" s="411" t="str">
        <f t="shared" si="0"/>
        <v>552S25</v>
      </c>
      <c r="B20" s="412">
        <f t="shared" si="1"/>
        <v>25</v>
      </c>
      <c r="C20" s="369" t="s">
        <v>164</v>
      </c>
      <c r="D20" s="554">
        <v>25</v>
      </c>
      <c r="E20" s="369" t="s">
        <v>2100</v>
      </c>
      <c r="H20" s="625">
        <v>0</v>
      </c>
      <c r="I20" s="554">
        <v>0</v>
      </c>
      <c r="J20" s="625">
        <v>0</v>
      </c>
      <c r="K20" s="554">
        <v>0</v>
      </c>
      <c r="L20" s="625">
        <v>1187</v>
      </c>
      <c r="M20" s="554">
        <v>29675</v>
      </c>
      <c r="N20" s="625">
        <v>1187</v>
      </c>
      <c r="O20" s="554">
        <v>29675</v>
      </c>
      <c r="P20"/>
      <c r="Q20" s="554"/>
      <c r="R20" s="369"/>
      <c r="S20" s="369"/>
      <c r="T20" s="369"/>
      <c r="U20" s="625"/>
      <c r="V20" s="554"/>
      <c r="W20" s="625"/>
      <c r="X20" s="554"/>
      <c r="Y20" s="625"/>
      <c r="Z20" s="554"/>
      <c r="AA20" s="625"/>
      <c r="AB20" s="554"/>
    </row>
    <row r="21" spans="1:28">
      <c r="A21" s="411" t="str">
        <f t="shared" si="0"/>
        <v>552SFS9050</v>
      </c>
      <c r="B21" s="412">
        <f t="shared" si="1"/>
        <v>50</v>
      </c>
      <c r="C21" s="369" t="s">
        <v>393</v>
      </c>
      <c r="D21" s="554">
        <v>50</v>
      </c>
      <c r="E21" s="369" t="s">
        <v>2101</v>
      </c>
      <c r="F21" s="369" t="s">
        <v>2099</v>
      </c>
      <c r="H21" s="625">
        <v>3942</v>
      </c>
      <c r="I21" s="554">
        <v>197100</v>
      </c>
      <c r="J21" s="625">
        <v>471</v>
      </c>
      <c r="K21" s="554">
        <v>23550</v>
      </c>
      <c r="L21" s="625">
        <v>0</v>
      </c>
      <c r="M21" s="554">
        <v>0</v>
      </c>
      <c r="N21" s="625">
        <v>4413</v>
      </c>
      <c r="O21" s="554">
        <v>220650</v>
      </c>
      <c r="P21"/>
      <c r="Q21" s="554"/>
      <c r="R21" s="369"/>
      <c r="S21" s="369"/>
      <c r="T21" s="369"/>
      <c r="U21" s="625"/>
      <c r="V21" s="554"/>
      <c r="W21" s="625"/>
      <c r="X21" s="554"/>
      <c r="Y21" s="625"/>
      <c r="Z21" s="554"/>
      <c r="AA21" s="625"/>
      <c r="AB21" s="554"/>
    </row>
    <row r="22" spans="1:28">
      <c r="A22" s="411" t="str">
        <f t="shared" si="0"/>
        <v>552SX25</v>
      </c>
      <c r="B22" s="412">
        <f t="shared" si="1"/>
        <v>25</v>
      </c>
      <c r="C22" s="369" t="s">
        <v>165</v>
      </c>
      <c r="D22" s="554">
        <v>25</v>
      </c>
      <c r="E22" s="369" t="s">
        <v>2102</v>
      </c>
      <c r="H22" s="625">
        <v>0</v>
      </c>
      <c r="I22" s="554">
        <v>0</v>
      </c>
      <c r="J22" s="625">
        <v>0</v>
      </c>
      <c r="K22" s="554">
        <v>0</v>
      </c>
      <c r="L22" s="625">
        <v>400</v>
      </c>
      <c r="M22" s="554">
        <v>10000</v>
      </c>
      <c r="N22" s="625">
        <v>400</v>
      </c>
      <c r="O22" s="554">
        <v>10000</v>
      </c>
      <c r="P22"/>
      <c r="Q22" s="554"/>
      <c r="R22" s="369"/>
      <c r="S22" s="369"/>
      <c r="T22" s="369"/>
      <c r="U22" s="625"/>
      <c r="V22" s="554"/>
      <c r="W22" s="625"/>
      <c r="X22" s="554"/>
      <c r="Y22" s="625"/>
      <c r="Z22" s="554"/>
      <c r="AA22" s="625"/>
      <c r="AB22" s="554"/>
    </row>
    <row r="23" spans="1:28">
      <c r="A23" s="411" t="str">
        <f t="shared" si="0"/>
        <v>553S25</v>
      </c>
      <c r="B23" s="412">
        <f t="shared" si="1"/>
        <v>25</v>
      </c>
      <c r="C23" s="369" t="s">
        <v>166</v>
      </c>
      <c r="D23" s="554">
        <v>25</v>
      </c>
      <c r="E23" s="369" t="s">
        <v>2103</v>
      </c>
      <c r="H23" s="625">
        <v>0</v>
      </c>
      <c r="I23" s="554">
        <v>0</v>
      </c>
      <c r="J23" s="625">
        <v>0</v>
      </c>
      <c r="K23" s="554">
        <v>0</v>
      </c>
      <c r="L23" s="625">
        <v>2512</v>
      </c>
      <c r="M23" s="554">
        <v>62800</v>
      </c>
      <c r="N23" s="625">
        <v>2512</v>
      </c>
      <c r="O23" s="554">
        <v>62800</v>
      </c>
      <c r="P23"/>
      <c r="Q23" s="554"/>
      <c r="R23" s="369"/>
      <c r="S23" s="369"/>
      <c r="T23" s="369"/>
      <c r="U23" s="625"/>
      <c r="V23" s="554"/>
      <c r="W23" s="625"/>
      <c r="X23" s="554"/>
      <c r="Y23" s="625"/>
      <c r="Z23" s="554"/>
      <c r="AA23" s="625"/>
      <c r="AB23" s="554"/>
    </row>
    <row r="24" spans="1:28">
      <c r="A24" s="411" t="str">
        <f t="shared" si="0"/>
        <v>562PFS9050</v>
      </c>
      <c r="B24" s="412">
        <f t="shared" si="1"/>
        <v>50</v>
      </c>
      <c r="C24" s="369" t="s">
        <v>413</v>
      </c>
      <c r="D24" s="554">
        <v>50</v>
      </c>
      <c r="E24" s="369" t="s">
        <v>2104</v>
      </c>
      <c r="F24" s="369" t="s">
        <v>2099</v>
      </c>
      <c r="H24" s="625">
        <v>0</v>
      </c>
      <c r="I24" s="554">
        <v>0</v>
      </c>
      <c r="J24" s="625">
        <v>0</v>
      </c>
      <c r="K24" s="554">
        <v>0</v>
      </c>
      <c r="L24" s="625">
        <v>1723</v>
      </c>
      <c r="M24" s="554">
        <v>86150</v>
      </c>
      <c r="N24" s="625">
        <v>1723</v>
      </c>
      <c r="O24" s="554">
        <v>86150</v>
      </c>
      <c r="P24"/>
      <c r="Q24" s="554"/>
      <c r="R24" s="369"/>
      <c r="S24" s="369"/>
      <c r="T24" s="369"/>
      <c r="U24" s="625"/>
      <c r="V24" s="554"/>
      <c r="W24" s="625"/>
      <c r="X24" s="554"/>
      <c r="Y24" s="625"/>
      <c r="Z24" s="554"/>
      <c r="AA24" s="625"/>
      <c r="AB24" s="554"/>
    </row>
    <row r="25" spans="1:28">
      <c r="A25" s="411" t="str">
        <f t="shared" si="0"/>
        <v>56625</v>
      </c>
      <c r="B25" s="412">
        <f t="shared" si="1"/>
        <v>25</v>
      </c>
      <c r="C25" s="369" t="s">
        <v>2105</v>
      </c>
      <c r="D25" s="554">
        <v>25</v>
      </c>
      <c r="E25" s="369" t="s">
        <v>2106</v>
      </c>
      <c r="H25" s="625">
        <v>3247</v>
      </c>
      <c r="I25" s="554">
        <v>81175</v>
      </c>
      <c r="J25" s="625">
        <v>0</v>
      </c>
      <c r="K25" s="554">
        <v>0</v>
      </c>
      <c r="L25" s="625">
        <v>0</v>
      </c>
      <c r="M25" s="554">
        <v>0</v>
      </c>
      <c r="N25" s="625">
        <v>3247</v>
      </c>
      <c r="O25" s="554">
        <v>81175</v>
      </c>
      <c r="P25"/>
      <c r="Q25" s="554"/>
      <c r="R25" s="369"/>
      <c r="S25" s="369"/>
      <c r="T25" s="369"/>
      <c r="U25" s="625"/>
      <c r="V25" s="554"/>
      <c r="W25" s="625"/>
      <c r="X25" s="554"/>
      <c r="Y25" s="625"/>
      <c r="Z25" s="554"/>
      <c r="AA25" s="625"/>
      <c r="AB25" s="554"/>
    </row>
    <row r="26" spans="1:28">
      <c r="A26" s="411" t="str">
        <f t="shared" si="0"/>
        <v>94925</v>
      </c>
      <c r="B26" s="412">
        <f t="shared" si="1"/>
        <v>25</v>
      </c>
      <c r="C26" s="369" t="s">
        <v>2107</v>
      </c>
      <c r="D26" s="554">
        <v>25</v>
      </c>
      <c r="E26" s="369" t="s">
        <v>2108</v>
      </c>
      <c r="H26" s="625">
        <v>0</v>
      </c>
      <c r="I26" s="554">
        <v>0</v>
      </c>
      <c r="J26" s="625">
        <v>220</v>
      </c>
      <c r="K26" s="554">
        <v>5500</v>
      </c>
      <c r="L26" s="625">
        <v>224</v>
      </c>
      <c r="M26" s="554">
        <v>5600</v>
      </c>
      <c r="N26" s="625">
        <v>444</v>
      </c>
      <c r="O26" s="554">
        <v>11100</v>
      </c>
      <c r="P26"/>
      <c r="Q26" s="554"/>
      <c r="R26" s="369"/>
      <c r="S26" s="369"/>
      <c r="T26" s="369"/>
      <c r="U26" s="625"/>
      <c r="V26" s="554"/>
      <c r="W26" s="625"/>
      <c r="X26" s="554"/>
      <c r="Y26" s="625"/>
      <c r="Z26" s="554"/>
      <c r="AA26" s="625"/>
      <c r="AB26" s="554"/>
    </row>
    <row r="27" spans="1:28">
      <c r="A27" s="411" t="str">
        <f t="shared" si="0"/>
        <v>952S25</v>
      </c>
      <c r="B27" s="412">
        <f t="shared" si="1"/>
        <v>25</v>
      </c>
      <c r="C27" s="369" t="s">
        <v>184</v>
      </c>
      <c r="D27" s="554">
        <v>25</v>
      </c>
      <c r="E27" s="369" t="s">
        <v>2109</v>
      </c>
      <c r="H27" s="625">
        <v>0</v>
      </c>
      <c r="I27" s="554">
        <v>0</v>
      </c>
      <c r="J27" s="625">
        <v>0</v>
      </c>
      <c r="K27" s="554">
        <v>0</v>
      </c>
      <c r="L27" s="625">
        <v>439</v>
      </c>
      <c r="M27" s="554">
        <v>10975</v>
      </c>
      <c r="N27" s="625">
        <v>439</v>
      </c>
      <c r="O27" s="554">
        <v>10975</v>
      </c>
      <c r="P27"/>
      <c r="Q27" s="554"/>
      <c r="R27" s="369"/>
      <c r="S27" s="369"/>
      <c r="T27" s="369"/>
      <c r="U27" s="625"/>
      <c r="V27" s="554"/>
      <c r="W27" s="625"/>
      <c r="X27" s="554"/>
      <c r="Y27" s="625"/>
      <c r="Z27" s="554"/>
      <c r="AA27" s="625"/>
      <c r="AB27" s="554"/>
    </row>
    <row r="28" spans="1:28">
      <c r="A28" s="411" t="str">
        <f t="shared" si="0"/>
        <v>VT1225</v>
      </c>
      <c r="B28" s="412">
        <f t="shared" si="1"/>
        <v>25</v>
      </c>
      <c r="C28" s="369" t="s">
        <v>229</v>
      </c>
      <c r="D28" s="554">
        <v>25</v>
      </c>
      <c r="E28" s="369" t="s">
        <v>2110</v>
      </c>
      <c r="H28" s="625">
        <v>1100</v>
      </c>
      <c r="I28" s="554">
        <v>27500</v>
      </c>
      <c r="J28" s="625">
        <v>547</v>
      </c>
      <c r="K28" s="554">
        <v>13675</v>
      </c>
      <c r="L28" s="625">
        <v>0</v>
      </c>
      <c r="M28" s="554">
        <v>0</v>
      </c>
      <c r="N28" s="625">
        <v>1647</v>
      </c>
      <c r="O28" s="554">
        <v>41175</v>
      </c>
      <c r="P28"/>
      <c r="Q28" s="554"/>
      <c r="R28" s="369"/>
      <c r="S28" s="369"/>
      <c r="T28" s="369"/>
      <c r="U28" s="625"/>
      <c r="V28" s="554"/>
      <c r="W28" s="625"/>
      <c r="X28" s="554"/>
      <c r="Y28" s="625"/>
      <c r="Z28" s="554"/>
      <c r="AA28" s="625"/>
      <c r="AB28" s="554"/>
    </row>
    <row r="29" spans="1:28">
      <c r="A29" s="411" t="str">
        <f t="shared" si="0"/>
        <v>VT1125</v>
      </c>
      <c r="B29" s="412">
        <f t="shared" si="1"/>
        <v>25</v>
      </c>
      <c r="C29" s="369" t="s">
        <v>228</v>
      </c>
      <c r="D29" s="554">
        <v>25</v>
      </c>
      <c r="E29" s="369" t="s">
        <v>2111</v>
      </c>
      <c r="H29" s="625">
        <v>0</v>
      </c>
      <c r="I29" s="554">
        <v>0</v>
      </c>
      <c r="J29" s="625">
        <v>0</v>
      </c>
      <c r="K29" s="554">
        <v>0</v>
      </c>
      <c r="L29" s="625">
        <v>220</v>
      </c>
      <c r="M29" s="554">
        <v>5500</v>
      </c>
      <c r="N29" s="625">
        <v>220</v>
      </c>
      <c r="O29" s="554">
        <v>5500</v>
      </c>
      <c r="P29"/>
      <c r="Q29" s="796"/>
      <c r="R29" s="554"/>
      <c r="S29" s="796"/>
      <c r="T29" s="554"/>
      <c r="U29" s="796"/>
      <c r="V29" s="554"/>
      <c r="W29" s="796"/>
      <c r="X29" s="554"/>
      <c r="Y29" s="369"/>
      <c r="Z29" s="369"/>
      <c r="AA29" s="369"/>
      <c r="AB29" s="369"/>
    </row>
    <row r="30" spans="1:28">
      <c r="A30" s="411" t="str">
        <f t="shared" si="0"/>
        <v>HT12S25</v>
      </c>
      <c r="B30" s="412">
        <f t="shared" si="1"/>
        <v>25</v>
      </c>
      <c r="C30" s="369" t="s">
        <v>236</v>
      </c>
      <c r="D30" s="554">
        <v>25</v>
      </c>
      <c r="E30" s="369" t="s">
        <v>2112</v>
      </c>
      <c r="H30" s="625">
        <v>0</v>
      </c>
      <c r="I30" s="554">
        <v>0</v>
      </c>
      <c r="J30" s="625">
        <v>440</v>
      </c>
      <c r="K30" s="554">
        <v>11000</v>
      </c>
      <c r="L30" s="625">
        <v>223</v>
      </c>
      <c r="M30" s="554">
        <v>5575</v>
      </c>
      <c r="N30" s="625">
        <v>663</v>
      </c>
      <c r="O30" s="554">
        <v>16575</v>
      </c>
    </row>
    <row r="31" spans="1:28">
      <c r="A31" s="411" t="str">
        <f t="shared" si="0"/>
        <v>Grand Total1337717767</v>
      </c>
      <c r="B31" s="412">
        <f t="shared" si="1"/>
        <v>17767</v>
      </c>
      <c r="C31" s="369" t="s">
        <v>2113</v>
      </c>
      <c r="D31" s="796">
        <v>17767</v>
      </c>
      <c r="E31" s="554">
        <v>730625</v>
      </c>
      <c r="F31" s="796">
        <v>13377</v>
      </c>
      <c r="G31" s="554">
        <v>578950</v>
      </c>
      <c r="H31" s="796">
        <v>16372</v>
      </c>
      <c r="I31" s="554">
        <v>667125</v>
      </c>
      <c r="J31" s="796">
        <v>47516</v>
      </c>
      <c r="K31" s="554">
        <v>1976700</v>
      </c>
    </row>
    <row r="32" spans="1:28">
      <c r="A32" s="411" t="str">
        <f t="shared" si="0"/>
        <v>0</v>
      </c>
      <c r="B32" s="412">
        <f t="shared" si="1"/>
        <v>0</v>
      </c>
      <c r="D32" s="554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411" t="str">
        <f t="shared" ref="A33:A49" si="2">C33&amp;F33&amp;B33</f>
        <v>0</v>
      </c>
      <c r="B33" s="412">
        <f t="shared" ref="B33:B49" si="3">D33</f>
        <v>0</v>
      </c>
      <c r="D33" s="554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411" t="str">
        <f t="shared" si="2"/>
        <v>0</v>
      </c>
      <c r="B34" s="412">
        <f t="shared" si="3"/>
        <v>0</v>
      </c>
      <c r="D34" s="554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411" t="str">
        <f t="shared" si="2"/>
        <v>0</v>
      </c>
      <c r="B35" s="412">
        <f t="shared" si="3"/>
        <v>0</v>
      </c>
      <c r="D35" s="554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411" t="str">
        <f t="shared" si="2"/>
        <v>0</v>
      </c>
      <c r="B36" s="412">
        <f t="shared" si="3"/>
        <v>0</v>
      </c>
      <c r="D36" s="554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411" t="str">
        <f t="shared" si="2"/>
        <v>0</v>
      </c>
      <c r="B37" s="412">
        <f t="shared" si="3"/>
        <v>0</v>
      </c>
      <c r="D37" s="554"/>
      <c r="H37" s="625"/>
      <c r="I37" s="554"/>
      <c r="J37" s="625"/>
      <c r="K37" s="554"/>
      <c r="L37" s="625"/>
      <c r="M37" s="554"/>
      <c r="N37" s="625"/>
      <c r="O37" s="554"/>
    </row>
    <row r="38" spans="1:15">
      <c r="A38" s="411" t="str">
        <f t="shared" si="2"/>
        <v>0</v>
      </c>
      <c r="B38" s="412">
        <f t="shared" si="3"/>
        <v>0</v>
      </c>
      <c r="D38" s="554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411" t="str">
        <f t="shared" si="2"/>
        <v>0</v>
      </c>
      <c r="B39" s="412">
        <f t="shared" si="3"/>
        <v>0</v>
      </c>
      <c r="D39" s="554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411" t="str">
        <f t="shared" si="2"/>
        <v>0</v>
      </c>
      <c r="B40" s="412">
        <f t="shared" si="3"/>
        <v>0</v>
      </c>
      <c r="D40" s="554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411" t="str">
        <f t="shared" si="2"/>
        <v>0</v>
      </c>
      <c r="B41" s="412">
        <f t="shared" si="3"/>
        <v>0</v>
      </c>
      <c r="D41" s="554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411" t="str">
        <f t="shared" si="2"/>
        <v>0</v>
      </c>
      <c r="B42" s="412">
        <f t="shared" si="3"/>
        <v>0</v>
      </c>
      <c r="D42" s="554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411" t="str">
        <f t="shared" si="2"/>
        <v>0</v>
      </c>
      <c r="B43" s="412">
        <f t="shared" si="3"/>
        <v>0</v>
      </c>
      <c r="D43" s="554"/>
      <c r="H43" s="625"/>
      <c r="I43" s="554"/>
      <c r="J43" s="625"/>
      <c r="K43" s="554"/>
      <c r="L43" s="625"/>
      <c r="M43" s="554"/>
      <c r="N43" s="625"/>
      <c r="O43" s="554"/>
    </row>
    <row r="44" spans="1:15">
      <c r="A44" s="411" t="str">
        <f t="shared" si="2"/>
        <v>0</v>
      </c>
      <c r="B44" s="412">
        <f t="shared" si="3"/>
        <v>0</v>
      </c>
      <c r="D44" s="554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411" t="str">
        <f t="shared" si="2"/>
        <v>0</v>
      </c>
      <c r="B45" s="412">
        <f t="shared" si="3"/>
        <v>0</v>
      </c>
      <c r="D45" s="796"/>
      <c r="E45" s="554"/>
      <c r="F45" s="796"/>
      <c r="G45" s="554"/>
      <c r="H45" s="796"/>
      <c r="I45" s="554"/>
      <c r="J45" s="796"/>
      <c r="K45" s="554"/>
    </row>
    <row r="46" spans="1:15">
      <c r="A46" s="411" t="str">
        <f t="shared" si="2"/>
        <v>0</v>
      </c>
      <c r="B46" s="412">
        <f t="shared" si="3"/>
        <v>0</v>
      </c>
      <c r="D46" s="796"/>
      <c r="E46" s="554"/>
      <c r="F46" s="796"/>
      <c r="G46" s="554"/>
      <c r="H46" s="796"/>
      <c r="I46" s="554"/>
      <c r="J46" s="796"/>
      <c r="K46" s="554"/>
    </row>
    <row r="47" spans="1:15">
      <c r="A47" s="411" t="str">
        <f t="shared" si="2"/>
        <v>0</v>
      </c>
      <c r="B47" s="412">
        <f t="shared" si="3"/>
        <v>0</v>
      </c>
      <c r="D47" s="554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411" t="str">
        <f t="shared" si="2"/>
        <v>0</v>
      </c>
      <c r="B48" s="412">
        <f t="shared" si="3"/>
        <v>0</v>
      </c>
      <c r="D48" s="554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411" t="str">
        <f t="shared" si="2"/>
        <v>0</v>
      </c>
      <c r="B49" s="412">
        <f t="shared" si="3"/>
        <v>0</v>
      </c>
      <c r="D49" s="554"/>
      <c r="H49" s="625"/>
      <c r="I49" s="554"/>
      <c r="J49" s="625"/>
      <c r="K49" s="554"/>
      <c r="L49" s="625"/>
      <c r="M49" s="554"/>
      <c r="N49" s="625"/>
      <c r="O49" s="554"/>
    </row>
    <row r="50" spans="1:15">
      <c r="A50" s="411" t="str">
        <f t="shared" ref="A50:A65" si="4">C50&amp;F50&amp;B50</f>
        <v>0</v>
      </c>
      <c r="B50" s="412">
        <f t="shared" ref="B50:B65" si="5">D50</f>
        <v>0</v>
      </c>
      <c r="D50" s="796"/>
      <c r="E50" s="554"/>
      <c r="F50" s="796"/>
      <c r="G50" s="554"/>
      <c r="H50" s="796"/>
      <c r="I50" s="554"/>
      <c r="J50" s="796"/>
      <c r="K50" s="554"/>
    </row>
    <row r="51" spans="1:15">
      <c r="A51" s="411" t="str">
        <f t="shared" si="4"/>
        <v>0</v>
      </c>
      <c r="B51" s="412">
        <f t="shared" si="5"/>
        <v>0</v>
      </c>
      <c r="D51" s="796"/>
      <c r="E51" s="554"/>
      <c r="F51" s="796"/>
      <c r="G51" s="554"/>
      <c r="H51" s="796"/>
      <c r="I51" s="554"/>
      <c r="J51" s="796"/>
      <c r="K51" s="554"/>
    </row>
    <row r="52" spans="1:15">
      <c r="A52" s="411" t="str">
        <f t="shared" si="4"/>
        <v>0</v>
      </c>
      <c r="B52" s="412">
        <f t="shared" si="5"/>
        <v>0</v>
      </c>
      <c r="H52" s="611"/>
      <c r="I52" s="612"/>
    </row>
    <row r="53" spans="1:15">
      <c r="A53" s="411" t="str">
        <f t="shared" si="4"/>
        <v>0</v>
      </c>
      <c r="B53" s="412">
        <f t="shared" si="5"/>
        <v>0</v>
      </c>
      <c r="H53" s="611"/>
      <c r="I53" s="612"/>
    </row>
    <row r="54" spans="1:15">
      <c r="A54" s="411" t="str">
        <f t="shared" si="4"/>
        <v>0</v>
      </c>
      <c r="B54" s="412">
        <f t="shared" si="5"/>
        <v>0</v>
      </c>
      <c r="I54" s="612"/>
    </row>
    <row r="55" spans="1:15">
      <c r="A55" s="411" t="str">
        <f t="shared" si="4"/>
        <v>0</v>
      </c>
      <c r="B55" s="412">
        <f t="shared" si="5"/>
        <v>0</v>
      </c>
      <c r="H55" s="611"/>
      <c r="I55" s="612"/>
    </row>
    <row r="56" spans="1:15">
      <c r="A56" s="411" t="str">
        <f t="shared" si="4"/>
        <v>0</v>
      </c>
      <c r="B56" s="412">
        <f t="shared" si="5"/>
        <v>0</v>
      </c>
      <c r="I56" s="612"/>
    </row>
    <row r="57" spans="1:15">
      <c r="A57" s="411" t="str">
        <f t="shared" si="4"/>
        <v>0</v>
      </c>
      <c r="B57" s="412">
        <f t="shared" si="5"/>
        <v>0</v>
      </c>
      <c r="G57" s="612"/>
      <c r="H57" s="611"/>
      <c r="I57" s="612"/>
    </row>
    <row r="58" spans="1:15">
      <c r="A58" s="411" t="str">
        <f t="shared" si="4"/>
        <v>0</v>
      </c>
      <c r="B58" s="412">
        <f t="shared" si="5"/>
        <v>0</v>
      </c>
      <c r="H58" s="611"/>
      <c r="I58" s="612"/>
    </row>
    <row r="59" spans="1:15">
      <c r="A59" s="411" t="str">
        <f t="shared" si="4"/>
        <v>0</v>
      </c>
      <c r="B59" s="412">
        <f t="shared" si="5"/>
        <v>0</v>
      </c>
      <c r="H59" s="611"/>
      <c r="I59" s="612"/>
    </row>
    <row r="60" spans="1:15">
      <c r="A60" s="411" t="str">
        <f t="shared" si="4"/>
        <v>0</v>
      </c>
      <c r="B60" s="412">
        <f t="shared" si="5"/>
        <v>0</v>
      </c>
      <c r="H60" s="611"/>
      <c r="I60" s="612"/>
    </row>
    <row r="61" spans="1:15">
      <c r="A61" s="411" t="str">
        <f t="shared" si="4"/>
        <v>0</v>
      </c>
      <c r="B61" s="412">
        <f t="shared" si="5"/>
        <v>0</v>
      </c>
      <c r="I61" s="612"/>
    </row>
    <row r="62" spans="1:15">
      <c r="A62" s="411" t="str">
        <f t="shared" si="4"/>
        <v>0</v>
      </c>
      <c r="B62" s="412">
        <f t="shared" si="5"/>
        <v>0</v>
      </c>
      <c r="H62" s="611"/>
      <c r="I62" s="612"/>
    </row>
    <row r="63" spans="1:15">
      <c r="A63" s="411" t="str">
        <f t="shared" si="4"/>
        <v>0</v>
      </c>
      <c r="B63" s="412">
        <f t="shared" si="5"/>
        <v>0</v>
      </c>
      <c r="H63" s="611"/>
      <c r="I63" s="612"/>
    </row>
    <row r="64" spans="1:15">
      <c r="A64" s="411" t="str">
        <f t="shared" si="4"/>
        <v>0</v>
      </c>
      <c r="B64" s="412">
        <f t="shared" si="5"/>
        <v>0</v>
      </c>
      <c r="H64" s="611"/>
      <c r="I64" s="612"/>
    </row>
    <row r="65" spans="1:9">
      <c r="A65" s="411" t="str">
        <f t="shared" si="4"/>
        <v>0</v>
      </c>
      <c r="B65" s="412">
        <f t="shared" si="5"/>
        <v>0</v>
      </c>
      <c r="H65" s="611"/>
      <c r="I65" s="612"/>
    </row>
    <row r="66" spans="1:9">
      <c r="A66" s="411" t="str">
        <f t="shared" ref="A66:A129" si="6">C66&amp;F66&amp;B66</f>
        <v>0</v>
      </c>
      <c r="B66" s="412">
        <f t="shared" ref="B66:B129" si="7">D66</f>
        <v>0</v>
      </c>
      <c r="G66" s="612"/>
      <c r="H66" s="611"/>
      <c r="I66" s="612"/>
    </row>
    <row r="67" spans="1:9">
      <c r="A67" s="411" t="str">
        <f t="shared" si="6"/>
        <v>0</v>
      </c>
      <c r="B67" s="412">
        <f t="shared" si="7"/>
        <v>0</v>
      </c>
      <c r="H67" s="611"/>
      <c r="I67" s="612"/>
    </row>
    <row r="68" spans="1:9">
      <c r="A68" s="411" t="str">
        <f t="shared" si="6"/>
        <v>0</v>
      </c>
      <c r="B68" s="412">
        <f t="shared" si="7"/>
        <v>0</v>
      </c>
      <c r="H68" s="611"/>
      <c r="I68" s="612"/>
    </row>
    <row r="69" spans="1:9">
      <c r="A69" s="411" t="str">
        <f t="shared" si="6"/>
        <v>0</v>
      </c>
      <c r="B69" s="412">
        <f t="shared" si="7"/>
        <v>0</v>
      </c>
      <c r="H69" s="611"/>
      <c r="I69" s="612"/>
    </row>
    <row r="70" spans="1:9">
      <c r="A70" s="411" t="str">
        <f t="shared" si="6"/>
        <v>0</v>
      </c>
      <c r="B70" s="412">
        <f t="shared" si="7"/>
        <v>0</v>
      </c>
      <c r="H70" s="611"/>
      <c r="I70" s="612"/>
    </row>
    <row r="71" spans="1:9">
      <c r="A71" s="411" t="str">
        <f t="shared" si="6"/>
        <v>0</v>
      </c>
      <c r="B71" s="412">
        <f t="shared" si="7"/>
        <v>0</v>
      </c>
      <c r="I71" s="612"/>
    </row>
    <row r="72" spans="1:9">
      <c r="A72" s="411" t="str">
        <f t="shared" si="6"/>
        <v>0</v>
      </c>
      <c r="B72" s="412">
        <f t="shared" si="7"/>
        <v>0</v>
      </c>
      <c r="H72" s="611"/>
      <c r="I72" s="612"/>
    </row>
    <row r="73" spans="1:9">
      <c r="A73" s="411" t="str">
        <f t="shared" si="6"/>
        <v>0</v>
      </c>
      <c r="B73" s="412">
        <f t="shared" si="7"/>
        <v>0</v>
      </c>
      <c r="H73" s="611"/>
      <c r="I73" s="612"/>
    </row>
    <row r="74" spans="1:9">
      <c r="A74" s="411" t="str">
        <f t="shared" si="6"/>
        <v>0</v>
      </c>
      <c r="B74" s="412">
        <f t="shared" si="7"/>
        <v>0</v>
      </c>
      <c r="G74" s="612"/>
      <c r="H74" s="611"/>
      <c r="I74" s="612"/>
    </row>
    <row r="75" spans="1:9">
      <c r="A75" s="411" t="str">
        <f t="shared" si="6"/>
        <v>0</v>
      </c>
      <c r="B75" s="412">
        <f t="shared" si="7"/>
        <v>0</v>
      </c>
      <c r="I75" s="612"/>
    </row>
    <row r="76" spans="1:9">
      <c r="A76" s="411" t="str">
        <f t="shared" si="6"/>
        <v>0</v>
      </c>
      <c r="B76" s="412">
        <f t="shared" si="7"/>
        <v>0</v>
      </c>
      <c r="I76" s="612"/>
    </row>
    <row r="77" spans="1:9">
      <c r="A77" s="411" t="str">
        <f t="shared" si="6"/>
        <v>0</v>
      </c>
      <c r="B77" s="412">
        <f t="shared" si="7"/>
        <v>0</v>
      </c>
      <c r="H77" s="611"/>
      <c r="I77" s="612"/>
    </row>
    <row r="78" spans="1:9">
      <c r="A78" s="411" t="str">
        <f t="shared" si="6"/>
        <v>0</v>
      </c>
      <c r="B78" s="412">
        <f t="shared" si="7"/>
        <v>0</v>
      </c>
      <c r="H78" s="611"/>
      <c r="I78" s="612"/>
    </row>
    <row r="79" spans="1:9">
      <c r="A79" s="411" t="str">
        <f t="shared" si="6"/>
        <v>0</v>
      </c>
      <c r="B79" s="412">
        <f t="shared" si="7"/>
        <v>0</v>
      </c>
      <c r="H79" s="611"/>
      <c r="I79" s="612"/>
    </row>
    <row r="80" spans="1:9">
      <c r="A80" s="411" t="str">
        <f t="shared" si="6"/>
        <v>0</v>
      </c>
      <c r="B80" s="412">
        <f t="shared" si="7"/>
        <v>0</v>
      </c>
      <c r="H80" s="611"/>
      <c r="I80" s="612"/>
    </row>
    <row r="81" spans="1:9">
      <c r="A81" s="411" t="str">
        <f t="shared" si="6"/>
        <v>0</v>
      </c>
      <c r="B81" s="412">
        <f t="shared" si="7"/>
        <v>0</v>
      </c>
      <c r="G81" s="612"/>
      <c r="H81" s="611"/>
      <c r="I81" s="612"/>
    </row>
    <row r="82" spans="1:9">
      <c r="A82" s="411" t="str">
        <f t="shared" si="6"/>
        <v>0</v>
      </c>
      <c r="B82" s="412">
        <f t="shared" si="7"/>
        <v>0</v>
      </c>
      <c r="G82" s="612"/>
      <c r="H82" s="611"/>
      <c r="I82" s="612"/>
    </row>
    <row r="83" spans="1:9">
      <c r="A83" s="411" t="str">
        <f t="shared" si="6"/>
        <v>0</v>
      </c>
      <c r="B83" s="412">
        <f t="shared" si="7"/>
        <v>0</v>
      </c>
      <c r="H83" s="611"/>
      <c r="I83" s="612"/>
    </row>
    <row r="84" spans="1:9">
      <c r="A84" s="411" t="str">
        <f t="shared" si="6"/>
        <v>0</v>
      </c>
      <c r="B84" s="412">
        <f t="shared" si="7"/>
        <v>0</v>
      </c>
      <c r="H84" s="611"/>
      <c r="I84" s="612"/>
    </row>
    <row r="85" spans="1:9">
      <c r="A85" s="411" t="str">
        <f t="shared" si="6"/>
        <v>0</v>
      </c>
      <c r="B85" s="412">
        <f t="shared" si="7"/>
        <v>0</v>
      </c>
      <c r="H85" s="611"/>
      <c r="I85" s="612"/>
    </row>
    <row r="86" spans="1:9">
      <c r="A86" s="411" t="str">
        <f t="shared" si="6"/>
        <v>0</v>
      </c>
      <c r="B86" s="412">
        <f t="shared" si="7"/>
        <v>0</v>
      </c>
      <c r="H86" s="611"/>
      <c r="I86" s="612"/>
    </row>
    <row r="87" spans="1:9">
      <c r="A87" s="411" t="str">
        <f t="shared" si="6"/>
        <v>0</v>
      </c>
      <c r="B87" s="412">
        <f t="shared" si="7"/>
        <v>0</v>
      </c>
      <c r="H87" s="611"/>
      <c r="I87" s="612"/>
    </row>
    <row r="88" spans="1:9">
      <c r="A88" s="411" t="str">
        <f t="shared" si="6"/>
        <v>0</v>
      </c>
      <c r="B88" s="412">
        <f t="shared" si="7"/>
        <v>0</v>
      </c>
      <c r="H88" s="611"/>
      <c r="I88" s="612"/>
    </row>
    <row r="89" spans="1:9">
      <c r="A89" s="411" t="str">
        <f t="shared" si="6"/>
        <v>0</v>
      </c>
      <c r="B89" s="412">
        <f t="shared" si="7"/>
        <v>0</v>
      </c>
      <c r="H89" s="611"/>
      <c r="I89" s="612"/>
    </row>
    <row r="90" spans="1:9">
      <c r="A90" s="411" t="str">
        <f t="shared" si="6"/>
        <v>0</v>
      </c>
      <c r="B90" s="412">
        <f t="shared" si="7"/>
        <v>0</v>
      </c>
      <c r="H90" s="611"/>
      <c r="I90" s="612"/>
    </row>
    <row r="91" spans="1:9">
      <c r="A91" s="411" t="str">
        <f t="shared" si="6"/>
        <v>0</v>
      </c>
      <c r="B91" s="412">
        <f t="shared" si="7"/>
        <v>0</v>
      </c>
      <c r="H91" s="611"/>
      <c r="I91" s="612"/>
    </row>
    <row r="92" spans="1:9">
      <c r="A92" s="411" t="str">
        <f t="shared" si="6"/>
        <v>0</v>
      </c>
      <c r="B92" s="412">
        <f t="shared" si="7"/>
        <v>0</v>
      </c>
    </row>
    <row r="93" spans="1:9">
      <c r="A93" s="411" t="str">
        <f t="shared" si="6"/>
        <v>0</v>
      </c>
      <c r="B93" s="412">
        <f t="shared" si="7"/>
        <v>0</v>
      </c>
    </row>
    <row r="94" spans="1:9">
      <c r="A94" s="411" t="str">
        <f t="shared" si="6"/>
        <v>0</v>
      </c>
      <c r="B94" s="412">
        <f t="shared" si="7"/>
        <v>0</v>
      </c>
    </row>
    <row r="95" spans="1:9">
      <c r="A95" s="411" t="str">
        <f t="shared" si="6"/>
        <v>0</v>
      </c>
      <c r="B95" s="412">
        <f t="shared" si="7"/>
        <v>0</v>
      </c>
    </row>
    <row r="96" spans="1:9">
      <c r="A96" s="411" t="str">
        <f t="shared" si="6"/>
        <v>0</v>
      </c>
      <c r="B96" s="412">
        <f t="shared" si="7"/>
        <v>0</v>
      </c>
    </row>
    <row r="97" spans="1:2">
      <c r="A97" s="411" t="str">
        <f t="shared" si="6"/>
        <v>0</v>
      </c>
      <c r="B97" s="412">
        <f t="shared" si="7"/>
        <v>0</v>
      </c>
    </row>
    <row r="98" spans="1:2">
      <c r="A98" s="411" t="str">
        <f t="shared" si="6"/>
        <v>0</v>
      </c>
      <c r="B98" s="412">
        <f t="shared" si="7"/>
        <v>0</v>
      </c>
    </row>
    <row r="99" spans="1:2">
      <c r="A99" s="411" t="str">
        <f t="shared" si="6"/>
        <v>0</v>
      </c>
      <c r="B99" s="412">
        <f t="shared" si="7"/>
        <v>0</v>
      </c>
    </row>
    <row r="100" spans="1:2">
      <c r="A100" s="411" t="str">
        <f t="shared" si="6"/>
        <v>0</v>
      </c>
      <c r="B100" s="412">
        <f t="shared" si="7"/>
        <v>0</v>
      </c>
    </row>
    <row r="101" spans="1:2">
      <c r="A101" s="411" t="str">
        <f t="shared" si="6"/>
        <v>0</v>
      </c>
      <c r="B101" s="412">
        <f t="shared" si="7"/>
        <v>0</v>
      </c>
    </row>
    <row r="102" spans="1:2">
      <c r="A102" s="411" t="str">
        <f t="shared" si="6"/>
        <v>0</v>
      </c>
      <c r="B102" s="412">
        <f t="shared" si="7"/>
        <v>0</v>
      </c>
    </row>
    <row r="103" spans="1:2">
      <c r="A103" s="411" t="str">
        <f t="shared" si="6"/>
        <v>0</v>
      </c>
      <c r="B103" s="412">
        <f t="shared" si="7"/>
        <v>0</v>
      </c>
    </row>
    <row r="104" spans="1:2">
      <c r="A104" s="411" t="str">
        <f t="shared" si="6"/>
        <v>0</v>
      </c>
      <c r="B104" s="412">
        <f t="shared" si="7"/>
        <v>0</v>
      </c>
    </row>
    <row r="105" spans="1:2">
      <c r="A105" s="411" t="str">
        <f t="shared" si="6"/>
        <v>0</v>
      </c>
      <c r="B105" s="412">
        <f t="shared" si="7"/>
        <v>0</v>
      </c>
    </row>
    <row r="106" spans="1:2">
      <c r="A106" s="411" t="str">
        <f t="shared" si="6"/>
        <v>0</v>
      </c>
      <c r="B106" s="412">
        <f t="shared" si="7"/>
        <v>0</v>
      </c>
    </row>
    <row r="107" spans="1:2">
      <c r="A107" s="411" t="str">
        <f t="shared" si="6"/>
        <v>0</v>
      </c>
      <c r="B107" s="412">
        <f t="shared" si="7"/>
        <v>0</v>
      </c>
    </row>
    <row r="108" spans="1:2">
      <c r="A108" s="411" t="str">
        <f t="shared" si="6"/>
        <v>0</v>
      </c>
      <c r="B108" s="412">
        <f t="shared" si="7"/>
        <v>0</v>
      </c>
    </row>
    <row r="109" spans="1:2">
      <c r="A109" s="411" t="str">
        <f t="shared" si="6"/>
        <v>0</v>
      </c>
      <c r="B109" s="412">
        <f t="shared" si="7"/>
        <v>0</v>
      </c>
    </row>
    <row r="110" spans="1:2">
      <c r="A110" s="411" t="str">
        <f t="shared" si="6"/>
        <v>0</v>
      </c>
      <c r="B110" s="412">
        <f t="shared" si="7"/>
        <v>0</v>
      </c>
    </row>
    <row r="111" spans="1:2">
      <c r="A111" s="411" t="str">
        <f t="shared" si="6"/>
        <v>0</v>
      </c>
      <c r="B111" s="412">
        <f t="shared" si="7"/>
        <v>0</v>
      </c>
    </row>
    <row r="112" spans="1:2">
      <c r="A112" s="411" t="str">
        <f t="shared" si="6"/>
        <v>0</v>
      </c>
      <c r="B112" s="412">
        <f t="shared" si="7"/>
        <v>0</v>
      </c>
    </row>
    <row r="113" spans="1:2">
      <c r="A113" s="411" t="str">
        <f t="shared" si="6"/>
        <v>0</v>
      </c>
      <c r="B113" s="412">
        <f t="shared" si="7"/>
        <v>0</v>
      </c>
    </row>
    <row r="114" spans="1:2">
      <c r="A114" s="411" t="str">
        <f t="shared" si="6"/>
        <v>0</v>
      </c>
      <c r="B114" s="412">
        <f t="shared" si="7"/>
        <v>0</v>
      </c>
    </row>
    <row r="115" spans="1:2">
      <c r="A115" s="411" t="str">
        <f t="shared" si="6"/>
        <v>0</v>
      </c>
      <c r="B115" s="412">
        <f t="shared" si="7"/>
        <v>0</v>
      </c>
    </row>
    <row r="116" spans="1:2">
      <c r="A116" s="411" t="str">
        <f t="shared" si="6"/>
        <v>0</v>
      </c>
      <c r="B116" s="412">
        <f t="shared" si="7"/>
        <v>0</v>
      </c>
    </row>
    <row r="117" spans="1:2">
      <c r="A117" s="411" t="str">
        <f t="shared" si="6"/>
        <v>0</v>
      </c>
      <c r="B117" s="412">
        <f t="shared" si="7"/>
        <v>0</v>
      </c>
    </row>
    <row r="118" spans="1:2">
      <c r="A118" s="411" t="str">
        <f t="shared" si="6"/>
        <v>0</v>
      </c>
      <c r="B118" s="412">
        <f t="shared" si="7"/>
        <v>0</v>
      </c>
    </row>
    <row r="119" spans="1:2">
      <c r="A119" s="411" t="str">
        <f t="shared" si="6"/>
        <v>0</v>
      </c>
      <c r="B119" s="412">
        <f t="shared" si="7"/>
        <v>0</v>
      </c>
    </row>
    <row r="120" spans="1:2">
      <c r="A120" s="411" t="str">
        <f t="shared" si="6"/>
        <v>0</v>
      </c>
      <c r="B120" s="412">
        <f t="shared" si="7"/>
        <v>0</v>
      </c>
    </row>
    <row r="121" spans="1:2">
      <c r="A121" s="411" t="str">
        <f t="shared" si="6"/>
        <v>0</v>
      </c>
      <c r="B121" s="412">
        <f t="shared" si="7"/>
        <v>0</v>
      </c>
    </row>
    <row r="122" spans="1:2">
      <c r="A122" s="411" t="str">
        <f t="shared" si="6"/>
        <v>0</v>
      </c>
      <c r="B122" s="412">
        <f t="shared" si="7"/>
        <v>0</v>
      </c>
    </row>
    <row r="123" spans="1:2">
      <c r="A123" s="411" t="str">
        <f t="shared" si="6"/>
        <v>0</v>
      </c>
      <c r="B123" s="412">
        <f t="shared" si="7"/>
        <v>0</v>
      </c>
    </row>
    <row r="124" spans="1:2">
      <c r="A124" s="411" t="str">
        <f t="shared" si="6"/>
        <v>0</v>
      </c>
      <c r="B124" s="412">
        <f t="shared" si="7"/>
        <v>0</v>
      </c>
    </row>
    <row r="125" spans="1:2">
      <c r="A125" s="411" t="str">
        <f t="shared" si="6"/>
        <v>0</v>
      </c>
      <c r="B125" s="412">
        <f t="shared" si="7"/>
        <v>0</v>
      </c>
    </row>
    <row r="126" spans="1:2">
      <c r="A126" s="411" t="str">
        <f t="shared" si="6"/>
        <v>0</v>
      </c>
      <c r="B126" s="412">
        <f t="shared" si="7"/>
        <v>0</v>
      </c>
    </row>
    <row r="127" spans="1:2">
      <c r="A127" s="411" t="str">
        <f t="shared" si="6"/>
        <v>0</v>
      </c>
      <c r="B127" s="412">
        <f t="shared" si="7"/>
        <v>0</v>
      </c>
    </row>
    <row r="128" spans="1:2">
      <c r="A128" s="411" t="str">
        <f t="shared" si="6"/>
        <v>0</v>
      </c>
      <c r="B128" s="412">
        <f t="shared" si="7"/>
        <v>0</v>
      </c>
    </row>
    <row r="129" spans="1:2">
      <c r="A129" s="411" t="str">
        <f t="shared" si="6"/>
        <v>0</v>
      </c>
      <c r="B129" s="412">
        <f t="shared" si="7"/>
        <v>0</v>
      </c>
    </row>
    <row r="130" spans="1:2">
      <c r="A130" s="411" t="str">
        <f t="shared" ref="A130:A180" si="8">C130&amp;F130&amp;B130</f>
        <v>0</v>
      </c>
      <c r="B130" s="412">
        <f t="shared" ref="B130:B180" si="9">D130</f>
        <v>0</v>
      </c>
    </row>
    <row r="131" spans="1:2">
      <c r="A131" s="411" t="str">
        <f t="shared" si="8"/>
        <v>0</v>
      </c>
      <c r="B131" s="412">
        <f t="shared" si="9"/>
        <v>0</v>
      </c>
    </row>
    <row r="132" spans="1:2">
      <c r="A132" s="411" t="str">
        <f t="shared" si="8"/>
        <v>0</v>
      </c>
      <c r="B132" s="412">
        <f t="shared" si="9"/>
        <v>0</v>
      </c>
    </row>
    <row r="133" spans="1:2">
      <c r="A133" s="411" t="str">
        <f t="shared" si="8"/>
        <v>0</v>
      </c>
      <c r="B133" s="412">
        <f t="shared" si="9"/>
        <v>0</v>
      </c>
    </row>
    <row r="134" spans="1:2">
      <c r="A134" s="411" t="str">
        <f t="shared" si="8"/>
        <v>0</v>
      </c>
      <c r="B134" s="412">
        <f t="shared" si="9"/>
        <v>0</v>
      </c>
    </row>
    <row r="135" spans="1:2">
      <c r="A135" s="411" t="str">
        <f t="shared" si="8"/>
        <v>0</v>
      </c>
      <c r="B135" s="412">
        <f t="shared" si="9"/>
        <v>0</v>
      </c>
    </row>
    <row r="136" spans="1:2">
      <c r="A136" s="411" t="str">
        <f t="shared" si="8"/>
        <v>0</v>
      </c>
      <c r="B136" s="412">
        <f t="shared" si="9"/>
        <v>0</v>
      </c>
    </row>
    <row r="137" spans="1:2">
      <c r="A137" s="411" t="str">
        <f t="shared" si="8"/>
        <v>0</v>
      </c>
      <c r="B137" s="412">
        <f t="shared" si="9"/>
        <v>0</v>
      </c>
    </row>
    <row r="138" spans="1:2">
      <c r="A138" s="411" t="str">
        <f t="shared" si="8"/>
        <v>0</v>
      </c>
      <c r="B138" s="412">
        <f t="shared" si="9"/>
        <v>0</v>
      </c>
    </row>
    <row r="139" spans="1:2">
      <c r="A139" s="411" t="str">
        <f t="shared" si="8"/>
        <v>0</v>
      </c>
      <c r="B139" s="412">
        <f t="shared" si="9"/>
        <v>0</v>
      </c>
    </row>
    <row r="140" spans="1:2">
      <c r="A140" s="411" t="str">
        <f t="shared" si="8"/>
        <v>0</v>
      </c>
      <c r="B140" s="412">
        <f t="shared" si="9"/>
        <v>0</v>
      </c>
    </row>
    <row r="141" spans="1:2">
      <c r="A141" s="411" t="str">
        <f t="shared" si="8"/>
        <v>0</v>
      </c>
      <c r="B141" s="412">
        <f t="shared" si="9"/>
        <v>0</v>
      </c>
    </row>
    <row r="142" spans="1:2">
      <c r="A142" s="411" t="str">
        <f t="shared" si="8"/>
        <v>0</v>
      </c>
      <c r="B142" s="412">
        <f t="shared" si="9"/>
        <v>0</v>
      </c>
    </row>
    <row r="143" spans="1:2">
      <c r="A143" s="411" t="str">
        <f t="shared" si="8"/>
        <v>0</v>
      </c>
      <c r="B143" s="412">
        <f t="shared" si="9"/>
        <v>0</v>
      </c>
    </row>
    <row r="144" spans="1:2">
      <c r="A144" s="411" t="str">
        <f t="shared" si="8"/>
        <v>0</v>
      </c>
      <c r="B144" s="412">
        <f t="shared" si="9"/>
        <v>0</v>
      </c>
    </row>
    <row r="145" spans="1:2">
      <c r="A145" s="411" t="str">
        <f t="shared" si="8"/>
        <v>0</v>
      </c>
      <c r="B145" s="412">
        <f t="shared" si="9"/>
        <v>0</v>
      </c>
    </row>
    <row r="146" spans="1:2">
      <c r="A146" s="411" t="str">
        <f t="shared" si="8"/>
        <v>0</v>
      </c>
      <c r="B146" s="412">
        <f t="shared" si="9"/>
        <v>0</v>
      </c>
    </row>
    <row r="147" spans="1:2">
      <c r="A147" s="411" t="str">
        <f t="shared" si="8"/>
        <v>0</v>
      </c>
      <c r="B147" s="412">
        <f t="shared" si="9"/>
        <v>0</v>
      </c>
    </row>
    <row r="148" spans="1:2">
      <c r="A148" s="411" t="str">
        <f t="shared" si="8"/>
        <v>0</v>
      </c>
      <c r="B148" s="412">
        <f t="shared" si="9"/>
        <v>0</v>
      </c>
    </row>
    <row r="149" spans="1:2">
      <c r="A149" s="411" t="str">
        <f t="shared" si="8"/>
        <v>0</v>
      </c>
      <c r="B149" s="412">
        <f t="shared" si="9"/>
        <v>0</v>
      </c>
    </row>
    <row r="150" spans="1:2">
      <c r="A150" s="411" t="str">
        <f t="shared" si="8"/>
        <v>0</v>
      </c>
      <c r="B150" s="412">
        <f t="shared" si="9"/>
        <v>0</v>
      </c>
    </row>
    <row r="151" spans="1:2">
      <c r="A151" s="411" t="str">
        <f t="shared" si="8"/>
        <v>0</v>
      </c>
      <c r="B151" s="412">
        <f t="shared" si="9"/>
        <v>0</v>
      </c>
    </row>
    <row r="152" spans="1:2">
      <c r="A152" s="411" t="str">
        <f t="shared" si="8"/>
        <v>0</v>
      </c>
      <c r="B152" s="412">
        <f t="shared" si="9"/>
        <v>0</v>
      </c>
    </row>
    <row r="153" spans="1:2">
      <c r="A153" s="411" t="str">
        <f t="shared" si="8"/>
        <v>0</v>
      </c>
      <c r="B153" s="412">
        <f t="shared" si="9"/>
        <v>0</v>
      </c>
    </row>
    <row r="154" spans="1:2">
      <c r="A154" s="411" t="str">
        <f t="shared" si="8"/>
        <v>0</v>
      </c>
      <c r="B154" s="412">
        <f t="shared" si="9"/>
        <v>0</v>
      </c>
    </row>
    <row r="155" spans="1:2">
      <c r="A155" s="411" t="str">
        <f t="shared" si="8"/>
        <v>0</v>
      </c>
      <c r="B155" s="412">
        <f t="shared" si="9"/>
        <v>0</v>
      </c>
    </row>
    <row r="156" spans="1:2">
      <c r="A156" s="411" t="str">
        <f t="shared" si="8"/>
        <v>0</v>
      </c>
      <c r="B156" s="412">
        <f t="shared" si="9"/>
        <v>0</v>
      </c>
    </row>
    <row r="157" spans="1:2">
      <c r="A157" s="411" t="str">
        <f t="shared" si="8"/>
        <v>0</v>
      </c>
      <c r="B157" s="412">
        <f t="shared" si="9"/>
        <v>0</v>
      </c>
    </row>
    <row r="158" spans="1:2">
      <c r="A158" s="411" t="str">
        <f t="shared" si="8"/>
        <v>0</v>
      </c>
      <c r="B158" s="412">
        <f t="shared" si="9"/>
        <v>0</v>
      </c>
    </row>
    <row r="159" spans="1:2">
      <c r="A159" s="411" t="str">
        <f t="shared" si="8"/>
        <v>0</v>
      </c>
      <c r="B159" s="412">
        <f t="shared" si="9"/>
        <v>0</v>
      </c>
    </row>
    <row r="160" spans="1:2">
      <c r="A160" s="411" t="str">
        <f t="shared" si="8"/>
        <v>0</v>
      </c>
      <c r="B160" s="412">
        <f t="shared" si="9"/>
        <v>0</v>
      </c>
    </row>
    <row r="161" spans="1:2">
      <c r="A161" s="411" t="str">
        <f t="shared" si="8"/>
        <v>0</v>
      </c>
      <c r="B161" s="412">
        <f t="shared" si="9"/>
        <v>0</v>
      </c>
    </row>
    <row r="162" spans="1:2">
      <c r="A162" s="411" t="str">
        <f t="shared" si="8"/>
        <v>0</v>
      </c>
      <c r="B162" s="412">
        <f t="shared" si="9"/>
        <v>0</v>
      </c>
    </row>
    <row r="163" spans="1:2">
      <c r="A163" s="411" t="str">
        <f t="shared" si="8"/>
        <v>0</v>
      </c>
      <c r="B163" s="412">
        <f t="shared" si="9"/>
        <v>0</v>
      </c>
    </row>
    <row r="164" spans="1:2">
      <c r="A164" s="411" t="str">
        <f t="shared" si="8"/>
        <v>0</v>
      </c>
      <c r="B164" s="412">
        <f t="shared" si="9"/>
        <v>0</v>
      </c>
    </row>
    <row r="165" spans="1:2">
      <c r="A165" s="411" t="str">
        <f t="shared" si="8"/>
        <v>0</v>
      </c>
      <c r="B165" s="412">
        <f t="shared" si="9"/>
        <v>0</v>
      </c>
    </row>
    <row r="166" spans="1:2">
      <c r="A166" s="411" t="str">
        <f t="shared" si="8"/>
        <v>0</v>
      </c>
      <c r="B166" s="412">
        <f t="shared" si="9"/>
        <v>0</v>
      </c>
    </row>
    <row r="167" spans="1:2">
      <c r="A167" s="411" t="str">
        <f t="shared" si="8"/>
        <v>0</v>
      </c>
      <c r="B167" s="412">
        <f t="shared" si="9"/>
        <v>0</v>
      </c>
    </row>
    <row r="168" spans="1:2">
      <c r="A168" s="411" t="str">
        <f t="shared" si="8"/>
        <v>0</v>
      </c>
      <c r="B168" s="412">
        <f t="shared" si="9"/>
        <v>0</v>
      </c>
    </row>
    <row r="169" spans="1:2">
      <c r="A169" s="411" t="str">
        <f t="shared" si="8"/>
        <v>0</v>
      </c>
      <c r="B169" s="412">
        <f t="shared" si="9"/>
        <v>0</v>
      </c>
    </row>
    <row r="170" spans="1:2">
      <c r="A170" s="411" t="str">
        <f t="shared" si="8"/>
        <v>0</v>
      </c>
      <c r="B170" s="412">
        <f t="shared" si="9"/>
        <v>0</v>
      </c>
    </row>
    <row r="171" spans="1:2">
      <c r="A171" s="411" t="str">
        <f t="shared" si="8"/>
        <v>0</v>
      </c>
      <c r="B171" s="412">
        <f t="shared" si="9"/>
        <v>0</v>
      </c>
    </row>
    <row r="172" spans="1:2">
      <c r="A172" s="411" t="str">
        <f t="shared" si="8"/>
        <v>0</v>
      </c>
      <c r="B172" s="412">
        <f t="shared" si="9"/>
        <v>0</v>
      </c>
    </row>
    <row r="173" spans="1:2">
      <c r="A173" s="411" t="str">
        <f t="shared" si="8"/>
        <v>0</v>
      </c>
      <c r="B173" s="412">
        <f t="shared" si="9"/>
        <v>0</v>
      </c>
    </row>
    <row r="174" spans="1:2">
      <c r="A174" s="411" t="str">
        <f t="shared" si="8"/>
        <v>0</v>
      </c>
      <c r="B174" s="412">
        <f t="shared" si="9"/>
        <v>0</v>
      </c>
    </row>
    <row r="175" spans="1:2">
      <c r="A175" s="411" t="str">
        <f t="shared" si="8"/>
        <v>0</v>
      </c>
      <c r="B175" s="412">
        <f t="shared" si="9"/>
        <v>0</v>
      </c>
    </row>
    <row r="176" spans="1:2">
      <c r="A176" s="411" t="str">
        <f t="shared" si="8"/>
        <v>0</v>
      </c>
      <c r="B176" s="412">
        <f t="shared" si="9"/>
        <v>0</v>
      </c>
    </row>
    <row r="177" spans="1:2">
      <c r="A177" s="411" t="str">
        <f t="shared" si="8"/>
        <v>0</v>
      </c>
      <c r="B177" s="412">
        <f t="shared" si="9"/>
        <v>0</v>
      </c>
    </row>
    <row r="178" spans="1:2">
      <c r="A178" s="411" t="str">
        <f t="shared" si="8"/>
        <v>0</v>
      </c>
      <c r="B178" s="412">
        <f t="shared" si="9"/>
        <v>0</v>
      </c>
    </row>
    <row r="179" spans="1:2">
      <c r="A179" s="411" t="str">
        <f t="shared" si="8"/>
        <v>0</v>
      </c>
      <c r="B179" s="412">
        <f t="shared" si="9"/>
        <v>0</v>
      </c>
    </row>
    <row r="180" spans="1:2">
      <c r="A180" s="411" t="str">
        <f t="shared" si="8"/>
        <v>0</v>
      </c>
      <c r="B180" s="412">
        <f t="shared" si="9"/>
        <v>0</v>
      </c>
    </row>
  </sheetData>
  <phoneticPr fontId="69" type="noConversion"/>
  <pageMargins left="0.7" right="0.7" top="0.75" bottom="0.75" header="0.3" footer="0.3"/>
  <pageSetup paperSize="9" scale="8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3CB32-3233-4425-8DD5-45C70C3798A7}">
  <sheetPr codeName="Sheet15"/>
  <dimension ref="A1:P181"/>
  <sheetViews>
    <sheetView zoomScale="90" zoomScaleNormal="90" workbookViewId="0">
      <selection activeCell="C1" sqref="C1:H4"/>
    </sheetView>
  </sheetViews>
  <sheetFormatPr defaultRowHeight="12.75"/>
  <cols>
    <col min="1" max="1" width="14.85546875" style="411" customWidth="1"/>
    <col min="2" max="2" width="21.7109375" style="413" customWidth="1"/>
    <col min="3" max="3" width="16.7109375" customWidth="1"/>
    <col min="4" max="4" width="30.5703125" customWidth="1"/>
    <col min="5" max="5" width="5.5703125" customWidth="1"/>
    <col min="6" max="6" width="7.28515625" style="415" customWidth="1"/>
    <col min="7" max="7" width="7.42578125" customWidth="1"/>
    <col min="8" max="8" width="11.85546875" customWidth="1"/>
    <col min="9" max="11" width="3.5703125" hidden="1" customWidth="1"/>
    <col min="12" max="12" width="14.7109375" customWidth="1"/>
    <col min="13" max="13" width="11.5703125" customWidth="1"/>
    <col min="14" max="14" width="20.28515625" style="414" customWidth="1"/>
    <col min="15" max="15" width="11.7109375" customWidth="1"/>
  </cols>
  <sheetData>
    <row r="1" spans="1:16" s="411" customFormat="1">
      <c r="A1" s="411" t="str">
        <f>C1&amp;F1&amp;B1</f>
        <v>0</v>
      </c>
      <c r="B1" s="541">
        <f>D1</f>
        <v>0</v>
      </c>
      <c r="C1" s="369"/>
      <c r="D1" s="369"/>
      <c r="E1" s="369"/>
      <c r="F1" s="369"/>
      <c r="G1" s="369"/>
      <c r="H1" s="369"/>
      <c r="I1" s="634"/>
      <c r="J1" s="634"/>
      <c r="K1" s="634"/>
      <c r="L1" s="634"/>
      <c r="M1" s="634"/>
      <c r="N1" s="634"/>
      <c r="O1" s="634"/>
      <c r="P1" s="634"/>
    </row>
    <row r="2" spans="1:16" s="411" customFormat="1" ht="14.25" customHeight="1">
      <c r="A2" s="411" t="str">
        <f>C2&amp;F2&amp;B2</f>
        <v>0</v>
      </c>
      <c r="B2" s="541">
        <f>D2</f>
        <v>0</v>
      </c>
      <c r="C2" s="369"/>
      <c r="D2" s="369"/>
      <c r="E2" s="369"/>
      <c r="F2" s="369"/>
      <c r="G2" s="369"/>
      <c r="H2" s="369"/>
      <c r="I2" s="634" t="s">
        <v>2114</v>
      </c>
      <c r="J2" s="634"/>
      <c r="K2" s="1197"/>
      <c r="L2" s="1198"/>
      <c r="M2" s="1197"/>
      <c r="N2" s="1198"/>
      <c r="O2" s="1197"/>
      <c r="P2" s="634"/>
    </row>
    <row r="3" spans="1:16" ht="14.25" customHeight="1">
      <c r="A3" s="377" t="str">
        <f>IFERROR(VLOOKUP(B3,Map!$B:$F,4,0),"")&amp;IFERROR(VLOOKUP(B3,Map!$B:$F,5,0),"")</f>
        <v/>
      </c>
      <c r="B3" s="412" t="str">
        <f>C3&amp;F37</f>
        <v/>
      </c>
      <c r="C3" s="369"/>
      <c r="D3" s="369"/>
      <c r="E3" s="369"/>
      <c r="F3" s="803"/>
      <c r="G3" s="625"/>
      <c r="H3" s="554"/>
      <c r="I3" s="369"/>
      <c r="J3" s="554"/>
      <c r="K3" s="554"/>
      <c r="L3" s="625"/>
      <c r="M3" s="554"/>
      <c r="N3" s="625"/>
      <c r="O3" s="554"/>
      <c r="P3" s="369"/>
    </row>
    <row r="4" spans="1:16">
      <c r="A4" s="377" t="str">
        <f>IFERROR(VLOOKUP(B4,Map!$B:$F,4,0),"")&amp;IFERROR(VLOOKUP(B4,Map!$B:$F,5,0),"")</f>
        <v/>
      </c>
      <c r="B4" s="412" t="str">
        <f t="shared" ref="B4:B67" si="0">C4&amp;F38</f>
        <v/>
      </c>
      <c r="C4" s="369"/>
      <c r="D4" s="369"/>
      <c r="E4" s="554"/>
      <c r="F4" s="369"/>
      <c r="G4" s="369"/>
      <c r="H4" s="369"/>
      <c r="I4" s="369"/>
      <c r="J4" s="554"/>
      <c r="K4" s="369"/>
      <c r="L4" s="369"/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412" t="str">
        <f t="shared" si="0"/>
        <v/>
      </c>
      <c r="C5" s="369"/>
      <c r="D5" s="369"/>
      <c r="E5" s="554"/>
      <c r="F5" s="369"/>
      <c r="G5" s="369"/>
      <c r="H5" s="369"/>
      <c r="I5" s="369"/>
      <c r="J5" s="554"/>
      <c r="K5" s="554"/>
      <c r="L5" s="625"/>
      <c r="M5" s="554"/>
      <c r="N5" s="625"/>
      <c r="O5" s="554"/>
      <c r="P5" s="369"/>
    </row>
    <row r="6" spans="1:16">
      <c r="A6" s="377" t="str">
        <f>IFERROR(VLOOKUP(B6,Map!$B:$F,4,0),"")&amp;IFERROR(VLOOKUP(B6,Map!$B:$F,5,0),"")</f>
        <v/>
      </c>
      <c r="B6" s="412" t="str">
        <f t="shared" si="0"/>
        <v/>
      </c>
      <c r="C6" s="369"/>
      <c r="D6" s="369"/>
      <c r="E6" s="369"/>
      <c r="F6" s="803"/>
      <c r="G6" s="625"/>
      <c r="H6" s="554"/>
      <c r="I6" s="369"/>
      <c r="J6" s="554"/>
      <c r="K6" s="554"/>
      <c r="L6" s="625"/>
      <c r="M6" s="554"/>
      <c r="N6" s="625"/>
      <c r="O6" s="554"/>
      <c r="P6" s="369"/>
    </row>
    <row r="7" spans="1:16">
      <c r="A7" s="377" t="str">
        <f>IFERROR(VLOOKUP(B7,Map!$B:$F,4,0),"")&amp;IFERROR(VLOOKUP(B7,Map!$B:$F,5,0),"")</f>
        <v/>
      </c>
      <c r="B7" s="412" t="str">
        <f t="shared" si="0"/>
        <v/>
      </c>
      <c r="C7" s="369"/>
      <c r="D7" s="369"/>
      <c r="E7" s="554"/>
      <c r="F7" s="369"/>
      <c r="G7" s="369"/>
      <c r="H7" s="369"/>
      <c r="I7" s="369"/>
      <c r="J7" s="554"/>
      <c r="K7" s="554"/>
      <c r="L7" s="625"/>
      <c r="M7" s="554"/>
      <c r="N7" s="625"/>
      <c r="O7" s="554"/>
      <c r="P7" s="369"/>
    </row>
    <row r="8" spans="1:16">
      <c r="A8" s="377" t="str">
        <f>IFERROR(VLOOKUP(B8,Map!$B:$F,4,0),"")&amp;IFERROR(VLOOKUP(B8,Map!$B:$F,5,0),"")</f>
        <v/>
      </c>
      <c r="B8" s="412" t="str">
        <f t="shared" si="0"/>
        <v/>
      </c>
      <c r="C8" s="369"/>
      <c r="D8" s="369"/>
      <c r="E8" s="554"/>
      <c r="F8" s="369"/>
      <c r="G8" s="369"/>
      <c r="H8" s="369"/>
      <c r="I8" s="625"/>
      <c r="J8" s="554"/>
      <c r="K8" s="554"/>
      <c r="L8" s="625"/>
      <c r="M8" s="554"/>
      <c r="N8" s="625"/>
      <c r="O8" s="554"/>
      <c r="P8" s="369"/>
    </row>
    <row r="9" spans="1:16">
      <c r="A9" s="377" t="str">
        <f>IFERROR(VLOOKUP(B9,Map!$B:$F,4,0),"")&amp;IFERROR(VLOOKUP(B9,Map!$B:$F,5,0),"")</f>
        <v/>
      </c>
      <c r="B9" s="412" t="str">
        <f t="shared" si="0"/>
        <v/>
      </c>
      <c r="C9" s="369"/>
      <c r="D9" s="369"/>
      <c r="E9" s="369"/>
      <c r="F9" s="761"/>
      <c r="G9" s="369"/>
      <c r="H9" s="554"/>
      <c r="I9" s="625"/>
      <c r="J9" s="554"/>
      <c r="K9" s="554"/>
      <c r="L9" s="625"/>
      <c r="M9" s="554"/>
      <c r="N9" s="625"/>
      <c r="O9" s="554"/>
      <c r="P9" s="369"/>
    </row>
    <row r="10" spans="1:16">
      <c r="A10" s="377" t="str">
        <f>IFERROR(VLOOKUP(B10,Map!$B:$F,4,0),"")&amp;IFERROR(VLOOKUP(B10,Map!$B:$F,5,0),"")</f>
        <v/>
      </c>
      <c r="B10" s="412" t="str">
        <f t="shared" si="0"/>
        <v/>
      </c>
      <c r="C10" s="369"/>
      <c r="D10" s="369"/>
      <c r="E10" s="369"/>
      <c r="F10" s="761"/>
      <c r="G10" s="369"/>
      <c r="H10" s="554"/>
      <c r="I10" s="625"/>
      <c r="J10" s="554"/>
      <c r="K10" s="554"/>
      <c r="L10" s="625"/>
      <c r="M10" s="554"/>
      <c r="N10" s="625"/>
      <c r="O10" s="554"/>
      <c r="P10" s="369"/>
    </row>
    <row r="11" spans="1:16">
      <c r="A11" s="377" t="str">
        <f>IFERROR(VLOOKUP(B11,Map!$B:$F,4,0),"")&amp;IFERROR(VLOOKUP(B11,Map!$B:$F,5,0),"")</f>
        <v/>
      </c>
      <c r="B11" s="412" t="str">
        <f t="shared" si="0"/>
        <v/>
      </c>
      <c r="C11" s="369"/>
      <c r="D11" s="369"/>
      <c r="E11" s="369"/>
      <c r="F11" s="761"/>
      <c r="G11" s="369"/>
      <c r="H11" s="554"/>
      <c r="I11" s="625"/>
      <c r="J11" s="554"/>
      <c r="K11" s="554"/>
      <c r="L11" s="625"/>
      <c r="M11" s="554"/>
      <c r="N11" s="625"/>
      <c r="O11" s="554"/>
      <c r="P11" s="369"/>
    </row>
    <row r="12" spans="1:16">
      <c r="A12" s="377" t="str">
        <f>IFERROR(VLOOKUP(B12,Map!$B:$F,4,0),"")&amp;IFERROR(VLOOKUP(B12,Map!$B:$F,5,0),"")</f>
        <v/>
      </c>
      <c r="B12" s="412" t="str">
        <f t="shared" si="0"/>
        <v/>
      </c>
      <c r="C12" s="369"/>
      <c r="D12" s="369"/>
      <c r="E12" s="369"/>
      <c r="F12" s="761"/>
      <c r="G12" s="369"/>
      <c r="H12" s="554"/>
      <c r="I12" s="625"/>
      <c r="J12" s="554"/>
      <c r="K12" s="554"/>
      <c r="L12" s="625"/>
      <c r="M12" s="554"/>
      <c r="N12" s="625"/>
      <c r="O12" s="554"/>
      <c r="P12" s="369"/>
    </row>
    <row r="13" spans="1:16">
      <c r="A13" s="377" t="str">
        <f>IFERROR(VLOOKUP(B13,Map!$B:$F,4,0),"")&amp;IFERROR(VLOOKUP(B13,Map!$B:$F,5,0),"")</f>
        <v/>
      </c>
      <c r="B13" s="412" t="str">
        <f t="shared" si="0"/>
        <v/>
      </c>
      <c r="C13" s="369"/>
      <c r="D13" s="369"/>
      <c r="E13" s="369"/>
      <c r="F13" s="761"/>
      <c r="G13" s="369"/>
      <c r="H13" s="554"/>
      <c r="I13" s="625"/>
      <c r="J13" s="554"/>
      <c r="K13" s="554"/>
      <c r="L13" s="625"/>
      <c r="M13" s="554"/>
      <c r="N13" s="625"/>
      <c r="O13" s="554"/>
      <c r="P13" s="369"/>
    </row>
    <row r="14" spans="1:16">
      <c r="A14" s="377" t="str">
        <f>IFERROR(VLOOKUP(B14,Map!$B:$F,4,0),"")&amp;IFERROR(VLOOKUP(B14,Map!$B:$F,5,0),"")</f>
        <v/>
      </c>
      <c r="B14" s="412" t="str">
        <f t="shared" si="0"/>
        <v/>
      </c>
      <c r="C14" s="369"/>
      <c r="D14" s="369"/>
      <c r="E14" s="369"/>
      <c r="F14" s="761"/>
      <c r="G14" s="369"/>
      <c r="H14" s="554"/>
      <c r="I14" s="625"/>
      <c r="J14" s="554"/>
      <c r="K14" s="554"/>
      <c r="L14" s="625"/>
      <c r="M14" s="554"/>
      <c r="N14" s="625"/>
      <c r="O14" s="554"/>
      <c r="P14" s="369"/>
    </row>
    <row r="15" spans="1:16" ht="12" customHeight="1">
      <c r="A15" s="377" t="str">
        <f>IFERROR(VLOOKUP(B15,Map!$B:$F,4,0),"")&amp;IFERROR(VLOOKUP(B15,Map!$B:$F,5,0),"")</f>
        <v/>
      </c>
      <c r="B15" s="412" t="str">
        <f t="shared" si="0"/>
        <v/>
      </c>
      <c r="C15" s="369"/>
      <c r="D15" s="369"/>
      <c r="E15" s="369"/>
      <c r="F15" s="761"/>
      <c r="G15" s="369"/>
      <c r="H15" s="554"/>
      <c r="I15" s="625"/>
      <c r="J15" s="554"/>
      <c r="K15" s="554"/>
      <c r="L15" s="625"/>
      <c r="M15" s="554"/>
      <c r="N15" s="625"/>
      <c r="O15" s="554"/>
      <c r="P15" s="369"/>
    </row>
    <row r="16" spans="1:16">
      <c r="A16" s="377" t="str">
        <f>IFERROR(VLOOKUP(B16,Map!$B:$F,4,0),"")&amp;IFERROR(VLOOKUP(B16,Map!$B:$F,5,0),"")</f>
        <v/>
      </c>
      <c r="B16" s="412" t="str">
        <f t="shared" si="0"/>
        <v/>
      </c>
      <c r="C16" s="369"/>
      <c r="D16" s="369"/>
      <c r="E16" s="761"/>
      <c r="F16" s="369"/>
      <c r="G16" s="369"/>
      <c r="H16" s="369"/>
      <c r="I16" s="625"/>
      <c r="J16" s="554"/>
      <c r="K16" s="554"/>
      <c r="L16" s="625"/>
      <c r="M16" s="554"/>
      <c r="N16" s="625"/>
      <c r="O16" s="554"/>
      <c r="P16" s="369"/>
    </row>
    <row r="17" spans="1:16">
      <c r="A17" s="377" t="str">
        <f>IFERROR(VLOOKUP(B17,Map!$B:$F,4,0),"")&amp;IFERROR(VLOOKUP(B17,Map!$B:$F,5,0),"")</f>
        <v/>
      </c>
      <c r="B17" s="412" t="str">
        <f t="shared" si="0"/>
        <v/>
      </c>
      <c r="C17" s="369"/>
      <c r="D17" s="369"/>
      <c r="E17" s="554"/>
      <c r="F17" s="369"/>
      <c r="G17" s="369"/>
      <c r="H17" s="369"/>
      <c r="I17" s="625"/>
      <c r="J17" s="554"/>
      <c r="K17" s="554"/>
      <c r="L17" s="625"/>
      <c r="M17" s="554"/>
      <c r="N17" s="625"/>
      <c r="O17" s="554"/>
      <c r="P17" s="369"/>
    </row>
    <row r="18" spans="1:16">
      <c r="A18" s="377" t="str">
        <f>IFERROR(VLOOKUP(B18,Map!$B:$F,4,0),"")&amp;IFERROR(VLOOKUP(B18,Map!$B:$F,5,0),"")</f>
        <v/>
      </c>
      <c r="B18" s="412" t="str">
        <f t="shared" si="0"/>
        <v/>
      </c>
      <c r="C18" s="369"/>
      <c r="D18" s="369"/>
      <c r="E18" s="554"/>
      <c r="F18" s="369"/>
      <c r="G18" s="369"/>
      <c r="H18" s="369"/>
      <c r="I18" s="625"/>
      <c r="J18" s="554"/>
      <c r="K18" s="554"/>
      <c r="L18" s="625"/>
      <c r="M18" s="554"/>
      <c r="N18" s="625"/>
      <c r="O18" s="554"/>
      <c r="P18" s="369"/>
    </row>
    <row r="19" spans="1:16">
      <c r="A19" s="377" t="str">
        <f>IFERROR(VLOOKUP(B19,Map!$B:$F,4,0),"")&amp;IFERROR(VLOOKUP(B19,Map!$B:$F,5,0),"")</f>
        <v/>
      </c>
      <c r="B19" s="412" t="str">
        <f t="shared" si="0"/>
        <v/>
      </c>
      <c r="C19" s="369"/>
      <c r="D19" s="369"/>
      <c r="E19" s="369"/>
      <c r="F19" s="803"/>
      <c r="G19" s="625"/>
      <c r="H19" s="554"/>
      <c r="I19" s="625"/>
      <c r="J19" s="554"/>
      <c r="K19" s="554"/>
      <c r="L19" s="625"/>
      <c r="M19" s="554"/>
      <c r="N19" s="625"/>
      <c r="O19" s="554"/>
      <c r="P19" s="369"/>
    </row>
    <row r="20" spans="1:16">
      <c r="A20" s="377" t="str">
        <f>IFERROR(VLOOKUP(B20,Map!$B:$F,4,0),"")&amp;IFERROR(VLOOKUP(B20,Map!$B:$F,5,0),"")</f>
        <v/>
      </c>
      <c r="B20" s="412" t="str">
        <f t="shared" si="0"/>
        <v/>
      </c>
      <c r="C20" s="369"/>
      <c r="D20" s="369"/>
      <c r="E20" s="369"/>
      <c r="F20" s="803"/>
      <c r="G20" s="625"/>
      <c r="H20" s="554"/>
      <c r="I20" s="625"/>
      <c r="J20" s="554"/>
      <c r="K20" s="554"/>
      <c r="L20" s="625"/>
      <c r="M20" s="554"/>
      <c r="N20" s="625"/>
      <c r="O20" s="554"/>
      <c r="P20" s="369"/>
    </row>
    <row r="21" spans="1:16">
      <c r="A21" s="377" t="str">
        <f>IFERROR(VLOOKUP(B21,Map!$B:$F,4,0),"")&amp;IFERROR(VLOOKUP(B21,Map!$B:$F,5,0),"")</f>
        <v/>
      </c>
      <c r="B21" s="412" t="str">
        <f t="shared" si="0"/>
        <v/>
      </c>
      <c r="C21" s="369"/>
      <c r="D21" s="369"/>
      <c r="E21" s="554"/>
      <c r="F21" s="369"/>
      <c r="G21" s="369"/>
      <c r="H21" s="369"/>
      <c r="I21" s="625"/>
      <c r="J21" s="554"/>
      <c r="K21" s="554"/>
      <c r="L21" s="625"/>
      <c r="M21" s="554"/>
      <c r="N21" s="625"/>
      <c r="O21" s="554"/>
      <c r="P21" s="369"/>
    </row>
    <row r="22" spans="1:16">
      <c r="A22" s="377" t="str">
        <f>IFERROR(VLOOKUP(B22,Map!$B:$F,4,0),"")&amp;IFERROR(VLOOKUP(B22,Map!$B:$F,5,0),"")</f>
        <v/>
      </c>
      <c r="B22" s="412" t="str">
        <f t="shared" si="0"/>
        <v/>
      </c>
      <c r="C22" s="369"/>
      <c r="D22" s="369"/>
      <c r="E22" s="554"/>
      <c r="F22" s="369"/>
      <c r="G22" s="369"/>
      <c r="H22" s="369"/>
      <c r="I22" s="625"/>
      <c r="J22" s="554"/>
      <c r="K22" s="554"/>
      <c r="L22" s="625"/>
      <c r="M22" s="554"/>
      <c r="N22" s="625"/>
      <c r="O22" s="554"/>
      <c r="P22" s="369"/>
    </row>
    <row r="23" spans="1:16">
      <c r="A23" s="377" t="str">
        <f>IFERROR(VLOOKUP(B23,Map!$B:$F,4,0),"")&amp;IFERROR(VLOOKUP(B23,Map!$B:$F,5,0),"")</f>
        <v/>
      </c>
      <c r="B23" s="412" t="str">
        <f t="shared" si="0"/>
        <v/>
      </c>
      <c r="C23" s="369"/>
      <c r="D23" s="369"/>
      <c r="E23" s="369"/>
      <c r="F23" s="803"/>
      <c r="G23" s="625"/>
      <c r="H23" s="554"/>
      <c r="I23" s="625"/>
      <c r="J23" s="554"/>
      <c r="K23" s="554"/>
      <c r="L23" s="625"/>
      <c r="M23" s="554"/>
      <c r="N23" s="625"/>
      <c r="O23" s="554"/>
      <c r="P23" s="369"/>
    </row>
    <row r="24" spans="1:16">
      <c r="A24" s="377" t="str">
        <f>IFERROR(VLOOKUP(B24,Map!$B:$F,4,0),"")&amp;IFERROR(VLOOKUP(B24,Map!$B:$F,5,0),"")</f>
        <v/>
      </c>
      <c r="B24" s="412" t="str">
        <f t="shared" si="0"/>
        <v/>
      </c>
      <c r="C24" s="369"/>
      <c r="D24" s="369"/>
      <c r="E24" s="554"/>
      <c r="F24" s="369"/>
      <c r="G24" s="369"/>
      <c r="H24" s="369"/>
      <c r="I24" s="625"/>
      <c r="J24" s="554"/>
      <c r="K24" s="554"/>
      <c r="L24" s="625"/>
      <c r="M24" s="554"/>
      <c r="N24" s="625"/>
      <c r="O24" s="554"/>
      <c r="P24" s="369"/>
    </row>
    <row r="25" spans="1:16">
      <c r="A25" s="377" t="str">
        <f>IFERROR(VLOOKUP(B25,Map!$B:$F,4,0),"")&amp;IFERROR(VLOOKUP(B25,Map!$B:$F,5,0),"")</f>
        <v/>
      </c>
      <c r="B25" s="412" t="str">
        <f t="shared" si="0"/>
        <v/>
      </c>
      <c r="C25" s="369"/>
      <c r="D25" s="369"/>
      <c r="E25" s="369"/>
      <c r="F25" s="803"/>
      <c r="G25" s="625"/>
      <c r="H25" s="554"/>
      <c r="I25" s="625"/>
      <c r="J25" s="554"/>
      <c r="K25" s="554"/>
      <c r="L25" s="625"/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412" t="str">
        <f t="shared" si="0"/>
        <v/>
      </c>
      <c r="C26" s="369"/>
      <c r="D26" s="369"/>
      <c r="E26" s="369"/>
      <c r="F26" s="803"/>
      <c r="G26" s="625"/>
      <c r="H26" s="554"/>
      <c r="I26" s="625"/>
      <c r="J26" s="554"/>
      <c r="K26" s="554"/>
      <c r="L26" s="625"/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412" t="str">
        <f t="shared" si="0"/>
        <v/>
      </c>
      <c r="C27" s="369"/>
      <c r="D27" s="369"/>
      <c r="E27" s="369"/>
      <c r="F27" s="803"/>
      <c r="G27" s="625"/>
      <c r="H27" s="554"/>
      <c r="I27" s="625"/>
      <c r="J27" s="554"/>
      <c r="K27" s="554"/>
      <c r="L27" s="625"/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412" t="str">
        <f t="shared" si="0"/>
        <v/>
      </c>
      <c r="C28" s="369"/>
      <c r="D28" s="369"/>
      <c r="E28" s="369"/>
      <c r="F28" s="803"/>
      <c r="G28" s="625"/>
      <c r="H28" s="554"/>
      <c r="I28" s="625"/>
      <c r="J28" s="554"/>
      <c r="K28" s="554"/>
      <c r="L28" s="625"/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412" t="str">
        <f t="shared" si="0"/>
        <v/>
      </c>
      <c r="C29" s="369"/>
      <c r="D29" s="369"/>
      <c r="E29" s="554"/>
      <c r="F29" s="369"/>
      <c r="G29" s="369"/>
      <c r="H29" s="369"/>
      <c r="I29" s="625"/>
      <c r="J29" s="554"/>
      <c r="K29" s="554"/>
      <c r="L29" s="625"/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412" t="str">
        <f t="shared" si="0"/>
        <v/>
      </c>
      <c r="C30" s="369"/>
      <c r="D30" s="369"/>
      <c r="E30" s="369"/>
      <c r="F30" s="369"/>
      <c r="G30" s="369"/>
      <c r="H30" s="369"/>
      <c r="I30" s="625"/>
      <c r="J30" s="554"/>
      <c r="K30" s="554"/>
      <c r="L30" s="625"/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412" t="str">
        <f t="shared" si="0"/>
        <v/>
      </c>
      <c r="C31" s="369"/>
      <c r="D31" s="625"/>
      <c r="E31" s="554"/>
      <c r="F31" s="369"/>
      <c r="G31" s="369"/>
      <c r="H31" s="369"/>
      <c r="I31" s="369"/>
      <c r="J31" s="369"/>
      <c r="K31" s="554"/>
      <c r="L31" s="625"/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412" t="str">
        <f t="shared" si="0"/>
        <v/>
      </c>
      <c r="C32" s="369"/>
      <c r="D32" s="554"/>
      <c r="E32" s="369"/>
      <c r="F32" s="369"/>
      <c r="G32" s="369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412" t="str">
        <f t="shared" si="0"/>
        <v/>
      </c>
      <c r="C33" s="369"/>
      <c r="D33" s="554"/>
      <c r="E33" s="369"/>
      <c r="F33" s="369"/>
      <c r="G33" s="369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412" t="str">
        <f t="shared" si="0"/>
        <v/>
      </c>
      <c r="C34" s="369"/>
      <c r="D34" s="554"/>
      <c r="E34" s="369"/>
      <c r="F34" s="369"/>
      <c r="G34" s="369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412" t="str">
        <f t="shared" si="0"/>
        <v/>
      </c>
      <c r="C35" s="369"/>
      <c r="D35" s="554"/>
      <c r="E35" s="369"/>
      <c r="F35" s="369"/>
      <c r="G35" s="369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412" t="str">
        <f t="shared" si="0"/>
        <v/>
      </c>
      <c r="C36" s="369"/>
      <c r="D36" s="554"/>
      <c r="E36" s="369"/>
      <c r="F36" s="369"/>
      <c r="G36" s="369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412" t="str">
        <f t="shared" si="0"/>
        <v/>
      </c>
      <c r="C37" s="369"/>
      <c r="D37" s="796"/>
      <c r="E37" s="554"/>
      <c r="F37" s="796"/>
      <c r="G37" s="554"/>
      <c r="H37" s="796"/>
      <c r="I37" s="554"/>
      <c r="J37" s="796"/>
      <c r="K37" s="554"/>
      <c r="L37" s="369"/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412" t="str">
        <f t="shared" si="0"/>
        <v/>
      </c>
      <c r="C38" s="369"/>
      <c r="D38" s="554"/>
      <c r="E38" s="369"/>
      <c r="F38" s="369"/>
      <c r="G38" s="369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412" t="str">
        <f t="shared" si="0"/>
        <v/>
      </c>
      <c r="C39" s="369"/>
      <c r="D39" s="554"/>
      <c r="E39" s="369"/>
      <c r="F39" s="369"/>
      <c r="G39" s="369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412" t="str">
        <f t="shared" si="0"/>
        <v/>
      </c>
      <c r="C40" s="369"/>
      <c r="D40" s="554"/>
      <c r="E40" s="369"/>
      <c r="F40" s="369"/>
      <c r="G40" s="369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412" t="str">
        <f t="shared" si="0"/>
        <v/>
      </c>
      <c r="C41" s="369"/>
      <c r="D41" s="554"/>
      <c r="E41" s="369"/>
      <c r="F41" s="369"/>
      <c r="G41" s="369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412" t="str">
        <f t="shared" si="0"/>
        <v/>
      </c>
      <c r="C42" s="369"/>
      <c r="D42" s="554"/>
      <c r="E42" s="369"/>
      <c r="F42" s="369"/>
      <c r="G42" s="369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412" t="str">
        <f t="shared" si="0"/>
        <v/>
      </c>
      <c r="C43" s="369"/>
      <c r="D43" s="796"/>
      <c r="E43" s="554"/>
      <c r="F43" s="796"/>
      <c r="G43" s="554"/>
      <c r="H43" s="796"/>
      <c r="I43" s="554"/>
      <c r="J43" s="796"/>
      <c r="K43" s="554"/>
      <c r="L43" s="369"/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412" t="str">
        <f t="shared" si="0"/>
        <v/>
      </c>
      <c r="C44" s="369"/>
      <c r="D44" s="554"/>
      <c r="E44" s="369"/>
      <c r="F44" s="369"/>
      <c r="G44" s="369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412" t="str">
        <f t="shared" si="0"/>
        <v/>
      </c>
      <c r="C45" s="369"/>
      <c r="D45" s="554"/>
      <c r="E45" s="369"/>
      <c r="F45" s="369"/>
      <c r="G45" s="369"/>
      <c r="H45" s="625"/>
      <c r="I45" s="554"/>
      <c r="J45" s="625"/>
      <c r="K45" s="554"/>
      <c r="L45" s="625"/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412" t="str">
        <f t="shared" si="0"/>
        <v/>
      </c>
      <c r="C46" s="369"/>
      <c r="D46" s="554"/>
      <c r="E46" s="369"/>
      <c r="F46" s="369"/>
      <c r="G46" s="369"/>
      <c r="H46" s="625"/>
      <c r="I46" s="554"/>
      <c r="J46" s="625"/>
      <c r="K46" s="554"/>
      <c r="L46" s="625"/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412" t="str">
        <f t="shared" si="0"/>
        <v/>
      </c>
      <c r="C47" s="369"/>
      <c r="D47" s="554"/>
      <c r="E47" s="369"/>
      <c r="F47" s="369"/>
      <c r="G47" s="369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412" t="str">
        <f t="shared" si="0"/>
        <v/>
      </c>
      <c r="C48" s="369"/>
      <c r="D48" s="554"/>
      <c r="E48" s="369"/>
      <c r="F48" s="369"/>
      <c r="G48" s="369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412" t="str">
        <f t="shared" si="0"/>
        <v/>
      </c>
      <c r="C49" s="369"/>
      <c r="D49" s="796"/>
      <c r="E49" s="554"/>
      <c r="F49" s="796"/>
      <c r="G49" s="554"/>
      <c r="H49" s="796"/>
      <c r="I49" s="554"/>
      <c r="J49" s="796"/>
      <c r="K49" s="554"/>
      <c r="L49" s="369"/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412" t="str">
        <f t="shared" si="0"/>
        <v/>
      </c>
      <c r="H50" s="442"/>
      <c r="I50" s="14"/>
    </row>
    <row r="51" spans="1:15">
      <c r="A51" s="377" t="str">
        <f>IFERROR(VLOOKUP(B51,Map!$B:$F,4,0),"")&amp;IFERROR(VLOOKUP(B51,Map!$B:$F,5,0),"")</f>
        <v/>
      </c>
      <c r="B51" s="412" t="str">
        <f t="shared" si="0"/>
        <v/>
      </c>
      <c r="H51" s="442"/>
      <c r="I51" s="14"/>
    </row>
    <row r="52" spans="1:15">
      <c r="A52" s="377" t="str">
        <f>IFERROR(VLOOKUP(B52,Map!$B:$F,4,0),"")&amp;IFERROR(VLOOKUP(B52,Map!$B:$F,5,0),"")</f>
        <v/>
      </c>
      <c r="B52" s="412" t="str">
        <f t="shared" si="0"/>
        <v/>
      </c>
      <c r="H52" s="442"/>
      <c r="I52" s="14"/>
    </row>
    <row r="53" spans="1:15">
      <c r="A53" s="377" t="str">
        <f>IFERROR(VLOOKUP(B53,Map!$B:$F,4,0),"")&amp;IFERROR(VLOOKUP(B53,Map!$B:$F,5,0),"")</f>
        <v/>
      </c>
      <c r="B53" s="412" t="str">
        <f t="shared" si="0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412" t="str">
        <f t="shared" si="0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412" t="str">
        <f t="shared" si="0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412" t="str">
        <f t="shared" si="0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412" t="str">
        <f t="shared" si="0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412" t="str">
        <f t="shared" si="0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412" t="str">
        <f t="shared" si="0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412" t="str">
        <f t="shared" si="0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412" t="str">
        <f t="shared" si="0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412" t="str">
        <f t="shared" si="0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412" t="str">
        <f t="shared" si="0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412" t="str">
        <f t="shared" si="0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412" t="str">
        <f t="shared" si="0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412" t="str">
        <f t="shared" si="0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412" t="str">
        <f t="shared" si="0"/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412" t="str">
        <f t="shared" ref="B68:B131" si="1">C68&amp;F102</f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412" t="str">
        <f t="shared" si="1"/>
        <v/>
      </c>
      <c r="I69" s="14"/>
    </row>
    <row r="70" spans="1:9">
      <c r="A70" s="377" t="str">
        <f>IFERROR(VLOOKUP(B70,Map!$B:$F,4,0),"")&amp;IFERROR(VLOOKUP(B70,Map!$B:$F,5,0),"")</f>
        <v/>
      </c>
      <c r="B70" s="412" t="str">
        <f t="shared" si="1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412" t="str">
        <f t="shared" si="1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412" t="str">
        <f t="shared" si="1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412" t="str">
        <f t="shared" si="1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412" t="str">
        <f t="shared" si="1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412" t="str">
        <f t="shared" si="1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412" t="str">
        <f t="shared" si="1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412" t="str">
        <f t="shared" si="1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412" t="str">
        <f t="shared" si="1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412" t="str">
        <f t="shared" si="1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412" t="str">
        <f t="shared" si="1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412" t="str">
        <f t="shared" si="1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412" t="str">
        <f t="shared" si="1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412" t="str">
        <f t="shared" si="1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412" t="str">
        <f t="shared" si="1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412" t="str">
        <f t="shared" si="1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412" t="str">
        <f t="shared" si="1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412" t="str">
        <f t="shared" si="1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412" t="str">
        <f t="shared" si="1"/>
        <v/>
      </c>
      <c r="I88" s="14"/>
    </row>
    <row r="89" spans="1:9">
      <c r="A89" s="377" t="str">
        <f>IFERROR(VLOOKUP(B89,Map!$B:$F,4,0),"")&amp;IFERROR(VLOOKUP(B89,Map!$B:$F,5,0),"")</f>
        <v/>
      </c>
      <c r="B89" s="412" t="str">
        <f t="shared" si="1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412" t="str">
        <f t="shared" si="1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412" t="str">
        <f t="shared" si="1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412" t="str">
        <f t="shared" si="1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412" t="str">
        <f t="shared" si="1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412" t="str">
        <f t="shared" si="1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412" t="str">
        <f t="shared" si="1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412" t="str">
        <f t="shared" si="1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412" t="str">
        <f t="shared" si="1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412" t="str">
        <f t="shared" si="1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412" t="str">
        <f t="shared" si="1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412" t="str">
        <f t="shared" si="1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412" t="str">
        <f t="shared" si="1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412" t="str">
        <f t="shared" si="1"/>
        <v/>
      </c>
    </row>
    <row r="103" spans="1:9">
      <c r="A103" s="377" t="str">
        <f>IFERROR(VLOOKUP(B103,Map!$B:$F,4,0),"")&amp;IFERROR(VLOOKUP(B103,Map!$B:$F,5,0),"")</f>
        <v/>
      </c>
      <c r="B103" s="412" t="str">
        <f t="shared" si="1"/>
        <v/>
      </c>
    </row>
    <row r="104" spans="1:9">
      <c r="A104" s="377" t="str">
        <f>IFERROR(VLOOKUP(B104,Map!$B:$F,4,0),"")&amp;IFERROR(VLOOKUP(B104,Map!$B:$F,5,0),"")</f>
        <v/>
      </c>
      <c r="B104" s="412" t="str">
        <f t="shared" si="1"/>
        <v/>
      </c>
    </row>
    <row r="105" spans="1:9">
      <c r="A105" s="377" t="str">
        <f>IFERROR(VLOOKUP(B105,Map!$B:$F,4,0),"")&amp;IFERROR(VLOOKUP(B105,Map!$B:$F,5,0),"")</f>
        <v/>
      </c>
      <c r="B105" s="412" t="str">
        <f t="shared" si="1"/>
        <v/>
      </c>
    </row>
    <row r="106" spans="1:9">
      <c r="A106" s="377" t="str">
        <f>IFERROR(VLOOKUP(B106,Map!$B:$F,4,0),"")&amp;IFERROR(VLOOKUP(B106,Map!$B:$F,5,0),"")</f>
        <v/>
      </c>
      <c r="B106" s="412" t="str">
        <f t="shared" si="1"/>
        <v/>
      </c>
    </row>
    <row r="107" spans="1:9">
      <c r="A107" s="377" t="str">
        <f>IFERROR(VLOOKUP(B107,Map!$B:$F,4,0),"")&amp;IFERROR(VLOOKUP(B107,Map!$B:$F,5,0),"")</f>
        <v/>
      </c>
      <c r="B107" s="412" t="str">
        <f t="shared" si="1"/>
        <v/>
      </c>
    </row>
    <row r="108" spans="1:9">
      <c r="A108" s="377" t="str">
        <f>IFERROR(VLOOKUP(B108,Map!$B:$F,4,0),"")&amp;IFERROR(VLOOKUP(B108,Map!$B:$F,5,0),"")</f>
        <v/>
      </c>
      <c r="B108" s="412" t="str">
        <f t="shared" si="1"/>
        <v/>
      </c>
    </row>
    <row r="109" spans="1:9">
      <c r="A109" s="377" t="str">
        <f>IFERROR(VLOOKUP(B109,Map!$B:$F,4,0),"")&amp;IFERROR(VLOOKUP(B109,Map!$B:$F,5,0),"")</f>
        <v/>
      </c>
      <c r="B109" s="412" t="str">
        <f t="shared" si="1"/>
        <v/>
      </c>
    </row>
    <row r="110" spans="1:9">
      <c r="A110" s="377" t="str">
        <f>IFERROR(VLOOKUP(B110,Map!$B:$F,4,0),"")&amp;IFERROR(VLOOKUP(B110,Map!$B:$F,5,0),"")</f>
        <v/>
      </c>
      <c r="B110" s="412" t="str">
        <f t="shared" si="1"/>
        <v/>
      </c>
    </row>
    <row r="111" spans="1:9">
      <c r="A111" s="377" t="str">
        <f>IFERROR(VLOOKUP(B111,Map!$B:$F,4,0),"")&amp;IFERROR(VLOOKUP(B111,Map!$B:$F,5,0),"")</f>
        <v/>
      </c>
      <c r="B111" s="412" t="str">
        <f t="shared" si="1"/>
        <v/>
      </c>
    </row>
    <row r="112" spans="1:9">
      <c r="A112" s="377" t="str">
        <f>IFERROR(VLOOKUP(B112,Map!$B:$F,4,0),"")&amp;IFERROR(VLOOKUP(B112,Map!$B:$F,5,0),"")</f>
        <v/>
      </c>
      <c r="B112" s="412" t="str">
        <f t="shared" si="1"/>
        <v/>
      </c>
    </row>
    <row r="113" spans="1:2">
      <c r="A113" s="377" t="str">
        <f>IFERROR(VLOOKUP(B113,Map!$B:$F,4,0),"")&amp;IFERROR(VLOOKUP(B113,Map!$B:$F,5,0),"")</f>
        <v/>
      </c>
      <c r="B113" s="412" t="str">
        <f t="shared" si="1"/>
        <v/>
      </c>
    </row>
    <row r="114" spans="1:2">
      <c r="A114" s="377" t="str">
        <f>IFERROR(VLOOKUP(B114,Map!$B:$F,4,0),"")&amp;IFERROR(VLOOKUP(B114,Map!$B:$F,5,0),"")</f>
        <v/>
      </c>
      <c r="B114" s="412" t="str">
        <f t="shared" si="1"/>
        <v/>
      </c>
    </row>
    <row r="115" spans="1:2">
      <c r="A115" s="377" t="str">
        <f>IFERROR(VLOOKUP(B115,Map!$B:$F,4,0),"")&amp;IFERROR(VLOOKUP(B115,Map!$B:$F,5,0),"")</f>
        <v/>
      </c>
      <c r="B115" s="412" t="str">
        <f t="shared" si="1"/>
        <v/>
      </c>
    </row>
    <row r="116" spans="1:2">
      <c r="A116" s="377" t="str">
        <f>IFERROR(VLOOKUP(B116,Map!$B:$F,4,0),"")&amp;IFERROR(VLOOKUP(B116,Map!$B:$F,5,0),"")</f>
        <v/>
      </c>
      <c r="B116" s="412" t="str">
        <f t="shared" si="1"/>
        <v/>
      </c>
    </row>
    <row r="117" spans="1:2">
      <c r="A117" s="377" t="str">
        <f>IFERROR(VLOOKUP(B117,Map!$B:$F,4,0),"")&amp;IFERROR(VLOOKUP(B117,Map!$B:$F,5,0),"")</f>
        <v/>
      </c>
      <c r="B117" s="412" t="str">
        <f t="shared" si="1"/>
        <v/>
      </c>
    </row>
    <row r="118" spans="1:2">
      <c r="A118" s="377" t="str">
        <f>IFERROR(VLOOKUP(B118,Map!$B:$F,4,0),"")&amp;IFERROR(VLOOKUP(B118,Map!$B:$F,5,0),"")</f>
        <v/>
      </c>
      <c r="B118" s="412" t="str">
        <f t="shared" si="1"/>
        <v/>
      </c>
    </row>
    <row r="119" spans="1:2">
      <c r="A119" s="377" t="str">
        <f>IFERROR(VLOOKUP(B119,Map!$B:$F,4,0),"")&amp;IFERROR(VLOOKUP(B119,Map!$B:$F,5,0),"")</f>
        <v/>
      </c>
      <c r="B119" s="412" t="str">
        <f t="shared" si="1"/>
        <v/>
      </c>
    </row>
    <row r="120" spans="1:2">
      <c r="A120" s="377" t="str">
        <f>IFERROR(VLOOKUP(B120,Map!$B:$F,4,0),"")&amp;IFERROR(VLOOKUP(B120,Map!$B:$F,5,0),"")</f>
        <v/>
      </c>
      <c r="B120" s="412" t="str">
        <f t="shared" si="1"/>
        <v/>
      </c>
    </row>
    <row r="121" spans="1:2">
      <c r="A121" s="377" t="str">
        <f>IFERROR(VLOOKUP(B121,Map!$B:$F,4,0),"")&amp;IFERROR(VLOOKUP(B121,Map!$B:$F,5,0),"")</f>
        <v/>
      </c>
      <c r="B121" s="412" t="str">
        <f t="shared" si="1"/>
        <v/>
      </c>
    </row>
    <row r="122" spans="1:2">
      <c r="A122" s="377" t="str">
        <f>IFERROR(VLOOKUP(B122,Map!$B:$F,4,0),"")&amp;IFERROR(VLOOKUP(B122,Map!$B:$F,5,0),"")</f>
        <v/>
      </c>
      <c r="B122" s="412" t="str">
        <f t="shared" si="1"/>
        <v/>
      </c>
    </row>
    <row r="123" spans="1:2">
      <c r="A123" s="377" t="str">
        <f>IFERROR(VLOOKUP(B123,Map!$B:$F,4,0),"")&amp;IFERROR(VLOOKUP(B123,Map!$B:$F,5,0),"")</f>
        <v/>
      </c>
      <c r="B123" s="412" t="str">
        <f t="shared" si="1"/>
        <v/>
      </c>
    </row>
    <row r="124" spans="1:2">
      <c r="A124" s="377" t="str">
        <f>IFERROR(VLOOKUP(B124,Map!$B:$F,4,0),"")&amp;IFERROR(VLOOKUP(B124,Map!$B:$F,5,0),"")</f>
        <v/>
      </c>
      <c r="B124" s="412" t="str">
        <f t="shared" si="1"/>
        <v/>
      </c>
    </row>
    <row r="125" spans="1:2">
      <c r="A125" s="377" t="str">
        <f>IFERROR(VLOOKUP(B125,Map!$B:$F,4,0),"")&amp;IFERROR(VLOOKUP(B125,Map!$B:$F,5,0),"")</f>
        <v/>
      </c>
      <c r="B125" s="412" t="str">
        <f t="shared" si="1"/>
        <v/>
      </c>
    </row>
    <row r="126" spans="1:2">
      <c r="A126" s="377" t="str">
        <f>IFERROR(VLOOKUP(B126,Map!$B:$F,4,0),"")&amp;IFERROR(VLOOKUP(B126,Map!$B:$F,5,0),"")</f>
        <v/>
      </c>
      <c r="B126" s="412" t="str">
        <f t="shared" si="1"/>
        <v/>
      </c>
    </row>
    <row r="127" spans="1:2">
      <c r="A127" s="377" t="str">
        <f>IFERROR(VLOOKUP(B127,Map!$B:$F,4,0),"")&amp;IFERROR(VLOOKUP(B127,Map!$B:$F,5,0),"")</f>
        <v/>
      </c>
      <c r="B127" s="412" t="str">
        <f t="shared" si="1"/>
        <v/>
      </c>
    </row>
    <row r="128" spans="1:2">
      <c r="A128" s="377" t="str">
        <f>IFERROR(VLOOKUP(B128,Map!$B:$F,4,0),"")&amp;IFERROR(VLOOKUP(B128,Map!$B:$F,5,0),"")</f>
        <v/>
      </c>
      <c r="B128" s="412" t="str">
        <f t="shared" si="1"/>
        <v/>
      </c>
    </row>
    <row r="129" spans="1:2">
      <c r="A129" s="377" t="str">
        <f>IFERROR(VLOOKUP(B129,Map!$B:$F,4,0),"")&amp;IFERROR(VLOOKUP(B129,Map!$B:$F,5,0),"")</f>
        <v/>
      </c>
      <c r="B129" s="412" t="str">
        <f t="shared" si="1"/>
        <v/>
      </c>
    </row>
    <row r="130" spans="1:2">
      <c r="A130" s="377" t="str">
        <f>IFERROR(VLOOKUP(B130,Map!$B:$F,4,0),"")&amp;IFERROR(VLOOKUP(B130,Map!$B:$F,5,0),"")</f>
        <v/>
      </c>
      <c r="B130" s="412" t="str">
        <f t="shared" si="1"/>
        <v/>
      </c>
    </row>
    <row r="131" spans="1:2">
      <c r="A131" s="377" t="str">
        <f>IFERROR(VLOOKUP(B131,Map!$B:$F,4,0),"")&amp;IFERROR(VLOOKUP(B131,Map!$B:$F,5,0),"")</f>
        <v/>
      </c>
      <c r="B131" s="412" t="str">
        <f t="shared" si="1"/>
        <v/>
      </c>
    </row>
    <row r="132" spans="1:2">
      <c r="A132" s="377" t="str">
        <f>IFERROR(VLOOKUP(B132,Map!$B:$F,4,0),"")&amp;IFERROR(VLOOKUP(B132,Map!$B:$F,5,0),"")</f>
        <v/>
      </c>
      <c r="B132" s="412" t="str">
        <f t="shared" ref="B132:B181" si="2">C132&amp;F166</f>
        <v/>
      </c>
    </row>
    <row r="133" spans="1:2">
      <c r="A133" s="377" t="str">
        <f>IFERROR(VLOOKUP(B133,Map!$B:$F,4,0),"")&amp;IFERROR(VLOOKUP(B133,Map!$B:$F,5,0),"")</f>
        <v/>
      </c>
      <c r="B133" s="412" t="str">
        <f t="shared" si="2"/>
        <v/>
      </c>
    </row>
    <row r="134" spans="1:2">
      <c r="A134" s="377" t="str">
        <f>IFERROR(VLOOKUP(B134,Map!$B:$F,4,0),"")&amp;IFERROR(VLOOKUP(B134,Map!$B:$F,5,0),"")</f>
        <v/>
      </c>
      <c r="B134" s="412" t="str">
        <f t="shared" si="2"/>
        <v/>
      </c>
    </row>
    <row r="135" spans="1:2">
      <c r="A135" s="377" t="str">
        <f>IFERROR(VLOOKUP(B135,Map!$B:$F,4,0),"")&amp;IFERROR(VLOOKUP(B135,Map!$B:$F,5,0),"")</f>
        <v/>
      </c>
      <c r="B135" s="412" t="str">
        <f t="shared" si="2"/>
        <v/>
      </c>
    </row>
    <row r="136" spans="1:2">
      <c r="A136" s="377" t="str">
        <f>IFERROR(VLOOKUP(B136,Map!$B:$F,4,0),"")&amp;IFERROR(VLOOKUP(B136,Map!$B:$F,5,0),"")</f>
        <v/>
      </c>
      <c r="B136" s="412" t="str">
        <f t="shared" si="2"/>
        <v/>
      </c>
    </row>
    <row r="137" spans="1:2">
      <c r="A137" s="377" t="str">
        <f>IFERROR(VLOOKUP(B137,Map!$B:$F,4,0),"")&amp;IFERROR(VLOOKUP(B137,Map!$B:$F,5,0),"")</f>
        <v/>
      </c>
      <c r="B137" s="412" t="str">
        <f t="shared" si="2"/>
        <v/>
      </c>
    </row>
    <row r="138" spans="1:2">
      <c r="A138" s="377" t="str">
        <f>IFERROR(VLOOKUP(B138,Map!$B:$F,4,0),"")&amp;IFERROR(VLOOKUP(B138,Map!$B:$F,5,0),"")</f>
        <v/>
      </c>
      <c r="B138" s="412" t="str">
        <f t="shared" si="2"/>
        <v/>
      </c>
    </row>
    <row r="139" spans="1:2">
      <c r="A139" s="377" t="str">
        <f>IFERROR(VLOOKUP(B139,Map!$B:$F,4,0),"")&amp;IFERROR(VLOOKUP(B139,Map!$B:$F,5,0),"")</f>
        <v/>
      </c>
      <c r="B139" s="412" t="str">
        <f t="shared" si="2"/>
        <v/>
      </c>
    </row>
    <row r="140" spans="1:2">
      <c r="A140" s="411" t="str">
        <f t="shared" ref="A140:A180" si="3">C140&amp;F140&amp;B140</f>
        <v/>
      </c>
      <c r="B140" s="412" t="str">
        <f t="shared" si="2"/>
        <v/>
      </c>
    </row>
    <row r="141" spans="1:2">
      <c r="A141" s="411" t="str">
        <f t="shared" si="3"/>
        <v/>
      </c>
      <c r="B141" s="412" t="str">
        <f t="shared" si="2"/>
        <v/>
      </c>
    </row>
    <row r="142" spans="1:2">
      <c r="A142" s="411" t="str">
        <f t="shared" si="3"/>
        <v/>
      </c>
      <c r="B142" s="412" t="str">
        <f t="shared" si="2"/>
        <v/>
      </c>
    </row>
    <row r="143" spans="1:2">
      <c r="A143" s="411" t="str">
        <f t="shared" si="3"/>
        <v/>
      </c>
      <c r="B143" s="412" t="str">
        <f t="shared" si="2"/>
        <v/>
      </c>
    </row>
    <row r="144" spans="1:2">
      <c r="A144" s="411" t="str">
        <f t="shared" si="3"/>
        <v/>
      </c>
      <c r="B144" s="412" t="str">
        <f t="shared" si="2"/>
        <v/>
      </c>
    </row>
    <row r="145" spans="1:2">
      <c r="A145" s="411" t="str">
        <f t="shared" si="3"/>
        <v/>
      </c>
      <c r="B145" s="412" t="str">
        <f t="shared" si="2"/>
        <v/>
      </c>
    </row>
    <row r="146" spans="1:2">
      <c r="A146" s="411" t="str">
        <f t="shared" si="3"/>
        <v/>
      </c>
      <c r="B146" s="412" t="str">
        <f t="shared" si="2"/>
        <v/>
      </c>
    </row>
    <row r="147" spans="1:2">
      <c r="A147" s="411" t="str">
        <f t="shared" si="3"/>
        <v/>
      </c>
      <c r="B147" s="412" t="str">
        <f t="shared" si="2"/>
        <v/>
      </c>
    </row>
    <row r="148" spans="1:2">
      <c r="A148" s="411" t="str">
        <f t="shared" si="3"/>
        <v/>
      </c>
      <c r="B148" s="412" t="str">
        <f t="shared" si="2"/>
        <v/>
      </c>
    </row>
    <row r="149" spans="1:2">
      <c r="A149" s="411" t="str">
        <f t="shared" si="3"/>
        <v/>
      </c>
      <c r="B149" s="412" t="str">
        <f t="shared" si="2"/>
        <v/>
      </c>
    </row>
    <row r="150" spans="1:2">
      <c r="A150" s="411" t="str">
        <f t="shared" si="3"/>
        <v/>
      </c>
      <c r="B150" s="412" t="str">
        <f t="shared" si="2"/>
        <v/>
      </c>
    </row>
    <row r="151" spans="1:2">
      <c r="A151" s="411" t="str">
        <f t="shared" si="3"/>
        <v/>
      </c>
      <c r="B151" s="412" t="str">
        <f t="shared" si="2"/>
        <v/>
      </c>
    </row>
    <row r="152" spans="1:2">
      <c r="A152" s="411" t="str">
        <f t="shared" si="3"/>
        <v/>
      </c>
      <c r="B152" s="412" t="str">
        <f t="shared" si="2"/>
        <v/>
      </c>
    </row>
    <row r="153" spans="1:2">
      <c r="A153" s="411" t="str">
        <f t="shared" si="3"/>
        <v/>
      </c>
      <c r="B153" s="412" t="str">
        <f t="shared" si="2"/>
        <v/>
      </c>
    </row>
    <row r="154" spans="1:2">
      <c r="A154" s="411" t="str">
        <f t="shared" si="3"/>
        <v/>
      </c>
      <c r="B154" s="412" t="str">
        <f t="shared" si="2"/>
        <v/>
      </c>
    </row>
    <row r="155" spans="1:2">
      <c r="A155" s="411" t="str">
        <f t="shared" si="3"/>
        <v/>
      </c>
      <c r="B155" s="412" t="str">
        <f t="shared" si="2"/>
        <v/>
      </c>
    </row>
    <row r="156" spans="1:2">
      <c r="A156" s="411" t="str">
        <f t="shared" si="3"/>
        <v/>
      </c>
      <c r="B156" s="412" t="str">
        <f t="shared" si="2"/>
        <v/>
      </c>
    </row>
    <row r="157" spans="1:2">
      <c r="A157" s="411" t="str">
        <f t="shared" si="3"/>
        <v/>
      </c>
      <c r="B157" s="412" t="str">
        <f t="shared" si="2"/>
        <v/>
      </c>
    </row>
    <row r="158" spans="1:2">
      <c r="A158" s="411" t="str">
        <f t="shared" si="3"/>
        <v/>
      </c>
      <c r="B158" s="412" t="str">
        <f t="shared" si="2"/>
        <v/>
      </c>
    </row>
    <row r="159" spans="1:2">
      <c r="A159" s="411" t="str">
        <f t="shared" si="3"/>
        <v/>
      </c>
      <c r="B159" s="412" t="str">
        <f t="shared" si="2"/>
        <v/>
      </c>
    </row>
    <row r="160" spans="1:2">
      <c r="A160" s="411" t="str">
        <f t="shared" si="3"/>
        <v/>
      </c>
      <c r="B160" s="412" t="str">
        <f t="shared" si="2"/>
        <v/>
      </c>
    </row>
    <row r="161" spans="1:2">
      <c r="A161" s="411" t="str">
        <f t="shared" si="3"/>
        <v/>
      </c>
      <c r="B161" s="412" t="str">
        <f t="shared" si="2"/>
        <v/>
      </c>
    </row>
    <row r="162" spans="1:2">
      <c r="A162" s="411" t="str">
        <f t="shared" si="3"/>
        <v/>
      </c>
      <c r="B162" s="412" t="str">
        <f t="shared" si="2"/>
        <v/>
      </c>
    </row>
    <row r="163" spans="1:2">
      <c r="A163" s="411" t="str">
        <f t="shared" si="3"/>
        <v/>
      </c>
      <c r="B163" s="412" t="str">
        <f t="shared" si="2"/>
        <v/>
      </c>
    </row>
    <row r="164" spans="1:2">
      <c r="A164" s="411" t="str">
        <f t="shared" si="3"/>
        <v/>
      </c>
      <c r="B164" s="412" t="str">
        <f t="shared" si="2"/>
        <v/>
      </c>
    </row>
    <row r="165" spans="1:2">
      <c r="A165" s="411" t="str">
        <f t="shared" si="3"/>
        <v/>
      </c>
      <c r="B165" s="412" t="str">
        <f t="shared" si="2"/>
        <v/>
      </c>
    </row>
    <row r="166" spans="1:2">
      <c r="A166" s="411" t="str">
        <f t="shared" si="3"/>
        <v/>
      </c>
      <c r="B166" s="412" t="str">
        <f t="shared" si="2"/>
        <v/>
      </c>
    </row>
    <row r="167" spans="1:2">
      <c r="A167" s="411" t="str">
        <f t="shared" si="3"/>
        <v/>
      </c>
      <c r="B167" s="412" t="str">
        <f t="shared" si="2"/>
        <v/>
      </c>
    </row>
    <row r="168" spans="1:2">
      <c r="A168" s="411" t="str">
        <f t="shared" si="3"/>
        <v/>
      </c>
      <c r="B168" s="412" t="str">
        <f t="shared" si="2"/>
        <v/>
      </c>
    </row>
    <row r="169" spans="1:2">
      <c r="A169" s="411" t="str">
        <f t="shared" si="3"/>
        <v/>
      </c>
      <c r="B169" s="412" t="str">
        <f t="shared" si="2"/>
        <v/>
      </c>
    </row>
    <row r="170" spans="1:2">
      <c r="A170" s="411" t="str">
        <f t="shared" si="3"/>
        <v/>
      </c>
      <c r="B170" s="412" t="str">
        <f t="shared" si="2"/>
        <v/>
      </c>
    </row>
    <row r="171" spans="1:2">
      <c r="A171" s="411" t="str">
        <f t="shared" si="3"/>
        <v/>
      </c>
      <c r="B171" s="412" t="str">
        <f t="shared" si="2"/>
        <v/>
      </c>
    </row>
    <row r="172" spans="1:2">
      <c r="A172" s="411" t="str">
        <f t="shared" si="3"/>
        <v/>
      </c>
      <c r="B172" s="412" t="str">
        <f t="shared" si="2"/>
        <v/>
      </c>
    </row>
    <row r="173" spans="1:2">
      <c r="A173" s="411" t="str">
        <f t="shared" si="3"/>
        <v/>
      </c>
      <c r="B173" s="412" t="str">
        <f t="shared" si="2"/>
        <v/>
      </c>
    </row>
    <row r="174" spans="1:2">
      <c r="A174" s="411" t="str">
        <f t="shared" si="3"/>
        <v/>
      </c>
      <c r="B174" s="412" t="str">
        <f t="shared" si="2"/>
        <v/>
      </c>
    </row>
    <row r="175" spans="1:2">
      <c r="A175" s="411" t="str">
        <f t="shared" si="3"/>
        <v/>
      </c>
      <c r="B175" s="412" t="str">
        <f t="shared" si="2"/>
        <v/>
      </c>
    </row>
    <row r="176" spans="1:2">
      <c r="A176" s="411" t="str">
        <f t="shared" si="3"/>
        <v/>
      </c>
      <c r="B176" s="412" t="str">
        <f t="shared" si="2"/>
        <v/>
      </c>
    </row>
    <row r="177" spans="1:2">
      <c r="A177" s="411" t="str">
        <f t="shared" si="3"/>
        <v/>
      </c>
      <c r="B177" s="412" t="str">
        <f t="shared" si="2"/>
        <v/>
      </c>
    </row>
    <row r="178" spans="1:2">
      <c r="A178" s="411" t="str">
        <f t="shared" si="3"/>
        <v/>
      </c>
      <c r="B178" s="412" t="str">
        <f t="shared" si="2"/>
        <v/>
      </c>
    </row>
    <row r="179" spans="1:2">
      <c r="A179" s="411" t="str">
        <f t="shared" si="3"/>
        <v/>
      </c>
      <c r="B179" s="412" t="str">
        <f t="shared" si="2"/>
        <v/>
      </c>
    </row>
    <row r="180" spans="1:2">
      <c r="A180" s="411" t="str">
        <f t="shared" si="3"/>
        <v/>
      </c>
      <c r="B180" s="412" t="str">
        <f t="shared" si="2"/>
        <v/>
      </c>
    </row>
    <row r="181" spans="1:2">
      <c r="B181" s="412" t="str">
        <f t="shared" si="2"/>
        <v/>
      </c>
    </row>
  </sheetData>
  <phoneticPr fontId="7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2C3D91-72ED-4959-A051-20DC5A695EBB}">
  <sheetPr codeName="Sheet16"/>
  <dimension ref="A1:P181"/>
  <sheetViews>
    <sheetView zoomScale="90" zoomScaleNormal="90" workbookViewId="0">
      <selection activeCell="C1" sqref="C1:H10"/>
    </sheetView>
  </sheetViews>
  <sheetFormatPr defaultRowHeight="12.75"/>
  <cols>
    <col min="1" max="1" width="12.5703125" style="411" customWidth="1"/>
    <col min="2" max="2" width="18.5703125" style="540" customWidth="1"/>
    <col min="3" max="3" width="16.7109375" customWidth="1"/>
    <col min="4" max="4" width="31" customWidth="1"/>
    <col min="5" max="5" width="4.7109375" customWidth="1"/>
    <col min="6" max="6" width="7.28515625" style="415" customWidth="1"/>
    <col min="7" max="7" width="5.85546875" customWidth="1"/>
    <col min="8" max="8" width="15.7109375" customWidth="1"/>
    <col min="9" max="11" width="3.5703125" hidden="1" customWidth="1"/>
    <col min="12" max="12" width="14.7109375" customWidth="1"/>
    <col min="13" max="13" width="11.5703125" customWidth="1"/>
    <col min="14" max="14" width="20.28515625" style="414" customWidth="1"/>
    <col min="15" max="15" width="11.7109375" customWidth="1"/>
  </cols>
  <sheetData>
    <row r="1" spans="1:16" s="411" customFormat="1">
      <c r="A1" s="411" t="str">
        <f>C1&amp;F1&amp;B1</f>
        <v>0</v>
      </c>
      <c r="B1" s="541">
        <f>D1</f>
        <v>0</v>
      </c>
      <c r="C1" s="369"/>
      <c r="D1" s="369"/>
      <c r="E1" s="369"/>
      <c r="F1" s="369"/>
      <c r="G1" s="369"/>
      <c r="H1" s="369"/>
      <c r="I1" s="634"/>
      <c r="J1" s="634"/>
      <c r="K1" s="634"/>
      <c r="L1" s="634"/>
      <c r="M1" s="634"/>
      <c r="N1" s="634"/>
      <c r="O1" s="634"/>
      <c r="P1" s="634"/>
    </row>
    <row r="2" spans="1:16" ht="14.25" customHeight="1">
      <c r="A2" s="377" t="str">
        <f>IFERROR(VLOOKUP(B2,Map!$B:$F,4,0),"")&amp;IFERROR(VLOOKUP(B2,Map!$B:$F,5,0),"")</f>
        <v/>
      </c>
      <c r="B2" s="540" t="str">
        <f>IF(MID(C2,10,2)="99",C2&amp;E2,LEFT(C2,14))</f>
        <v/>
      </c>
      <c r="C2" s="369"/>
      <c r="D2" s="369"/>
      <c r="E2" s="369"/>
      <c r="F2" s="803"/>
      <c r="G2" s="625"/>
      <c r="H2" s="554"/>
      <c r="I2" s="369"/>
      <c r="J2" s="554"/>
      <c r="K2" s="369"/>
      <c r="L2" s="625"/>
      <c r="M2" s="554"/>
      <c r="N2" s="625"/>
      <c r="O2" s="554"/>
      <c r="P2" s="369"/>
    </row>
    <row r="3" spans="1:16" ht="14.25" customHeight="1">
      <c r="A3" s="377" t="str">
        <f>IFERROR(VLOOKUP(B3,Map!$B:$F,4,0),"")&amp;IFERROR(VLOOKUP(B3,Map!$B:$F,5,0),"")</f>
        <v/>
      </c>
      <c r="B3" s="540" t="str">
        <f>IF(MID(C3,10,2)="99",C3&amp;E3,LEFT(C3,14))</f>
        <v/>
      </c>
      <c r="C3" s="369"/>
      <c r="D3" s="369"/>
      <c r="E3" s="554"/>
      <c r="F3" s="369"/>
      <c r="G3" s="369"/>
      <c r="H3" s="369"/>
      <c r="I3" s="369"/>
      <c r="J3" s="554"/>
      <c r="K3" s="369"/>
      <c r="L3" s="625"/>
      <c r="M3" s="554"/>
      <c r="N3" s="625"/>
      <c r="O3" s="554"/>
      <c r="P3" s="369"/>
    </row>
    <row r="4" spans="1:16">
      <c r="A4" s="377" t="str">
        <f>IFERROR(VLOOKUP(B4,Map!$B:$F,4,0),"")&amp;IFERROR(VLOOKUP(B4,Map!$B:$F,5,0),"")</f>
        <v/>
      </c>
      <c r="B4" s="540" t="str">
        <f>IF(MID(C4,10,2)="99",C4&amp;E4,LEFT(C4,14))</f>
        <v/>
      </c>
      <c r="C4" s="369"/>
      <c r="D4" s="369"/>
      <c r="E4" s="369"/>
      <c r="F4" s="369"/>
      <c r="G4" s="369"/>
      <c r="H4" s="369"/>
      <c r="I4" s="369"/>
      <c r="J4" s="554"/>
      <c r="K4" s="369"/>
      <c r="L4" s="369"/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540" t="str">
        <f t="shared" ref="B5:B10" si="0">IF(MID(C5,10,2)="99",C5&amp;E5,LEFT(C5,14))</f>
        <v/>
      </c>
      <c r="C5" s="369"/>
      <c r="D5" s="369"/>
      <c r="E5" s="369"/>
      <c r="F5" s="369"/>
      <c r="G5" s="369"/>
      <c r="H5" s="369"/>
      <c r="I5" s="369"/>
      <c r="J5" s="625"/>
      <c r="K5" s="554"/>
      <c r="L5" s="625"/>
      <c r="M5" s="554"/>
      <c r="N5" s="625"/>
      <c r="O5" s="554"/>
      <c r="P5" s="369"/>
    </row>
    <row r="6" spans="1:16">
      <c r="A6" s="377" t="str">
        <f>IFERROR(VLOOKUP(B6,Map!$B:$F,4,0),"")&amp;IFERROR(VLOOKUP(B6,Map!$B:$F,5,0),"")</f>
        <v/>
      </c>
      <c r="B6" s="540" t="str">
        <f t="shared" si="0"/>
        <v/>
      </c>
      <c r="C6" s="369"/>
      <c r="D6" s="369"/>
      <c r="E6" s="369"/>
      <c r="F6" s="369"/>
      <c r="G6" s="369"/>
      <c r="H6" s="369"/>
      <c r="I6" s="369"/>
      <c r="J6" s="625"/>
      <c r="K6" s="554"/>
      <c r="L6" s="625"/>
      <c r="M6" s="554"/>
      <c r="N6" s="625"/>
      <c r="O6" s="554"/>
      <c r="P6" s="369"/>
    </row>
    <row r="7" spans="1:16">
      <c r="A7" s="377" t="str">
        <f>IFERROR(VLOOKUP(B7,Map!$B:$F,4,0),"")&amp;IFERROR(VLOOKUP(B7,Map!$B:$F,5,0),"")</f>
        <v/>
      </c>
      <c r="B7" s="540" t="str">
        <f t="shared" si="0"/>
        <v/>
      </c>
      <c r="C7" s="369"/>
      <c r="D7" s="369"/>
      <c r="E7" s="554"/>
      <c r="F7" s="369"/>
      <c r="G7" s="369"/>
      <c r="H7" s="369"/>
      <c r="I7" s="369"/>
      <c r="J7" s="625"/>
      <c r="K7" s="554"/>
      <c r="L7" s="625"/>
      <c r="M7" s="554"/>
      <c r="N7" s="625"/>
      <c r="O7" s="554"/>
      <c r="P7" s="369"/>
    </row>
    <row r="8" spans="1:16">
      <c r="A8" s="377" t="str">
        <f>IFERROR(VLOOKUP(B8,Map!$B:$F,4,0),"")&amp;IFERROR(VLOOKUP(B8,Map!$B:$F,5,0),"")</f>
        <v/>
      </c>
      <c r="B8" s="540" t="str">
        <f t="shared" si="0"/>
        <v/>
      </c>
      <c r="C8" s="369"/>
      <c r="D8" s="369"/>
      <c r="E8" s="369"/>
      <c r="F8" s="369"/>
      <c r="G8" s="369"/>
      <c r="H8" s="369"/>
      <c r="I8" s="554"/>
      <c r="J8" s="625"/>
      <c r="K8" s="554"/>
      <c r="L8" s="625"/>
      <c r="M8" s="554"/>
      <c r="N8" s="625"/>
      <c r="O8" s="554"/>
      <c r="P8" s="369"/>
    </row>
    <row r="9" spans="1:16">
      <c r="A9" s="377" t="str">
        <f>IFERROR(VLOOKUP(B9,Map!$B:$F,4,0),"")&amp;IFERROR(VLOOKUP(B9,Map!$B:$F,5,0),"")</f>
        <v/>
      </c>
      <c r="B9" s="540" t="str">
        <f t="shared" si="0"/>
        <v/>
      </c>
      <c r="C9" s="369"/>
      <c r="D9" s="369"/>
      <c r="E9" s="369"/>
      <c r="F9" s="803"/>
      <c r="G9" s="625"/>
      <c r="H9" s="554"/>
      <c r="I9" s="554"/>
      <c r="J9" s="625"/>
      <c r="K9" s="554"/>
      <c r="L9" s="625"/>
      <c r="M9" s="554"/>
      <c r="N9" s="625"/>
      <c r="O9" s="554"/>
      <c r="P9" s="369"/>
    </row>
    <row r="10" spans="1:16">
      <c r="A10" s="377" t="str">
        <f>IFERROR(VLOOKUP(B10,Map!$B:$F,4,0),"")&amp;IFERROR(VLOOKUP(B10,Map!$B:$F,5,0),"")</f>
        <v/>
      </c>
      <c r="B10" s="540" t="str">
        <f t="shared" si="0"/>
        <v/>
      </c>
      <c r="C10" s="369"/>
      <c r="D10" s="369"/>
      <c r="E10" s="369"/>
      <c r="F10" s="803"/>
      <c r="G10" s="625"/>
      <c r="H10" s="554"/>
      <c r="I10" s="554"/>
      <c r="J10" s="625"/>
      <c r="K10" s="554"/>
      <c r="L10" s="625"/>
      <c r="M10" s="554"/>
      <c r="N10" s="625"/>
      <c r="O10" s="554"/>
      <c r="P10" s="369"/>
    </row>
    <row r="11" spans="1:16">
      <c r="A11" s="377" t="str">
        <f>IFERROR(VLOOKUP(B11,Map!$B:$F,4,0),"")&amp;IFERROR(VLOOKUP(B11,Map!$B:$F,5,0),"")</f>
        <v/>
      </c>
      <c r="B11" s="540" t="str">
        <f t="shared" ref="B11:B66" si="1">IF(MID(C11,10,2)="99",C11&amp;E11,LEFT(C11,14))</f>
        <v/>
      </c>
      <c r="C11" s="369"/>
      <c r="D11" s="369"/>
      <c r="E11" s="554"/>
      <c r="F11" s="369"/>
      <c r="G11" s="369"/>
      <c r="H11" s="369"/>
      <c r="I11" s="554"/>
      <c r="J11" s="625"/>
      <c r="K11" s="554"/>
      <c r="L11" s="625"/>
      <c r="M11" s="554"/>
      <c r="N11" s="625"/>
      <c r="O11" s="554"/>
      <c r="P11" s="369"/>
    </row>
    <row r="12" spans="1:16">
      <c r="A12" s="377" t="str">
        <f>IFERROR(VLOOKUP(B12,Map!$B:$F,4,0),"")&amp;IFERROR(VLOOKUP(B12,Map!$B:$F,5,0),"")</f>
        <v/>
      </c>
      <c r="B12" s="540" t="str">
        <f t="shared" si="1"/>
        <v/>
      </c>
      <c r="C12" s="369"/>
      <c r="D12" s="369"/>
      <c r="E12" s="369"/>
      <c r="F12" s="803"/>
      <c r="G12" s="625"/>
      <c r="H12" s="554"/>
      <c r="I12" s="554"/>
      <c r="J12" s="625"/>
      <c r="K12" s="554"/>
      <c r="L12" s="625"/>
      <c r="M12" s="554"/>
      <c r="N12" s="625"/>
      <c r="O12" s="554"/>
      <c r="P12" s="369"/>
    </row>
    <row r="13" spans="1:16">
      <c r="A13" s="377" t="str">
        <f>IFERROR(VLOOKUP(B13,Map!$B:$F,4,0),"")&amp;IFERROR(VLOOKUP(B13,Map!$B:$F,5,0),"")</f>
        <v/>
      </c>
      <c r="B13" s="540" t="str">
        <f t="shared" si="1"/>
        <v/>
      </c>
      <c r="C13" s="369"/>
      <c r="D13" s="369"/>
      <c r="E13" s="554"/>
      <c r="F13" s="369"/>
      <c r="G13" s="369"/>
      <c r="H13" s="369"/>
      <c r="I13" s="554"/>
      <c r="J13" s="625"/>
      <c r="K13" s="554"/>
      <c r="L13" s="625"/>
      <c r="M13" s="554"/>
      <c r="N13" s="625"/>
      <c r="O13" s="554"/>
      <c r="P13" s="369"/>
    </row>
    <row r="14" spans="1:16">
      <c r="A14" s="377" t="str">
        <f>IFERROR(VLOOKUP(B14,Map!$B:$F,4,0),"")&amp;IFERROR(VLOOKUP(B14,Map!$B:$F,5,0),"")</f>
        <v/>
      </c>
      <c r="B14" s="540" t="str">
        <f t="shared" si="1"/>
        <v/>
      </c>
      <c r="C14" s="369"/>
      <c r="D14" s="369"/>
      <c r="E14" s="369"/>
      <c r="F14" s="369"/>
      <c r="G14" s="369"/>
      <c r="H14" s="369"/>
      <c r="I14" s="554"/>
      <c r="J14" s="625"/>
      <c r="K14" s="554"/>
      <c r="L14" s="625"/>
      <c r="M14" s="554"/>
      <c r="N14" s="625"/>
      <c r="O14" s="554"/>
      <c r="P14" s="369"/>
    </row>
    <row r="15" spans="1:16" ht="12" customHeight="1">
      <c r="A15" s="377" t="str">
        <f>IFERROR(VLOOKUP(B15,Map!$B:$F,4,0),"")&amp;IFERROR(VLOOKUP(B15,Map!$B:$F,5,0),"")</f>
        <v/>
      </c>
      <c r="B15" s="540" t="str">
        <f t="shared" si="1"/>
        <v/>
      </c>
      <c r="C15" s="369"/>
      <c r="D15" s="369"/>
      <c r="E15" s="369"/>
      <c r="F15" s="369"/>
      <c r="G15" s="369"/>
      <c r="H15" s="369"/>
      <c r="I15" s="554"/>
      <c r="J15" s="625"/>
      <c r="K15" s="554"/>
      <c r="L15" s="625"/>
      <c r="M15" s="554"/>
      <c r="N15" s="625"/>
      <c r="O15" s="554"/>
      <c r="P15" s="369"/>
    </row>
    <row r="16" spans="1:16">
      <c r="A16" s="377" t="str">
        <f>IFERROR(VLOOKUP(B16,Map!$B:$F,4,0),"")&amp;IFERROR(VLOOKUP(B16,Map!$B:$F,5,0),"")</f>
        <v/>
      </c>
      <c r="B16" s="540" t="str">
        <f t="shared" si="1"/>
        <v/>
      </c>
      <c r="C16" s="369"/>
      <c r="D16" s="369"/>
      <c r="E16" s="369"/>
      <c r="F16" s="369"/>
      <c r="G16" s="369"/>
      <c r="H16" s="369"/>
      <c r="I16" s="554"/>
      <c r="J16" s="625"/>
      <c r="K16" s="554"/>
      <c r="L16" s="625"/>
      <c r="M16" s="554"/>
      <c r="N16" s="625"/>
      <c r="O16" s="554"/>
      <c r="P16" s="369"/>
    </row>
    <row r="17" spans="1:16">
      <c r="A17" s="377" t="str">
        <f>IFERROR(VLOOKUP(B17,Map!$B:$F,4,0),"")&amp;IFERROR(VLOOKUP(B17,Map!$B:$F,5,0),"")</f>
        <v/>
      </c>
      <c r="B17" s="540" t="str">
        <f t="shared" si="1"/>
        <v/>
      </c>
      <c r="C17" s="369"/>
      <c r="D17" s="369"/>
      <c r="E17" s="369"/>
      <c r="F17" s="803"/>
      <c r="G17" s="625"/>
      <c r="H17" s="554"/>
      <c r="I17" s="554"/>
      <c r="J17" s="625"/>
      <c r="K17" s="554"/>
      <c r="L17" s="625"/>
      <c r="M17" s="554"/>
      <c r="N17" s="625"/>
      <c r="O17" s="554"/>
      <c r="P17" s="369"/>
    </row>
    <row r="18" spans="1:16">
      <c r="A18" s="377" t="str">
        <f>IFERROR(VLOOKUP(B18,Map!$B:$F,4,0),"")&amp;IFERROR(VLOOKUP(B18,Map!$B:$F,5,0),"")</f>
        <v/>
      </c>
      <c r="B18" s="540" t="str">
        <f t="shared" si="1"/>
        <v/>
      </c>
      <c r="C18" s="369"/>
      <c r="D18" s="369"/>
      <c r="E18" s="554"/>
      <c r="F18" s="369"/>
      <c r="G18" s="369"/>
      <c r="H18" s="369"/>
      <c r="I18" s="554"/>
      <c r="J18" s="625"/>
      <c r="K18" s="554"/>
      <c r="L18" s="625"/>
      <c r="M18" s="554"/>
      <c r="N18" s="625"/>
      <c r="O18" s="554"/>
      <c r="P18" s="369"/>
    </row>
    <row r="19" spans="1:16">
      <c r="A19" s="377" t="str">
        <f>IFERROR(VLOOKUP(B19,Map!$B:$F,4,0),"")&amp;IFERROR(VLOOKUP(B19,Map!$B:$F,5,0),"")</f>
        <v/>
      </c>
      <c r="B19" s="540" t="str">
        <f t="shared" si="1"/>
        <v/>
      </c>
      <c r="C19" s="369"/>
      <c r="D19" s="369"/>
      <c r="E19" s="369"/>
      <c r="F19" s="369"/>
      <c r="G19" s="369"/>
      <c r="H19" s="369"/>
      <c r="I19" s="554"/>
      <c r="J19" s="625"/>
      <c r="K19" s="554"/>
      <c r="L19" s="625"/>
      <c r="M19" s="554"/>
      <c r="N19" s="625"/>
      <c r="O19" s="554"/>
      <c r="P19" s="369"/>
    </row>
    <row r="20" spans="1:16">
      <c r="A20" s="377" t="str">
        <f>IFERROR(VLOOKUP(B20,Map!$B:$F,4,0),"")&amp;IFERROR(VLOOKUP(B20,Map!$B:$F,5,0),"")</f>
        <v/>
      </c>
      <c r="B20" s="540" t="str">
        <f t="shared" si="1"/>
        <v/>
      </c>
      <c r="C20" s="369"/>
      <c r="D20" s="369"/>
      <c r="E20" s="369"/>
      <c r="F20" s="803"/>
      <c r="G20" s="625"/>
      <c r="H20" s="554"/>
      <c r="I20" s="554"/>
      <c r="J20" s="625"/>
      <c r="K20" s="554"/>
      <c r="L20" s="625"/>
      <c r="M20" s="554"/>
      <c r="N20" s="625"/>
      <c r="O20" s="554"/>
      <c r="P20" s="369"/>
    </row>
    <row r="21" spans="1:16">
      <c r="A21" s="377" t="str">
        <f>IFERROR(VLOOKUP(B21,Map!$B:$F,4,0),"")&amp;IFERROR(VLOOKUP(B21,Map!$B:$F,5,0),"")</f>
        <v/>
      </c>
      <c r="B21" s="540" t="str">
        <f t="shared" si="1"/>
        <v/>
      </c>
      <c r="C21" s="369"/>
      <c r="D21" s="369"/>
      <c r="E21" s="369"/>
      <c r="F21" s="803"/>
      <c r="G21" s="625"/>
      <c r="H21" s="554"/>
      <c r="I21" s="554"/>
      <c r="J21" s="625"/>
      <c r="K21" s="554"/>
      <c r="L21" s="625"/>
      <c r="M21" s="554"/>
      <c r="N21" s="625"/>
      <c r="O21" s="554"/>
      <c r="P21" s="369"/>
    </row>
    <row r="22" spans="1:16">
      <c r="A22" s="377" t="str">
        <f>IFERROR(VLOOKUP(B22,Map!$B:$F,4,0),"")&amp;IFERROR(VLOOKUP(B22,Map!$B:$F,5,0),"")</f>
        <v/>
      </c>
      <c r="B22" s="540" t="str">
        <f t="shared" si="1"/>
        <v/>
      </c>
      <c r="C22" s="369"/>
      <c r="D22" s="369"/>
      <c r="E22" s="369"/>
      <c r="F22" s="803"/>
      <c r="G22" s="625"/>
      <c r="H22" s="554"/>
      <c r="I22" s="554"/>
      <c r="J22" s="625"/>
      <c r="K22" s="554"/>
      <c r="L22" s="625"/>
      <c r="M22" s="554"/>
      <c r="N22" s="625"/>
      <c r="O22" s="554"/>
      <c r="P22" s="369"/>
    </row>
    <row r="23" spans="1:16">
      <c r="A23" s="377" t="str">
        <f>IFERROR(VLOOKUP(B23,Map!$B:$F,4,0),"")&amp;IFERROR(VLOOKUP(B23,Map!$B:$F,5,0),"")</f>
        <v/>
      </c>
      <c r="B23" s="540" t="str">
        <f t="shared" si="1"/>
        <v/>
      </c>
      <c r="C23" s="369"/>
      <c r="D23" s="369"/>
      <c r="E23" s="554"/>
      <c r="F23" s="369"/>
      <c r="G23" s="369"/>
      <c r="H23" s="369"/>
      <c r="I23" s="554"/>
      <c r="J23" s="625"/>
      <c r="K23" s="554"/>
      <c r="L23" s="625"/>
      <c r="M23" s="554"/>
      <c r="N23" s="625"/>
      <c r="O23" s="554"/>
      <c r="P23" s="369"/>
    </row>
    <row r="24" spans="1:16">
      <c r="A24" s="377" t="str">
        <f>IFERROR(VLOOKUP(B24,Map!$B:$F,4,0),"")&amp;IFERROR(VLOOKUP(B24,Map!$B:$F,5,0),"")</f>
        <v/>
      </c>
      <c r="B24" s="540" t="str">
        <f t="shared" si="1"/>
        <v/>
      </c>
      <c r="C24" s="369"/>
      <c r="D24" s="554"/>
      <c r="E24" s="369"/>
      <c r="F24" s="369"/>
      <c r="G24" s="369"/>
      <c r="H24" s="625"/>
      <c r="I24" s="554"/>
      <c r="J24" s="625"/>
      <c r="K24" s="554"/>
      <c r="L24" s="625"/>
      <c r="M24" s="554"/>
      <c r="N24" s="625"/>
      <c r="O24" s="554"/>
      <c r="P24" s="369"/>
    </row>
    <row r="25" spans="1:16">
      <c r="A25" s="377" t="str">
        <f>IFERROR(VLOOKUP(B25,Map!$B:$F,4,0),"")&amp;IFERROR(VLOOKUP(B25,Map!$B:$F,5,0),"")</f>
        <v/>
      </c>
      <c r="B25" s="540" t="str">
        <f t="shared" si="1"/>
        <v/>
      </c>
      <c r="C25" s="369"/>
      <c r="D25" s="554"/>
      <c r="E25" s="369"/>
      <c r="F25" s="369"/>
      <c r="G25" s="369"/>
      <c r="H25" s="625"/>
      <c r="I25" s="554"/>
      <c r="J25" s="625"/>
      <c r="K25" s="554"/>
      <c r="L25" s="625"/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540" t="str">
        <f t="shared" si="1"/>
        <v/>
      </c>
      <c r="C26" s="369"/>
      <c r="D26" s="554"/>
      <c r="E26" s="369"/>
      <c r="F26" s="369"/>
      <c r="G26" s="369"/>
      <c r="H26" s="625"/>
      <c r="I26" s="554"/>
      <c r="J26" s="625"/>
      <c r="K26" s="554"/>
      <c r="L26" s="625"/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540" t="str">
        <f t="shared" si="1"/>
        <v/>
      </c>
      <c r="C27" s="369"/>
      <c r="D27" s="554"/>
      <c r="E27" s="369"/>
      <c r="F27" s="369"/>
      <c r="G27" s="369"/>
      <c r="H27" s="625"/>
      <c r="I27" s="554"/>
      <c r="J27" s="625"/>
      <c r="K27" s="554"/>
      <c r="L27" s="625"/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540" t="str">
        <f t="shared" si="1"/>
        <v/>
      </c>
      <c r="C28" s="369"/>
      <c r="D28" s="554"/>
      <c r="E28" s="369"/>
      <c r="F28" s="369"/>
      <c r="G28" s="369"/>
      <c r="H28" s="625"/>
      <c r="I28" s="554"/>
      <c r="J28" s="625"/>
      <c r="K28" s="554"/>
      <c r="L28" s="625"/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540" t="str">
        <f t="shared" si="1"/>
        <v/>
      </c>
      <c r="C29" s="369"/>
      <c r="D29" s="554"/>
      <c r="E29" s="369"/>
      <c r="F29" s="369"/>
      <c r="G29" s="369"/>
      <c r="H29" s="625"/>
      <c r="I29" s="554"/>
      <c r="J29" s="625"/>
      <c r="K29" s="554"/>
      <c r="L29" s="625"/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540" t="str">
        <f t="shared" si="1"/>
        <v/>
      </c>
      <c r="C30" s="369"/>
      <c r="D30" s="554"/>
      <c r="E30" s="369"/>
      <c r="F30" s="369"/>
      <c r="G30" s="369"/>
      <c r="H30" s="625"/>
      <c r="I30" s="554"/>
      <c r="J30" s="625"/>
      <c r="K30" s="554"/>
      <c r="L30" s="625"/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540" t="str">
        <f t="shared" si="1"/>
        <v/>
      </c>
      <c r="C31" s="369"/>
      <c r="D31" s="554"/>
      <c r="E31" s="369"/>
      <c r="F31" s="369"/>
      <c r="G31" s="369"/>
      <c r="H31" s="625"/>
      <c r="I31" s="554"/>
      <c r="J31" s="625"/>
      <c r="K31" s="554"/>
      <c r="L31" s="625"/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540" t="str">
        <f t="shared" si="1"/>
        <v/>
      </c>
      <c r="C32" s="369"/>
      <c r="D32" s="554"/>
      <c r="E32" s="369"/>
      <c r="F32" s="369"/>
      <c r="G32" s="369"/>
      <c r="H32" s="625"/>
      <c r="I32" s="554"/>
      <c r="J32" s="625"/>
      <c r="K32" s="554"/>
      <c r="L32" s="625"/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540" t="str">
        <f t="shared" si="1"/>
        <v/>
      </c>
      <c r="C33" s="369"/>
      <c r="D33" s="554"/>
      <c r="E33" s="369"/>
      <c r="F33" s="369"/>
      <c r="G33" s="369"/>
      <c r="H33" s="625"/>
      <c r="I33" s="554"/>
      <c r="J33" s="625"/>
      <c r="K33" s="554"/>
      <c r="L33" s="625"/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540" t="str">
        <f t="shared" si="1"/>
        <v/>
      </c>
      <c r="C34" s="369"/>
      <c r="D34" s="554"/>
      <c r="E34" s="369"/>
      <c r="F34" s="369"/>
      <c r="G34" s="369"/>
      <c r="H34" s="625"/>
      <c r="I34" s="554"/>
      <c r="J34" s="625"/>
      <c r="K34" s="554"/>
      <c r="L34" s="625"/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540" t="str">
        <f t="shared" si="1"/>
        <v/>
      </c>
      <c r="C35" s="369"/>
      <c r="D35" s="554"/>
      <c r="E35" s="369"/>
      <c r="F35" s="369"/>
      <c r="G35" s="369"/>
      <c r="H35" s="625"/>
      <c r="I35" s="554"/>
      <c r="J35" s="625"/>
      <c r="K35" s="554"/>
      <c r="L35" s="625"/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540" t="str">
        <f t="shared" si="1"/>
        <v/>
      </c>
      <c r="C36" s="369"/>
      <c r="D36" s="554"/>
      <c r="E36" s="369"/>
      <c r="F36" s="369"/>
      <c r="G36" s="369"/>
      <c r="H36" s="625"/>
      <c r="I36" s="554"/>
      <c r="J36" s="625"/>
      <c r="K36" s="554"/>
      <c r="L36" s="625"/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540" t="str">
        <f t="shared" si="1"/>
        <v/>
      </c>
      <c r="C37" s="369"/>
      <c r="D37" s="796"/>
      <c r="E37" s="554"/>
      <c r="F37" s="796"/>
      <c r="G37" s="554"/>
      <c r="H37" s="796"/>
      <c r="I37" s="554"/>
      <c r="J37" s="796"/>
      <c r="K37" s="554"/>
      <c r="L37" s="369"/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540" t="str">
        <f t="shared" si="1"/>
        <v/>
      </c>
      <c r="C38" s="369"/>
      <c r="D38" s="554"/>
      <c r="E38" s="369"/>
      <c r="F38" s="369"/>
      <c r="G38" s="369"/>
      <c r="H38" s="625"/>
      <c r="I38" s="554"/>
      <c r="J38" s="625"/>
      <c r="K38" s="554"/>
      <c r="L38" s="625"/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540" t="str">
        <f t="shared" si="1"/>
        <v/>
      </c>
      <c r="C39" s="369"/>
      <c r="D39" s="554"/>
      <c r="E39" s="369"/>
      <c r="F39" s="369"/>
      <c r="G39" s="369"/>
      <c r="H39" s="625"/>
      <c r="I39" s="554"/>
      <c r="J39" s="625"/>
      <c r="K39" s="554"/>
      <c r="L39" s="625"/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540" t="str">
        <f t="shared" si="1"/>
        <v/>
      </c>
      <c r="C40" s="369"/>
      <c r="D40" s="554"/>
      <c r="E40" s="369"/>
      <c r="F40" s="369"/>
      <c r="G40" s="369"/>
      <c r="H40" s="625"/>
      <c r="I40" s="554"/>
      <c r="J40" s="625"/>
      <c r="K40" s="554"/>
      <c r="L40" s="625"/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540" t="str">
        <f t="shared" si="1"/>
        <v/>
      </c>
      <c r="C41" s="369"/>
      <c r="D41" s="554"/>
      <c r="E41" s="369"/>
      <c r="F41" s="369"/>
      <c r="G41" s="369"/>
      <c r="H41" s="625"/>
      <c r="I41" s="554"/>
      <c r="J41" s="625"/>
      <c r="K41" s="554"/>
      <c r="L41" s="625"/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540" t="str">
        <f t="shared" si="1"/>
        <v/>
      </c>
      <c r="C42" s="369"/>
      <c r="D42" s="554"/>
      <c r="E42" s="369"/>
      <c r="F42" s="369"/>
      <c r="G42" s="369"/>
      <c r="H42" s="625"/>
      <c r="I42" s="554"/>
      <c r="J42" s="625"/>
      <c r="K42" s="554"/>
      <c r="L42" s="625"/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540" t="str">
        <f t="shared" si="1"/>
        <v/>
      </c>
      <c r="C43" s="369"/>
      <c r="D43" s="796"/>
      <c r="E43" s="554"/>
      <c r="F43" s="796"/>
      <c r="G43" s="554"/>
      <c r="H43" s="796"/>
      <c r="I43" s="554"/>
      <c r="J43" s="796"/>
      <c r="K43" s="554"/>
      <c r="L43" s="369"/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540" t="str">
        <f t="shared" si="1"/>
        <v/>
      </c>
      <c r="C44" s="369"/>
      <c r="D44" s="554"/>
      <c r="E44" s="369"/>
      <c r="F44" s="369"/>
      <c r="G44" s="369"/>
      <c r="H44" s="625"/>
      <c r="I44" s="554"/>
      <c r="J44" s="625"/>
      <c r="K44" s="554"/>
      <c r="L44" s="625"/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540" t="str">
        <f t="shared" si="1"/>
        <v/>
      </c>
      <c r="C45" s="369"/>
      <c r="D45" s="554"/>
      <c r="E45" s="369"/>
      <c r="F45" s="369"/>
      <c r="G45" s="369"/>
      <c r="H45" s="625"/>
      <c r="I45" s="554"/>
      <c r="J45" s="625"/>
      <c r="K45" s="554"/>
      <c r="L45" s="625"/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540" t="str">
        <f t="shared" si="1"/>
        <v/>
      </c>
      <c r="C46" s="369"/>
      <c r="D46" s="554"/>
      <c r="E46" s="369"/>
      <c r="F46" s="369"/>
      <c r="G46" s="369"/>
      <c r="H46" s="625"/>
      <c r="I46" s="554"/>
      <c r="J46" s="625"/>
      <c r="K46" s="554"/>
      <c r="L46" s="625"/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540" t="str">
        <f t="shared" si="1"/>
        <v/>
      </c>
      <c r="C47" s="369"/>
      <c r="D47" s="554"/>
      <c r="E47" s="369"/>
      <c r="F47" s="369"/>
      <c r="G47" s="369"/>
      <c r="H47" s="625"/>
      <c r="I47" s="554"/>
      <c r="J47" s="625"/>
      <c r="K47" s="554"/>
      <c r="L47" s="625"/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540" t="str">
        <f t="shared" si="1"/>
        <v/>
      </c>
      <c r="C48" s="369"/>
      <c r="D48" s="554"/>
      <c r="E48" s="369"/>
      <c r="F48" s="369"/>
      <c r="G48" s="369"/>
      <c r="H48" s="625"/>
      <c r="I48" s="554"/>
      <c r="J48" s="625"/>
      <c r="K48" s="554"/>
      <c r="L48" s="625"/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540" t="str">
        <f t="shared" si="1"/>
        <v/>
      </c>
      <c r="C49" s="369"/>
      <c r="D49" s="796"/>
      <c r="E49" s="554"/>
      <c r="F49" s="796"/>
      <c r="G49" s="554"/>
      <c r="H49" s="796"/>
      <c r="I49" s="554"/>
      <c r="J49" s="796"/>
      <c r="K49" s="554"/>
      <c r="L49" s="369"/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540" t="str">
        <f t="shared" si="1"/>
        <v/>
      </c>
      <c r="H50" s="442"/>
      <c r="I50" s="14"/>
    </row>
    <row r="51" spans="1:15">
      <c r="A51" s="377" t="str">
        <f>IFERROR(VLOOKUP(B51,Map!$B:$F,4,0),"")&amp;IFERROR(VLOOKUP(B51,Map!$B:$F,5,0),"")</f>
        <v/>
      </c>
      <c r="B51" s="540" t="str">
        <f t="shared" si="1"/>
        <v/>
      </c>
      <c r="H51" s="442"/>
      <c r="I51" s="14"/>
    </row>
    <row r="52" spans="1:15">
      <c r="A52" s="377" t="str">
        <f>IFERROR(VLOOKUP(B52,Map!$B:$F,4,0),"")&amp;IFERROR(VLOOKUP(B52,Map!$B:$F,5,0),"")</f>
        <v/>
      </c>
      <c r="B52" s="540" t="str">
        <f t="shared" si="1"/>
        <v/>
      </c>
      <c r="H52" s="442"/>
      <c r="I52" s="14"/>
    </row>
    <row r="53" spans="1:15">
      <c r="A53" s="377" t="str">
        <f>IFERROR(VLOOKUP(B53,Map!$B:$F,4,0),"")&amp;IFERROR(VLOOKUP(B53,Map!$B:$F,5,0),"")</f>
        <v/>
      </c>
      <c r="B53" s="540" t="str">
        <f t="shared" si="1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540" t="str">
        <f t="shared" si="1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540" t="str">
        <f t="shared" si="1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540" t="str">
        <f t="shared" si="1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540" t="str">
        <f t="shared" si="1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540" t="str">
        <f t="shared" si="1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540" t="str">
        <f t="shared" si="1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540" t="str">
        <f t="shared" si="1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540" t="str">
        <f t="shared" si="1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540" t="str">
        <f t="shared" si="1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540" t="str">
        <f t="shared" si="1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540" t="str">
        <f t="shared" si="1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540" t="str">
        <f t="shared" si="1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540" t="str">
        <f t="shared" si="1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540" t="str">
        <f t="shared" ref="B67:B118" si="2">IF(MID(C67,10,2)="99",C67&amp;E67,LEFT(C67,14))</f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540" t="str">
        <f t="shared" si="2"/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540" t="str">
        <f t="shared" si="2"/>
        <v/>
      </c>
      <c r="I69" s="14"/>
    </row>
    <row r="70" spans="1:9">
      <c r="A70" s="377" t="str">
        <f>IFERROR(VLOOKUP(B70,Map!$B:$F,4,0),"")&amp;IFERROR(VLOOKUP(B70,Map!$B:$F,5,0),"")</f>
        <v/>
      </c>
      <c r="B70" s="540" t="str">
        <f t="shared" si="2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540" t="str">
        <f t="shared" si="2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540" t="str">
        <f t="shared" si="2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540" t="str">
        <f t="shared" si="2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540" t="str">
        <f t="shared" si="2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540" t="str">
        <f t="shared" si="2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540" t="str">
        <f t="shared" si="2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540" t="str">
        <f t="shared" si="2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540" t="str">
        <f t="shared" si="2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540" t="str">
        <f t="shared" si="2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540" t="str">
        <f t="shared" si="2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540" t="str">
        <f t="shared" si="2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540" t="str">
        <f t="shared" si="2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540" t="str">
        <f t="shared" si="2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540" t="str">
        <f t="shared" si="2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540" t="str">
        <f t="shared" si="2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540" t="str">
        <f t="shared" si="2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540" t="str">
        <f t="shared" si="2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540" t="str">
        <f t="shared" si="2"/>
        <v/>
      </c>
      <c r="I88" s="14"/>
    </row>
    <row r="89" spans="1:9">
      <c r="A89" s="377" t="str">
        <f>IFERROR(VLOOKUP(B89,Map!$B:$F,4,0),"")&amp;IFERROR(VLOOKUP(B89,Map!$B:$F,5,0),"")</f>
        <v/>
      </c>
      <c r="B89" s="540" t="str">
        <f t="shared" si="2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540" t="str">
        <f t="shared" si="2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540" t="str">
        <f t="shared" si="2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540" t="str">
        <f t="shared" si="2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540" t="str">
        <f t="shared" si="2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540" t="str">
        <f t="shared" si="2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540" t="str">
        <f t="shared" si="2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540" t="str">
        <f t="shared" si="2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540" t="str">
        <f t="shared" si="2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540" t="str">
        <f t="shared" si="2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540" t="str">
        <f t="shared" si="2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540" t="str">
        <f t="shared" si="2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540" t="str">
        <f t="shared" si="2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540" t="str">
        <f t="shared" si="2"/>
        <v/>
      </c>
    </row>
    <row r="103" spans="1:9">
      <c r="A103" s="377" t="str">
        <f>IFERROR(VLOOKUP(B103,Map!$B:$F,4,0),"")&amp;IFERROR(VLOOKUP(B103,Map!$B:$F,5,0),"")</f>
        <v/>
      </c>
      <c r="B103" s="540" t="str">
        <f t="shared" si="2"/>
        <v/>
      </c>
    </row>
    <row r="104" spans="1:9">
      <c r="A104" s="377" t="str">
        <f>IFERROR(VLOOKUP(B104,Map!$B:$F,4,0),"")&amp;IFERROR(VLOOKUP(B104,Map!$B:$F,5,0),"")</f>
        <v/>
      </c>
      <c r="B104" s="540" t="str">
        <f t="shared" si="2"/>
        <v/>
      </c>
    </row>
    <row r="105" spans="1:9">
      <c r="A105" s="377" t="str">
        <f>IFERROR(VLOOKUP(B105,Map!$B:$F,4,0),"")&amp;IFERROR(VLOOKUP(B105,Map!$B:$F,5,0),"")</f>
        <v/>
      </c>
      <c r="B105" s="540" t="str">
        <f t="shared" si="2"/>
        <v/>
      </c>
    </row>
    <row r="106" spans="1:9">
      <c r="A106" s="377" t="str">
        <f>IFERROR(VLOOKUP(B106,Map!$B:$F,4,0),"")&amp;IFERROR(VLOOKUP(B106,Map!$B:$F,5,0),"")</f>
        <v/>
      </c>
      <c r="B106" s="540" t="str">
        <f t="shared" si="2"/>
        <v/>
      </c>
    </row>
    <row r="107" spans="1:9">
      <c r="A107" s="377" t="str">
        <f>IFERROR(VLOOKUP(B107,Map!$B:$F,4,0),"")&amp;IFERROR(VLOOKUP(B107,Map!$B:$F,5,0),"")</f>
        <v/>
      </c>
      <c r="B107" s="540" t="str">
        <f t="shared" si="2"/>
        <v/>
      </c>
    </row>
    <row r="108" spans="1:9">
      <c r="A108" s="377" t="str">
        <f>IFERROR(VLOOKUP(B108,Map!$B:$F,4,0),"")&amp;IFERROR(VLOOKUP(B108,Map!$B:$F,5,0),"")</f>
        <v/>
      </c>
      <c r="B108" s="540" t="str">
        <f t="shared" si="2"/>
        <v/>
      </c>
    </row>
    <row r="109" spans="1:9">
      <c r="A109" s="377" t="str">
        <f>IFERROR(VLOOKUP(B109,Map!$B:$F,4,0),"")&amp;IFERROR(VLOOKUP(B109,Map!$B:$F,5,0),"")</f>
        <v/>
      </c>
      <c r="B109" s="540" t="str">
        <f t="shared" si="2"/>
        <v/>
      </c>
    </row>
    <row r="110" spans="1:9">
      <c r="A110" s="377" t="str">
        <f>IFERROR(VLOOKUP(B110,Map!$B:$F,4,0),"")&amp;IFERROR(VLOOKUP(B110,Map!$B:$F,5,0),"")</f>
        <v/>
      </c>
      <c r="B110" s="540" t="str">
        <f t="shared" si="2"/>
        <v/>
      </c>
    </row>
    <row r="111" spans="1:9">
      <c r="A111" s="377" t="str">
        <f>IFERROR(VLOOKUP(B111,Map!$B:$F,4,0),"")&amp;IFERROR(VLOOKUP(B111,Map!$B:$F,5,0),"")</f>
        <v/>
      </c>
      <c r="B111" s="540" t="str">
        <f t="shared" si="2"/>
        <v/>
      </c>
    </row>
    <row r="112" spans="1:9">
      <c r="A112" s="377" t="str">
        <f>IFERROR(VLOOKUP(B112,Map!$B:$F,4,0),"")&amp;IFERROR(VLOOKUP(B112,Map!$B:$F,5,0),"")</f>
        <v/>
      </c>
      <c r="B112" s="540" t="str">
        <f t="shared" si="2"/>
        <v/>
      </c>
    </row>
    <row r="113" spans="1:2">
      <c r="A113" s="377" t="str">
        <f>IFERROR(VLOOKUP(B113,Map!$B:$F,4,0),"")&amp;IFERROR(VLOOKUP(B113,Map!$B:$F,5,0),"")</f>
        <v/>
      </c>
      <c r="B113" s="540" t="str">
        <f t="shared" si="2"/>
        <v/>
      </c>
    </row>
    <row r="114" spans="1:2">
      <c r="A114" s="377" t="str">
        <f>IFERROR(VLOOKUP(B114,Map!$B:$F,4,0),"")&amp;IFERROR(VLOOKUP(B114,Map!$B:$F,5,0),"")</f>
        <v/>
      </c>
      <c r="B114" s="540" t="str">
        <f t="shared" si="2"/>
        <v/>
      </c>
    </row>
    <row r="115" spans="1:2">
      <c r="A115" s="377" t="str">
        <f>IFERROR(VLOOKUP(B115,Map!$B:$F,4,0),"")&amp;IFERROR(VLOOKUP(B115,Map!$B:$F,5,0),"")</f>
        <v/>
      </c>
      <c r="B115" s="540" t="str">
        <f t="shared" si="2"/>
        <v/>
      </c>
    </row>
    <row r="116" spans="1:2">
      <c r="A116" s="377" t="str">
        <f>IFERROR(VLOOKUP(B116,Map!$B:$F,4,0),"")&amp;IFERROR(VLOOKUP(B116,Map!$B:$F,5,0),"")</f>
        <v/>
      </c>
      <c r="B116" s="540" t="str">
        <f t="shared" si="2"/>
        <v/>
      </c>
    </row>
    <row r="117" spans="1:2">
      <c r="A117" s="377" t="str">
        <f>IFERROR(VLOOKUP(B117,Map!$B:$F,4,0),"")&amp;IFERROR(VLOOKUP(B117,Map!$B:$F,5,0),"")</f>
        <v/>
      </c>
      <c r="B117" s="540" t="str">
        <f t="shared" si="2"/>
        <v/>
      </c>
    </row>
    <row r="118" spans="1:2">
      <c r="A118" s="377" t="str">
        <f>IFERROR(VLOOKUP(B118,Map!$B:$F,4,0),"")&amp;IFERROR(VLOOKUP(B118,Map!$B:$F,5,0),"")</f>
        <v/>
      </c>
      <c r="B118" s="540" t="str">
        <f t="shared" si="2"/>
        <v/>
      </c>
    </row>
    <row r="119" spans="1:2">
      <c r="A119" s="377" t="str">
        <f>IFERROR(VLOOKUP(B119,Map!$B:$F,4,0),"")&amp;IFERROR(VLOOKUP(B119,Map!$B:$F,5,0),"")</f>
        <v/>
      </c>
      <c r="B119" s="539" t="str">
        <f t="shared" ref="B119:B130" si="3">C119&amp;E144&amp;F153</f>
        <v/>
      </c>
    </row>
    <row r="120" spans="1:2">
      <c r="A120" s="377" t="str">
        <f>IFERROR(VLOOKUP(B120,Map!$B:$F,4,0),"")&amp;IFERROR(VLOOKUP(B120,Map!$B:$F,5,0),"")</f>
        <v/>
      </c>
      <c r="B120" s="539" t="str">
        <f t="shared" si="3"/>
        <v/>
      </c>
    </row>
    <row r="121" spans="1:2">
      <c r="A121" s="377" t="str">
        <f>IFERROR(VLOOKUP(B121,Map!$B:$F,4,0),"")&amp;IFERROR(VLOOKUP(B121,Map!$B:$F,5,0),"")</f>
        <v/>
      </c>
      <c r="B121" s="539" t="str">
        <f t="shared" si="3"/>
        <v/>
      </c>
    </row>
    <row r="122" spans="1:2">
      <c r="A122" s="377" t="str">
        <f>IFERROR(VLOOKUP(B122,Map!$B:$F,4,0),"")&amp;IFERROR(VLOOKUP(B122,Map!$B:$F,5,0),"")</f>
        <v/>
      </c>
      <c r="B122" s="539" t="str">
        <f t="shared" si="3"/>
        <v/>
      </c>
    </row>
    <row r="123" spans="1:2">
      <c r="A123" s="377" t="str">
        <f>IFERROR(VLOOKUP(B123,Map!$B:$F,4,0),"")&amp;IFERROR(VLOOKUP(B123,Map!$B:$F,5,0),"")</f>
        <v/>
      </c>
      <c r="B123" s="539" t="str">
        <f t="shared" si="3"/>
        <v/>
      </c>
    </row>
    <row r="124" spans="1:2">
      <c r="A124" s="377" t="str">
        <f>IFERROR(VLOOKUP(B124,Map!$B:$F,4,0),"")&amp;IFERROR(VLOOKUP(B124,Map!$B:$F,5,0),"")</f>
        <v/>
      </c>
      <c r="B124" s="539" t="str">
        <f t="shared" si="3"/>
        <v/>
      </c>
    </row>
    <row r="125" spans="1:2">
      <c r="A125" s="377" t="str">
        <f>IFERROR(VLOOKUP(B125,Map!$B:$F,4,0),"")&amp;IFERROR(VLOOKUP(B125,Map!$B:$F,5,0),"")</f>
        <v/>
      </c>
      <c r="B125" s="539" t="str">
        <f t="shared" si="3"/>
        <v/>
      </c>
    </row>
    <row r="126" spans="1:2">
      <c r="A126" s="377" t="str">
        <f>IFERROR(VLOOKUP(B126,Map!$B:$F,4,0),"")&amp;IFERROR(VLOOKUP(B126,Map!$B:$F,5,0),"")</f>
        <v/>
      </c>
      <c r="B126" s="539" t="str">
        <f t="shared" si="3"/>
        <v/>
      </c>
    </row>
    <row r="127" spans="1:2">
      <c r="A127" s="377" t="str">
        <f>IFERROR(VLOOKUP(B127,Map!$B:$F,4,0),"")&amp;IFERROR(VLOOKUP(B127,Map!$B:$F,5,0),"")</f>
        <v/>
      </c>
      <c r="B127" s="539" t="str">
        <f t="shared" si="3"/>
        <v/>
      </c>
    </row>
    <row r="128" spans="1:2">
      <c r="A128" s="377" t="str">
        <f>IFERROR(VLOOKUP(B128,Map!$B:$F,4,0),"")&amp;IFERROR(VLOOKUP(B128,Map!$B:$F,5,0),"")</f>
        <v/>
      </c>
      <c r="B128" s="539" t="str">
        <f t="shared" si="3"/>
        <v/>
      </c>
    </row>
    <row r="129" spans="1:2">
      <c r="A129" s="377" t="str">
        <f>IFERROR(VLOOKUP(B129,Map!$B:$F,4,0),"")&amp;IFERROR(VLOOKUP(B129,Map!$B:$F,5,0),"")</f>
        <v/>
      </c>
      <c r="B129" s="539" t="str">
        <f t="shared" si="3"/>
        <v/>
      </c>
    </row>
    <row r="130" spans="1:2">
      <c r="A130" s="377" t="str">
        <f>IFERROR(VLOOKUP(B130,Map!$B:$F,4,0),"")&amp;IFERROR(VLOOKUP(B130,Map!$B:$F,5,0),"")</f>
        <v/>
      </c>
      <c r="B130" s="539" t="str">
        <f t="shared" si="3"/>
        <v/>
      </c>
    </row>
    <row r="131" spans="1:2">
      <c r="A131" s="377" t="str">
        <f>IFERROR(VLOOKUP(B131,Map!$B:$F,4,0),"")&amp;IFERROR(VLOOKUP(B131,Map!$B:$F,5,0),"")</f>
        <v/>
      </c>
      <c r="B131" s="539" t="str">
        <f t="shared" ref="B131:B176" si="4">C131&amp;E156&amp;F165</f>
        <v/>
      </c>
    </row>
    <row r="132" spans="1:2">
      <c r="A132" s="377" t="str">
        <f>IFERROR(VLOOKUP(B132,Map!$B:$F,4,0),"")&amp;IFERROR(VLOOKUP(B132,Map!$B:$F,5,0),"")</f>
        <v/>
      </c>
      <c r="B132" s="539" t="str">
        <f t="shared" si="4"/>
        <v/>
      </c>
    </row>
    <row r="133" spans="1:2">
      <c r="A133" s="377" t="str">
        <f>IFERROR(VLOOKUP(B133,Map!$B:$F,4,0),"")&amp;IFERROR(VLOOKUP(B133,Map!$B:$F,5,0),"")</f>
        <v/>
      </c>
      <c r="B133" s="539" t="str">
        <f t="shared" si="4"/>
        <v/>
      </c>
    </row>
    <row r="134" spans="1:2">
      <c r="A134" s="377" t="str">
        <f>IFERROR(VLOOKUP(B134,Map!$B:$F,4,0),"")&amp;IFERROR(VLOOKUP(B134,Map!$B:$F,5,0),"")</f>
        <v/>
      </c>
      <c r="B134" s="539" t="str">
        <f t="shared" si="4"/>
        <v/>
      </c>
    </row>
    <row r="135" spans="1:2">
      <c r="A135" s="377" t="str">
        <f>IFERROR(VLOOKUP(B135,Map!$B:$F,4,0),"")&amp;IFERROR(VLOOKUP(B135,Map!$B:$F,5,0),"")</f>
        <v/>
      </c>
      <c r="B135" s="539" t="str">
        <f t="shared" si="4"/>
        <v/>
      </c>
    </row>
    <row r="136" spans="1:2">
      <c r="A136" s="377" t="str">
        <f>IFERROR(VLOOKUP(B136,Map!$B:$F,4,0),"")&amp;IFERROR(VLOOKUP(B136,Map!$B:$F,5,0),"")</f>
        <v/>
      </c>
      <c r="B136" s="539" t="str">
        <f t="shared" si="4"/>
        <v/>
      </c>
    </row>
    <row r="137" spans="1:2">
      <c r="A137" s="377" t="str">
        <f>IFERROR(VLOOKUP(B137,Map!$B:$F,4,0),"")&amp;IFERROR(VLOOKUP(B137,Map!$B:$F,5,0),"")</f>
        <v/>
      </c>
      <c r="B137" s="539" t="str">
        <f t="shared" si="4"/>
        <v/>
      </c>
    </row>
    <row r="138" spans="1:2">
      <c r="A138" s="377" t="str">
        <f>IFERROR(VLOOKUP(B138,Map!$B:$F,4,0),"")&amp;IFERROR(VLOOKUP(B138,Map!$B:$F,5,0),"")</f>
        <v/>
      </c>
      <c r="B138" s="539" t="str">
        <f t="shared" si="4"/>
        <v/>
      </c>
    </row>
    <row r="139" spans="1:2">
      <c r="A139" s="377" t="str">
        <f>IFERROR(VLOOKUP(B139,Map!$B:$F,4,0),"")&amp;IFERROR(VLOOKUP(B139,Map!$B:$F,5,0),"")</f>
        <v/>
      </c>
      <c r="B139" s="539" t="str">
        <f t="shared" si="4"/>
        <v/>
      </c>
    </row>
    <row r="140" spans="1:2">
      <c r="A140" s="377" t="str">
        <f>IFERROR(VLOOKUP(B140,Map!$B:$F,4,0),"")&amp;IFERROR(VLOOKUP(B140,Map!$B:$F,5,0),"")</f>
        <v/>
      </c>
      <c r="B140" s="539" t="str">
        <f t="shared" si="4"/>
        <v/>
      </c>
    </row>
    <row r="141" spans="1:2">
      <c r="A141" s="377" t="str">
        <f>IFERROR(VLOOKUP(B141,Map!$B:$F,4,0),"")&amp;IFERROR(VLOOKUP(B141,Map!$B:$F,5,0),"")</f>
        <v/>
      </c>
      <c r="B141" s="539" t="str">
        <f t="shared" si="4"/>
        <v/>
      </c>
    </row>
    <row r="142" spans="1:2">
      <c r="A142" s="377" t="str">
        <f>IFERROR(VLOOKUP(B142,Map!$B:$F,4,0),"")&amp;IFERROR(VLOOKUP(B142,Map!$B:$F,5,0),"")</f>
        <v/>
      </c>
      <c r="B142" s="539" t="str">
        <f t="shared" si="4"/>
        <v/>
      </c>
    </row>
    <row r="143" spans="1:2">
      <c r="A143" s="377" t="str">
        <f>IFERROR(VLOOKUP(B143,Map!$B:$F,4,0),"")&amp;IFERROR(VLOOKUP(B143,Map!$B:$F,5,0),"")</f>
        <v/>
      </c>
      <c r="B143" s="539" t="str">
        <f t="shared" si="4"/>
        <v/>
      </c>
    </row>
    <row r="144" spans="1:2">
      <c r="A144" s="377" t="str">
        <f>IFERROR(VLOOKUP(B144,Map!$B:$F,4,0),"")&amp;IFERROR(VLOOKUP(B144,Map!$B:$F,5,0),"")</f>
        <v/>
      </c>
      <c r="B144" s="539" t="str">
        <f t="shared" si="4"/>
        <v/>
      </c>
    </row>
    <row r="145" spans="1:2">
      <c r="A145" s="377" t="str">
        <f>IFERROR(VLOOKUP(B145,Map!$B:$F,4,0),"")&amp;IFERROR(VLOOKUP(B145,Map!$B:$F,5,0),"")</f>
        <v/>
      </c>
      <c r="B145" s="539" t="str">
        <f t="shared" si="4"/>
        <v/>
      </c>
    </row>
    <row r="146" spans="1:2">
      <c r="A146" s="377" t="str">
        <f>IFERROR(VLOOKUP(B146,Map!$B:$F,4,0),"")&amp;IFERROR(VLOOKUP(B146,Map!$B:$F,5,0),"")</f>
        <v/>
      </c>
      <c r="B146" s="539" t="str">
        <f t="shared" si="4"/>
        <v/>
      </c>
    </row>
    <row r="147" spans="1:2">
      <c r="A147" s="377" t="str">
        <f>IFERROR(VLOOKUP(B147,Map!$B:$F,4,0),"")&amp;IFERROR(VLOOKUP(B147,Map!$B:$F,5,0),"")</f>
        <v/>
      </c>
      <c r="B147" s="539" t="str">
        <f t="shared" si="4"/>
        <v/>
      </c>
    </row>
    <row r="148" spans="1:2">
      <c r="A148" s="377" t="str">
        <f>IFERROR(VLOOKUP(B148,Map!$B:$F,4,0),"")&amp;IFERROR(VLOOKUP(B148,Map!$B:$F,5,0),"")</f>
        <v/>
      </c>
      <c r="B148" s="539" t="str">
        <f t="shared" si="4"/>
        <v/>
      </c>
    </row>
    <row r="149" spans="1:2">
      <c r="A149" s="377" t="str">
        <f>IFERROR(VLOOKUP(B149,Map!$B:$F,4,0),"")&amp;IFERROR(VLOOKUP(B149,Map!$B:$F,5,0),"")</f>
        <v/>
      </c>
      <c r="B149" s="539" t="str">
        <f t="shared" si="4"/>
        <v/>
      </c>
    </row>
    <row r="150" spans="1:2">
      <c r="A150" s="377" t="str">
        <f>IFERROR(VLOOKUP(B150,Map!$B:$F,4,0),"")&amp;IFERROR(VLOOKUP(B150,Map!$B:$F,5,0),"")</f>
        <v/>
      </c>
      <c r="B150" s="539" t="str">
        <f t="shared" si="4"/>
        <v/>
      </c>
    </row>
    <row r="151" spans="1:2">
      <c r="A151" s="377" t="str">
        <f>IFERROR(VLOOKUP(B151,Map!$B:$F,4,0),"")&amp;IFERROR(VLOOKUP(B151,Map!$B:$F,5,0),"")</f>
        <v/>
      </c>
      <c r="B151" s="539" t="str">
        <f t="shared" si="4"/>
        <v/>
      </c>
    </row>
    <row r="152" spans="1:2">
      <c r="A152" s="377" t="str">
        <f>IFERROR(VLOOKUP(B152,Map!$B:$F,4,0),"")&amp;IFERROR(VLOOKUP(B152,Map!$B:$F,5,0),"")</f>
        <v/>
      </c>
      <c r="B152" s="539" t="str">
        <f t="shared" si="4"/>
        <v/>
      </c>
    </row>
    <row r="153" spans="1:2">
      <c r="A153" s="377" t="str">
        <f>IFERROR(VLOOKUP(B153,Map!$B:$F,4,0),"")&amp;IFERROR(VLOOKUP(B153,Map!$B:$F,5,0),"")</f>
        <v/>
      </c>
      <c r="B153" s="539" t="str">
        <f t="shared" si="4"/>
        <v/>
      </c>
    </row>
    <row r="154" spans="1:2">
      <c r="A154" s="377" t="str">
        <f>IFERROR(VLOOKUP(B154,Map!$B:$F,4,0),"")&amp;IFERROR(VLOOKUP(B154,Map!$B:$F,5,0),"")</f>
        <v/>
      </c>
      <c r="B154" s="539" t="str">
        <f t="shared" si="4"/>
        <v/>
      </c>
    </row>
    <row r="155" spans="1:2">
      <c r="A155" s="377" t="str">
        <f>IFERROR(VLOOKUP(B155,Map!$B:$F,4,0),"")&amp;IFERROR(VLOOKUP(B155,Map!$B:$F,5,0),"")</f>
        <v/>
      </c>
      <c r="B155" s="539" t="str">
        <f t="shared" si="4"/>
        <v/>
      </c>
    </row>
    <row r="156" spans="1:2">
      <c r="A156" s="377" t="str">
        <f>IFERROR(VLOOKUP(B156,Map!$B:$F,4,0),"")&amp;IFERROR(VLOOKUP(B156,Map!$B:$F,5,0),"")</f>
        <v/>
      </c>
      <c r="B156" s="539" t="str">
        <f t="shared" si="4"/>
        <v/>
      </c>
    </row>
    <row r="157" spans="1:2">
      <c r="A157" s="377" t="str">
        <f>IFERROR(VLOOKUP(B157,Map!$B:$F,4,0),"")&amp;IFERROR(VLOOKUP(B157,Map!$B:$F,5,0),"")</f>
        <v/>
      </c>
      <c r="B157" s="539" t="str">
        <f t="shared" si="4"/>
        <v/>
      </c>
    </row>
    <row r="158" spans="1:2">
      <c r="A158" s="377" t="str">
        <f>IFERROR(VLOOKUP(B158,Map!$B:$F,4,0),"")&amp;IFERROR(VLOOKUP(B158,Map!$B:$F,5,0),"")</f>
        <v/>
      </c>
      <c r="B158" s="539" t="str">
        <f t="shared" si="4"/>
        <v/>
      </c>
    </row>
    <row r="159" spans="1:2">
      <c r="A159" s="377" t="str">
        <f>IFERROR(VLOOKUP(B159,Map!$B:$F,4,0),"")&amp;IFERROR(VLOOKUP(B159,Map!$B:$F,5,0),"")</f>
        <v/>
      </c>
      <c r="B159" s="539" t="str">
        <f t="shared" si="4"/>
        <v/>
      </c>
    </row>
    <row r="160" spans="1:2">
      <c r="A160" s="377" t="str">
        <f>IFERROR(VLOOKUP(B160,Map!$B:$F,4,0),"")&amp;IFERROR(VLOOKUP(B160,Map!$B:$F,5,0),"")</f>
        <v/>
      </c>
      <c r="B160" s="539" t="str">
        <f t="shared" si="4"/>
        <v/>
      </c>
    </row>
    <row r="161" spans="1:2">
      <c r="A161" s="377" t="str">
        <f>IFERROR(VLOOKUP(B161,Map!$B:$F,4,0),"")&amp;IFERROR(VLOOKUP(B161,Map!$B:$F,5,0),"")</f>
        <v/>
      </c>
      <c r="B161" s="539" t="str">
        <f t="shared" si="4"/>
        <v/>
      </c>
    </row>
    <row r="162" spans="1:2">
      <c r="A162" s="377" t="str">
        <f>IFERROR(VLOOKUP(B162,Map!$B:$F,4,0),"")&amp;IFERROR(VLOOKUP(B162,Map!$B:$F,5,0),"")</f>
        <v/>
      </c>
      <c r="B162" s="539" t="str">
        <f t="shared" si="4"/>
        <v/>
      </c>
    </row>
    <row r="163" spans="1:2">
      <c r="A163" s="377" t="str">
        <f>IFERROR(VLOOKUP(B163,Map!$B:$F,4,0),"")&amp;IFERROR(VLOOKUP(B163,Map!$B:$F,5,0),"")</f>
        <v/>
      </c>
      <c r="B163" s="539" t="str">
        <f t="shared" si="4"/>
        <v/>
      </c>
    </row>
    <row r="164" spans="1:2">
      <c r="A164" s="377" t="str">
        <f>IFERROR(VLOOKUP(B164,Map!$B:$F,4,0),"")&amp;IFERROR(VLOOKUP(B164,Map!$B:$F,5,0),"")</f>
        <v/>
      </c>
      <c r="B164" s="539" t="str">
        <f t="shared" si="4"/>
        <v/>
      </c>
    </row>
    <row r="165" spans="1:2">
      <c r="A165" s="377" t="str">
        <f>IFERROR(VLOOKUP(B165,Map!$B:$F,4,0),"")&amp;IFERROR(VLOOKUP(B165,Map!$B:$F,5,0),"")</f>
        <v/>
      </c>
      <c r="B165" s="539" t="str">
        <f t="shared" si="4"/>
        <v/>
      </c>
    </row>
    <row r="166" spans="1:2">
      <c r="A166" s="377" t="str">
        <f>IFERROR(VLOOKUP(B166,Map!$B:$F,4,0),"")&amp;IFERROR(VLOOKUP(B166,Map!$B:$F,5,0),"")</f>
        <v/>
      </c>
      <c r="B166" s="539" t="str">
        <f t="shared" si="4"/>
        <v/>
      </c>
    </row>
    <row r="167" spans="1:2">
      <c r="A167" s="377" t="str">
        <f>IFERROR(VLOOKUP(B167,Map!$B:$F,4,0),"")&amp;IFERROR(VLOOKUP(B167,Map!$B:$F,5,0),"")</f>
        <v/>
      </c>
      <c r="B167" s="539" t="str">
        <f t="shared" si="4"/>
        <v/>
      </c>
    </row>
    <row r="168" spans="1:2">
      <c r="A168" s="377" t="str">
        <f>IFERROR(VLOOKUP(B168,Map!$B:$F,4,0),"")&amp;IFERROR(VLOOKUP(B168,Map!$B:$F,5,0),"")</f>
        <v/>
      </c>
      <c r="B168" s="539" t="str">
        <f t="shared" si="4"/>
        <v/>
      </c>
    </row>
    <row r="169" spans="1:2">
      <c r="A169" s="377" t="str">
        <f>IFERROR(VLOOKUP(B169,Map!$B:$F,4,0),"")&amp;IFERROR(VLOOKUP(B169,Map!$B:$F,5,0),"")</f>
        <v/>
      </c>
      <c r="B169" s="539" t="str">
        <f t="shared" si="4"/>
        <v/>
      </c>
    </row>
    <row r="170" spans="1:2">
      <c r="A170" s="377" t="str">
        <f>IFERROR(VLOOKUP(B170,Map!$B:$F,4,0),"")&amp;IFERROR(VLOOKUP(B170,Map!$B:$F,5,0),"")</f>
        <v/>
      </c>
      <c r="B170" s="539" t="str">
        <f t="shared" si="4"/>
        <v/>
      </c>
    </row>
    <row r="171" spans="1:2">
      <c r="A171" s="377" t="str">
        <f>IFERROR(VLOOKUP(B171,Map!$B:$F,4,0),"")&amp;IFERROR(VLOOKUP(B171,Map!$B:$F,5,0),"")</f>
        <v/>
      </c>
      <c r="B171" s="539" t="str">
        <f t="shared" si="4"/>
        <v/>
      </c>
    </row>
    <row r="172" spans="1:2">
      <c r="A172" s="377" t="str">
        <f>IFERROR(VLOOKUP(B172,Map!$B:$F,4,0),"")&amp;IFERROR(VLOOKUP(B172,Map!$B:$F,5,0),"")</f>
        <v/>
      </c>
      <c r="B172" s="539" t="str">
        <f t="shared" si="4"/>
        <v/>
      </c>
    </row>
    <row r="173" spans="1:2">
      <c r="A173" s="377" t="str">
        <f>IFERROR(VLOOKUP(B173,Map!$B:$F,4,0),"")&amp;IFERROR(VLOOKUP(B173,Map!$B:$F,5,0),"")</f>
        <v/>
      </c>
      <c r="B173" s="539" t="str">
        <f t="shared" si="4"/>
        <v/>
      </c>
    </row>
    <row r="174" spans="1:2">
      <c r="A174" s="377" t="str">
        <f>IFERROR(VLOOKUP(B174,Map!$B:$F,4,0),"")&amp;IFERROR(VLOOKUP(B174,Map!$B:$F,5,0),"")</f>
        <v/>
      </c>
      <c r="B174" s="539" t="str">
        <f t="shared" si="4"/>
        <v/>
      </c>
    </row>
    <row r="175" spans="1:2">
      <c r="A175" s="377" t="str">
        <f>IFERROR(VLOOKUP(B175,Map!$B:$F,4,0),"")&amp;IFERROR(VLOOKUP(B175,Map!$B:$F,5,0),"")</f>
        <v/>
      </c>
      <c r="B175" s="539" t="str">
        <f t="shared" si="4"/>
        <v/>
      </c>
    </row>
    <row r="176" spans="1:2">
      <c r="A176" s="377" t="str">
        <f>IFERROR(VLOOKUP(B176,Map!$B:$F,4,0),"")&amp;IFERROR(VLOOKUP(B176,Map!$B:$F,5,0),"")</f>
        <v/>
      </c>
      <c r="B176" s="539" t="str">
        <f t="shared" si="4"/>
        <v/>
      </c>
    </row>
    <row r="177" spans="1:2">
      <c r="A177" s="377" t="str">
        <f>IFERROR(VLOOKUP(B177,Map!$B:$F,4,0),"")&amp;IFERROR(VLOOKUP(B177,Map!$B:$F,5,0),"")</f>
        <v/>
      </c>
      <c r="B177" s="539" t="str">
        <f>C177&amp;F211</f>
        <v/>
      </c>
    </row>
    <row r="178" spans="1:2">
      <c r="A178" s="377" t="str">
        <f>IFERROR(VLOOKUP(B178,Map!$B:$F,4,0),"")&amp;IFERROR(VLOOKUP(B178,Map!$B:$F,5,0),"")</f>
        <v/>
      </c>
      <c r="B178" s="539" t="str">
        <f>C178&amp;F212</f>
        <v/>
      </c>
    </row>
    <row r="179" spans="1:2">
      <c r="A179" s="377" t="str">
        <f>IFERROR(VLOOKUP(B179,Map!$B:$F,4,0),"")&amp;IFERROR(VLOOKUP(B179,Map!$B:$F,5,0),"")</f>
        <v/>
      </c>
      <c r="B179" s="539" t="str">
        <f>C179&amp;F213</f>
        <v/>
      </c>
    </row>
    <row r="180" spans="1:2">
      <c r="A180" s="377" t="str">
        <f>IFERROR(VLOOKUP(B180,Map!$B:$F,4,0),"")&amp;IFERROR(VLOOKUP(B180,Map!$B:$F,5,0),"")</f>
        <v/>
      </c>
      <c r="B180" s="539" t="str">
        <f>C180&amp;F214</f>
        <v/>
      </c>
    </row>
    <row r="181" spans="1:2">
      <c r="A181" s="377" t="str">
        <f>IFERROR(VLOOKUP(B181,Map!$B:$F,4,0),"")&amp;IFERROR(VLOOKUP(B181,Map!$B:$F,5,0),"")</f>
        <v/>
      </c>
      <c r="B181" s="539" t="str">
        <f>C181&amp;F215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4CE15-1234-4E33-B70C-E23965A35BB1}">
  <sheetPr codeName="Sheet17"/>
  <dimension ref="A1:P181"/>
  <sheetViews>
    <sheetView zoomScale="80" zoomScaleNormal="80" workbookViewId="0">
      <selection activeCell="C1" sqref="C1:H1048576"/>
    </sheetView>
  </sheetViews>
  <sheetFormatPr defaultRowHeight="12.75"/>
  <cols>
    <col min="1" max="1" width="18.7109375" style="411" customWidth="1"/>
    <col min="2" max="2" width="28.85546875" style="540" customWidth="1"/>
    <col min="3" max="3" width="16.7109375" customWidth="1"/>
    <col min="4" max="4" width="32.42578125" customWidth="1"/>
    <col min="5" max="5" width="23.140625" customWidth="1"/>
    <col min="6" max="6" width="7.28515625" style="415" customWidth="1"/>
    <col min="7" max="7" width="12" customWidth="1"/>
    <col min="8" max="8" width="12.7109375" customWidth="1"/>
    <col min="9" max="11" width="3.5703125" hidden="1" customWidth="1"/>
    <col min="12" max="12" width="14.7109375" style="594" customWidth="1"/>
    <col min="13" max="13" width="11.5703125" customWidth="1"/>
    <col min="14" max="14" width="20.28515625" style="414" customWidth="1"/>
    <col min="15" max="15" width="11.7109375" customWidth="1"/>
  </cols>
  <sheetData>
    <row r="1" spans="1:16">
      <c r="A1" s="411" t="str">
        <f>C1&amp;F1&amp;B1</f>
        <v>0</v>
      </c>
      <c r="B1" s="541">
        <f>D1</f>
        <v>0</v>
      </c>
      <c r="C1" s="369"/>
      <c r="D1" s="369"/>
      <c r="E1" s="369"/>
      <c r="F1" s="369"/>
      <c r="G1" s="369"/>
      <c r="H1" s="369"/>
      <c r="I1" s="369"/>
      <c r="J1" s="369"/>
      <c r="K1" s="369"/>
      <c r="L1" s="593" t="e">
        <f>+H1/F1</f>
        <v>#DIV/0!</v>
      </c>
      <c r="M1" s="810">
        <f>SUM(H:H)</f>
        <v>0</v>
      </c>
      <c r="N1" s="369"/>
      <c r="O1" s="369"/>
      <c r="P1" s="369"/>
    </row>
    <row r="2" spans="1:16" ht="14.25" customHeight="1">
      <c r="A2" s="377" t="str">
        <f>IFERROR(VLOOKUP(B2,Map!$B:$F,4,0),"")&amp;IFERROR(VLOOKUP(B2,Map!$B:$F,5,0),"")</f>
        <v/>
      </c>
      <c r="B2" s="540" t="str">
        <f t="shared" ref="B2:B14" si="0">IF(MID(C2,10,2)="99",C2&amp;E2,LEFT(C2,14))</f>
        <v/>
      </c>
      <c r="C2" s="369"/>
      <c r="D2" s="369"/>
      <c r="E2" s="369"/>
      <c r="F2" s="761"/>
      <c r="G2" s="369"/>
      <c r="H2" s="554"/>
      <c r="I2" s="369" t="s">
        <v>2115</v>
      </c>
      <c r="J2" s="369"/>
      <c r="K2" s="369"/>
      <c r="L2" s="593" t="e">
        <f>+H2/F2</f>
        <v>#DIV/0!</v>
      </c>
      <c r="M2" s="369"/>
      <c r="N2" s="369"/>
      <c r="O2" s="369"/>
      <c r="P2" s="369"/>
    </row>
    <row r="3" spans="1:16" ht="14.25" customHeight="1">
      <c r="A3" s="377" t="str">
        <f>IFERROR(VLOOKUP(B3,Map!$B:$F,4,0),"")&amp;IFERROR(VLOOKUP(B3,Map!$B:$F,5,0),"")</f>
        <v/>
      </c>
      <c r="B3" s="540" t="str">
        <f t="shared" si="0"/>
        <v/>
      </c>
      <c r="C3" s="369"/>
      <c r="D3" s="369"/>
      <c r="E3" s="369"/>
      <c r="F3" s="761"/>
      <c r="G3" s="369"/>
      <c r="H3" s="554"/>
      <c r="I3" s="369"/>
      <c r="J3" s="369" t="s">
        <v>2116</v>
      </c>
      <c r="K3" s="369" t="s">
        <v>2117</v>
      </c>
      <c r="L3" s="593" t="e">
        <f>+H3/F3</f>
        <v>#DIV/0!</v>
      </c>
      <c r="M3" s="369" t="s">
        <v>2118</v>
      </c>
      <c r="N3" s="369" t="s">
        <v>2119</v>
      </c>
      <c r="O3" s="369"/>
      <c r="P3" s="369"/>
    </row>
    <row r="4" spans="1:16">
      <c r="A4" s="377" t="str">
        <f>IFERROR(VLOOKUP(B4,Map!$B:$F,4,0),"")&amp;IFERROR(VLOOKUP(B4,Map!$B:$F,5,0),"")</f>
        <v/>
      </c>
      <c r="B4" s="540" t="str">
        <f t="shared" si="0"/>
        <v/>
      </c>
      <c r="C4" s="369"/>
      <c r="D4" s="369"/>
      <c r="E4" s="369"/>
      <c r="F4" s="761"/>
      <c r="G4" s="369"/>
      <c r="H4" s="554"/>
      <c r="I4" s="369"/>
      <c r="J4" s="369"/>
      <c r="K4" s="369"/>
      <c r="L4" s="593" t="e">
        <f t="shared" ref="L4:L21" si="1">+H4/F4</f>
        <v>#DIV/0!</v>
      </c>
      <c r="M4" s="369"/>
      <c r="N4" s="369"/>
      <c r="O4" s="369"/>
      <c r="P4" s="369"/>
    </row>
    <row r="5" spans="1:16">
      <c r="A5" s="377" t="str">
        <f>IFERROR(VLOOKUP(B5,Map!$B:$F,4,0),"")&amp;IFERROR(VLOOKUP(B5,Map!$B:$F,5,0),"")</f>
        <v/>
      </c>
      <c r="B5" s="540" t="str">
        <f t="shared" si="0"/>
        <v/>
      </c>
      <c r="C5" s="369"/>
      <c r="D5" s="369"/>
      <c r="E5" s="369"/>
      <c r="F5" s="761"/>
      <c r="G5" s="369"/>
      <c r="H5" s="554"/>
      <c r="I5" s="369"/>
      <c r="J5" s="369"/>
      <c r="K5" s="369"/>
      <c r="L5" s="593" t="e">
        <f t="shared" si="1"/>
        <v>#DIV/0!</v>
      </c>
      <c r="M5" s="369"/>
      <c r="N5" s="369"/>
      <c r="O5" s="369"/>
      <c r="P5" s="369"/>
    </row>
    <row r="6" spans="1:16">
      <c r="A6" s="377" t="str">
        <f>IFERROR(VLOOKUP(B6,Map!$B:$F,4,0),"")&amp;IFERROR(VLOOKUP(B6,Map!$B:$F,5,0),"")</f>
        <v/>
      </c>
      <c r="B6" s="540" t="str">
        <f t="shared" si="0"/>
        <v/>
      </c>
      <c r="C6" s="369"/>
      <c r="D6" s="369"/>
      <c r="E6" s="369"/>
      <c r="F6" s="761"/>
      <c r="G6" s="369"/>
      <c r="H6" s="554"/>
      <c r="I6" s="369"/>
      <c r="J6" s="369"/>
      <c r="K6" s="369"/>
      <c r="L6" s="593" t="e">
        <f t="shared" si="1"/>
        <v>#DIV/0!</v>
      </c>
      <c r="M6" s="369"/>
      <c r="N6" s="369"/>
      <c r="O6" s="369"/>
      <c r="P6" s="369"/>
    </row>
    <row r="7" spans="1:16">
      <c r="A7" s="377" t="str">
        <f>IFERROR(VLOOKUP(B7,Map!$B:$F,4,0),"")&amp;IFERROR(VLOOKUP(B7,Map!$B:$F,5,0),"")</f>
        <v/>
      </c>
      <c r="B7" s="540" t="str">
        <f t="shared" si="0"/>
        <v/>
      </c>
      <c r="C7" s="369"/>
      <c r="D7" s="369"/>
      <c r="E7" s="369"/>
      <c r="F7" s="761"/>
      <c r="G7" s="369"/>
      <c r="H7" s="554"/>
      <c r="I7" s="369"/>
      <c r="J7" s="369"/>
      <c r="K7" s="369"/>
      <c r="L7" s="593" t="e">
        <f t="shared" si="1"/>
        <v>#DIV/0!</v>
      </c>
      <c r="M7" s="369"/>
      <c r="N7" s="369"/>
      <c r="O7" s="369"/>
      <c r="P7" s="369"/>
    </row>
    <row r="8" spans="1:16">
      <c r="A8" s="377" t="str">
        <f>IFERROR(VLOOKUP(B8,Map!$B:$F,4,0),"")&amp;IFERROR(VLOOKUP(B8,Map!$B:$F,5,0),"")</f>
        <v/>
      </c>
      <c r="B8" s="540" t="str">
        <f t="shared" si="0"/>
        <v/>
      </c>
      <c r="C8" s="369"/>
      <c r="D8" s="369"/>
      <c r="E8" s="369"/>
      <c r="F8" s="761"/>
      <c r="G8" s="369"/>
      <c r="H8" s="554"/>
      <c r="I8" s="369" t="s">
        <v>2120</v>
      </c>
      <c r="J8" s="369"/>
      <c r="K8" s="369"/>
      <c r="L8" s="593" t="e">
        <f t="shared" si="1"/>
        <v>#DIV/0!</v>
      </c>
      <c r="M8" s="369"/>
      <c r="N8" s="369"/>
      <c r="O8" s="369"/>
      <c r="P8" s="369"/>
    </row>
    <row r="9" spans="1:16">
      <c r="A9" s="377" t="str">
        <f>IFERROR(VLOOKUP(B9,Map!$B:$F,4,0),"")&amp;IFERROR(VLOOKUP(B9,Map!$B:$F,5,0),"")</f>
        <v/>
      </c>
      <c r="B9" s="540" t="str">
        <f t="shared" si="0"/>
        <v/>
      </c>
      <c r="C9" s="369"/>
      <c r="D9" s="369"/>
      <c r="E9" s="369"/>
      <c r="F9" s="761"/>
      <c r="G9" s="369"/>
      <c r="H9" s="554"/>
      <c r="I9" s="369"/>
      <c r="J9" s="369"/>
      <c r="K9" s="369"/>
      <c r="L9" s="593" t="e">
        <f t="shared" si="1"/>
        <v>#DIV/0!</v>
      </c>
      <c r="M9" s="369"/>
      <c r="N9" s="369"/>
      <c r="O9" s="369"/>
      <c r="P9" s="369"/>
    </row>
    <row r="10" spans="1:16">
      <c r="A10" s="377" t="str">
        <f>IFERROR(VLOOKUP(B10,Map!$B:$F,4,0),"")&amp;IFERROR(VLOOKUP(B10,Map!$B:$F,5,0),"")</f>
        <v/>
      </c>
      <c r="B10" s="540" t="str">
        <f t="shared" si="0"/>
        <v/>
      </c>
      <c r="C10" s="369"/>
      <c r="D10" s="369"/>
      <c r="E10" s="369"/>
      <c r="F10" s="761"/>
      <c r="G10" s="369"/>
      <c r="H10" s="554"/>
      <c r="I10" s="369"/>
      <c r="J10" s="369"/>
      <c r="K10" s="369"/>
      <c r="L10" s="593" t="e">
        <f t="shared" si="1"/>
        <v>#DIV/0!</v>
      </c>
      <c r="M10" s="369"/>
      <c r="N10" s="369"/>
      <c r="O10" s="369"/>
      <c r="P10" s="369"/>
    </row>
    <row r="11" spans="1:16">
      <c r="A11" s="377" t="str">
        <f>IFERROR(VLOOKUP(B11,Map!$B:$F,4,0),"")&amp;IFERROR(VLOOKUP(B11,Map!$B:$F,5,0),"")</f>
        <v/>
      </c>
      <c r="B11" s="540" t="str">
        <f t="shared" si="0"/>
        <v/>
      </c>
      <c r="C11" s="369"/>
      <c r="D11" s="369"/>
      <c r="E11" s="369"/>
      <c r="F11" s="761"/>
      <c r="G11" s="369"/>
      <c r="H11" s="554"/>
      <c r="I11" s="369"/>
      <c r="J11" s="369"/>
      <c r="K11" s="369"/>
      <c r="L11" s="593" t="e">
        <f t="shared" si="1"/>
        <v>#DIV/0!</v>
      </c>
      <c r="M11" s="369"/>
      <c r="N11" s="369"/>
      <c r="O11" s="369"/>
      <c r="P11" s="369"/>
    </row>
    <row r="12" spans="1:16">
      <c r="A12" s="377" t="str">
        <f>IFERROR(VLOOKUP(B12,Map!$B:$F,4,0),"")&amp;IFERROR(VLOOKUP(B12,Map!$B:$F,5,0),"")</f>
        <v/>
      </c>
      <c r="B12" s="540" t="str">
        <f t="shared" si="0"/>
        <v/>
      </c>
      <c r="C12" s="369"/>
      <c r="D12" s="369"/>
      <c r="E12" s="369"/>
      <c r="F12" s="761"/>
      <c r="G12" s="369"/>
      <c r="H12" s="554"/>
      <c r="I12" s="369"/>
      <c r="J12" s="369"/>
      <c r="K12" s="369"/>
      <c r="L12" s="593" t="e">
        <f t="shared" si="1"/>
        <v>#DIV/0!</v>
      </c>
      <c r="M12" s="369"/>
      <c r="N12" s="369"/>
      <c r="O12" s="369"/>
      <c r="P12" s="369"/>
    </row>
    <row r="13" spans="1:16">
      <c r="A13" s="377" t="str">
        <f>IFERROR(VLOOKUP(B13,Map!$B:$F,4,0),"")&amp;IFERROR(VLOOKUP(B13,Map!$B:$F,5,0),"")</f>
        <v/>
      </c>
      <c r="B13" s="540" t="str">
        <f t="shared" si="0"/>
        <v/>
      </c>
      <c r="C13" s="369"/>
      <c r="D13" s="369"/>
      <c r="E13" s="369"/>
      <c r="F13" s="761"/>
      <c r="G13" s="369"/>
      <c r="H13" s="554"/>
      <c r="I13" s="369"/>
      <c r="J13" s="369"/>
      <c r="K13" s="369"/>
      <c r="L13" s="593" t="e">
        <f t="shared" si="1"/>
        <v>#DIV/0!</v>
      </c>
      <c r="M13" s="369"/>
      <c r="N13" s="369"/>
      <c r="O13" s="369"/>
      <c r="P13" s="369"/>
    </row>
    <row r="14" spans="1:16">
      <c r="A14" s="377" t="str">
        <f>IFERROR(VLOOKUP(B14,Map!$B:$F,4,0),"")&amp;IFERROR(VLOOKUP(B14,Map!$B:$F,5,0),"")</f>
        <v/>
      </c>
      <c r="B14" s="540" t="str">
        <f t="shared" si="0"/>
        <v/>
      </c>
      <c r="C14" s="369"/>
      <c r="D14" s="369"/>
      <c r="E14" s="369"/>
      <c r="F14" s="761"/>
      <c r="G14" s="369"/>
      <c r="H14" s="554"/>
      <c r="I14" s="369"/>
      <c r="J14" s="369"/>
      <c r="K14" s="369"/>
      <c r="L14" s="593" t="e">
        <f t="shared" si="1"/>
        <v>#DIV/0!</v>
      </c>
      <c r="M14" s="369"/>
      <c r="N14" s="369"/>
      <c r="O14" s="369"/>
      <c r="P14" s="369"/>
    </row>
    <row r="15" spans="1:16" ht="12" customHeight="1">
      <c r="A15" s="377" t="str">
        <f>IFERROR(VLOOKUP(B15,Map!$B:$F,4,0),"")&amp;IFERROR(VLOOKUP(B15,Map!$B:$F,5,0),"")</f>
        <v/>
      </c>
      <c r="B15" s="540" t="str">
        <f t="shared" ref="B15:B66" si="2">IF(MID(C15,10,2)="99",C15&amp;E15,LEFT(C15,14))</f>
        <v/>
      </c>
      <c r="C15" s="369"/>
      <c r="D15" s="369"/>
      <c r="E15" s="369"/>
      <c r="F15" s="761"/>
      <c r="G15" s="369"/>
      <c r="H15" s="554"/>
      <c r="I15" s="369"/>
      <c r="J15" s="369"/>
      <c r="K15" s="369"/>
      <c r="L15" s="593" t="e">
        <f t="shared" si="1"/>
        <v>#DIV/0!</v>
      </c>
      <c r="M15" s="369"/>
      <c r="N15" s="369"/>
      <c r="O15" s="369"/>
      <c r="P15" s="369"/>
    </row>
    <row r="16" spans="1:16">
      <c r="A16" s="377" t="str">
        <f>IFERROR(VLOOKUP(B16,Map!$B:$F,4,0),"")&amp;IFERROR(VLOOKUP(B16,Map!$B:$F,5,0),"")</f>
        <v/>
      </c>
      <c r="B16" s="540" t="str">
        <f t="shared" si="2"/>
        <v/>
      </c>
      <c r="C16" s="369"/>
      <c r="D16" s="369"/>
      <c r="E16" s="369"/>
      <c r="F16" s="761"/>
      <c r="G16" s="369"/>
      <c r="H16" s="554"/>
      <c r="I16" s="369"/>
      <c r="J16" s="369"/>
      <c r="K16" s="369"/>
      <c r="L16" s="593" t="e">
        <f t="shared" si="1"/>
        <v>#DIV/0!</v>
      </c>
      <c r="M16" s="369"/>
      <c r="N16" s="369"/>
      <c r="O16" s="369"/>
      <c r="P16" s="369"/>
    </row>
    <row r="17" spans="1:16">
      <c r="A17" s="377" t="str">
        <f>IFERROR(VLOOKUP(B17,Map!$B:$F,4,0),"")&amp;IFERROR(VLOOKUP(B17,Map!$B:$F,5,0),"")</f>
        <v/>
      </c>
      <c r="B17" s="540" t="str">
        <f t="shared" si="2"/>
        <v/>
      </c>
      <c r="C17" s="369"/>
      <c r="D17" s="369"/>
      <c r="E17" s="761"/>
      <c r="F17" s="369"/>
      <c r="G17" s="369"/>
      <c r="H17" s="369"/>
      <c r="I17" s="369"/>
      <c r="J17" s="369"/>
      <c r="K17" s="369"/>
      <c r="L17" s="593" t="e">
        <f t="shared" si="1"/>
        <v>#DIV/0!</v>
      </c>
      <c r="M17" s="369"/>
      <c r="N17" s="369"/>
      <c r="O17" s="369"/>
      <c r="P17" s="369"/>
    </row>
    <row r="18" spans="1:16">
      <c r="A18" s="377" t="str">
        <f>IFERROR(VLOOKUP(B18,Map!$B:$F,4,0),"")&amp;IFERROR(VLOOKUP(B18,Map!$B:$F,5,0),"")</f>
        <v/>
      </c>
      <c r="B18" s="540" t="str">
        <f t="shared" si="2"/>
        <v/>
      </c>
      <c r="C18" s="369"/>
      <c r="D18" s="369"/>
      <c r="E18" s="369"/>
      <c r="F18" s="761"/>
      <c r="G18" s="369"/>
      <c r="H18" s="554"/>
      <c r="I18" s="369"/>
      <c r="J18" s="369"/>
      <c r="K18" s="369"/>
      <c r="L18" s="593" t="e">
        <f t="shared" si="1"/>
        <v>#DIV/0!</v>
      </c>
      <c r="M18" s="369"/>
      <c r="N18" s="369"/>
      <c r="O18" s="369"/>
      <c r="P18" s="369"/>
    </row>
    <row r="19" spans="1:16">
      <c r="A19" s="377" t="str">
        <f>IFERROR(VLOOKUP(B19,Map!$B:$F,4,0),"")&amp;IFERROR(VLOOKUP(B19,Map!$B:$F,5,0),"")</f>
        <v/>
      </c>
      <c r="B19" s="540" t="str">
        <f t="shared" si="2"/>
        <v/>
      </c>
      <c r="C19" s="369"/>
      <c r="D19" s="369"/>
      <c r="E19" s="369"/>
      <c r="F19" s="761"/>
      <c r="G19" s="369"/>
      <c r="H19" s="554"/>
      <c r="I19" s="369"/>
      <c r="J19" s="369"/>
      <c r="K19" s="369"/>
      <c r="L19" s="593" t="e">
        <f t="shared" si="1"/>
        <v>#DIV/0!</v>
      </c>
      <c r="M19" s="369"/>
      <c r="N19" s="369"/>
      <c r="O19" s="369"/>
      <c r="P19" s="369"/>
    </row>
    <row r="20" spans="1:16">
      <c r="A20" s="377" t="str">
        <f>IFERROR(VLOOKUP(B20,Map!$B:$F,4,0),"")&amp;IFERROR(VLOOKUP(B20,Map!$B:$F,5,0),"")</f>
        <v/>
      </c>
      <c r="B20" s="540" t="str">
        <f>IF(MID(C20,10,2)="99",C20&amp;E20,LEFT(C20,14))</f>
        <v/>
      </c>
      <c r="C20" s="369"/>
      <c r="D20" s="369"/>
      <c r="E20" s="369"/>
      <c r="F20" s="761"/>
      <c r="G20" s="369"/>
      <c r="H20" s="554"/>
      <c r="I20" s="369"/>
      <c r="J20" s="369"/>
      <c r="K20" s="369"/>
      <c r="L20" s="593" t="e">
        <f t="shared" si="1"/>
        <v>#DIV/0!</v>
      </c>
      <c r="M20" s="369"/>
      <c r="N20" s="369"/>
      <c r="O20" s="369"/>
      <c r="P20" s="369"/>
    </row>
    <row r="21" spans="1:16">
      <c r="A21" s="377" t="str">
        <f>IFERROR(VLOOKUP(B21,Map!$B:$F,4,0),"")&amp;IFERROR(VLOOKUP(B21,Map!$B:$F,5,0),"")</f>
        <v/>
      </c>
      <c r="B21" s="540" t="str">
        <f t="shared" si="2"/>
        <v/>
      </c>
      <c r="C21" s="369"/>
      <c r="D21" s="369"/>
      <c r="E21" s="369"/>
      <c r="F21" s="761"/>
      <c r="G21" s="369"/>
      <c r="H21" s="554"/>
      <c r="I21" s="369"/>
      <c r="J21" s="369" t="s">
        <v>2116</v>
      </c>
      <c r="K21" s="369" t="s">
        <v>2117</v>
      </c>
      <c r="L21" s="593" t="e">
        <f t="shared" si="1"/>
        <v>#DIV/0!</v>
      </c>
      <c r="M21" s="369"/>
      <c r="N21" s="369"/>
      <c r="O21" s="369"/>
      <c r="P21" s="369"/>
    </row>
    <row r="22" spans="1:16">
      <c r="A22" s="377" t="str">
        <f>IFERROR(VLOOKUP(B22,Map!$B:$F,4,0),"")&amp;IFERROR(VLOOKUP(B22,Map!$B:$F,5,0),"")</f>
        <v/>
      </c>
      <c r="B22" s="540" t="str">
        <f t="shared" si="2"/>
        <v/>
      </c>
      <c r="C22" s="369"/>
      <c r="D22" s="369"/>
      <c r="E22" s="369"/>
      <c r="F22" s="761"/>
      <c r="G22" s="369"/>
      <c r="H22" s="554"/>
      <c r="I22" s="625"/>
      <c r="J22" s="554">
        <v>25</v>
      </c>
      <c r="K22" s="369"/>
      <c r="L22" s="593" t="e">
        <f t="shared" ref="L22:L52" si="3">+H22/F22</f>
        <v>#DIV/0!</v>
      </c>
      <c r="M22" s="369"/>
      <c r="N22" s="369"/>
      <c r="O22" s="369"/>
      <c r="P22" s="369"/>
    </row>
    <row r="23" spans="1:16" ht="11.25" customHeight="1">
      <c r="A23" s="377" t="str">
        <f>IFERROR(VLOOKUP(B23,Map!$B:$F,4,0),"")&amp;IFERROR(VLOOKUP(B23,Map!$B:$F,5,0),"")</f>
        <v/>
      </c>
      <c r="B23" s="540" t="str">
        <f t="shared" si="2"/>
        <v/>
      </c>
      <c r="C23" s="369"/>
      <c r="D23" s="369"/>
      <c r="E23" s="369"/>
      <c r="F23" s="761"/>
      <c r="G23" s="369"/>
      <c r="H23" s="554"/>
      <c r="I23" s="625"/>
      <c r="J23" s="554">
        <v>50</v>
      </c>
      <c r="K23" s="369"/>
      <c r="L23" s="593" t="e">
        <f t="shared" si="3"/>
        <v>#DIV/0!</v>
      </c>
      <c r="M23" s="369"/>
      <c r="N23" s="369"/>
      <c r="O23" s="369"/>
      <c r="P23" s="369"/>
    </row>
    <row r="24" spans="1:16">
      <c r="A24" s="377" t="str">
        <f>IFERROR(VLOOKUP(B24,Map!$B:$F,4,0),"")&amp;IFERROR(VLOOKUP(B24,Map!$B:$F,5,0),"")</f>
        <v/>
      </c>
      <c r="B24" s="540" t="str">
        <f t="shared" si="2"/>
        <v/>
      </c>
      <c r="C24" s="369"/>
      <c r="D24" s="369"/>
      <c r="E24" s="369"/>
      <c r="F24" s="761"/>
      <c r="G24" s="369"/>
      <c r="H24" s="554"/>
      <c r="I24" s="625"/>
      <c r="J24" s="554">
        <v>100</v>
      </c>
      <c r="K24" s="369"/>
      <c r="L24" s="593" t="e">
        <f t="shared" si="3"/>
        <v>#DIV/0!</v>
      </c>
      <c r="M24" s="369"/>
      <c r="N24" s="369"/>
      <c r="O24" s="369"/>
      <c r="P24" s="369"/>
    </row>
    <row r="25" spans="1:16">
      <c r="A25" s="377" t="str">
        <f>IFERROR(VLOOKUP(B25,Map!$B:$F,4,0),"")&amp;IFERROR(VLOOKUP(B25,Map!$B:$F,5,0),"")</f>
        <v/>
      </c>
      <c r="B25" s="540" t="str">
        <f t="shared" si="2"/>
        <v/>
      </c>
      <c r="C25" s="369"/>
      <c r="D25" s="369"/>
      <c r="E25" s="369"/>
      <c r="F25" s="761"/>
      <c r="G25" s="369"/>
      <c r="H25" s="554"/>
      <c r="I25" s="625"/>
      <c r="J25" s="554">
        <v>150</v>
      </c>
      <c r="K25" s="369"/>
      <c r="L25" s="593" t="e">
        <f t="shared" si="3"/>
        <v>#DIV/0!</v>
      </c>
      <c r="M25" s="554"/>
      <c r="N25" s="625"/>
      <c r="O25" s="554"/>
      <c r="P25" s="369"/>
    </row>
    <row r="26" spans="1:16">
      <c r="A26" s="377" t="str">
        <f>IFERROR(VLOOKUP(B26,Map!$B:$F,4,0),"")&amp;IFERROR(VLOOKUP(B26,Map!$B:$F,5,0),"")</f>
        <v/>
      </c>
      <c r="B26" s="540" t="str">
        <f t="shared" si="2"/>
        <v/>
      </c>
      <c r="C26" s="369"/>
      <c r="D26" s="369"/>
      <c r="E26" s="369"/>
      <c r="F26" s="761"/>
      <c r="G26" s="369"/>
      <c r="H26" s="554"/>
      <c r="I26" s="625"/>
      <c r="J26" s="554">
        <v>25</v>
      </c>
      <c r="K26" s="369"/>
      <c r="L26" s="593" t="e">
        <f t="shared" si="3"/>
        <v>#DIV/0!</v>
      </c>
      <c r="M26" s="554"/>
      <c r="N26" s="625"/>
      <c r="O26" s="554"/>
      <c r="P26" s="369"/>
    </row>
    <row r="27" spans="1:16">
      <c r="A27" s="377" t="str">
        <f>IFERROR(VLOOKUP(B27,Map!$B:$F,4,0),"")&amp;IFERROR(VLOOKUP(B27,Map!$B:$F,5,0),"")</f>
        <v/>
      </c>
      <c r="B27" s="540" t="str">
        <f t="shared" si="2"/>
        <v/>
      </c>
      <c r="C27" s="369"/>
      <c r="D27" s="369"/>
      <c r="E27" s="761"/>
      <c r="F27" s="369"/>
      <c r="G27" s="369"/>
      <c r="H27" s="369"/>
      <c r="I27" s="625"/>
      <c r="J27" s="554">
        <v>25</v>
      </c>
      <c r="K27" s="369"/>
      <c r="L27" s="593" t="e">
        <f t="shared" si="3"/>
        <v>#DIV/0!</v>
      </c>
      <c r="M27" s="554"/>
      <c r="N27" s="625"/>
      <c r="O27" s="554"/>
      <c r="P27" s="369"/>
    </row>
    <row r="28" spans="1:16">
      <c r="A28" s="377" t="str">
        <f>IFERROR(VLOOKUP(B28,Map!$B:$F,4,0),"")&amp;IFERROR(VLOOKUP(B28,Map!$B:$F,5,0),"")</f>
        <v/>
      </c>
      <c r="B28" s="540" t="str">
        <f t="shared" si="2"/>
        <v/>
      </c>
      <c r="C28" s="369"/>
      <c r="D28" s="369"/>
      <c r="E28" s="761"/>
      <c r="F28" s="369"/>
      <c r="G28" s="369"/>
      <c r="H28" s="369"/>
      <c r="I28" s="625"/>
      <c r="J28" s="554">
        <v>50</v>
      </c>
      <c r="K28" s="369"/>
      <c r="L28" s="593" t="e">
        <f t="shared" si="3"/>
        <v>#DIV/0!</v>
      </c>
      <c r="M28" s="554"/>
      <c r="N28" s="625"/>
      <c r="O28" s="554"/>
      <c r="P28" s="369"/>
    </row>
    <row r="29" spans="1:16">
      <c r="A29" s="377" t="str">
        <f>IFERROR(VLOOKUP(B29,Map!$B:$F,4,0),"")&amp;IFERROR(VLOOKUP(B29,Map!$B:$F,5,0),"")</f>
        <v/>
      </c>
      <c r="B29" s="540" t="str">
        <f t="shared" si="2"/>
        <v/>
      </c>
      <c r="C29" s="369"/>
      <c r="D29" s="369"/>
      <c r="E29" s="369"/>
      <c r="F29" s="761"/>
      <c r="G29" s="369"/>
      <c r="H29" s="554"/>
      <c r="I29" s="625"/>
      <c r="J29" s="554">
        <v>25</v>
      </c>
      <c r="K29" s="369"/>
      <c r="L29" s="593" t="e">
        <f t="shared" si="3"/>
        <v>#DIV/0!</v>
      </c>
      <c r="M29" s="554"/>
      <c r="N29" s="625"/>
      <c r="O29" s="554"/>
      <c r="P29" s="369"/>
    </row>
    <row r="30" spans="1:16">
      <c r="A30" s="377" t="str">
        <f>IFERROR(VLOOKUP(B30,Map!$B:$F,4,0),"")&amp;IFERROR(VLOOKUP(B30,Map!$B:$F,5,0),"")</f>
        <v/>
      </c>
      <c r="B30" s="540" t="str">
        <f t="shared" si="2"/>
        <v/>
      </c>
      <c r="C30" s="369"/>
      <c r="D30" s="369"/>
      <c r="E30" s="369"/>
      <c r="F30" s="761"/>
      <c r="G30" s="369"/>
      <c r="H30" s="554"/>
      <c r="I30" s="625"/>
      <c r="J30" s="554">
        <v>40</v>
      </c>
      <c r="K30" s="369"/>
      <c r="L30" s="593" t="e">
        <f t="shared" si="3"/>
        <v>#DIV/0!</v>
      </c>
      <c r="M30" s="554"/>
      <c r="N30" s="625"/>
      <c r="O30" s="554"/>
      <c r="P30" s="369"/>
    </row>
    <row r="31" spans="1:16">
      <c r="A31" s="377" t="str">
        <f>IFERROR(VLOOKUP(B31,Map!$B:$F,4,0),"")&amp;IFERROR(VLOOKUP(B31,Map!$B:$F,5,0),"")</f>
        <v/>
      </c>
      <c r="B31" s="540" t="str">
        <f t="shared" si="2"/>
        <v/>
      </c>
      <c r="C31" s="369"/>
      <c r="D31" s="369"/>
      <c r="E31" s="369"/>
      <c r="F31" s="761"/>
      <c r="G31" s="369"/>
      <c r="H31" s="554"/>
      <c r="I31" s="612"/>
      <c r="J31" s="369"/>
      <c r="K31" s="369"/>
      <c r="L31" s="593" t="e">
        <f t="shared" si="3"/>
        <v>#DIV/0!</v>
      </c>
      <c r="M31" s="554"/>
      <c r="N31" s="625"/>
      <c r="O31" s="554"/>
      <c r="P31" s="369"/>
    </row>
    <row r="32" spans="1:16">
      <c r="A32" s="377" t="str">
        <f>IFERROR(VLOOKUP(B32,Map!$B:$F,4,0),"")&amp;IFERROR(VLOOKUP(B32,Map!$B:$F,5,0),"")</f>
        <v/>
      </c>
      <c r="B32" s="540" t="str">
        <f t="shared" si="2"/>
        <v/>
      </c>
      <c r="C32" s="369"/>
      <c r="D32" s="369"/>
      <c r="E32" s="369"/>
      <c r="F32" s="761"/>
      <c r="G32" s="369"/>
      <c r="H32" s="554"/>
      <c r="I32" s="554"/>
      <c r="J32" s="625"/>
      <c r="K32" s="554"/>
      <c r="L32" s="593" t="e">
        <f t="shared" si="3"/>
        <v>#DIV/0!</v>
      </c>
      <c r="M32" s="554"/>
      <c r="N32" s="625"/>
      <c r="O32" s="554"/>
    </row>
    <row r="33" spans="1:15">
      <c r="A33" s="377" t="str">
        <f>IFERROR(VLOOKUP(B33,Map!$B:$F,4,0),"")&amp;IFERROR(VLOOKUP(B33,Map!$B:$F,5,0),"")</f>
        <v/>
      </c>
      <c r="B33" s="540" t="str">
        <f t="shared" si="2"/>
        <v/>
      </c>
      <c r="C33" s="369"/>
      <c r="D33" s="369"/>
      <c r="E33" s="369"/>
      <c r="F33" s="761"/>
      <c r="G33" s="369"/>
      <c r="H33" s="554"/>
      <c r="I33" s="554"/>
      <c r="J33" s="625"/>
      <c r="K33" s="554"/>
      <c r="L33" s="593" t="e">
        <f t="shared" si="3"/>
        <v>#DIV/0!</v>
      </c>
      <c r="M33" s="554"/>
      <c r="N33" s="625"/>
      <c r="O33" s="554"/>
    </row>
    <row r="34" spans="1:15">
      <c r="A34" s="377" t="str">
        <f>IFERROR(VLOOKUP(B34,Map!$B:$F,4,0),"")&amp;IFERROR(VLOOKUP(B34,Map!$B:$F,5,0),"")</f>
        <v/>
      </c>
      <c r="B34" s="540" t="str">
        <f t="shared" si="2"/>
        <v/>
      </c>
      <c r="C34" s="369"/>
      <c r="D34" s="369"/>
      <c r="E34" s="369"/>
      <c r="F34" s="761"/>
      <c r="G34" s="369"/>
      <c r="H34" s="554"/>
      <c r="I34" s="554"/>
      <c r="J34" s="625"/>
      <c r="K34" s="554"/>
      <c r="L34" s="593" t="e">
        <f t="shared" si="3"/>
        <v>#DIV/0!</v>
      </c>
      <c r="M34" s="554"/>
      <c r="N34" s="625"/>
      <c r="O34" s="554"/>
    </row>
    <row r="35" spans="1:15">
      <c r="A35" s="377" t="str">
        <f>IFERROR(VLOOKUP(B35,Map!$B:$F,4,0),"")&amp;IFERROR(VLOOKUP(B35,Map!$B:$F,5,0),"")</f>
        <v/>
      </c>
      <c r="B35" s="540" t="str">
        <f t="shared" si="2"/>
        <v/>
      </c>
      <c r="C35" s="369"/>
      <c r="D35" s="369"/>
      <c r="E35" s="369"/>
      <c r="F35" s="761"/>
      <c r="G35" s="369"/>
      <c r="H35" s="554"/>
      <c r="I35" s="554"/>
      <c r="J35" s="625"/>
      <c r="K35" s="554"/>
      <c r="L35" s="593" t="e">
        <f t="shared" si="3"/>
        <v>#DIV/0!</v>
      </c>
      <c r="M35" s="554"/>
      <c r="N35" s="625"/>
      <c r="O35" s="554"/>
    </row>
    <row r="36" spans="1:15">
      <c r="A36" s="377" t="str">
        <f>IFERROR(VLOOKUP(B36,Map!$B:$F,4,0),"")&amp;IFERROR(VLOOKUP(B36,Map!$B:$F,5,0),"")</f>
        <v/>
      </c>
      <c r="B36" s="540" t="str">
        <f t="shared" si="2"/>
        <v/>
      </c>
      <c r="C36" s="369"/>
      <c r="D36" s="369"/>
      <c r="E36" s="369"/>
      <c r="F36" s="761"/>
      <c r="G36" s="369"/>
      <c r="H36" s="554"/>
      <c r="I36" s="554"/>
      <c r="J36" s="625"/>
      <c r="K36" s="554"/>
      <c r="L36" s="593" t="e">
        <f t="shared" si="3"/>
        <v>#DIV/0!</v>
      </c>
      <c r="M36" s="554"/>
      <c r="N36" s="625"/>
      <c r="O36" s="554"/>
    </row>
    <row r="37" spans="1:15">
      <c r="A37" s="377" t="str">
        <f>IFERROR(VLOOKUP(B37,Map!$B:$F,4,0),"")&amp;IFERROR(VLOOKUP(B37,Map!$B:$F,5,0),"")</f>
        <v/>
      </c>
      <c r="B37" s="540" t="str">
        <f t="shared" si="2"/>
        <v/>
      </c>
      <c r="C37" s="369"/>
      <c r="D37" s="369"/>
      <c r="E37" s="761"/>
      <c r="F37" s="369"/>
      <c r="G37" s="369"/>
      <c r="H37" s="369"/>
      <c r="I37" s="554"/>
      <c r="J37" s="796"/>
      <c r="K37" s="554"/>
      <c r="L37" s="593" t="e">
        <f t="shared" si="3"/>
        <v>#DIV/0!</v>
      </c>
      <c r="M37" s="369"/>
      <c r="N37" s="369"/>
      <c r="O37" s="369"/>
    </row>
    <row r="38" spans="1:15">
      <c r="A38" s="377" t="str">
        <f>IFERROR(VLOOKUP(B38,Map!$B:$F,4,0),"")&amp;IFERROR(VLOOKUP(B38,Map!$B:$F,5,0),"")</f>
        <v/>
      </c>
      <c r="B38" s="540" t="str">
        <f t="shared" si="2"/>
        <v/>
      </c>
      <c r="C38" s="369"/>
      <c r="D38" s="369"/>
      <c r="E38" s="761"/>
      <c r="F38" s="369"/>
      <c r="G38" s="369"/>
      <c r="H38" s="369"/>
      <c r="I38" s="554"/>
      <c r="J38" s="625"/>
      <c r="K38" s="554"/>
      <c r="L38" s="593" t="e">
        <f t="shared" si="3"/>
        <v>#DIV/0!</v>
      </c>
      <c r="M38" s="554"/>
      <c r="N38" s="625"/>
      <c r="O38" s="554"/>
    </row>
    <row r="39" spans="1:15">
      <c r="A39" s="377" t="str">
        <f>IFERROR(VLOOKUP(B39,Map!$B:$F,4,0),"")&amp;IFERROR(VLOOKUP(B39,Map!$B:$F,5,0),"")</f>
        <v/>
      </c>
      <c r="B39" s="540" t="str">
        <f t="shared" si="2"/>
        <v/>
      </c>
      <c r="C39" s="369"/>
      <c r="D39" s="369"/>
      <c r="E39" s="369"/>
      <c r="F39" s="761"/>
      <c r="G39" s="369"/>
      <c r="H39" s="554"/>
      <c r="I39" s="554"/>
      <c r="J39" s="625"/>
      <c r="K39" s="554"/>
      <c r="L39" s="593" t="e">
        <f t="shared" si="3"/>
        <v>#DIV/0!</v>
      </c>
      <c r="M39" s="554"/>
      <c r="N39" s="625"/>
      <c r="O39" s="554"/>
    </row>
    <row r="40" spans="1:15">
      <c r="A40" s="377" t="str">
        <f>IFERROR(VLOOKUP(B40,Map!$B:$F,4,0),"")&amp;IFERROR(VLOOKUP(B40,Map!$B:$F,5,0),"")</f>
        <v/>
      </c>
      <c r="B40" s="540" t="str">
        <f t="shared" si="2"/>
        <v/>
      </c>
      <c r="C40" s="369"/>
      <c r="D40" s="369"/>
      <c r="E40" s="369"/>
      <c r="F40" s="761"/>
      <c r="G40" s="612"/>
      <c r="H40" s="554"/>
      <c r="I40" s="554"/>
      <c r="J40" s="625"/>
      <c r="K40" s="554"/>
      <c r="L40" s="593" t="e">
        <f t="shared" si="3"/>
        <v>#DIV/0!</v>
      </c>
      <c r="M40" s="554"/>
      <c r="N40" s="625"/>
      <c r="O40" s="554"/>
    </row>
    <row r="41" spans="1:15">
      <c r="A41" s="377" t="str">
        <f>IFERROR(VLOOKUP(B41,Map!$B:$F,4,0),"")&amp;IFERROR(VLOOKUP(B41,Map!$B:$F,5,0),"")</f>
        <v/>
      </c>
      <c r="B41" s="540" t="str">
        <f t="shared" si="2"/>
        <v/>
      </c>
      <c r="C41" s="369"/>
      <c r="D41" s="369"/>
      <c r="E41" s="369"/>
      <c r="F41" s="761"/>
      <c r="G41" s="369"/>
      <c r="H41" s="554"/>
      <c r="I41" s="554"/>
      <c r="J41" s="625"/>
      <c r="K41" s="554"/>
      <c r="L41" s="593" t="e">
        <f t="shared" si="3"/>
        <v>#DIV/0!</v>
      </c>
      <c r="M41" s="554"/>
      <c r="N41" s="625"/>
      <c r="O41" s="554"/>
    </row>
    <row r="42" spans="1:15">
      <c r="A42" s="377" t="str">
        <f>IFERROR(VLOOKUP(B42,Map!$B:$F,4,0),"")&amp;IFERROR(VLOOKUP(B42,Map!$B:$F,5,0),"")</f>
        <v/>
      </c>
      <c r="B42" s="540" t="str">
        <f t="shared" si="2"/>
        <v/>
      </c>
      <c r="C42" s="369"/>
      <c r="D42" s="369"/>
      <c r="E42" s="369"/>
      <c r="F42" s="761"/>
      <c r="G42" s="369"/>
      <c r="H42" s="554"/>
      <c r="I42" s="554"/>
      <c r="J42" s="625"/>
      <c r="K42" s="554"/>
      <c r="L42" s="593" t="e">
        <f t="shared" si="3"/>
        <v>#DIV/0!</v>
      </c>
      <c r="M42" s="554"/>
      <c r="N42" s="625"/>
      <c r="O42" s="554"/>
    </row>
    <row r="43" spans="1:15">
      <c r="A43" s="377" t="str">
        <f>IFERROR(VLOOKUP(B43,Map!$B:$F,4,0),"")&amp;IFERROR(VLOOKUP(B43,Map!$B:$F,5,0),"")</f>
        <v/>
      </c>
      <c r="B43" s="540" t="str">
        <f t="shared" si="2"/>
        <v/>
      </c>
      <c r="C43" s="369"/>
      <c r="D43" s="369"/>
      <c r="E43" s="369"/>
      <c r="F43" s="761"/>
      <c r="G43" s="369"/>
      <c r="H43" s="554"/>
      <c r="I43" s="554"/>
      <c r="J43" s="796"/>
      <c r="K43" s="554"/>
      <c r="L43" s="593" t="e">
        <f t="shared" si="3"/>
        <v>#DIV/0!</v>
      </c>
      <c r="M43" s="369"/>
      <c r="N43" s="369"/>
      <c r="O43" s="369"/>
    </row>
    <row r="44" spans="1:15">
      <c r="A44" s="377" t="str">
        <f>IFERROR(VLOOKUP(B44,Map!$B:$F,4,0),"")&amp;IFERROR(VLOOKUP(B44,Map!$B:$F,5,0),"")</f>
        <v/>
      </c>
      <c r="B44" s="540" t="str">
        <f t="shared" si="2"/>
        <v/>
      </c>
      <c r="C44" s="369"/>
      <c r="D44" s="369"/>
      <c r="E44" s="369"/>
      <c r="F44" s="761"/>
      <c r="G44" s="369"/>
      <c r="H44" s="554"/>
      <c r="I44" s="554"/>
      <c r="J44" s="625"/>
      <c r="K44" s="554"/>
      <c r="L44" s="593" t="e">
        <f t="shared" si="3"/>
        <v>#DIV/0!</v>
      </c>
      <c r="M44" s="554"/>
      <c r="N44" s="625"/>
      <c r="O44" s="554"/>
    </row>
    <row r="45" spans="1:15">
      <c r="A45" s="377" t="str">
        <f>IFERROR(VLOOKUP(B45,Map!$B:$F,4,0),"")&amp;IFERROR(VLOOKUP(B45,Map!$B:$F,5,0),"")</f>
        <v/>
      </c>
      <c r="B45" s="540" t="str">
        <f t="shared" si="2"/>
        <v/>
      </c>
      <c r="C45" s="369"/>
      <c r="D45" s="369"/>
      <c r="E45" s="369"/>
      <c r="F45" s="761"/>
      <c r="G45" s="369"/>
      <c r="H45" s="554"/>
      <c r="I45" s="554"/>
      <c r="J45" s="625"/>
      <c r="K45" s="554"/>
      <c r="L45" s="593" t="e">
        <f t="shared" si="3"/>
        <v>#DIV/0!</v>
      </c>
      <c r="M45" s="554"/>
      <c r="N45" s="625"/>
      <c r="O45" s="554"/>
    </row>
    <row r="46" spans="1:15">
      <c r="A46" s="377" t="str">
        <f>IFERROR(VLOOKUP(B46,Map!$B:$F,4,0),"")&amp;IFERROR(VLOOKUP(B46,Map!$B:$F,5,0),"")</f>
        <v/>
      </c>
      <c r="B46" s="540" t="str">
        <f t="shared" si="2"/>
        <v/>
      </c>
      <c r="C46" s="369"/>
      <c r="D46" s="369"/>
      <c r="E46" s="369"/>
      <c r="F46" s="761"/>
      <c r="G46" s="369"/>
      <c r="H46" s="554"/>
      <c r="I46" s="554"/>
      <c r="J46" s="625"/>
      <c r="K46" s="554"/>
      <c r="L46" s="593" t="e">
        <f t="shared" si="3"/>
        <v>#DIV/0!</v>
      </c>
      <c r="M46" s="554"/>
      <c r="N46" s="625"/>
      <c r="O46" s="554"/>
    </row>
    <row r="47" spans="1:15">
      <c r="A47" s="377" t="str">
        <f>IFERROR(VLOOKUP(B47,Map!$B:$F,4,0),"")&amp;IFERROR(VLOOKUP(B47,Map!$B:$F,5,0),"")</f>
        <v/>
      </c>
      <c r="B47" s="540" t="str">
        <f t="shared" si="2"/>
        <v/>
      </c>
      <c r="C47" s="369"/>
      <c r="D47" s="369"/>
      <c r="E47" s="369"/>
      <c r="F47" s="761"/>
      <c r="G47" s="369"/>
      <c r="H47" s="554"/>
      <c r="I47" s="554"/>
      <c r="J47" s="625"/>
      <c r="K47" s="554"/>
      <c r="L47" s="593" t="e">
        <f t="shared" si="3"/>
        <v>#DIV/0!</v>
      </c>
      <c r="M47" s="554"/>
      <c r="N47" s="625"/>
      <c r="O47" s="554"/>
    </row>
    <row r="48" spans="1:15">
      <c r="A48" s="377" t="str">
        <f>IFERROR(VLOOKUP(B48,Map!$B:$F,4,0),"")&amp;IFERROR(VLOOKUP(B48,Map!$B:$F,5,0),"")</f>
        <v/>
      </c>
      <c r="B48" s="540" t="str">
        <f t="shared" si="2"/>
        <v/>
      </c>
      <c r="C48" s="369"/>
      <c r="D48" s="369"/>
      <c r="E48" s="369"/>
      <c r="F48" s="761"/>
      <c r="G48" s="369"/>
      <c r="H48" s="554"/>
      <c r="I48" s="554"/>
      <c r="J48" s="625"/>
      <c r="K48" s="554"/>
      <c r="L48" s="593" t="e">
        <f t="shared" si="3"/>
        <v>#DIV/0!</v>
      </c>
      <c r="M48" s="554"/>
      <c r="N48" s="625"/>
      <c r="O48" s="554"/>
    </row>
    <row r="49" spans="1:15">
      <c r="A49" s="377" t="str">
        <f>IFERROR(VLOOKUP(B49,Map!$B:$F,4,0),"")&amp;IFERROR(VLOOKUP(B49,Map!$B:$F,5,0),"")</f>
        <v/>
      </c>
      <c r="B49" s="540" t="str">
        <f t="shared" si="2"/>
        <v/>
      </c>
      <c r="C49" s="369"/>
      <c r="D49" s="369"/>
      <c r="E49" s="369"/>
      <c r="F49" s="761"/>
      <c r="G49" s="369"/>
      <c r="H49" s="554"/>
      <c r="I49" s="554"/>
      <c r="J49" s="796"/>
      <c r="K49" s="554"/>
      <c r="L49" s="593" t="e">
        <f t="shared" si="3"/>
        <v>#DIV/0!</v>
      </c>
      <c r="M49" s="369"/>
      <c r="N49" s="369"/>
      <c r="O49" s="369"/>
    </row>
    <row r="50" spans="1:15">
      <c r="A50" s="377" t="str">
        <f>IFERROR(VLOOKUP(B50,Map!$B:$F,4,0),"")&amp;IFERROR(VLOOKUP(B50,Map!$B:$F,5,0),"")</f>
        <v/>
      </c>
      <c r="B50" s="540" t="str">
        <f t="shared" si="2"/>
        <v/>
      </c>
      <c r="C50" s="369"/>
      <c r="D50" s="369"/>
      <c r="E50" s="369"/>
      <c r="F50" s="761"/>
      <c r="G50" s="369"/>
      <c r="H50" s="554"/>
      <c r="I50" s="14"/>
      <c r="L50" s="593" t="e">
        <f t="shared" si="3"/>
        <v>#DIV/0!</v>
      </c>
    </row>
    <row r="51" spans="1:15">
      <c r="A51" s="377" t="str">
        <f>IFERROR(VLOOKUP(B51,Map!$B:$F,4,0),"")&amp;IFERROR(VLOOKUP(B51,Map!$B:$F,5,0),"")</f>
        <v/>
      </c>
      <c r="B51" s="540" t="str">
        <f t="shared" si="2"/>
        <v/>
      </c>
      <c r="C51" s="369"/>
      <c r="D51" s="369"/>
      <c r="E51" s="761"/>
      <c r="F51" s="369"/>
      <c r="G51" s="369"/>
      <c r="H51" s="611"/>
      <c r="I51" s="14"/>
      <c r="L51" s="593" t="e">
        <f t="shared" si="3"/>
        <v>#DIV/0!</v>
      </c>
    </row>
    <row r="52" spans="1:15">
      <c r="A52" s="377" t="str">
        <f>IFERROR(VLOOKUP(B52,Map!$B:$F,4,0),"")&amp;IFERROR(VLOOKUP(B52,Map!$B:$F,5,0),"")</f>
        <v/>
      </c>
      <c r="B52" s="540" t="str">
        <f t="shared" si="2"/>
        <v/>
      </c>
      <c r="H52" s="442"/>
      <c r="I52" s="14"/>
      <c r="L52" s="593" t="e">
        <f t="shared" si="3"/>
        <v>#DIV/0!</v>
      </c>
    </row>
    <row r="53" spans="1:15">
      <c r="A53" s="377" t="str">
        <f>IFERROR(VLOOKUP(B53,Map!$B:$F,4,0),"")&amp;IFERROR(VLOOKUP(B53,Map!$B:$F,5,0),"")</f>
        <v/>
      </c>
      <c r="B53" s="540" t="str">
        <f t="shared" si="2"/>
        <v/>
      </c>
      <c r="H53" s="442"/>
      <c r="I53" s="14"/>
    </row>
    <row r="54" spans="1:15">
      <c r="A54" s="377" t="str">
        <f>IFERROR(VLOOKUP(B54,Map!$B:$F,4,0),"")&amp;IFERROR(VLOOKUP(B54,Map!$B:$F,5,0),"")</f>
        <v/>
      </c>
      <c r="B54" s="540" t="str">
        <f t="shared" si="2"/>
        <v/>
      </c>
      <c r="H54" s="442"/>
      <c r="I54" s="14"/>
    </row>
    <row r="55" spans="1:15">
      <c r="A55" s="377" t="str">
        <f>IFERROR(VLOOKUP(B55,Map!$B:$F,4,0),"")&amp;IFERROR(VLOOKUP(B55,Map!$B:$F,5,0),"")</f>
        <v/>
      </c>
      <c r="B55" s="540" t="str">
        <f t="shared" si="2"/>
        <v/>
      </c>
      <c r="H55" s="442"/>
      <c r="I55" s="14"/>
    </row>
    <row r="56" spans="1:15">
      <c r="A56" s="377" t="str">
        <f>IFERROR(VLOOKUP(B56,Map!$B:$F,4,0),"")&amp;IFERROR(VLOOKUP(B56,Map!$B:$F,5,0),"")</f>
        <v/>
      </c>
      <c r="B56" s="540" t="str">
        <f t="shared" si="2"/>
        <v/>
      </c>
      <c r="H56" s="442"/>
      <c r="I56" s="14"/>
    </row>
    <row r="57" spans="1:15">
      <c r="A57" s="377" t="str">
        <f>IFERROR(VLOOKUP(B57,Map!$B:$F,4,0),"")&amp;IFERROR(VLOOKUP(B57,Map!$B:$F,5,0),"")</f>
        <v/>
      </c>
      <c r="B57" s="540" t="str">
        <f t="shared" si="2"/>
        <v/>
      </c>
      <c r="H57" s="442"/>
      <c r="I57" s="14"/>
    </row>
    <row r="58" spans="1:15">
      <c r="A58" s="377" t="str">
        <f>IFERROR(VLOOKUP(B58,Map!$B:$F,4,0),"")&amp;IFERROR(VLOOKUP(B58,Map!$B:$F,5,0),"")</f>
        <v/>
      </c>
      <c r="B58" s="540" t="str">
        <f t="shared" si="2"/>
        <v/>
      </c>
      <c r="G58" s="14"/>
      <c r="H58" s="442"/>
      <c r="I58" s="14"/>
    </row>
    <row r="59" spans="1:15">
      <c r="A59" s="377" t="str">
        <f>IFERROR(VLOOKUP(B59,Map!$B:$F,4,0),"")&amp;IFERROR(VLOOKUP(B59,Map!$B:$F,5,0),"")</f>
        <v/>
      </c>
      <c r="B59" s="540" t="str">
        <f t="shared" si="2"/>
        <v/>
      </c>
      <c r="G59" s="14"/>
      <c r="H59" s="442"/>
      <c r="I59" s="14"/>
    </row>
    <row r="60" spans="1:15">
      <c r="A60" s="377" t="str">
        <f>IFERROR(VLOOKUP(B60,Map!$B:$F,4,0),"")&amp;IFERROR(VLOOKUP(B60,Map!$B:$F,5,0),"")</f>
        <v/>
      </c>
      <c r="B60" s="540" t="str">
        <f t="shared" si="2"/>
        <v/>
      </c>
      <c r="G60" s="14"/>
      <c r="H60" s="442"/>
      <c r="I60" s="14"/>
    </row>
    <row r="61" spans="1:15">
      <c r="A61" s="377" t="str">
        <f>IFERROR(VLOOKUP(B61,Map!$B:$F,4,0),"")&amp;IFERROR(VLOOKUP(B61,Map!$B:$F,5,0),"")</f>
        <v/>
      </c>
      <c r="B61" s="540" t="str">
        <f t="shared" si="2"/>
        <v/>
      </c>
      <c r="H61" s="442"/>
      <c r="I61" s="14"/>
    </row>
    <row r="62" spans="1:15">
      <c r="A62" s="377" t="str">
        <f>IFERROR(VLOOKUP(B62,Map!$B:$F,4,0),"")&amp;IFERROR(VLOOKUP(B62,Map!$B:$F,5,0),"")</f>
        <v/>
      </c>
      <c r="B62" s="540" t="str">
        <f t="shared" si="2"/>
        <v/>
      </c>
      <c r="G62" s="14"/>
      <c r="H62" s="442"/>
      <c r="I62" s="14"/>
    </row>
    <row r="63" spans="1:15">
      <c r="A63" s="377" t="str">
        <f>IFERROR(VLOOKUP(B63,Map!$B:$F,4,0),"")&amp;IFERROR(VLOOKUP(B63,Map!$B:$F,5,0),"")</f>
        <v/>
      </c>
      <c r="B63" s="540" t="str">
        <f t="shared" si="2"/>
        <v/>
      </c>
      <c r="H63" s="442"/>
      <c r="I63" s="14"/>
    </row>
    <row r="64" spans="1:15">
      <c r="A64" s="377" t="str">
        <f>IFERROR(VLOOKUP(B64,Map!$B:$F,4,0),"")&amp;IFERROR(VLOOKUP(B64,Map!$B:$F,5,0),"")</f>
        <v/>
      </c>
      <c r="B64" s="540" t="str">
        <f t="shared" si="2"/>
        <v/>
      </c>
      <c r="H64" s="442"/>
      <c r="I64" s="14"/>
    </row>
    <row r="65" spans="1:9">
      <c r="A65" s="377" t="str">
        <f>IFERROR(VLOOKUP(B65,Map!$B:$F,4,0),"")&amp;IFERROR(VLOOKUP(B65,Map!$B:$F,5,0),"")</f>
        <v/>
      </c>
      <c r="B65" s="540" t="str">
        <f t="shared" si="2"/>
        <v/>
      </c>
      <c r="H65" s="442"/>
      <c r="I65" s="14"/>
    </row>
    <row r="66" spans="1:9">
      <c r="A66" s="377" t="str">
        <f>IFERROR(VLOOKUP(B66,Map!$B:$F,4,0),"")&amp;IFERROR(VLOOKUP(B66,Map!$B:$F,5,0),"")</f>
        <v/>
      </c>
      <c r="B66" s="540" t="str">
        <f t="shared" si="2"/>
        <v/>
      </c>
      <c r="H66" s="442"/>
      <c r="I66" s="14"/>
    </row>
    <row r="67" spans="1:9">
      <c r="A67" s="377" t="str">
        <f>IFERROR(VLOOKUP(B67,Map!$B:$F,4,0),"")&amp;IFERROR(VLOOKUP(B67,Map!$B:$F,5,0),"")</f>
        <v/>
      </c>
      <c r="B67" s="540" t="str">
        <f t="shared" ref="B67:B118" si="4">IF(MID(C67,10,2)="99",C67&amp;E67,LEFT(C67,14))</f>
        <v/>
      </c>
      <c r="G67" s="14"/>
      <c r="H67" s="442"/>
      <c r="I67" s="14"/>
    </row>
    <row r="68" spans="1:9">
      <c r="A68" s="377" t="str">
        <f>IFERROR(VLOOKUP(B68,Map!$B:$F,4,0),"")&amp;IFERROR(VLOOKUP(B68,Map!$B:$F,5,0),"")</f>
        <v/>
      </c>
      <c r="B68" s="540" t="str">
        <f t="shared" si="4"/>
        <v/>
      </c>
      <c r="H68" s="442"/>
      <c r="I68" s="14"/>
    </row>
    <row r="69" spans="1:9">
      <c r="A69" s="377" t="str">
        <f>IFERROR(VLOOKUP(B69,Map!$B:$F,4,0),"")&amp;IFERROR(VLOOKUP(B69,Map!$B:$F,5,0),"")</f>
        <v/>
      </c>
      <c r="B69" s="540" t="str">
        <f t="shared" si="4"/>
        <v/>
      </c>
      <c r="I69" s="14"/>
    </row>
    <row r="70" spans="1:9">
      <c r="A70" s="377" t="str">
        <f>IFERROR(VLOOKUP(B70,Map!$B:$F,4,0),"")&amp;IFERROR(VLOOKUP(B70,Map!$B:$F,5,0),"")</f>
        <v/>
      </c>
      <c r="B70" s="540" t="str">
        <f t="shared" si="4"/>
        <v/>
      </c>
      <c r="H70" s="442"/>
      <c r="I70" s="14"/>
    </row>
    <row r="71" spans="1:9">
      <c r="A71" s="377" t="str">
        <f>IFERROR(VLOOKUP(B71,Map!$B:$F,4,0),"")&amp;IFERROR(VLOOKUP(B71,Map!$B:$F,5,0),"")</f>
        <v/>
      </c>
      <c r="B71" s="540" t="str">
        <f t="shared" si="4"/>
        <v/>
      </c>
      <c r="H71" s="442"/>
      <c r="I71" s="14"/>
    </row>
    <row r="72" spans="1:9">
      <c r="A72" s="377" t="str">
        <f>IFERROR(VLOOKUP(B72,Map!$B:$F,4,0),"")&amp;IFERROR(VLOOKUP(B72,Map!$B:$F,5,0),"")</f>
        <v/>
      </c>
      <c r="B72" s="540" t="str">
        <f t="shared" si="4"/>
        <v/>
      </c>
      <c r="G72" s="14"/>
      <c r="H72" s="442"/>
      <c r="I72" s="14"/>
    </row>
    <row r="73" spans="1:9">
      <c r="A73" s="377" t="str">
        <f>IFERROR(VLOOKUP(B73,Map!$B:$F,4,0),"")&amp;IFERROR(VLOOKUP(B73,Map!$B:$F,5,0),"")</f>
        <v/>
      </c>
      <c r="B73" s="540" t="str">
        <f t="shared" si="4"/>
        <v/>
      </c>
      <c r="G73" s="14"/>
      <c r="H73" s="442"/>
      <c r="I73" s="14"/>
    </row>
    <row r="74" spans="1:9">
      <c r="A74" s="377" t="str">
        <f>IFERROR(VLOOKUP(B74,Map!$B:$F,4,0),"")&amp;IFERROR(VLOOKUP(B74,Map!$B:$F,5,0),"")</f>
        <v/>
      </c>
      <c r="B74" s="540" t="str">
        <f t="shared" si="4"/>
        <v/>
      </c>
      <c r="G74" s="14"/>
      <c r="H74" s="442"/>
      <c r="I74" s="14"/>
    </row>
    <row r="75" spans="1:9">
      <c r="A75" s="377" t="str">
        <f>IFERROR(VLOOKUP(B75,Map!$B:$F,4,0),"")&amp;IFERROR(VLOOKUP(B75,Map!$B:$F,5,0),"")</f>
        <v/>
      </c>
      <c r="B75" s="540" t="str">
        <f t="shared" si="4"/>
        <v/>
      </c>
      <c r="G75" s="14"/>
      <c r="H75" s="442"/>
      <c r="I75" s="14"/>
    </row>
    <row r="76" spans="1:9">
      <c r="A76" s="377" t="str">
        <f>IFERROR(VLOOKUP(B76,Map!$B:$F,4,0),"")&amp;IFERROR(VLOOKUP(B76,Map!$B:$F,5,0),"")</f>
        <v/>
      </c>
      <c r="B76" s="540" t="str">
        <f t="shared" si="4"/>
        <v/>
      </c>
      <c r="G76" s="14"/>
      <c r="H76" s="442"/>
      <c r="I76" s="14"/>
    </row>
    <row r="77" spans="1:9">
      <c r="A77" s="377" t="str">
        <f>IFERROR(VLOOKUP(B77,Map!$B:$F,4,0),"")&amp;IFERROR(VLOOKUP(B77,Map!$B:$F,5,0),"")</f>
        <v/>
      </c>
      <c r="B77" s="540" t="str">
        <f t="shared" si="4"/>
        <v/>
      </c>
      <c r="H77" s="442"/>
      <c r="I77" s="14"/>
    </row>
    <row r="78" spans="1:9">
      <c r="A78" s="377" t="str">
        <f>IFERROR(VLOOKUP(B78,Map!$B:$F,4,0),"")&amp;IFERROR(VLOOKUP(B78,Map!$B:$F,5,0),"")</f>
        <v/>
      </c>
      <c r="B78" s="540" t="str">
        <f t="shared" si="4"/>
        <v/>
      </c>
      <c r="G78" s="14"/>
      <c r="H78" s="442"/>
      <c r="I78" s="14"/>
    </row>
    <row r="79" spans="1:9">
      <c r="A79" s="377" t="str">
        <f>IFERROR(VLOOKUP(B79,Map!$B:$F,4,0),"")&amp;IFERROR(VLOOKUP(B79,Map!$B:$F,5,0),"")</f>
        <v/>
      </c>
      <c r="B79" s="540" t="str">
        <f t="shared" si="4"/>
        <v/>
      </c>
      <c r="H79" s="442"/>
      <c r="I79" s="14"/>
    </row>
    <row r="80" spans="1:9">
      <c r="A80" s="377" t="str">
        <f>IFERROR(VLOOKUP(B80,Map!$B:$F,4,0),"")&amp;IFERROR(VLOOKUP(B80,Map!$B:$F,5,0),"")</f>
        <v/>
      </c>
      <c r="B80" s="540" t="str">
        <f t="shared" si="4"/>
        <v/>
      </c>
      <c r="H80" s="442"/>
      <c r="I80" s="14"/>
    </row>
    <row r="81" spans="1:9">
      <c r="A81" s="377" t="str">
        <f>IFERROR(VLOOKUP(B81,Map!$B:$F,4,0),"")&amp;IFERROR(VLOOKUP(B81,Map!$B:$F,5,0),"")</f>
        <v/>
      </c>
      <c r="B81" s="540" t="str">
        <f t="shared" si="4"/>
        <v/>
      </c>
      <c r="H81" s="442"/>
      <c r="I81" s="14"/>
    </row>
    <row r="82" spans="1:9">
      <c r="A82" s="377" t="str">
        <f>IFERROR(VLOOKUP(B82,Map!$B:$F,4,0),"")&amp;IFERROR(VLOOKUP(B82,Map!$B:$F,5,0),"")</f>
        <v/>
      </c>
      <c r="B82" s="540" t="str">
        <f t="shared" si="4"/>
        <v/>
      </c>
      <c r="H82" s="442"/>
      <c r="I82" s="14"/>
    </row>
    <row r="83" spans="1:9">
      <c r="A83" s="377" t="str">
        <f>IFERROR(VLOOKUP(B83,Map!$B:$F,4,0),"")&amp;IFERROR(VLOOKUP(B83,Map!$B:$F,5,0),"")</f>
        <v/>
      </c>
      <c r="B83" s="540" t="str">
        <f t="shared" si="4"/>
        <v/>
      </c>
      <c r="H83" s="442"/>
      <c r="I83" s="14"/>
    </row>
    <row r="84" spans="1:9">
      <c r="A84" s="377" t="str">
        <f>IFERROR(VLOOKUP(B84,Map!$B:$F,4,0),"")&amp;IFERROR(VLOOKUP(B84,Map!$B:$F,5,0),"")</f>
        <v/>
      </c>
      <c r="B84" s="540" t="str">
        <f t="shared" si="4"/>
        <v/>
      </c>
      <c r="H84" s="442"/>
      <c r="I84" s="14"/>
    </row>
    <row r="85" spans="1:9">
      <c r="A85" s="377" t="str">
        <f>IFERROR(VLOOKUP(B85,Map!$B:$F,4,0),"")&amp;IFERROR(VLOOKUP(B85,Map!$B:$F,5,0),"")</f>
        <v/>
      </c>
      <c r="B85" s="540" t="str">
        <f t="shared" si="4"/>
        <v/>
      </c>
      <c r="H85" s="442"/>
      <c r="I85" s="14"/>
    </row>
    <row r="86" spans="1:9">
      <c r="A86" s="377" t="str">
        <f>IFERROR(VLOOKUP(B86,Map!$B:$F,4,0),"")&amp;IFERROR(VLOOKUP(B86,Map!$B:$F,5,0),"")</f>
        <v/>
      </c>
      <c r="B86" s="540" t="str">
        <f t="shared" si="4"/>
        <v/>
      </c>
      <c r="H86" s="442"/>
      <c r="I86" s="14"/>
    </row>
    <row r="87" spans="1:9">
      <c r="A87" s="377" t="str">
        <f>IFERROR(VLOOKUP(B87,Map!$B:$F,4,0),"")&amp;IFERROR(VLOOKUP(B87,Map!$B:$F,5,0),"")</f>
        <v/>
      </c>
      <c r="B87" s="540" t="str">
        <f t="shared" si="4"/>
        <v/>
      </c>
      <c r="H87" s="442"/>
      <c r="I87" s="14"/>
    </row>
    <row r="88" spans="1:9">
      <c r="A88" s="377" t="str">
        <f>IFERROR(VLOOKUP(B88,Map!$B:$F,4,0),"")&amp;IFERROR(VLOOKUP(B88,Map!$B:$F,5,0),"")</f>
        <v/>
      </c>
      <c r="B88" s="540" t="str">
        <f t="shared" si="4"/>
        <v/>
      </c>
      <c r="I88" s="14"/>
    </row>
    <row r="89" spans="1:9">
      <c r="A89" s="377" t="str">
        <f>IFERROR(VLOOKUP(B89,Map!$B:$F,4,0),"")&amp;IFERROR(VLOOKUP(B89,Map!$B:$F,5,0),"")</f>
        <v/>
      </c>
      <c r="B89" s="540" t="str">
        <f t="shared" si="4"/>
        <v/>
      </c>
      <c r="H89" s="442"/>
      <c r="I89" s="14"/>
    </row>
    <row r="90" spans="1:9">
      <c r="A90" s="377" t="str">
        <f>IFERROR(VLOOKUP(B90,Map!$B:$F,4,0),"")&amp;IFERROR(VLOOKUP(B90,Map!$B:$F,5,0),"")</f>
        <v/>
      </c>
      <c r="B90" s="540" t="str">
        <f t="shared" si="4"/>
        <v/>
      </c>
      <c r="H90" s="442"/>
      <c r="I90" s="14"/>
    </row>
    <row r="91" spans="1:9">
      <c r="A91" s="377" t="str">
        <f>IFERROR(VLOOKUP(B91,Map!$B:$F,4,0),"")&amp;IFERROR(VLOOKUP(B91,Map!$B:$F,5,0),"")</f>
        <v/>
      </c>
      <c r="B91" s="540" t="str">
        <f t="shared" si="4"/>
        <v/>
      </c>
      <c r="H91" s="442"/>
      <c r="I91" s="14"/>
    </row>
    <row r="92" spans="1:9">
      <c r="A92" s="377" t="str">
        <f>IFERROR(VLOOKUP(B92,Map!$B:$F,4,0),"")&amp;IFERROR(VLOOKUP(B92,Map!$B:$F,5,0),"")</f>
        <v/>
      </c>
      <c r="B92" s="540" t="str">
        <f t="shared" si="4"/>
        <v/>
      </c>
      <c r="G92" s="14"/>
      <c r="H92" s="442"/>
      <c r="I92" s="14"/>
    </row>
    <row r="93" spans="1:9">
      <c r="A93" s="377" t="str">
        <f>IFERROR(VLOOKUP(B93,Map!$B:$F,4,0),"")&amp;IFERROR(VLOOKUP(B93,Map!$B:$F,5,0),"")</f>
        <v/>
      </c>
      <c r="B93" s="540" t="str">
        <f t="shared" si="4"/>
        <v/>
      </c>
      <c r="H93" s="442"/>
      <c r="I93" s="14"/>
    </row>
    <row r="94" spans="1:9">
      <c r="A94" s="377" t="str">
        <f>IFERROR(VLOOKUP(B94,Map!$B:$F,4,0),"")&amp;IFERROR(VLOOKUP(B94,Map!$B:$F,5,0),"")</f>
        <v/>
      </c>
      <c r="B94" s="540" t="str">
        <f t="shared" si="4"/>
        <v/>
      </c>
      <c r="G94" s="14"/>
      <c r="H94" s="442"/>
      <c r="I94" s="14"/>
    </row>
    <row r="95" spans="1:9">
      <c r="A95" s="377" t="str">
        <f>IFERROR(VLOOKUP(B95,Map!$B:$F,4,0),"")&amp;IFERROR(VLOOKUP(B95,Map!$B:$F,5,0),"")</f>
        <v/>
      </c>
      <c r="B95" s="540" t="str">
        <f t="shared" si="4"/>
        <v/>
      </c>
      <c r="H95" s="442"/>
      <c r="I95" s="14"/>
    </row>
    <row r="96" spans="1:9">
      <c r="A96" s="377" t="str">
        <f>IFERROR(VLOOKUP(B96,Map!$B:$F,4,0),"")&amp;IFERROR(VLOOKUP(B96,Map!$B:$F,5,0),"")</f>
        <v/>
      </c>
      <c r="B96" s="540" t="str">
        <f t="shared" si="4"/>
        <v/>
      </c>
      <c r="H96" s="442"/>
      <c r="I96" s="14"/>
    </row>
    <row r="97" spans="1:9">
      <c r="A97" s="377" t="str">
        <f>IFERROR(VLOOKUP(B97,Map!$B:$F,4,0),"")&amp;IFERROR(VLOOKUP(B97,Map!$B:$F,5,0),"")</f>
        <v/>
      </c>
      <c r="B97" s="540" t="str">
        <f t="shared" si="4"/>
        <v/>
      </c>
      <c r="H97" s="442"/>
      <c r="I97" s="14"/>
    </row>
    <row r="98" spans="1:9">
      <c r="A98" s="377" t="str">
        <f>IFERROR(VLOOKUP(B98,Map!$B:$F,4,0),"")&amp;IFERROR(VLOOKUP(B98,Map!$B:$F,5,0),"")</f>
        <v/>
      </c>
      <c r="B98" s="540" t="str">
        <f t="shared" si="4"/>
        <v/>
      </c>
      <c r="G98" s="14"/>
      <c r="H98" s="442"/>
      <c r="I98" s="14"/>
    </row>
    <row r="99" spans="1:9">
      <c r="A99" s="377" t="str">
        <f>IFERROR(VLOOKUP(B99,Map!$B:$F,4,0),"")&amp;IFERROR(VLOOKUP(B99,Map!$B:$F,5,0),"")</f>
        <v/>
      </c>
      <c r="B99" s="540" t="str">
        <f t="shared" si="4"/>
        <v/>
      </c>
      <c r="H99" s="442"/>
      <c r="I99" s="14"/>
    </row>
    <row r="100" spans="1:9">
      <c r="A100" s="377" t="str">
        <f>IFERROR(VLOOKUP(B100,Map!$B:$F,4,0),"")&amp;IFERROR(VLOOKUP(B100,Map!$B:$F,5,0),"")</f>
        <v/>
      </c>
      <c r="B100" s="540" t="str">
        <f t="shared" si="4"/>
        <v/>
      </c>
      <c r="H100" s="442"/>
      <c r="I100" s="14"/>
    </row>
    <row r="101" spans="1:9">
      <c r="A101" s="377" t="str">
        <f>IFERROR(VLOOKUP(B101,Map!$B:$F,4,0),"")&amp;IFERROR(VLOOKUP(B101,Map!$B:$F,5,0),"")</f>
        <v/>
      </c>
      <c r="B101" s="540" t="str">
        <f t="shared" si="4"/>
        <v/>
      </c>
      <c r="H101" s="442"/>
      <c r="I101" s="14"/>
    </row>
    <row r="102" spans="1:9">
      <c r="A102" s="377" t="str">
        <f>IFERROR(VLOOKUP(B102,Map!$B:$F,4,0),"")&amp;IFERROR(VLOOKUP(B102,Map!$B:$F,5,0),"")</f>
        <v/>
      </c>
      <c r="B102" s="540" t="str">
        <f t="shared" si="4"/>
        <v/>
      </c>
    </row>
    <row r="103" spans="1:9">
      <c r="A103" s="377" t="str">
        <f>IFERROR(VLOOKUP(B103,Map!$B:$F,4,0),"")&amp;IFERROR(VLOOKUP(B103,Map!$B:$F,5,0),"")</f>
        <v/>
      </c>
      <c r="B103" s="540" t="str">
        <f t="shared" si="4"/>
        <v/>
      </c>
    </row>
    <row r="104" spans="1:9">
      <c r="A104" s="377" t="str">
        <f>IFERROR(VLOOKUP(B104,Map!$B:$F,4,0),"")&amp;IFERROR(VLOOKUP(B104,Map!$B:$F,5,0),"")</f>
        <v/>
      </c>
      <c r="B104" s="540" t="str">
        <f t="shared" si="4"/>
        <v/>
      </c>
    </row>
    <row r="105" spans="1:9">
      <c r="A105" s="377" t="str">
        <f>IFERROR(VLOOKUP(B105,Map!$B:$F,4,0),"")&amp;IFERROR(VLOOKUP(B105,Map!$B:$F,5,0),"")</f>
        <v/>
      </c>
      <c r="B105" s="540" t="str">
        <f t="shared" si="4"/>
        <v/>
      </c>
    </row>
    <row r="106" spans="1:9">
      <c r="A106" s="377" t="str">
        <f>IFERROR(VLOOKUP(B106,Map!$B:$F,4,0),"")&amp;IFERROR(VLOOKUP(B106,Map!$B:$F,5,0),"")</f>
        <v/>
      </c>
      <c r="B106" s="540" t="str">
        <f t="shared" si="4"/>
        <v/>
      </c>
    </row>
    <row r="107" spans="1:9">
      <c r="A107" s="377" t="str">
        <f>IFERROR(VLOOKUP(B107,Map!$B:$F,4,0),"")&amp;IFERROR(VLOOKUP(B107,Map!$B:$F,5,0),"")</f>
        <v/>
      </c>
      <c r="B107" s="540" t="str">
        <f t="shared" si="4"/>
        <v/>
      </c>
    </row>
    <row r="108" spans="1:9">
      <c r="A108" s="377" t="str">
        <f>IFERROR(VLOOKUP(B108,Map!$B:$F,4,0),"")&amp;IFERROR(VLOOKUP(B108,Map!$B:$F,5,0),"")</f>
        <v/>
      </c>
      <c r="B108" s="540" t="str">
        <f t="shared" si="4"/>
        <v/>
      </c>
    </row>
    <row r="109" spans="1:9">
      <c r="A109" s="377" t="str">
        <f>IFERROR(VLOOKUP(B109,Map!$B:$F,4,0),"")&amp;IFERROR(VLOOKUP(B109,Map!$B:$F,5,0),"")</f>
        <v/>
      </c>
      <c r="B109" s="540" t="str">
        <f t="shared" si="4"/>
        <v/>
      </c>
    </row>
    <row r="110" spans="1:9">
      <c r="A110" s="377" t="str">
        <f>IFERROR(VLOOKUP(B110,Map!$B:$F,4,0),"")&amp;IFERROR(VLOOKUP(B110,Map!$B:$F,5,0),"")</f>
        <v/>
      </c>
      <c r="B110" s="540" t="str">
        <f t="shared" si="4"/>
        <v/>
      </c>
    </row>
    <row r="111" spans="1:9">
      <c r="A111" s="377" t="str">
        <f>IFERROR(VLOOKUP(B111,Map!$B:$F,4,0),"")&amp;IFERROR(VLOOKUP(B111,Map!$B:$F,5,0),"")</f>
        <v/>
      </c>
      <c r="B111" s="540" t="str">
        <f t="shared" si="4"/>
        <v/>
      </c>
    </row>
    <row r="112" spans="1:9">
      <c r="A112" s="377" t="str">
        <f>IFERROR(VLOOKUP(B112,Map!$B:$F,4,0),"")&amp;IFERROR(VLOOKUP(B112,Map!$B:$F,5,0),"")</f>
        <v/>
      </c>
      <c r="B112" s="540" t="str">
        <f t="shared" si="4"/>
        <v/>
      </c>
    </row>
    <row r="113" spans="1:2">
      <c r="A113" s="377" t="str">
        <f>IFERROR(VLOOKUP(B113,Map!$B:$F,4,0),"")&amp;IFERROR(VLOOKUP(B113,Map!$B:$F,5,0),"")</f>
        <v/>
      </c>
      <c r="B113" s="540" t="str">
        <f t="shared" si="4"/>
        <v/>
      </c>
    </row>
    <row r="114" spans="1:2">
      <c r="A114" s="377" t="str">
        <f>IFERROR(VLOOKUP(B114,Map!$B:$F,4,0),"")&amp;IFERROR(VLOOKUP(B114,Map!$B:$F,5,0),"")</f>
        <v/>
      </c>
      <c r="B114" s="540" t="str">
        <f t="shared" si="4"/>
        <v/>
      </c>
    </row>
    <row r="115" spans="1:2">
      <c r="A115" s="377" t="str">
        <f>IFERROR(VLOOKUP(B115,Map!$B:$F,4,0),"")&amp;IFERROR(VLOOKUP(B115,Map!$B:$F,5,0),"")</f>
        <v/>
      </c>
      <c r="B115" s="540" t="str">
        <f t="shared" si="4"/>
        <v/>
      </c>
    </row>
    <row r="116" spans="1:2">
      <c r="A116" s="377" t="str">
        <f>IFERROR(VLOOKUP(B116,Map!$B:$F,4,0),"")&amp;IFERROR(VLOOKUP(B116,Map!$B:$F,5,0),"")</f>
        <v/>
      </c>
      <c r="B116" s="540" t="str">
        <f t="shared" si="4"/>
        <v/>
      </c>
    </row>
    <row r="117" spans="1:2">
      <c r="A117" s="377" t="str">
        <f>IFERROR(VLOOKUP(B117,Map!$B:$F,4,0),"")&amp;IFERROR(VLOOKUP(B117,Map!$B:$F,5,0),"")</f>
        <v/>
      </c>
      <c r="B117" s="540" t="str">
        <f t="shared" si="4"/>
        <v/>
      </c>
    </row>
    <row r="118" spans="1:2">
      <c r="A118" s="377" t="str">
        <f>IFERROR(VLOOKUP(B118,Map!$B:$F,4,0),"")&amp;IFERROR(VLOOKUP(B118,Map!$B:$F,5,0),"")</f>
        <v/>
      </c>
      <c r="B118" s="540" t="str">
        <f t="shared" si="4"/>
        <v/>
      </c>
    </row>
    <row r="119" spans="1:2">
      <c r="A119" s="377" t="str">
        <f>IFERROR(VLOOKUP(B119,Map!$B:$F,4,0),"")&amp;IFERROR(VLOOKUP(B119,Map!$B:$F,5,0),"")</f>
        <v/>
      </c>
      <c r="B119" s="539" t="str">
        <f t="shared" ref="B119:B176" si="5">C119&amp;E144&amp;F153</f>
        <v/>
      </c>
    </row>
    <row r="120" spans="1:2">
      <c r="A120" s="377" t="str">
        <f>IFERROR(VLOOKUP(B120,Map!$B:$F,4,0),"")&amp;IFERROR(VLOOKUP(B120,Map!$B:$F,5,0),"")</f>
        <v/>
      </c>
      <c r="B120" s="539" t="str">
        <f t="shared" si="5"/>
        <v/>
      </c>
    </row>
    <row r="121" spans="1:2">
      <c r="A121" s="377" t="str">
        <f>IFERROR(VLOOKUP(B121,Map!$B:$F,4,0),"")&amp;IFERROR(VLOOKUP(B121,Map!$B:$F,5,0),"")</f>
        <v/>
      </c>
      <c r="B121" s="539" t="str">
        <f t="shared" si="5"/>
        <v/>
      </c>
    </row>
    <row r="122" spans="1:2">
      <c r="A122" s="377" t="str">
        <f>IFERROR(VLOOKUP(B122,Map!$B:$F,4,0),"")&amp;IFERROR(VLOOKUP(B122,Map!$B:$F,5,0),"")</f>
        <v/>
      </c>
      <c r="B122" s="539" t="str">
        <f t="shared" si="5"/>
        <v/>
      </c>
    </row>
    <row r="123" spans="1:2">
      <c r="A123" s="377" t="str">
        <f>IFERROR(VLOOKUP(B123,Map!$B:$F,4,0),"")&amp;IFERROR(VLOOKUP(B123,Map!$B:$F,5,0),"")</f>
        <v/>
      </c>
      <c r="B123" s="539" t="str">
        <f t="shared" si="5"/>
        <v/>
      </c>
    </row>
    <row r="124" spans="1:2">
      <c r="A124" s="377" t="str">
        <f>IFERROR(VLOOKUP(B124,Map!$B:$F,4,0),"")&amp;IFERROR(VLOOKUP(B124,Map!$B:$F,5,0),"")</f>
        <v/>
      </c>
      <c r="B124" s="539" t="str">
        <f t="shared" si="5"/>
        <v/>
      </c>
    </row>
    <row r="125" spans="1:2">
      <c r="A125" s="377" t="str">
        <f>IFERROR(VLOOKUP(B125,Map!$B:$F,4,0),"")&amp;IFERROR(VLOOKUP(B125,Map!$B:$F,5,0),"")</f>
        <v/>
      </c>
      <c r="B125" s="539" t="str">
        <f t="shared" si="5"/>
        <v/>
      </c>
    </row>
    <row r="126" spans="1:2">
      <c r="A126" s="377" t="str">
        <f>IFERROR(VLOOKUP(B126,Map!$B:$F,4,0),"")&amp;IFERROR(VLOOKUP(B126,Map!$B:$F,5,0),"")</f>
        <v/>
      </c>
      <c r="B126" s="539" t="str">
        <f t="shared" si="5"/>
        <v/>
      </c>
    </row>
    <row r="127" spans="1:2">
      <c r="A127" s="377" t="str">
        <f>IFERROR(VLOOKUP(B127,Map!$B:$F,4,0),"")&amp;IFERROR(VLOOKUP(B127,Map!$B:$F,5,0),"")</f>
        <v/>
      </c>
      <c r="B127" s="539" t="str">
        <f t="shared" si="5"/>
        <v/>
      </c>
    </row>
    <row r="128" spans="1:2">
      <c r="A128" s="377" t="str">
        <f>IFERROR(VLOOKUP(B128,Map!$B:$F,4,0),"")&amp;IFERROR(VLOOKUP(B128,Map!$B:$F,5,0),"")</f>
        <v/>
      </c>
      <c r="B128" s="539" t="str">
        <f t="shared" si="5"/>
        <v/>
      </c>
    </row>
    <row r="129" spans="1:2">
      <c r="A129" s="377" t="str">
        <f>IFERROR(VLOOKUP(B129,Map!$B:$F,4,0),"")&amp;IFERROR(VLOOKUP(B129,Map!$B:$F,5,0),"")</f>
        <v/>
      </c>
      <c r="B129" s="539" t="str">
        <f t="shared" si="5"/>
        <v/>
      </c>
    </row>
    <row r="130" spans="1:2">
      <c r="A130" s="377" t="str">
        <f>IFERROR(VLOOKUP(B130,Map!$B:$F,4,0),"")&amp;IFERROR(VLOOKUP(B130,Map!$B:$F,5,0),"")</f>
        <v/>
      </c>
      <c r="B130" s="539" t="str">
        <f t="shared" si="5"/>
        <v/>
      </c>
    </row>
    <row r="131" spans="1:2">
      <c r="A131" s="377" t="str">
        <f>IFERROR(VLOOKUP(B131,Map!$B:$F,4,0),"")&amp;IFERROR(VLOOKUP(B131,Map!$B:$F,5,0),"")</f>
        <v/>
      </c>
      <c r="B131" s="539" t="str">
        <f t="shared" si="5"/>
        <v/>
      </c>
    </row>
    <row r="132" spans="1:2">
      <c r="A132" s="377" t="str">
        <f>IFERROR(VLOOKUP(B132,Map!$B:$F,4,0),"")&amp;IFERROR(VLOOKUP(B132,Map!$B:$F,5,0),"")</f>
        <v/>
      </c>
      <c r="B132" s="539" t="str">
        <f t="shared" si="5"/>
        <v/>
      </c>
    </row>
    <row r="133" spans="1:2">
      <c r="A133" s="377" t="str">
        <f>IFERROR(VLOOKUP(B133,Map!$B:$F,4,0),"")&amp;IFERROR(VLOOKUP(B133,Map!$B:$F,5,0),"")</f>
        <v/>
      </c>
      <c r="B133" s="539" t="str">
        <f t="shared" si="5"/>
        <v/>
      </c>
    </row>
    <row r="134" spans="1:2">
      <c r="A134" s="377" t="str">
        <f>IFERROR(VLOOKUP(B134,Map!$B:$F,4,0),"")&amp;IFERROR(VLOOKUP(B134,Map!$B:$F,5,0),"")</f>
        <v/>
      </c>
      <c r="B134" s="539" t="str">
        <f t="shared" si="5"/>
        <v/>
      </c>
    </row>
    <row r="135" spans="1:2">
      <c r="A135" s="377" t="str">
        <f>IFERROR(VLOOKUP(B135,Map!$B:$F,4,0),"")&amp;IFERROR(VLOOKUP(B135,Map!$B:$F,5,0),"")</f>
        <v/>
      </c>
      <c r="B135" s="539" t="str">
        <f t="shared" si="5"/>
        <v/>
      </c>
    </row>
    <row r="136" spans="1:2">
      <c r="A136" s="377" t="str">
        <f>IFERROR(VLOOKUP(B136,Map!$B:$F,4,0),"")&amp;IFERROR(VLOOKUP(B136,Map!$B:$F,5,0),"")</f>
        <v/>
      </c>
      <c r="B136" s="539" t="str">
        <f t="shared" si="5"/>
        <v/>
      </c>
    </row>
    <row r="137" spans="1:2">
      <c r="A137" s="377" t="str">
        <f>IFERROR(VLOOKUP(B137,Map!$B:$F,4,0),"")&amp;IFERROR(VLOOKUP(B137,Map!$B:$F,5,0),"")</f>
        <v/>
      </c>
      <c r="B137" s="539" t="str">
        <f t="shared" si="5"/>
        <v/>
      </c>
    </row>
    <row r="138" spans="1:2">
      <c r="A138" s="377" t="str">
        <f>IFERROR(VLOOKUP(B138,Map!$B:$F,4,0),"")&amp;IFERROR(VLOOKUP(B138,Map!$B:$F,5,0),"")</f>
        <v/>
      </c>
      <c r="B138" s="539" t="str">
        <f t="shared" si="5"/>
        <v/>
      </c>
    </row>
    <row r="139" spans="1:2">
      <c r="A139" s="377" t="str">
        <f>IFERROR(VLOOKUP(B139,Map!$B:$F,4,0),"")&amp;IFERROR(VLOOKUP(B139,Map!$B:$F,5,0),"")</f>
        <v/>
      </c>
      <c r="B139" s="539" t="str">
        <f t="shared" si="5"/>
        <v/>
      </c>
    </row>
    <row r="140" spans="1:2">
      <c r="A140" s="377" t="str">
        <f>IFERROR(VLOOKUP(B140,Map!$B:$F,4,0),"")&amp;IFERROR(VLOOKUP(B140,Map!$B:$F,5,0),"")</f>
        <v/>
      </c>
      <c r="B140" s="539" t="str">
        <f t="shared" si="5"/>
        <v/>
      </c>
    </row>
    <row r="141" spans="1:2">
      <c r="A141" s="377" t="str">
        <f>IFERROR(VLOOKUP(B141,Map!$B:$F,4,0),"")&amp;IFERROR(VLOOKUP(B141,Map!$B:$F,5,0),"")</f>
        <v/>
      </c>
      <c r="B141" s="539" t="str">
        <f t="shared" si="5"/>
        <v/>
      </c>
    </row>
    <row r="142" spans="1:2">
      <c r="A142" s="377" t="str">
        <f>IFERROR(VLOOKUP(B142,Map!$B:$F,4,0),"")&amp;IFERROR(VLOOKUP(B142,Map!$B:$F,5,0),"")</f>
        <v/>
      </c>
      <c r="B142" s="539" t="str">
        <f t="shared" si="5"/>
        <v/>
      </c>
    </row>
    <row r="143" spans="1:2">
      <c r="A143" s="377" t="str">
        <f>IFERROR(VLOOKUP(B143,Map!$B:$F,4,0),"")&amp;IFERROR(VLOOKUP(B143,Map!$B:$F,5,0),"")</f>
        <v/>
      </c>
      <c r="B143" s="539" t="str">
        <f t="shared" si="5"/>
        <v/>
      </c>
    </row>
    <row r="144" spans="1:2">
      <c r="A144" s="377" t="str">
        <f>IFERROR(VLOOKUP(B144,Map!$B:$F,4,0),"")&amp;IFERROR(VLOOKUP(B144,Map!$B:$F,5,0),"")</f>
        <v/>
      </c>
      <c r="B144" s="539" t="str">
        <f t="shared" si="5"/>
        <v/>
      </c>
    </row>
    <row r="145" spans="1:2">
      <c r="A145" s="377" t="str">
        <f>IFERROR(VLOOKUP(B145,Map!$B:$F,4,0),"")&amp;IFERROR(VLOOKUP(B145,Map!$B:$F,5,0),"")</f>
        <v/>
      </c>
      <c r="B145" s="539" t="str">
        <f t="shared" si="5"/>
        <v/>
      </c>
    </row>
    <row r="146" spans="1:2">
      <c r="A146" s="377" t="str">
        <f>IFERROR(VLOOKUP(B146,Map!$B:$F,4,0),"")&amp;IFERROR(VLOOKUP(B146,Map!$B:$F,5,0),"")</f>
        <v/>
      </c>
      <c r="B146" s="539" t="str">
        <f t="shared" si="5"/>
        <v/>
      </c>
    </row>
    <row r="147" spans="1:2">
      <c r="A147" s="377" t="str">
        <f>IFERROR(VLOOKUP(B147,Map!$B:$F,4,0),"")&amp;IFERROR(VLOOKUP(B147,Map!$B:$F,5,0),"")</f>
        <v/>
      </c>
      <c r="B147" s="539" t="str">
        <f t="shared" si="5"/>
        <v/>
      </c>
    </row>
    <row r="148" spans="1:2">
      <c r="A148" s="377" t="str">
        <f>IFERROR(VLOOKUP(B148,Map!$B:$F,4,0),"")&amp;IFERROR(VLOOKUP(B148,Map!$B:$F,5,0),"")</f>
        <v/>
      </c>
      <c r="B148" s="539" t="str">
        <f t="shared" si="5"/>
        <v/>
      </c>
    </row>
    <row r="149" spans="1:2">
      <c r="A149" s="377" t="str">
        <f>IFERROR(VLOOKUP(B149,Map!$B:$F,4,0),"")&amp;IFERROR(VLOOKUP(B149,Map!$B:$F,5,0),"")</f>
        <v/>
      </c>
      <c r="B149" s="539" t="str">
        <f t="shared" si="5"/>
        <v/>
      </c>
    </row>
    <row r="150" spans="1:2">
      <c r="A150" s="377" t="str">
        <f>IFERROR(VLOOKUP(B150,Map!$B:$F,4,0),"")&amp;IFERROR(VLOOKUP(B150,Map!$B:$F,5,0),"")</f>
        <v/>
      </c>
      <c r="B150" s="539" t="str">
        <f t="shared" si="5"/>
        <v/>
      </c>
    </row>
    <row r="151" spans="1:2">
      <c r="A151" s="377" t="str">
        <f>IFERROR(VLOOKUP(B151,Map!$B:$F,4,0),"")&amp;IFERROR(VLOOKUP(B151,Map!$B:$F,5,0),"")</f>
        <v/>
      </c>
      <c r="B151" s="539" t="str">
        <f t="shared" si="5"/>
        <v/>
      </c>
    </row>
    <row r="152" spans="1:2">
      <c r="A152" s="377" t="str">
        <f>IFERROR(VLOOKUP(B152,Map!$B:$F,4,0),"")&amp;IFERROR(VLOOKUP(B152,Map!$B:$F,5,0),"")</f>
        <v/>
      </c>
      <c r="B152" s="539" t="str">
        <f t="shared" si="5"/>
        <v/>
      </c>
    </row>
    <row r="153" spans="1:2">
      <c r="A153" s="377" t="str">
        <f>IFERROR(VLOOKUP(B153,Map!$B:$F,4,0),"")&amp;IFERROR(VLOOKUP(B153,Map!$B:$F,5,0),"")</f>
        <v/>
      </c>
      <c r="B153" s="539" t="str">
        <f t="shared" si="5"/>
        <v/>
      </c>
    </row>
    <row r="154" spans="1:2">
      <c r="A154" s="377" t="str">
        <f>IFERROR(VLOOKUP(B154,Map!$B:$F,4,0),"")&amp;IFERROR(VLOOKUP(B154,Map!$B:$F,5,0),"")</f>
        <v/>
      </c>
      <c r="B154" s="539" t="str">
        <f t="shared" si="5"/>
        <v/>
      </c>
    </row>
    <row r="155" spans="1:2">
      <c r="A155" s="377" t="str">
        <f>IFERROR(VLOOKUP(B155,Map!$B:$F,4,0),"")&amp;IFERROR(VLOOKUP(B155,Map!$B:$F,5,0),"")</f>
        <v/>
      </c>
      <c r="B155" s="539" t="str">
        <f t="shared" si="5"/>
        <v/>
      </c>
    </row>
    <row r="156" spans="1:2">
      <c r="A156" s="377" t="str">
        <f>IFERROR(VLOOKUP(B156,Map!$B:$F,4,0),"")&amp;IFERROR(VLOOKUP(B156,Map!$B:$F,5,0),"")</f>
        <v/>
      </c>
      <c r="B156" s="539" t="str">
        <f t="shared" si="5"/>
        <v/>
      </c>
    </row>
    <row r="157" spans="1:2">
      <c r="A157" s="377" t="str">
        <f>IFERROR(VLOOKUP(B157,Map!$B:$F,4,0),"")&amp;IFERROR(VLOOKUP(B157,Map!$B:$F,5,0),"")</f>
        <v/>
      </c>
      <c r="B157" s="539" t="str">
        <f t="shared" si="5"/>
        <v/>
      </c>
    </row>
    <row r="158" spans="1:2">
      <c r="A158" s="377" t="str">
        <f>IFERROR(VLOOKUP(B158,Map!$B:$F,4,0),"")&amp;IFERROR(VLOOKUP(B158,Map!$B:$F,5,0),"")</f>
        <v/>
      </c>
      <c r="B158" s="539" t="str">
        <f t="shared" si="5"/>
        <v/>
      </c>
    </row>
    <row r="159" spans="1:2">
      <c r="A159" s="377" t="str">
        <f>IFERROR(VLOOKUP(B159,Map!$B:$F,4,0),"")&amp;IFERROR(VLOOKUP(B159,Map!$B:$F,5,0),"")</f>
        <v/>
      </c>
      <c r="B159" s="539" t="str">
        <f t="shared" si="5"/>
        <v/>
      </c>
    </row>
    <row r="160" spans="1:2">
      <c r="A160" s="377" t="str">
        <f>IFERROR(VLOOKUP(B160,Map!$B:$F,4,0),"")&amp;IFERROR(VLOOKUP(B160,Map!$B:$F,5,0),"")</f>
        <v/>
      </c>
      <c r="B160" s="539" t="str">
        <f t="shared" si="5"/>
        <v/>
      </c>
    </row>
    <row r="161" spans="1:2">
      <c r="A161" s="377" t="str">
        <f>IFERROR(VLOOKUP(B161,Map!$B:$F,4,0),"")&amp;IFERROR(VLOOKUP(B161,Map!$B:$F,5,0),"")</f>
        <v/>
      </c>
      <c r="B161" s="539" t="str">
        <f t="shared" si="5"/>
        <v/>
      </c>
    </row>
    <row r="162" spans="1:2">
      <c r="A162" s="377" t="str">
        <f>IFERROR(VLOOKUP(B162,Map!$B:$F,4,0),"")&amp;IFERROR(VLOOKUP(B162,Map!$B:$F,5,0),"")</f>
        <v/>
      </c>
      <c r="B162" s="539" t="str">
        <f t="shared" si="5"/>
        <v/>
      </c>
    </row>
    <row r="163" spans="1:2">
      <c r="A163" s="377" t="str">
        <f>IFERROR(VLOOKUP(B163,Map!$B:$F,4,0),"")&amp;IFERROR(VLOOKUP(B163,Map!$B:$F,5,0),"")</f>
        <v/>
      </c>
      <c r="B163" s="539" t="str">
        <f t="shared" si="5"/>
        <v/>
      </c>
    </row>
    <row r="164" spans="1:2">
      <c r="A164" s="377" t="str">
        <f>IFERROR(VLOOKUP(B164,Map!$B:$F,4,0),"")&amp;IFERROR(VLOOKUP(B164,Map!$B:$F,5,0),"")</f>
        <v/>
      </c>
      <c r="B164" s="539" t="str">
        <f t="shared" si="5"/>
        <v/>
      </c>
    </row>
    <row r="165" spans="1:2">
      <c r="A165" s="377" t="str">
        <f>IFERROR(VLOOKUP(B165,Map!$B:$F,4,0),"")&amp;IFERROR(VLOOKUP(B165,Map!$B:$F,5,0),"")</f>
        <v/>
      </c>
      <c r="B165" s="539" t="str">
        <f t="shared" si="5"/>
        <v/>
      </c>
    </row>
    <row r="166" spans="1:2">
      <c r="A166" s="377" t="str">
        <f>IFERROR(VLOOKUP(B166,Map!$B:$F,4,0),"")&amp;IFERROR(VLOOKUP(B166,Map!$B:$F,5,0),"")</f>
        <v/>
      </c>
      <c r="B166" s="539" t="str">
        <f t="shared" si="5"/>
        <v/>
      </c>
    </row>
    <row r="167" spans="1:2">
      <c r="A167" s="377" t="str">
        <f>IFERROR(VLOOKUP(B167,Map!$B:$F,4,0),"")&amp;IFERROR(VLOOKUP(B167,Map!$B:$F,5,0),"")</f>
        <v/>
      </c>
      <c r="B167" s="539" t="str">
        <f t="shared" si="5"/>
        <v/>
      </c>
    </row>
    <row r="168" spans="1:2">
      <c r="A168" s="377" t="str">
        <f>IFERROR(VLOOKUP(B168,Map!$B:$F,4,0),"")&amp;IFERROR(VLOOKUP(B168,Map!$B:$F,5,0),"")</f>
        <v/>
      </c>
      <c r="B168" s="539" t="str">
        <f t="shared" si="5"/>
        <v/>
      </c>
    </row>
    <row r="169" spans="1:2">
      <c r="A169" s="377" t="str">
        <f>IFERROR(VLOOKUP(B169,Map!$B:$F,4,0),"")&amp;IFERROR(VLOOKUP(B169,Map!$B:$F,5,0),"")</f>
        <v/>
      </c>
      <c r="B169" s="539" t="str">
        <f t="shared" si="5"/>
        <v/>
      </c>
    </row>
    <row r="170" spans="1:2">
      <c r="A170" s="377" t="str">
        <f>IFERROR(VLOOKUP(B170,Map!$B:$F,4,0),"")&amp;IFERROR(VLOOKUP(B170,Map!$B:$F,5,0),"")</f>
        <v/>
      </c>
      <c r="B170" s="539" t="str">
        <f t="shared" si="5"/>
        <v/>
      </c>
    </row>
    <row r="171" spans="1:2">
      <c r="A171" s="377" t="str">
        <f>IFERROR(VLOOKUP(B171,Map!$B:$F,4,0),"")&amp;IFERROR(VLOOKUP(B171,Map!$B:$F,5,0),"")</f>
        <v/>
      </c>
      <c r="B171" s="539" t="str">
        <f t="shared" si="5"/>
        <v/>
      </c>
    </row>
    <row r="172" spans="1:2">
      <c r="A172" s="377" t="str">
        <f>IFERROR(VLOOKUP(B172,Map!$B:$F,4,0),"")&amp;IFERROR(VLOOKUP(B172,Map!$B:$F,5,0),"")</f>
        <v/>
      </c>
      <c r="B172" s="539" t="str">
        <f t="shared" si="5"/>
        <v/>
      </c>
    </row>
    <row r="173" spans="1:2">
      <c r="A173" s="377" t="str">
        <f>IFERROR(VLOOKUP(B173,Map!$B:$F,4,0),"")&amp;IFERROR(VLOOKUP(B173,Map!$B:$F,5,0),"")</f>
        <v/>
      </c>
      <c r="B173" s="539" t="str">
        <f t="shared" si="5"/>
        <v/>
      </c>
    </row>
    <row r="174" spans="1:2">
      <c r="A174" s="377" t="str">
        <f>IFERROR(VLOOKUP(B174,Map!$B:$F,4,0),"")&amp;IFERROR(VLOOKUP(B174,Map!$B:$F,5,0),"")</f>
        <v/>
      </c>
      <c r="B174" s="539" t="str">
        <f t="shared" si="5"/>
        <v/>
      </c>
    </row>
    <row r="175" spans="1:2">
      <c r="A175" s="377" t="str">
        <f>IFERROR(VLOOKUP(B175,Map!$B:$F,4,0),"")&amp;IFERROR(VLOOKUP(B175,Map!$B:$F,5,0),"")</f>
        <v/>
      </c>
      <c r="B175" s="539" t="str">
        <f t="shared" si="5"/>
        <v/>
      </c>
    </row>
    <row r="176" spans="1:2">
      <c r="A176" s="377" t="str">
        <f>IFERROR(VLOOKUP(B176,Map!$B:$F,4,0),"")&amp;IFERROR(VLOOKUP(B176,Map!$B:$F,5,0),"")</f>
        <v/>
      </c>
      <c r="B176" s="539" t="str">
        <f t="shared" si="5"/>
        <v/>
      </c>
    </row>
    <row r="177" spans="1:2">
      <c r="A177" s="377" t="str">
        <f>IFERROR(VLOOKUP(B177,Map!$B:$F,4,0),"")&amp;IFERROR(VLOOKUP(B177,Map!$B:$F,5,0),"")</f>
        <v/>
      </c>
      <c r="B177" s="539" t="str">
        <f>C177&amp;F211</f>
        <v/>
      </c>
    </row>
    <row r="178" spans="1:2">
      <c r="A178" s="377" t="str">
        <f>IFERROR(VLOOKUP(B178,Map!$B:$F,4,0),"")&amp;IFERROR(VLOOKUP(B178,Map!$B:$F,5,0),"")</f>
        <v/>
      </c>
      <c r="B178" s="539" t="str">
        <f>C178&amp;F212</f>
        <v/>
      </c>
    </row>
    <row r="179" spans="1:2">
      <c r="A179" s="377" t="str">
        <f>IFERROR(VLOOKUP(B179,Map!$B:$F,4,0),"")&amp;IFERROR(VLOOKUP(B179,Map!$B:$F,5,0),"")</f>
        <v/>
      </c>
      <c r="B179" s="539" t="str">
        <f>C179&amp;F213</f>
        <v/>
      </c>
    </row>
    <row r="180" spans="1:2">
      <c r="A180" s="377" t="str">
        <f>IFERROR(VLOOKUP(B180,Map!$B:$F,4,0),"")&amp;IFERROR(VLOOKUP(B180,Map!$B:$F,5,0),"")</f>
        <v/>
      </c>
      <c r="B180" s="539" t="str">
        <f>C180&amp;F214</f>
        <v/>
      </c>
    </row>
    <row r="181" spans="1:2">
      <c r="A181" s="377" t="str">
        <f>IFERROR(VLOOKUP(B181,Map!$B:$F,4,0),"")&amp;IFERROR(VLOOKUP(B181,Map!$B:$F,5,0),"")</f>
        <v/>
      </c>
      <c r="B181" s="539" t="str">
        <f>C181&amp;F215</f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3F8A-C48E-4401-8E42-D4AAEDD1B2B9}">
  <sheetPr codeName="Sheet12"/>
  <dimension ref="A1:U330"/>
  <sheetViews>
    <sheetView workbookViewId="0">
      <pane ySplit="1" topLeftCell="A14" activePane="bottomLeft" state="frozen"/>
      <selection pane="bottomLeft" activeCell="G28" sqref="G28"/>
    </sheetView>
  </sheetViews>
  <sheetFormatPr defaultRowHeight="12.75"/>
  <cols>
    <col min="1" max="1" width="17.85546875" style="662" customWidth="1"/>
    <col min="2" max="2" width="8.28515625" style="428" customWidth="1"/>
    <col min="3" max="3" width="10.42578125" style="428" customWidth="1"/>
    <col min="4" max="4" width="14.5703125" customWidth="1"/>
    <col min="5" max="5" width="12.85546875" customWidth="1"/>
    <col min="6" max="6" width="7.85546875" customWidth="1"/>
    <col min="7" max="9" width="10.28515625" style="17" customWidth="1"/>
    <col min="10" max="10" width="18.140625" style="662" customWidth="1"/>
    <col min="11" max="11" width="12.7109375" style="662" customWidth="1"/>
    <col min="12" max="12" width="19.28515625" style="368" customWidth="1"/>
    <col min="13" max="13" width="20.42578125" style="428" customWidth="1"/>
    <col min="14" max="14" width="23.140625" style="428" customWidth="1"/>
    <col min="15" max="15" width="7.85546875" style="368" customWidth="1"/>
    <col min="16" max="16" width="11" customWidth="1"/>
    <col min="17" max="17" width="7.42578125" customWidth="1"/>
    <col min="18" max="18" width="7" style="17" customWidth="1"/>
    <col min="21" max="21" width="20" customWidth="1"/>
  </cols>
  <sheetData>
    <row r="1" spans="1:18" s="802" customFormat="1" ht="19.5" customHeight="1">
      <c r="A1" s="801" t="s">
        <v>2121</v>
      </c>
      <c r="B1" s="801" t="s">
        <v>2122</v>
      </c>
      <c r="C1" s="800" t="s">
        <v>2123</v>
      </c>
      <c r="D1" s="800" t="s">
        <v>2124</v>
      </c>
      <c r="E1" s="800" t="s">
        <v>2125</v>
      </c>
      <c r="F1" s="800" t="s">
        <v>35</v>
      </c>
      <c r="G1" s="800" t="s">
        <v>2126</v>
      </c>
      <c r="H1" s="800" t="s">
        <v>2127</v>
      </c>
      <c r="I1" s="800" t="s">
        <v>2128</v>
      </c>
      <c r="J1" s="801" t="s">
        <v>2129</v>
      </c>
      <c r="K1" s="801" t="s">
        <v>2130</v>
      </c>
      <c r="L1" s="801" t="s">
        <v>2131</v>
      </c>
      <c r="M1" s="800"/>
      <c r="N1" s="800"/>
      <c r="O1" s="801"/>
      <c r="P1" s="800"/>
      <c r="Q1" s="800"/>
      <c r="R1" s="800"/>
    </row>
    <row r="2" spans="1:18">
      <c r="A2" s="662" t="str">
        <f t="shared" ref="A2:A65" si="0">VLOOKUP(O2,$T$83:$U$91,2,0)</f>
        <v>CAM_DAI_LY</v>
      </c>
      <c r="B2" s="369"/>
      <c r="C2" s="798">
        <f t="shared" ref="C2:C33" si="1">Q2</f>
        <v>301</v>
      </c>
      <c r="D2" s="17"/>
      <c r="E2" s="17"/>
      <c r="F2" s="16" t="str">
        <f t="shared" ref="F2:F65" si="2">RIGHT(L2,2)</f>
        <v>25</v>
      </c>
      <c r="J2" s="662" t="str">
        <f>VLOOKUP(P2,Sheet6!$A$2:$E$160,3,0)</f>
        <v>1290D203010025</v>
      </c>
      <c r="L2" s="797" t="s">
        <v>569</v>
      </c>
      <c r="M2" s="370" t="s">
        <v>569</v>
      </c>
      <c r="N2" s="369" t="s">
        <v>570</v>
      </c>
      <c r="O2" s="368" t="str">
        <f t="shared" ref="O2:O65" si="3">MID(L2,12,3)</f>
        <v>125</v>
      </c>
      <c r="P2" t="str">
        <f t="shared" ref="P2:P65" si="4">C2&amp;R2</f>
        <v>30125</v>
      </c>
      <c r="Q2" s="17">
        <v>301</v>
      </c>
      <c r="R2" s="17">
        <v>25</v>
      </c>
    </row>
    <row r="3" spans="1:18">
      <c r="A3" s="662" t="str">
        <f t="shared" si="0"/>
        <v>CAM_DAI_LY</v>
      </c>
      <c r="B3" s="369"/>
      <c r="C3" s="798">
        <f t="shared" si="1"/>
        <v>302</v>
      </c>
      <c r="D3" s="17"/>
      <c r="E3" s="17"/>
      <c r="F3" s="16" t="str">
        <f t="shared" si="2"/>
        <v>25</v>
      </c>
      <c r="J3" s="662" t="str">
        <f>VLOOKUP(P3,Sheet6!$A$2:$E$160,3,0)</f>
        <v>1290D203020025</v>
      </c>
      <c r="L3" s="797" t="s">
        <v>571</v>
      </c>
      <c r="M3" s="370" t="s">
        <v>571</v>
      </c>
      <c r="N3" s="369" t="s">
        <v>572</v>
      </c>
      <c r="O3" s="368" t="str">
        <f t="shared" si="3"/>
        <v>125</v>
      </c>
      <c r="P3" t="str">
        <f t="shared" si="4"/>
        <v>30225</v>
      </c>
      <c r="Q3" s="17">
        <v>302</v>
      </c>
      <c r="R3" s="17">
        <v>25</v>
      </c>
    </row>
    <row r="4" spans="1:18">
      <c r="A4" s="662" t="str">
        <f t="shared" si="0"/>
        <v>CAM_DAI_LY</v>
      </c>
      <c r="B4" s="369"/>
      <c r="C4" s="798">
        <f t="shared" si="1"/>
        <v>324</v>
      </c>
      <c r="D4" s="17"/>
      <c r="E4" s="17"/>
      <c r="F4" s="16" t="str">
        <f t="shared" si="2"/>
        <v>25</v>
      </c>
      <c r="J4" s="662" t="str">
        <f>VLOOKUP(P4,Sheet6!$A$2:$E$160,3,0)</f>
        <v>1290D203240025</v>
      </c>
      <c r="L4" s="797" t="s">
        <v>575</v>
      </c>
      <c r="M4" s="370" t="s">
        <v>575</v>
      </c>
      <c r="N4" s="369" t="s">
        <v>576</v>
      </c>
      <c r="O4" s="368" t="str">
        <f t="shared" si="3"/>
        <v>125</v>
      </c>
      <c r="P4" t="str">
        <f t="shared" si="4"/>
        <v>32425</v>
      </c>
      <c r="Q4" s="17">
        <v>324</v>
      </c>
      <c r="R4" s="17">
        <v>25</v>
      </c>
    </row>
    <row r="5" spans="1:18">
      <c r="A5" s="662" t="str">
        <f t="shared" si="0"/>
        <v>CAM_DAI_LY</v>
      </c>
      <c r="B5" s="369"/>
      <c r="C5" s="798">
        <f t="shared" si="1"/>
        <v>352</v>
      </c>
      <c r="D5" s="17"/>
      <c r="E5" s="17"/>
      <c r="F5" s="16" t="str">
        <f t="shared" si="2"/>
        <v>25</v>
      </c>
      <c r="J5" s="662" t="str">
        <f>VLOOKUP(P5,Sheet6!$A$2:$E$160,3,0)</f>
        <v>1290D203520025</v>
      </c>
      <c r="L5" s="797" t="s">
        <v>587</v>
      </c>
      <c r="M5" s="370" t="s">
        <v>587</v>
      </c>
      <c r="N5" s="369" t="s">
        <v>588</v>
      </c>
      <c r="O5" s="368" t="str">
        <f t="shared" si="3"/>
        <v>125</v>
      </c>
      <c r="P5" t="str">
        <f t="shared" si="4"/>
        <v>35225</v>
      </c>
      <c r="Q5" s="17">
        <v>352</v>
      </c>
      <c r="R5" s="17">
        <v>25</v>
      </c>
    </row>
    <row r="6" spans="1:18">
      <c r="A6" s="662" t="str">
        <f t="shared" si="0"/>
        <v>CAM_DAI_LY</v>
      </c>
      <c r="B6" s="369"/>
      <c r="C6" s="798">
        <f t="shared" si="1"/>
        <v>384</v>
      </c>
      <c r="D6" s="16"/>
      <c r="E6" s="16"/>
      <c r="F6" s="16" t="str">
        <f t="shared" si="2"/>
        <v>25</v>
      </c>
      <c r="J6" s="662" t="str">
        <f>VLOOKUP(P6,Sheet6!$A$2:$E$160,3,0)</f>
        <v>1290D903840025</v>
      </c>
      <c r="L6" s="797" t="s">
        <v>595</v>
      </c>
      <c r="M6" s="370" t="s">
        <v>595</v>
      </c>
      <c r="N6" s="369" t="s">
        <v>596</v>
      </c>
      <c r="O6" s="368" t="str">
        <f t="shared" si="3"/>
        <v>125</v>
      </c>
      <c r="P6" t="str">
        <f t="shared" si="4"/>
        <v>38425</v>
      </c>
      <c r="Q6" s="16">
        <v>384</v>
      </c>
      <c r="R6" s="17">
        <v>25</v>
      </c>
    </row>
    <row r="7" spans="1:18">
      <c r="A7" s="662" t="str">
        <f t="shared" si="0"/>
        <v>CAM_DAI_LY</v>
      </c>
      <c r="B7" s="369"/>
      <c r="C7" s="798">
        <f t="shared" si="1"/>
        <v>510</v>
      </c>
      <c r="D7" s="17"/>
      <c r="E7" s="17"/>
      <c r="F7" s="16" t="str">
        <f t="shared" si="2"/>
        <v>25</v>
      </c>
      <c r="J7" s="662" t="str">
        <f>VLOOKUP(P7,Sheet6!$A$2:$E$160,3,0)</f>
        <v>1290E405100025</v>
      </c>
      <c r="L7" s="797" t="s">
        <v>597</v>
      </c>
      <c r="M7" s="370" t="s">
        <v>597</v>
      </c>
      <c r="N7" s="369" t="s">
        <v>598</v>
      </c>
      <c r="O7" s="368" t="str">
        <f t="shared" si="3"/>
        <v>125</v>
      </c>
      <c r="P7" t="str">
        <f t="shared" si="4"/>
        <v>51025</v>
      </c>
      <c r="Q7" s="17">
        <v>510</v>
      </c>
      <c r="R7" s="17">
        <v>25</v>
      </c>
    </row>
    <row r="8" spans="1:18">
      <c r="A8" s="662" t="str">
        <f t="shared" si="0"/>
        <v>CAM_DAI_LY</v>
      </c>
      <c r="B8" s="369"/>
      <c r="C8" s="798">
        <f t="shared" si="1"/>
        <v>511</v>
      </c>
      <c r="D8" s="17"/>
      <c r="E8" s="17"/>
      <c r="F8" s="16" t="str">
        <f t="shared" si="2"/>
        <v>25</v>
      </c>
      <c r="J8" s="662" t="str">
        <f>VLOOKUP(P8,Sheet6!$A$2:$E$160,3,0)</f>
        <v>1290D205110025</v>
      </c>
      <c r="L8" s="797" t="s">
        <v>622</v>
      </c>
      <c r="M8" s="370" t="s">
        <v>622</v>
      </c>
      <c r="N8" s="369" t="s">
        <v>623</v>
      </c>
      <c r="O8" s="368" t="str">
        <f t="shared" si="3"/>
        <v>125</v>
      </c>
      <c r="P8" t="str">
        <f t="shared" si="4"/>
        <v>51125</v>
      </c>
      <c r="Q8" s="17">
        <v>511</v>
      </c>
      <c r="R8" s="17">
        <v>25</v>
      </c>
    </row>
    <row r="9" spans="1:18">
      <c r="A9" s="662" t="str">
        <f t="shared" si="0"/>
        <v>CAM_DAI_LY</v>
      </c>
      <c r="B9" s="369"/>
      <c r="C9" s="798">
        <f t="shared" si="1"/>
        <v>521</v>
      </c>
      <c r="D9" s="17"/>
      <c r="E9" s="17"/>
      <c r="F9" s="16" t="str">
        <f t="shared" si="2"/>
        <v>25</v>
      </c>
      <c r="J9" s="662" t="str">
        <f>VLOOKUP(P9,Sheet6!$A$2:$E$160,3,0)</f>
        <v>1290D205210025</v>
      </c>
      <c r="L9" s="797" t="s">
        <v>682</v>
      </c>
      <c r="M9" s="370" t="s">
        <v>682</v>
      </c>
      <c r="N9" s="369" t="s">
        <v>683</v>
      </c>
      <c r="O9" s="368" t="str">
        <f t="shared" si="3"/>
        <v>125</v>
      </c>
      <c r="P9" t="str">
        <f t="shared" si="4"/>
        <v>52125</v>
      </c>
      <c r="Q9" s="17">
        <v>521</v>
      </c>
      <c r="R9" s="17">
        <v>25</v>
      </c>
    </row>
    <row r="10" spans="1:18">
      <c r="A10" s="662" t="str">
        <f t="shared" si="0"/>
        <v>CAM_DAI_LY</v>
      </c>
      <c r="B10" s="369"/>
      <c r="C10" s="798">
        <f t="shared" si="1"/>
        <v>522</v>
      </c>
      <c r="D10" s="17"/>
      <c r="E10" s="17"/>
      <c r="F10" s="16" t="str">
        <f t="shared" si="2"/>
        <v>25</v>
      </c>
      <c r="J10" s="662" t="str">
        <f>VLOOKUP(P10,Sheet6!$A$2:$E$160,3,0)</f>
        <v>1290D205220025</v>
      </c>
      <c r="L10" s="399">
        <v>21115220000125</v>
      </c>
      <c r="M10" s="370" t="s">
        <v>1580</v>
      </c>
      <c r="N10" s="369" t="s">
        <v>1581</v>
      </c>
      <c r="O10" s="368" t="str">
        <f t="shared" si="3"/>
        <v>125</v>
      </c>
      <c r="P10" t="str">
        <f t="shared" si="4"/>
        <v>52225</v>
      </c>
      <c r="Q10" s="17">
        <v>522</v>
      </c>
      <c r="R10" s="17">
        <v>25</v>
      </c>
    </row>
    <row r="11" spans="1:18">
      <c r="A11" s="662" t="str">
        <f t="shared" si="0"/>
        <v>CAM_DAI_LY</v>
      </c>
      <c r="B11" s="369"/>
      <c r="C11" s="798">
        <f t="shared" si="1"/>
        <v>524</v>
      </c>
      <c r="D11" s="17"/>
      <c r="E11" s="17"/>
      <c r="F11" s="16" t="str">
        <f t="shared" si="2"/>
        <v>25</v>
      </c>
      <c r="J11" s="662" t="str">
        <f>VLOOKUP(P11,Sheet6!$A$2:$E$160,3,0)</f>
        <v>1290D205240025</v>
      </c>
      <c r="L11" s="797" t="s">
        <v>711</v>
      </c>
      <c r="M11" s="370" t="s">
        <v>711</v>
      </c>
      <c r="N11" s="369" t="s">
        <v>712</v>
      </c>
      <c r="O11" s="368" t="str">
        <f t="shared" si="3"/>
        <v>125</v>
      </c>
      <c r="P11" t="str">
        <f t="shared" si="4"/>
        <v>52425</v>
      </c>
      <c r="Q11" s="17">
        <v>524</v>
      </c>
      <c r="R11" s="17">
        <v>25</v>
      </c>
    </row>
    <row r="12" spans="1:18">
      <c r="A12" s="662" t="str">
        <f t="shared" si="0"/>
        <v>CAM_DAI_LY</v>
      </c>
      <c r="B12" s="369"/>
      <c r="C12" s="798">
        <f t="shared" si="1"/>
        <v>540</v>
      </c>
      <c r="D12" s="17"/>
      <c r="E12" s="17"/>
      <c r="F12" s="16" t="str">
        <f t="shared" si="2"/>
        <v>25</v>
      </c>
      <c r="J12" s="662" t="str">
        <f>VLOOKUP(P12,Sheet6!$A$2:$E$160,3,0)</f>
        <v>1290D205400025</v>
      </c>
      <c r="L12" s="797" t="s">
        <v>726</v>
      </c>
      <c r="M12" s="370" t="s">
        <v>726</v>
      </c>
      <c r="N12" s="369" t="s">
        <v>727</v>
      </c>
      <c r="O12" s="368" t="str">
        <f t="shared" si="3"/>
        <v>125</v>
      </c>
      <c r="P12" t="str">
        <f t="shared" si="4"/>
        <v>54025</v>
      </c>
      <c r="Q12" s="17">
        <v>540</v>
      </c>
      <c r="R12" s="17">
        <v>25</v>
      </c>
    </row>
    <row r="13" spans="1:18">
      <c r="A13" s="662" t="str">
        <f t="shared" si="0"/>
        <v>CAM_DAI_LY</v>
      </c>
      <c r="B13" s="369"/>
      <c r="C13" s="798">
        <f t="shared" si="1"/>
        <v>544</v>
      </c>
      <c r="D13" s="17"/>
      <c r="E13" s="17"/>
      <c r="F13" s="16" t="str">
        <f t="shared" si="2"/>
        <v>40</v>
      </c>
      <c r="J13" s="662" t="str">
        <f>VLOOKUP(P13,Sheet6!$A$2:$E$160,3,0)</f>
        <v>1290H505440040</v>
      </c>
      <c r="L13" s="797" t="s">
        <v>732</v>
      </c>
      <c r="M13" s="370" t="s">
        <v>732</v>
      </c>
      <c r="N13" s="369" t="s">
        <v>733</v>
      </c>
      <c r="O13" s="368" t="str">
        <f t="shared" si="3"/>
        <v>140</v>
      </c>
      <c r="P13" t="str">
        <f t="shared" si="4"/>
        <v>54440</v>
      </c>
      <c r="Q13" s="17">
        <v>544</v>
      </c>
      <c r="R13" s="17">
        <v>40</v>
      </c>
    </row>
    <row r="14" spans="1:18">
      <c r="A14" s="662" t="str">
        <f t="shared" si="0"/>
        <v>CAM_DAI_LY</v>
      </c>
      <c r="B14" s="369"/>
      <c r="C14" s="798">
        <f t="shared" si="1"/>
        <v>544</v>
      </c>
      <c r="D14" s="17"/>
      <c r="E14" s="17"/>
      <c r="F14" s="16" t="str">
        <f t="shared" si="2"/>
        <v>25</v>
      </c>
      <c r="J14" s="662" t="str">
        <f>VLOOKUP(P14,Sheet6!$A$2:$E$160,3,0)</f>
        <v>1290D405440025</v>
      </c>
      <c r="L14" s="399">
        <v>21115440000125</v>
      </c>
      <c r="M14" s="370" t="s">
        <v>1198</v>
      </c>
      <c r="N14" s="369" t="s">
        <v>1199</v>
      </c>
      <c r="O14" s="368" t="str">
        <f t="shared" si="3"/>
        <v>125</v>
      </c>
      <c r="P14" t="str">
        <f t="shared" si="4"/>
        <v>54425</v>
      </c>
      <c r="Q14" s="17">
        <v>544</v>
      </c>
      <c r="R14" s="17">
        <v>25</v>
      </c>
    </row>
    <row r="15" spans="1:18">
      <c r="A15" s="662" t="str">
        <f t="shared" si="0"/>
        <v>CAM_DAI_LY</v>
      </c>
      <c r="B15" s="369"/>
      <c r="C15" s="798">
        <f t="shared" si="1"/>
        <v>545</v>
      </c>
      <c r="D15" s="17"/>
      <c r="E15" s="17"/>
      <c r="F15" s="16" t="str">
        <f t="shared" si="2"/>
        <v>25</v>
      </c>
      <c r="J15" s="662" t="str">
        <f>VLOOKUP(P15,Sheet6!$A$2:$E$160,3,0)</f>
        <v>1290D405450025</v>
      </c>
      <c r="L15" s="399">
        <v>21115450000125</v>
      </c>
      <c r="M15" s="370" t="s">
        <v>1204</v>
      </c>
      <c r="N15" s="369" t="s">
        <v>1205</v>
      </c>
      <c r="O15" s="368" t="str">
        <f t="shared" si="3"/>
        <v>125</v>
      </c>
      <c r="P15" t="str">
        <f t="shared" si="4"/>
        <v>54525</v>
      </c>
      <c r="Q15" s="17">
        <v>545</v>
      </c>
      <c r="R15" s="17">
        <v>25</v>
      </c>
    </row>
    <row r="16" spans="1:18">
      <c r="A16" s="662" t="str">
        <f t="shared" si="0"/>
        <v>CAM_DAI_LY</v>
      </c>
      <c r="B16" s="369"/>
      <c r="C16" s="798">
        <f t="shared" si="1"/>
        <v>548</v>
      </c>
      <c r="D16" s="17"/>
      <c r="E16" s="17"/>
      <c r="F16" s="16" t="str">
        <f t="shared" si="2"/>
        <v>25</v>
      </c>
      <c r="J16" s="662" t="str">
        <f>VLOOKUP(P16,Sheet6!$A$2:$E$160,3,0)</f>
        <v>1290D205480025</v>
      </c>
      <c r="L16" s="797" t="s">
        <v>736</v>
      </c>
      <c r="M16" s="370" t="s">
        <v>736</v>
      </c>
      <c r="N16" s="369" t="s">
        <v>737</v>
      </c>
      <c r="O16" s="368" t="str">
        <f t="shared" si="3"/>
        <v>125</v>
      </c>
      <c r="P16" t="str">
        <f t="shared" si="4"/>
        <v>54825</v>
      </c>
      <c r="Q16" s="17">
        <v>548</v>
      </c>
      <c r="R16" s="17">
        <v>25</v>
      </c>
    </row>
    <row r="17" spans="1:18">
      <c r="A17" s="662" t="str">
        <f t="shared" si="0"/>
        <v>CAM_DAI_LY</v>
      </c>
      <c r="B17" s="369"/>
      <c r="C17" s="798">
        <f t="shared" si="1"/>
        <v>549</v>
      </c>
      <c r="D17" s="17"/>
      <c r="E17" s="17"/>
      <c r="F17" s="16" t="str">
        <f t="shared" si="2"/>
        <v>25</v>
      </c>
      <c r="J17" s="662" t="str">
        <f>VLOOKUP(P17,Sheet6!$A$2:$E$160,3,0)</f>
        <v>1290D205490025</v>
      </c>
      <c r="L17" s="797" t="s">
        <v>742</v>
      </c>
      <c r="M17" s="370" t="s">
        <v>742</v>
      </c>
      <c r="N17" s="369" t="s">
        <v>743</v>
      </c>
      <c r="O17" s="368" t="str">
        <f t="shared" si="3"/>
        <v>125</v>
      </c>
      <c r="P17" t="str">
        <f t="shared" si="4"/>
        <v>54925</v>
      </c>
      <c r="Q17" s="17">
        <v>549</v>
      </c>
      <c r="R17" s="17">
        <v>25</v>
      </c>
    </row>
    <row r="18" spans="1:18">
      <c r="A18" s="662" t="str">
        <f t="shared" si="0"/>
        <v>CAM_DAI_LY</v>
      </c>
      <c r="B18" s="369"/>
      <c r="C18" s="798">
        <f t="shared" si="1"/>
        <v>551</v>
      </c>
      <c r="D18" s="17"/>
      <c r="E18" s="17"/>
      <c r="F18" s="16" t="str">
        <f t="shared" si="2"/>
        <v>25</v>
      </c>
      <c r="J18" s="662" t="str">
        <f>VLOOKUP(P18,Sheet6!$A$2:$E$160,3,0)</f>
        <v>1290D205510025</v>
      </c>
      <c r="L18" s="797" t="s">
        <v>762</v>
      </c>
      <c r="M18" s="370" t="s">
        <v>762</v>
      </c>
      <c r="N18" s="369" t="s">
        <v>763</v>
      </c>
      <c r="O18" s="368" t="str">
        <f t="shared" si="3"/>
        <v>125</v>
      </c>
      <c r="P18" t="str">
        <f t="shared" si="4"/>
        <v>55125</v>
      </c>
      <c r="Q18" s="17">
        <v>551</v>
      </c>
      <c r="R18" s="17">
        <v>25</v>
      </c>
    </row>
    <row r="19" spans="1:18">
      <c r="A19" s="662" t="str">
        <f t="shared" si="0"/>
        <v>CAM_TUI</v>
      </c>
      <c r="B19" s="369"/>
      <c r="C19" s="798">
        <f t="shared" si="1"/>
        <v>551</v>
      </c>
      <c r="D19" s="17"/>
      <c r="E19" s="17"/>
      <c r="F19" s="16" t="str">
        <f t="shared" si="2"/>
        <v>25</v>
      </c>
      <c r="J19" s="662" t="e">
        <f>VLOOKUP(P19,Sheet6!$A$2:$E$160,3,0)</f>
        <v>#N/A</v>
      </c>
      <c r="L19" s="797" t="s">
        <v>764</v>
      </c>
      <c r="M19" s="370" t="s">
        <v>764</v>
      </c>
      <c r="N19" s="369" t="s">
        <v>765</v>
      </c>
      <c r="O19" s="368" t="str">
        <f t="shared" si="3"/>
        <v>425</v>
      </c>
      <c r="P19" t="str">
        <f t="shared" si="4"/>
        <v>5515*5</v>
      </c>
      <c r="Q19" s="17">
        <v>551</v>
      </c>
      <c r="R19" s="17" t="s">
        <v>56</v>
      </c>
    </row>
    <row r="20" spans="1:18">
      <c r="A20" s="662" t="str">
        <f t="shared" si="0"/>
        <v>CAM_DAI_LY</v>
      </c>
      <c r="B20" s="369"/>
      <c r="C20" s="798">
        <f t="shared" si="1"/>
        <v>552</v>
      </c>
      <c r="D20" s="17"/>
      <c r="E20" s="17"/>
      <c r="F20" s="16" t="str">
        <f t="shared" si="2"/>
        <v>25</v>
      </c>
      <c r="J20" s="662" t="str">
        <f>VLOOKUP(P20,Sheet6!$A$2:$E$160,3,0)</f>
        <v>1290D205520025</v>
      </c>
      <c r="L20" s="797" t="s">
        <v>794</v>
      </c>
      <c r="M20" s="370" t="s">
        <v>794</v>
      </c>
      <c r="N20" s="369" t="s">
        <v>795</v>
      </c>
      <c r="O20" s="368" t="str">
        <f t="shared" si="3"/>
        <v>125</v>
      </c>
      <c r="P20" t="str">
        <f t="shared" si="4"/>
        <v>55225</v>
      </c>
      <c r="Q20" s="17">
        <v>552</v>
      </c>
      <c r="R20" s="17">
        <v>25</v>
      </c>
    </row>
    <row r="21" spans="1:18">
      <c r="A21" s="662" t="str">
        <f t="shared" si="0"/>
        <v>CAM_DAI_LY</v>
      </c>
      <c r="B21" s="369"/>
      <c r="C21" s="798">
        <f t="shared" si="1"/>
        <v>553</v>
      </c>
      <c r="D21" s="17"/>
      <c r="E21" s="17"/>
      <c r="F21" s="16" t="str">
        <f t="shared" si="2"/>
        <v>25</v>
      </c>
      <c r="J21" s="662" t="str">
        <f>VLOOKUP(P21,Sheet6!$A$2:$E$160,3,0)</f>
        <v>1290D205530025</v>
      </c>
      <c r="L21" s="797" t="s">
        <v>832</v>
      </c>
      <c r="M21" s="370" t="s">
        <v>832</v>
      </c>
      <c r="N21" s="369" t="s">
        <v>833</v>
      </c>
      <c r="O21" s="368" t="str">
        <f t="shared" si="3"/>
        <v>125</v>
      </c>
      <c r="P21" t="str">
        <f t="shared" si="4"/>
        <v>55325</v>
      </c>
      <c r="Q21" s="17">
        <v>553</v>
      </c>
      <c r="R21" s="17">
        <v>25</v>
      </c>
    </row>
    <row r="22" spans="1:18">
      <c r="A22" s="662" t="str">
        <f t="shared" si="0"/>
        <v>CAM_DAI_LY</v>
      </c>
      <c r="B22" s="369"/>
      <c r="C22" s="798">
        <f t="shared" si="1"/>
        <v>562</v>
      </c>
      <c r="D22" s="17"/>
      <c r="E22" s="17"/>
      <c r="F22" s="16" t="str">
        <f t="shared" si="2"/>
        <v>25</v>
      </c>
      <c r="J22" s="662" t="str">
        <f>VLOOKUP(P22,Sheet6!$A$2:$E$160,3,0)</f>
        <v>1290D205620025</v>
      </c>
      <c r="L22" s="399">
        <v>21115620000125</v>
      </c>
      <c r="M22" s="370" t="s">
        <v>1257</v>
      </c>
      <c r="N22" s="369" t="s">
        <v>1258</v>
      </c>
      <c r="O22" s="368" t="str">
        <f t="shared" si="3"/>
        <v>125</v>
      </c>
      <c r="P22" t="str">
        <f t="shared" si="4"/>
        <v>56225</v>
      </c>
      <c r="Q22" s="17">
        <v>562</v>
      </c>
      <c r="R22" s="17">
        <v>25</v>
      </c>
    </row>
    <row r="23" spans="1:18">
      <c r="A23" s="662" t="str">
        <f t="shared" si="0"/>
        <v>CAM_DAI_LY</v>
      </c>
      <c r="B23" s="369"/>
      <c r="C23" s="798">
        <f t="shared" si="1"/>
        <v>566</v>
      </c>
      <c r="D23" s="17"/>
      <c r="E23" s="17"/>
      <c r="F23" s="16" t="str">
        <f t="shared" si="2"/>
        <v>25</v>
      </c>
      <c r="J23" s="662" t="str">
        <f>VLOOKUP(P23,Sheet6!$A$2:$E$160,3,0)</f>
        <v>1290D205660025</v>
      </c>
      <c r="L23" s="797" t="s">
        <v>898</v>
      </c>
      <c r="M23" s="370" t="s">
        <v>898</v>
      </c>
      <c r="N23" s="369" t="s">
        <v>899</v>
      </c>
      <c r="O23" s="368" t="str">
        <f t="shared" si="3"/>
        <v>125</v>
      </c>
      <c r="P23" t="str">
        <f t="shared" si="4"/>
        <v>56625</v>
      </c>
      <c r="Q23" s="17">
        <v>566</v>
      </c>
      <c r="R23" s="17">
        <v>25</v>
      </c>
    </row>
    <row r="24" spans="1:18">
      <c r="A24" s="662" t="str">
        <f t="shared" si="0"/>
        <v>CAM_DAI_LY</v>
      </c>
      <c r="B24" s="369"/>
      <c r="C24" s="798">
        <f t="shared" si="1"/>
        <v>567</v>
      </c>
      <c r="D24" s="17"/>
      <c r="E24" s="17"/>
      <c r="F24" s="16" t="str">
        <f t="shared" si="2"/>
        <v>25</v>
      </c>
      <c r="J24" s="662" t="str">
        <f>VLOOKUP(P24,Sheet6!$A$2:$E$160,3,0)</f>
        <v>1290D205670025</v>
      </c>
      <c r="L24" s="797" t="s">
        <v>902</v>
      </c>
      <c r="M24" s="370" t="s">
        <v>902</v>
      </c>
      <c r="N24" s="369" t="s">
        <v>903</v>
      </c>
      <c r="O24" s="368" t="str">
        <f t="shared" si="3"/>
        <v>125</v>
      </c>
      <c r="P24" t="str">
        <f t="shared" si="4"/>
        <v>56725</v>
      </c>
      <c r="Q24" s="17">
        <v>567</v>
      </c>
      <c r="R24" s="17">
        <v>25</v>
      </c>
    </row>
    <row r="25" spans="1:18">
      <c r="A25" s="662" t="str">
        <f t="shared" si="0"/>
        <v>CAM_TUI</v>
      </c>
      <c r="B25" s="369"/>
      <c r="C25" s="798">
        <f t="shared" si="1"/>
        <v>571</v>
      </c>
      <c r="D25" s="17"/>
      <c r="E25" s="17"/>
      <c r="F25" s="16" t="str">
        <f t="shared" si="2"/>
        <v>25</v>
      </c>
      <c r="J25" s="662" t="e">
        <f>VLOOKUP(P25,Sheet6!$A$2:$E$160,3,0)</f>
        <v>#N/A</v>
      </c>
      <c r="L25" s="797" t="s">
        <v>917</v>
      </c>
      <c r="M25" s="370" t="s">
        <v>917</v>
      </c>
      <c r="N25" s="369" t="s">
        <v>918</v>
      </c>
      <c r="O25" s="368" t="str">
        <f t="shared" si="3"/>
        <v>425</v>
      </c>
      <c r="P25" t="str">
        <f t="shared" si="4"/>
        <v>5715*5</v>
      </c>
      <c r="Q25" s="17">
        <v>571</v>
      </c>
      <c r="R25" s="17" t="s">
        <v>56</v>
      </c>
    </row>
    <row r="26" spans="1:18">
      <c r="A26" s="662" t="str">
        <f t="shared" si="0"/>
        <v>CAM_DAI_LY</v>
      </c>
      <c r="B26" s="369"/>
      <c r="C26" s="798">
        <f t="shared" si="1"/>
        <v>584</v>
      </c>
      <c r="D26" s="17"/>
      <c r="E26" s="17"/>
      <c r="F26" s="16" t="str">
        <f t="shared" si="2"/>
        <v>25</v>
      </c>
      <c r="J26" s="662" t="str">
        <f>VLOOKUP(P26,Sheet6!$A$2:$E$160,3,0)</f>
        <v>1290D205840025</v>
      </c>
      <c r="L26" s="797" t="s">
        <v>919</v>
      </c>
      <c r="M26" s="370" t="s">
        <v>919</v>
      </c>
      <c r="N26" s="369" t="s">
        <v>920</v>
      </c>
      <c r="O26" s="368" t="str">
        <f t="shared" si="3"/>
        <v>125</v>
      </c>
      <c r="P26" t="str">
        <f t="shared" si="4"/>
        <v>58425</v>
      </c>
      <c r="Q26" s="17">
        <v>584</v>
      </c>
      <c r="R26" s="17">
        <v>25</v>
      </c>
    </row>
    <row r="27" spans="1:18">
      <c r="A27" s="662" t="str">
        <f t="shared" si="0"/>
        <v>CAM_DAI_LY</v>
      </c>
      <c r="B27" s="369"/>
      <c r="C27" s="798">
        <f t="shared" si="1"/>
        <v>585</v>
      </c>
      <c r="D27" s="17"/>
      <c r="E27" s="17"/>
      <c r="F27" s="16" t="str">
        <f t="shared" si="2"/>
        <v>25</v>
      </c>
      <c r="J27" s="662" t="e">
        <f>VLOOKUP(P27,Sheet6!$A$2:$E$160,3,0)</f>
        <v>#N/A</v>
      </c>
      <c r="L27" s="797" t="s">
        <v>921</v>
      </c>
      <c r="M27" s="370" t="s">
        <v>921</v>
      </c>
      <c r="N27" s="369" t="s">
        <v>922</v>
      </c>
      <c r="O27" s="368" t="str">
        <f t="shared" si="3"/>
        <v>125</v>
      </c>
      <c r="P27" t="str">
        <f t="shared" si="4"/>
        <v>58525</v>
      </c>
      <c r="Q27" s="17">
        <v>585</v>
      </c>
      <c r="R27" s="17">
        <v>25</v>
      </c>
    </row>
    <row r="28" spans="1:18">
      <c r="A28" s="662" t="str">
        <f t="shared" si="0"/>
        <v>CAM_DAI_LY</v>
      </c>
      <c r="B28" s="369"/>
      <c r="C28" s="798">
        <f t="shared" si="1"/>
        <v>594</v>
      </c>
      <c r="D28" s="17"/>
      <c r="E28" s="17"/>
      <c r="F28" s="16" t="str">
        <f t="shared" si="2"/>
        <v>25</v>
      </c>
      <c r="J28" s="662" t="str">
        <f>VLOOKUP(P28,Sheet6!$A$2:$E$160,3,0)</f>
        <v>1290D205940325</v>
      </c>
      <c r="L28" s="399">
        <v>21115940000125</v>
      </c>
      <c r="M28" s="370" t="s">
        <v>1483</v>
      </c>
      <c r="N28" s="369" t="s">
        <v>1484</v>
      </c>
      <c r="O28" s="368" t="str">
        <f t="shared" si="3"/>
        <v>125</v>
      </c>
      <c r="P28" t="str">
        <f t="shared" si="4"/>
        <v>59425</v>
      </c>
      <c r="Q28" s="17">
        <v>594</v>
      </c>
      <c r="R28" s="17">
        <v>25</v>
      </c>
    </row>
    <row r="29" spans="1:18">
      <c r="A29" s="662" t="str">
        <f t="shared" si="0"/>
        <v>CAM_DAI_LY</v>
      </c>
      <c r="B29" s="369"/>
      <c r="C29" s="798">
        <f t="shared" si="1"/>
        <v>595</v>
      </c>
      <c r="D29" s="17"/>
      <c r="E29" s="17"/>
      <c r="F29" s="16" t="str">
        <f t="shared" si="2"/>
        <v>25</v>
      </c>
      <c r="J29" s="662" t="str">
        <f>VLOOKUP(P29,Sheet6!$A$2:$E$160,3,0)</f>
        <v>1290D205950025</v>
      </c>
      <c r="L29" s="797" t="s">
        <v>923</v>
      </c>
      <c r="M29" s="370" t="s">
        <v>923</v>
      </c>
      <c r="N29" s="369" t="s">
        <v>924</v>
      </c>
      <c r="O29" s="368" t="str">
        <f t="shared" si="3"/>
        <v>125</v>
      </c>
      <c r="P29" t="str">
        <f t="shared" si="4"/>
        <v>59525</v>
      </c>
      <c r="Q29" s="17">
        <v>595</v>
      </c>
      <c r="R29" s="17">
        <v>25</v>
      </c>
    </row>
    <row r="30" spans="1:18">
      <c r="A30" s="662" t="str">
        <f t="shared" si="0"/>
        <v>CAM_DAI_LY</v>
      </c>
      <c r="B30" s="369"/>
      <c r="C30" s="798">
        <f t="shared" si="1"/>
        <v>596</v>
      </c>
      <c r="D30" s="17"/>
      <c r="E30" s="17"/>
      <c r="F30" s="16" t="str">
        <f t="shared" si="2"/>
        <v>25</v>
      </c>
      <c r="J30" s="662" t="e">
        <f>VLOOKUP(P30,Sheet6!$A$2:$E$160,3,0)</f>
        <v>#N/A</v>
      </c>
      <c r="L30" s="399">
        <v>21115960000125</v>
      </c>
      <c r="M30" s="370" t="s">
        <v>1444</v>
      </c>
      <c r="N30" s="369" t="s">
        <v>1445</v>
      </c>
      <c r="O30" s="368" t="str">
        <f t="shared" si="3"/>
        <v>125</v>
      </c>
      <c r="P30" t="str">
        <f t="shared" si="4"/>
        <v>59625</v>
      </c>
      <c r="Q30" s="17">
        <v>596</v>
      </c>
      <c r="R30" s="17">
        <v>25</v>
      </c>
    </row>
    <row r="31" spans="1:18">
      <c r="A31" s="662" t="str">
        <f t="shared" si="0"/>
        <v>CAM_DAI_LY</v>
      </c>
      <c r="B31" s="369"/>
      <c r="C31" s="798">
        <f t="shared" si="1"/>
        <v>802</v>
      </c>
      <c r="D31" s="17"/>
      <c r="E31" s="17"/>
      <c r="F31" s="16" t="str">
        <f t="shared" si="2"/>
        <v>25</v>
      </c>
      <c r="J31" s="662" t="e">
        <f>VLOOKUP(P31,Sheet6!$A$2:$E$160,3,0)</f>
        <v>#N/A</v>
      </c>
      <c r="L31" s="399">
        <v>21123020000125</v>
      </c>
      <c r="M31" s="370" t="s">
        <v>1422</v>
      </c>
      <c r="N31" s="369" t="s">
        <v>1423</v>
      </c>
      <c r="O31" s="368" t="str">
        <f t="shared" si="3"/>
        <v>125</v>
      </c>
      <c r="P31" t="str">
        <f t="shared" si="4"/>
        <v>80225</v>
      </c>
      <c r="Q31" s="17">
        <v>802</v>
      </c>
      <c r="R31" s="17">
        <v>25</v>
      </c>
    </row>
    <row r="32" spans="1:18">
      <c r="A32" s="662" t="str">
        <f t="shared" si="0"/>
        <v>CAM_DAI_LY</v>
      </c>
      <c r="B32" s="369"/>
      <c r="C32" s="798">
        <f t="shared" si="1"/>
        <v>884</v>
      </c>
      <c r="D32" s="17"/>
      <c r="E32" s="17"/>
      <c r="F32" s="16" t="str">
        <f t="shared" si="2"/>
        <v>25</v>
      </c>
      <c r="J32" s="662" t="str">
        <f>VLOOKUP(P32,Sheet6!$A$2:$E$160,3,0)</f>
        <v>1290D908840025</v>
      </c>
      <c r="L32" s="797" t="s">
        <v>947</v>
      </c>
      <c r="M32" s="370" t="s">
        <v>947</v>
      </c>
      <c r="N32" s="369" t="s">
        <v>948</v>
      </c>
      <c r="O32" s="368" t="str">
        <f t="shared" si="3"/>
        <v>125</v>
      </c>
      <c r="P32" t="str">
        <f t="shared" si="4"/>
        <v>88425</v>
      </c>
      <c r="Q32" s="17">
        <v>884</v>
      </c>
      <c r="R32" s="17">
        <v>25</v>
      </c>
    </row>
    <row r="33" spans="1:18">
      <c r="A33" s="662" t="str">
        <f t="shared" si="0"/>
        <v>CAM_DAI_LY</v>
      </c>
      <c r="B33" s="369"/>
      <c r="C33" s="798">
        <f t="shared" si="1"/>
        <v>910</v>
      </c>
      <c r="D33" s="17"/>
      <c r="E33" s="17"/>
      <c r="F33" s="16" t="str">
        <f t="shared" si="2"/>
        <v>25</v>
      </c>
      <c r="J33" s="662" t="str">
        <f>VLOOKUP(P33,Sheet6!$A$2:$E$160,3,0)</f>
        <v>1290E409100025</v>
      </c>
      <c r="L33" s="797" t="s">
        <v>951</v>
      </c>
      <c r="M33" s="370" t="s">
        <v>951</v>
      </c>
      <c r="N33" s="369" t="s">
        <v>952</v>
      </c>
      <c r="O33" s="368" t="str">
        <f t="shared" si="3"/>
        <v>125</v>
      </c>
      <c r="P33" t="str">
        <f t="shared" si="4"/>
        <v>91025</v>
      </c>
      <c r="Q33" s="17">
        <v>910</v>
      </c>
      <c r="R33" s="17">
        <v>25</v>
      </c>
    </row>
    <row r="34" spans="1:18">
      <c r="A34" s="662" t="str">
        <f t="shared" si="0"/>
        <v>CAM_DAI_LY</v>
      </c>
      <c r="B34" s="369"/>
      <c r="C34" s="798">
        <f t="shared" ref="C34:C65" si="5">Q34</f>
        <v>944</v>
      </c>
      <c r="D34" s="17"/>
      <c r="E34" s="17"/>
      <c r="F34" s="16" t="str">
        <f t="shared" si="2"/>
        <v>25</v>
      </c>
      <c r="J34" s="662" t="str">
        <f>VLOOKUP(P34,Sheet6!$A$2:$E$160,3,0)</f>
        <v>1290H409440025</v>
      </c>
      <c r="L34" s="797">
        <v>21125440000125</v>
      </c>
      <c r="M34" s="370" t="s">
        <v>2005</v>
      </c>
      <c r="N34" s="369" t="s">
        <v>2006</v>
      </c>
      <c r="O34" s="368" t="str">
        <f t="shared" si="3"/>
        <v>125</v>
      </c>
      <c r="P34" t="str">
        <f t="shared" si="4"/>
        <v>94425</v>
      </c>
      <c r="Q34" s="17">
        <v>944</v>
      </c>
      <c r="R34" s="17">
        <v>25</v>
      </c>
    </row>
    <row r="35" spans="1:18">
      <c r="A35" s="662" t="str">
        <f t="shared" si="0"/>
        <v>CAM_DAI_LY</v>
      </c>
      <c r="B35" s="369"/>
      <c r="C35" s="798">
        <f t="shared" si="5"/>
        <v>948</v>
      </c>
      <c r="D35" s="17"/>
      <c r="E35" s="17"/>
      <c r="F35" s="16" t="str">
        <f t="shared" si="2"/>
        <v>25</v>
      </c>
      <c r="J35" s="662" t="e">
        <f>VLOOKUP(P35,Sheet6!$A$2:$E$160,3,0)</f>
        <v>#N/A</v>
      </c>
      <c r="L35" s="399">
        <v>21125480000125</v>
      </c>
      <c r="M35" s="370" t="s">
        <v>1662</v>
      </c>
      <c r="N35" s="369" t="s">
        <v>1663</v>
      </c>
      <c r="O35" s="368" t="str">
        <f t="shared" si="3"/>
        <v>125</v>
      </c>
      <c r="P35" t="str">
        <f t="shared" si="4"/>
        <v>94825</v>
      </c>
      <c r="Q35" s="17">
        <v>948</v>
      </c>
      <c r="R35" s="17">
        <v>25</v>
      </c>
    </row>
    <row r="36" spans="1:18">
      <c r="A36" s="662" t="str">
        <f t="shared" si="0"/>
        <v>CAM_DAI_LY</v>
      </c>
      <c r="B36" s="369"/>
      <c r="C36" s="798">
        <f t="shared" si="5"/>
        <v>949</v>
      </c>
      <c r="D36" s="17"/>
      <c r="E36" s="17"/>
      <c r="F36" s="16" t="str">
        <f t="shared" si="2"/>
        <v>25</v>
      </c>
      <c r="J36" s="662" t="str">
        <f>VLOOKUP(P36,Sheet6!$A$2:$E$160,3,0)</f>
        <v>1290D209490025</v>
      </c>
      <c r="L36" s="399">
        <v>21125490000125</v>
      </c>
      <c r="M36" s="370" t="s">
        <v>1658</v>
      </c>
      <c r="N36" s="369" t="s">
        <v>1659</v>
      </c>
      <c r="O36" s="368" t="str">
        <f t="shared" si="3"/>
        <v>125</v>
      </c>
      <c r="P36" t="str">
        <f t="shared" si="4"/>
        <v>94925</v>
      </c>
      <c r="Q36" s="17">
        <v>949</v>
      </c>
      <c r="R36" s="17">
        <v>25</v>
      </c>
    </row>
    <row r="37" spans="1:18">
      <c r="A37" s="662" t="str">
        <f t="shared" si="0"/>
        <v>CAM_DAI_LY</v>
      </c>
      <c r="B37" s="369"/>
      <c r="C37" s="798">
        <f t="shared" si="5"/>
        <v>951</v>
      </c>
      <c r="D37" s="17"/>
      <c r="E37" s="17"/>
      <c r="F37" s="16" t="str">
        <f t="shared" si="2"/>
        <v>25</v>
      </c>
      <c r="J37" s="662" t="str">
        <f>VLOOKUP(P37,Sheet6!$A$2:$E$160,3,0)</f>
        <v>1290D209510025</v>
      </c>
      <c r="L37" s="797" t="s">
        <v>956</v>
      </c>
      <c r="M37" s="370" t="s">
        <v>956</v>
      </c>
      <c r="N37" s="369" t="s">
        <v>957</v>
      </c>
      <c r="O37" s="368" t="str">
        <f t="shared" si="3"/>
        <v>125</v>
      </c>
      <c r="P37" t="str">
        <f t="shared" si="4"/>
        <v>95125</v>
      </c>
      <c r="Q37" s="17">
        <v>951</v>
      </c>
      <c r="R37" s="17">
        <v>25</v>
      </c>
    </row>
    <row r="38" spans="1:18">
      <c r="A38" s="662" t="str">
        <f t="shared" si="0"/>
        <v>CAM_DAI_LY</v>
      </c>
      <c r="B38" s="369"/>
      <c r="C38" s="798">
        <f t="shared" si="5"/>
        <v>952</v>
      </c>
      <c r="D38" s="17"/>
      <c r="E38" s="17"/>
      <c r="F38" s="16" t="str">
        <f t="shared" si="2"/>
        <v>25</v>
      </c>
      <c r="J38" s="662" t="str">
        <f>VLOOKUP(P38,Sheet6!$A$2:$E$160,3,0)</f>
        <v>1290D209520025</v>
      </c>
      <c r="L38" s="797" t="s">
        <v>958</v>
      </c>
      <c r="M38" s="370" t="s">
        <v>958</v>
      </c>
      <c r="N38" s="369" t="s">
        <v>959</v>
      </c>
      <c r="O38" s="368" t="str">
        <f t="shared" si="3"/>
        <v>125</v>
      </c>
      <c r="P38" t="str">
        <f t="shared" si="4"/>
        <v>95225</v>
      </c>
      <c r="Q38" s="17">
        <v>952</v>
      </c>
      <c r="R38" s="17">
        <v>25</v>
      </c>
    </row>
    <row r="39" spans="1:18">
      <c r="A39" s="662" t="str">
        <f t="shared" si="0"/>
        <v>CAM_DAI_LY</v>
      </c>
      <c r="B39" s="369"/>
      <c r="C39" s="798">
        <f t="shared" si="5"/>
        <v>953</v>
      </c>
      <c r="D39" s="17"/>
      <c r="E39" s="17"/>
      <c r="F39" s="16" t="str">
        <f t="shared" si="2"/>
        <v>25</v>
      </c>
      <c r="J39" s="662" t="str">
        <f>VLOOKUP(P39,Sheet6!$A$2:$E$160,3,0)</f>
        <v>1290D209530025</v>
      </c>
      <c r="L39" s="797" t="s">
        <v>964</v>
      </c>
      <c r="M39" s="370" t="s">
        <v>964</v>
      </c>
      <c r="N39" s="369" t="s">
        <v>965</v>
      </c>
      <c r="O39" s="368" t="str">
        <f t="shared" si="3"/>
        <v>125</v>
      </c>
      <c r="P39" t="str">
        <f t="shared" si="4"/>
        <v>95325</v>
      </c>
      <c r="Q39" s="17">
        <v>953</v>
      </c>
      <c r="R39" s="17">
        <v>25</v>
      </c>
    </row>
    <row r="40" spans="1:18">
      <c r="A40" s="662" t="str">
        <f t="shared" si="0"/>
        <v>CAM_DAI_LY</v>
      </c>
      <c r="B40" s="369"/>
      <c r="C40" s="798">
        <f t="shared" si="5"/>
        <v>966</v>
      </c>
      <c r="D40" s="17"/>
      <c r="E40" s="17"/>
      <c r="F40" s="16" t="str">
        <f t="shared" si="2"/>
        <v>25</v>
      </c>
      <c r="J40" s="662" t="str">
        <f>VLOOKUP(P40,Sheet6!$A$2:$E$160,3,0)</f>
        <v>1290D209660025</v>
      </c>
      <c r="L40" s="797" t="s">
        <v>979</v>
      </c>
      <c r="M40" s="370" t="s">
        <v>979</v>
      </c>
      <c r="N40" s="369" t="s">
        <v>980</v>
      </c>
      <c r="O40" s="368" t="str">
        <f t="shared" si="3"/>
        <v>125</v>
      </c>
      <c r="P40" t="str">
        <f t="shared" si="4"/>
        <v>96625</v>
      </c>
      <c r="Q40" s="17">
        <v>966</v>
      </c>
      <c r="R40" s="17">
        <v>25</v>
      </c>
    </row>
    <row r="41" spans="1:18">
      <c r="A41" s="662" t="str">
        <f t="shared" si="0"/>
        <v>CAM_DAI_LY</v>
      </c>
      <c r="B41" s="369"/>
      <c r="C41" s="798">
        <f t="shared" si="5"/>
        <v>967</v>
      </c>
      <c r="D41" s="17"/>
      <c r="E41" s="17"/>
      <c r="F41" s="16" t="str">
        <f t="shared" si="2"/>
        <v>25</v>
      </c>
      <c r="J41" s="662" t="str">
        <f>VLOOKUP(P41,Sheet6!$A$2:$E$160,3,0)</f>
        <v>1290D209670025</v>
      </c>
      <c r="L41" s="797" t="s">
        <v>985</v>
      </c>
      <c r="M41" s="370" t="s">
        <v>985</v>
      </c>
      <c r="N41" s="369" t="s">
        <v>986</v>
      </c>
      <c r="O41" s="368" t="str">
        <f t="shared" si="3"/>
        <v>125</v>
      </c>
      <c r="P41" t="str">
        <f t="shared" si="4"/>
        <v>96725</v>
      </c>
      <c r="Q41" s="17">
        <v>967</v>
      </c>
      <c r="R41" s="17">
        <v>25</v>
      </c>
    </row>
    <row r="42" spans="1:18">
      <c r="A42" s="662" t="str">
        <f t="shared" si="0"/>
        <v>CAM_DAI_LY</v>
      </c>
      <c r="B42" s="369"/>
      <c r="C42" s="798">
        <f t="shared" si="5"/>
        <v>984</v>
      </c>
      <c r="D42" s="17"/>
      <c r="E42" s="17"/>
      <c r="F42" s="16" t="str">
        <f t="shared" si="2"/>
        <v>25</v>
      </c>
      <c r="J42" s="662" t="str">
        <f>VLOOKUP(P42,Sheet6!$A$2:$E$160,3,0)</f>
        <v>1290D209840025</v>
      </c>
      <c r="L42" s="797" t="s">
        <v>989</v>
      </c>
      <c r="M42" s="370" t="s">
        <v>989</v>
      </c>
      <c r="N42" s="369" t="s">
        <v>990</v>
      </c>
      <c r="O42" s="368" t="str">
        <f t="shared" si="3"/>
        <v>125</v>
      </c>
      <c r="P42" t="str">
        <f t="shared" si="4"/>
        <v>98425</v>
      </c>
      <c r="Q42" s="17">
        <v>984</v>
      </c>
      <c r="R42" s="17">
        <v>25</v>
      </c>
    </row>
    <row r="43" spans="1:18">
      <c r="A43" s="662" t="str">
        <f t="shared" si="0"/>
        <v>CAM_DAI_LY</v>
      </c>
      <c r="B43" s="369"/>
      <c r="C43" s="798">
        <f t="shared" si="5"/>
        <v>995</v>
      </c>
      <c r="D43" s="17"/>
      <c r="E43" s="17"/>
      <c r="F43" s="16" t="str">
        <f t="shared" si="2"/>
        <v>25</v>
      </c>
      <c r="J43" s="662" t="e">
        <f>VLOOKUP(P43,Sheet6!$A$2:$E$160,3,0)</f>
        <v>#N/A</v>
      </c>
      <c r="L43" s="399">
        <v>21125950000125</v>
      </c>
      <c r="M43" s="370" t="s">
        <v>1085</v>
      </c>
      <c r="N43" s="369" t="s">
        <v>1086</v>
      </c>
      <c r="O43" s="368" t="str">
        <f t="shared" si="3"/>
        <v>125</v>
      </c>
      <c r="P43" t="str">
        <f t="shared" si="4"/>
        <v>99525</v>
      </c>
      <c r="Q43" s="17">
        <v>995</v>
      </c>
      <c r="R43" s="17">
        <v>25</v>
      </c>
    </row>
    <row r="44" spans="1:18">
      <c r="A44" s="662" t="str">
        <f t="shared" si="0"/>
        <v>CAM_DAI_LY</v>
      </c>
      <c r="B44" s="369"/>
      <c r="C44" s="798">
        <f t="shared" si="5"/>
        <v>996</v>
      </c>
      <c r="D44" s="17"/>
      <c r="E44" s="17"/>
      <c r="F44" s="16" t="str">
        <f t="shared" si="2"/>
        <v>25</v>
      </c>
      <c r="J44" s="662" t="e">
        <f>VLOOKUP(P44,Sheet6!$A$2:$E$160,3,0)</f>
        <v>#N/A</v>
      </c>
      <c r="L44" s="399">
        <v>21125960000125</v>
      </c>
      <c r="M44" s="370" t="s">
        <v>1442</v>
      </c>
      <c r="N44" s="369" t="s">
        <v>1443</v>
      </c>
      <c r="O44" s="368" t="str">
        <f t="shared" si="3"/>
        <v>125</v>
      </c>
      <c r="P44" t="str">
        <f t="shared" si="4"/>
        <v>99625</v>
      </c>
      <c r="Q44" s="17">
        <v>996</v>
      </c>
      <c r="R44" s="17">
        <v>25</v>
      </c>
    </row>
    <row r="45" spans="1:18">
      <c r="A45" s="662" t="str">
        <f t="shared" si="0"/>
        <v>CAM_DAI_LY</v>
      </c>
      <c r="B45" s="369"/>
      <c r="C45" s="798">
        <f t="shared" si="5"/>
        <v>6824</v>
      </c>
      <c r="D45" s="17"/>
      <c r="E45" s="17"/>
      <c r="F45" s="16" t="str">
        <f t="shared" si="2"/>
        <v>25</v>
      </c>
      <c r="J45" s="662" t="e">
        <f>VLOOKUP(P45,Sheet6!$A$2:$E$160,3,0)</f>
        <v>#N/A</v>
      </c>
      <c r="L45" s="399">
        <v>21163240000125</v>
      </c>
      <c r="M45" s="370" t="s">
        <v>1794</v>
      </c>
      <c r="N45" s="369" t="s">
        <v>1795</v>
      </c>
      <c r="O45" s="368" t="str">
        <f t="shared" si="3"/>
        <v>125</v>
      </c>
      <c r="P45" t="str">
        <f t="shared" si="4"/>
        <v>682425</v>
      </c>
      <c r="Q45" s="17">
        <v>6824</v>
      </c>
      <c r="R45" s="17">
        <v>25</v>
      </c>
    </row>
    <row r="46" spans="1:18">
      <c r="A46" s="662" t="str">
        <f t="shared" si="0"/>
        <v>CAM_DAI_LY</v>
      </c>
      <c r="B46" s="369"/>
      <c r="C46" s="798">
        <f t="shared" si="5"/>
        <v>6884</v>
      </c>
      <c r="D46" s="17"/>
      <c r="E46" s="17"/>
      <c r="F46" s="16" t="str">
        <f t="shared" si="2"/>
        <v>25</v>
      </c>
      <c r="J46" s="662" t="str">
        <f>VLOOKUP(P46,Sheet6!$A$2:$E$160,3,0)</f>
        <v>1290K468840025</v>
      </c>
      <c r="L46" s="399">
        <v>21163840000125</v>
      </c>
      <c r="M46" s="370" t="s">
        <v>1816</v>
      </c>
      <c r="N46" s="369" t="s">
        <v>1817</v>
      </c>
      <c r="O46" s="368" t="str">
        <f t="shared" si="3"/>
        <v>125</v>
      </c>
      <c r="P46" t="str">
        <f t="shared" si="4"/>
        <v>688425</v>
      </c>
      <c r="Q46" s="17">
        <v>6884</v>
      </c>
      <c r="R46" s="17">
        <v>25</v>
      </c>
    </row>
    <row r="47" spans="1:18">
      <c r="A47" s="662" t="str">
        <f t="shared" si="0"/>
        <v>CAM_DAI_LY</v>
      </c>
      <c r="B47" s="369"/>
      <c r="C47" s="798">
        <f t="shared" si="5"/>
        <v>6895</v>
      </c>
      <c r="D47" s="17"/>
      <c r="E47" s="17"/>
      <c r="F47" s="16" t="str">
        <f t="shared" si="2"/>
        <v>25</v>
      </c>
      <c r="J47" s="662" t="str">
        <f>VLOOKUP(P47,Sheet6!$A$2:$E$160,3,0)</f>
        <v>1290K368950025</v>
      </c>
      <c r="L47" s="399">
        <v>21163950000125</v>
      </c>
      <c r="M47" s="370" t="s">
        <v>1796</v>
      </c>
      <c r="N47" s="369" t="s">
        <v>1797</v>
      </c>
      <c r="O47" s="368" t="str">
        <f t="shared" si="3"/>
        <v>125</v>
      </c>
      <c r="P47" t="str">
        <f t="shared" si="4"/>
        <v>689525</v>
      </c>
      <c r="Q47" s="17">
        <v>6895</v>
      </c>
      <c r="R47" s="17">
        <v>25</v>
      </c>
    </row>
    <row r="48" spans="1:18">
      <c r="A48" s="662" t="str">
        <f t="shared" si="0"/>
        <v>CAM_DAI_LY</v>
      </c>
      <c r="B48" s="369"/>
      <c r="C48" s="798">
        <f t="shared" si="5"/>
        <v>6911</v>
      </c>
      <c r="D48" s="17"/>
      <c r="E48" s="17"/>
      <c r="F48" s="16" t="str">
        <f t="shared" si="2"/>
        <v>25</v>
      </c>
      <c r="J48" s="662" t="str">
        <f>VLOOKUP(P48,Sheet6!$A$2:$E$160,3,0)</f>
        <v>1290D269110025</v>
      </c>
      <c r="L48" s="399">
        <v>21165110000125</v>
      </c>
      <c r="M48" s="370" t="s">
        <v>1723</v>
      </c>
      <c r="N48" s="369" t="s">
        <v>1724</v>
      </c>
      <c r="O48" s="368" t="str">
        <f t="shared" si="3"/>
        <v>125</v>
      </c>
      <c r="P48" t="str">
        <f t="shared" si="4"/>
        <v>691125</v>
      </c>
      <c r="Q48" s="17">
        <v>6911</v>
      </c>
      <c r="R48" s="17">
        <v>25</v>
      </c>
    </row>
    <row r="49" spans="1:18">
      <c r="A49" s="662" t="str">
        <f t="shared" si="0"/>
        <v>CAM_DAI_LY</v>
      </c>
      <c r="B49" s="576"/>
      <c r="C49" s="798">
        <f t="shared" si="5"/>
        <v>6924</v>
      </c>
      <c r="D49" s="17"/>
      <c r="E49" s="17"/>
      <c r="F49" s="16" t="str">
        <f t="shared" si="2"/>
        <v>25</v>
      </c>
      <c r="J49" s="662" t="str">
        <f>VLOOKUP(P49,Sheet6!$A$2:$E$160,3,0)</f>
        <v>1290K369240025</v>
      </c>
      <c r="L49" s="640">
        <v>21165240000125</v>
      </c>
      <c r="M49" s="640" t="s">
        <v>1799</v>
      </c>
      <c r="N49" s="576" t="s">
        <v>1800</v>
      </c>
      <c r="O49" s="368" t="str">
        <f t="shared" si="3"/>
        <v>125</v>
      </c>
      <c r="P49" t="str">
        <f t="shared" si="4"/>
        <v>692425</v>
      </c>
      <c r="Q49" s="17">
        <v>6924</v>
      </c>
      <c r="R49" s="17">
        <v>25</v>
      </c>
    </row>
    <row r="50" spans="1:18">
      <c r="A50" s="662" t="str">
        <f t="shared" si="0"/>
        <v>CAM_DAI_LY</v>
      </c>
      <c r="B50" s="369"/>
      <c r="C50" s="798">
        <f t="shared" si="5"/>
        <v>6948</v>
      </c>
      <c r="D50" s="17"/>
      <c r="E50" s="17"/>
      <c r="F50" s="16" t="str">
        <f t="shared" si="2"/>
        <v>25</v>
      </c>
      <c r="J50" s="662" t="e">
        <f>VLOOKUP(P50,Sheet6!$A$2:$E$160,3,0)</f>
        <v>#N/A</v>
      </c>
      <c r="L50" s="399">
        <v>21165480000125</v>
      </c>
      <c r="M50" s="370" t="s">
        <v>1814</v>
      </c>
      <c r="N50" s="369" t="s">
        <v>1815</v>
      </c>
      <c r="O50" s="368" t="str">
        <f t="shared" si="3"/>
        <v>125</v>
      </c>
      <c r="P50" t="str">
        <f t="shared" si="4"/>
        <v>694825</v>
      </c>
      <c r="Q50" s="17">
        <v>6948</v>
      </c>
      <c r="R50" s="17">
        <v>25</v>
      </c>
    </row>
    <row r="51" spans="1:18">
      <c r="A51" s="662" t="str">
        <f t="shared" si="0"/>
        <v>CAM_DAI_LY</v>
      </c>
      <c r="B51" s="369"/>
      <c r="C51" s="798">
        <f t="shared" si="5"/>
        <v>6949</v>
      </c>
      <c r="D51" s="17"/>
      <c r="E51" s="17"/>
      <c r="F51" s="16" t="str">
        <f t="shared" si="2"/>
        <v>25</v>
      </c>
      <c r="J51" s="662" t="str">
        <f>VLOOKUP(P51,Sheet6!$A$2:$E$160,3,0)</f>
        <v>1290D269490025</v>
      </c>
      <c r="L51" s="399">
        <v>21165490000125</v>
      </c>
      <c r="M51" s="370" t="s">
        <v>1766</v>
      </c>
      <c r="N51" s="369" t="s">
        <v>1767</v>
      </c>
      <c r="O51" s="368" t="str">
        <f t="shared" si="3"/>
        <v>125</v>
      </c>
      <c r="P51" t="str">
        <f t="shared" si="4"/>
        <v>694925</v>
      </c>
      <c r="Q51" s="17">
        <v>6949</v>
      </c>
      <c r="R51" s="17">
        <v>25</v>
      </c>
    </row>
    <row r="52" spans="1:18">
      <c r="A52" s="662" t="str">
        <f t="shared" si="0"/>
        <v>CAM_DAI_LY</v>
      </c>
      <c r="B52" s="369"/>
      <c r="C52" s="798">
        <f t="shared" si="5"/>
        <v>6952</v>
      </c>
      <c r="D52" s="17"/>
      <c r="E52" s="17"/>
      <c r="F52" s="16" t="str">
        <f t="shared" si="2"/>
        <v>25</v>
      </c>
      <c r="J52" s="662" t="str">
        <f>VLOOKUP(P52,Sheet6!$A$2:$E$160,3,0)</f>
        <v>1290D269520025</v>
      </c>
      <c r="L52" s="399">
        <v>21165520000125</v>
      </c>
      <c r="M52" s="370" t="s">
        <v>1733</v>
      </c>
      <c r="N52" s="369" t="s">
        <v>1734</v>
      </c>
      <c r="O52" s="368" t="str">
        <f t="shared" si="3"/>
        <v>125</v>
      </c>
      <c r="P52" t="str">
        <f t="shared" si="4"/>
        <v>695225</v>
      </c>
      <c r="Q52" s="17">
        <v>6952</v>
      </c>
      <c r="R52" s="17">
        <v>25</v>
      </c>
    </row>
    <row r="53" spans="1:18">
      <c r="A53" s="662" t="str">
        <f t="shared" si="0"/>
        <v>CAM_DAI_LY</v>
      </c>
      <c r="B53" s="369"/>
      <c r="C53" s="798">
        <f t="shared" si="5"/>
        <v>6953</v>
      </c>
      <c r="D53" s="17"/>
      <c r="E53" s="17"/>
      <c r="F53" s="16" t="str">
        <f t="shared" si="2"/>
        <v>25</v>
      </c>
      <c r="J53" s="662" t="str">
        <f>VLOOKUP(P53,Sheet6!$A$2:$E$160,3,0)</f>
        <v>1290D269530025</v>
      </c>
      <c r="L53" s="399">
        <v>21165530000125</v>
      </c>
      <c r="M53" s="370" t="s">
        <v>1785</v>
      </c>
      <c r="N53" s="369" t="s">
        <v>1786</v>
      </c>
      <c r="O53" s="368" t="str">
        <f t="shared" si="3"/>
        <v>125</v>
      </c>
      <c r="P53" t="str">
        <f t="shared" si="4"/>
        <v>695325</v>
      </c>
      <c r="Q53" s="17">
        <v>6953</v>
      </c>
      <c r="R53" s="17">
        <v>25</v>
      </c>
    </row>
    <row r="54" spans="1:18">
      <c r="A54" s="662" t="str">
        <f t="shared" si="0"/>
        <v>CAM_DAI_LY</v>
      </c>
      <c r="B54" s="369"/>
      <c r="C54" s="798">
        <f t="shared" si="5"/>
        <v>6954</v>
      </c>
      <c r="D54" s="17"/>
      <c r="E54" s="17"/>
      <c r="F54" s="16" t="str">
        <f t="shared" si="2"/>
        <v>25</v>
      </c>
      <c r="J54" s="662" t="e">
        <f>VLOOKUP(P54,Sheet6!$A$2:$E$160,3,0)</f>
        <v>#N/A</v>
      </c>
      <c r="L54" s="399">
        <v>21165540000125</v>
      </c>
      <c r="M54" s="370" t="s">
        <v>1756</v>
      </c>
      <c r="N54" s="369" t="s">
        <v>1757</v>
      </c>
      <c r="O54" s="368" t="str">
        <f t="shared" si="3"/>
        <v>125</v>
      </c>
      <c r="P54" t="str">
        <f t="shared" si="4"/>
        <v>695425</v>
      </c>
      <c r="Q54" s="17">
        <v>6954</v>
      </c>
      <c r="R54" s="17">
        <v>25</v>
      </c>
    </row>
    <row r="55" spans="1:18">
      <c r="A55" s="662" t="str">
        <f t="shared" si="0"/>
        <v>CAM_DAI_LY</v>
      </c>
      <c r="B55" s="369"/>
      <c r="C55" s="798">
        <f t="shared" si="5"/>
        <v>6984</v>
      </c>
      <c r="D55" s="17"/>
      <c r="E55" s="17"/>
      <c r="F55" s="16" t="str">
        <f t="shared" si="2"/>
        <v>25</v>
      </c>
      <c r="J55" s="662" t="e">
        <f>VLOOKUP(P55,Sheet6!$A$2:$E$160,3,0)</f>
        <v>#N/A</v>
      </c>
      <c r="L55" s="399">
        <v>21165840000125</v>
      </c>
      <c r="M55" s="370" t="s">
        <v>1830</v>
      </c>
      <c r="N55" s="369" t="s">
        <v>1831</v>
      </c>
      <c r="O55" s="368" t="str">
        <f t="shared" si="3"/>
        <v>125</v>
      </c>
      <c r="P55" t="str">
        <f t="shared" si="4"/>
        <v>698425</v>
      </c>
      <c r="Q55" s="17">
        <v>6984</v>
      </c>
      <c r="R55" s="17">
        <v>25</v>
      </c>
    </row>
    <row r="56" spans="1:18">
      <c r="A56" s="662" t="str">
        <f t="shared" si="0"/>
        <v>CAM_DAI_LY</v>
      </c>
      <c r="B56" s="369"/>
      <c r="C56" s="798">
        <f t="shared" si="5"/>
        <v>6991</v>
      </c>
      <c r="D56" s="17"/>
      <c r="E56" s="17"/>
      <c r="F56" s="16" t="str">
        <f t="shared" si="2"/>
        <v>25</v>
      </c>
      <c r="J56" s="662" t="str">
        <f>VLOOKUP(P56,Sheet6!$A$2:$E$160,3,0)</f>
        <v>1290D269910025</v>
      </c>
      <c r="L56" s="399">
        <v>21165910000125</v>
      </c>
      <c r="M56" s="370" t="s">
        <v>1731</v>
      </c>
      <c r="N56" s="369" t="s">
        <v>1732</v>
      </c>
      <c r="O56" s="368" t="str">
        <f t="shared" si="3"/>
        <v>125</v>
      </c>
      <c r="P56" t="str">
        <f t="shared" si="4"/>
        <v>699125</v>
      </c>
      <c r="Q56" s="17">
        <v>6991</v>
      </c>
      <c r="R56" s="17">
        <v>25</v>
      </c>
    </row>
    <row r="57" spans="1:18">
      <c r="A57" s="662" t="str">
        <f t="shared" si="0"/>
        <v>CAM_DAI_LY</v>
      </c>
      <c r="B57" s="369"/>
      <c r="C57" s="798">
        <f t="shared" si="5"/>
        <v>6995</v>
      </c>
      <c r="D57" s="17"/>
      <c r="E57" s="17"/>
      <c r="F57" s="16" t="str">
        <f t="shared" si="2"/>
        <v>25</v>
      </c>
      <c r="J57" s="662" t="str">
        <f>VLOOKUP(P57,Sheet6!$A$2:$E$160,3,0)</f>
        <v>1290K369950025</v>
      </c>
      <c r="L57" s="399">
        <v>21165950000125</v>
      </c>
      <c r="M57" s="370" t="s">
        <v>1789</v>
      </c>
      <c r="N57" s="369" t="s">
        <v>1790</v>
      </c>
      <c r="O57" s="368" t="str">
        <f t="shared" si="3"/>
        <v>125</v>
      </c>
      <c r="P57" t="str">
        <f t="shared" si="4"/>
        <v>699525</v>
      </c>
      <c r="Q57" s="17">
        <v>6995</v>
      </c>
      <c r="R57" s="17">
        <v>25</v>
      </c>
    </row>
    <row r="58" spans="1:18">
      <c r="A58" s="662" t="str">
        <f t="shared" si="0"/>
        <v>CAM_DAI_LY</v>
      </c>
      <c r="B58" s="369"/>
      <c r="C58" s="798">
        <f t="shared" si="5"/>
        <v>9624</v>
      </c>
      <c r="D58" s="17"/>
      <c r="E58" s="17"/>
      <c r="F58" s="16" t="str">
        <f t="shared" si="2"/>
        <v>25</v>
      </c>
      <c r="J58" s="662" t="e">
        <f>VLOOKUP(P58,Sheet6!$A$2:$E$160,3,0)</f>
        <v>#N/A</v>
      </c>
      <c r="L58" s="399">
        <v>21196240000125</v>
      </c>
      <c r="M58" s="370" t="s">
        <v>1858</v>
      </c>
      <c r="N58" s="369" t="s">
        <v>1859</v>
      </c>
      <c r="O58" s="368" t="str">
        <f t="shared" si="3"/>
        <v>125</v>
      </c>
      <c r="P58" t="str">
        <f t="shared" si="4"/>
        <v>962425</v>
      </c>
      <c r="Q58" s="17">
        <v>9624</v>
      </c>
      <c r="R58" s="17">
        <v>25</v>
      </c>
    </row>
    <row r="59" spans="1:18">
      <c r="A59" s="662" t="str">
        <f t="shared" si="0"/>
        <v>CAM_DAI_LY</v>
      </c>
      <c r="B59" s="369"/>
      <c r="C59" s="798">
        <f t="shared" si="5"/>
        <v>9651</v>
      </c>
      <c r="D59" s="17"/>
      <c r="E59" s="17"/>
      <c r="F59" s="16" t="str">
        <f t="shared" si="2"/>
        <v>25</v>
      </c>
      <c r="J59" s="662" t="str">
        <f>VLOOKUP(P59,Sheet6!$A$2:$E$160,3,0)</f>
        <v>1290D296510025</v>
      </c>
      <c r="L59" s="797" t="s">
        <v>968</v>
      </c>
      <c r="M59" s="370" t="s">
        <v>968</v>
      </c>
      <c r="N59" s="369" t="s">
        <v>969</v>
      </c>
      <c r="O59" s="368" t="str">
        <f t="shared" si="3"/>
        <v>125</v>
      </c>
      <c r="P59" t="str">
        <f t="shared" si="4"/>
        <v>965125</v>
      </c>
      <c r="Q59" s="17">
        <v>9651</v>
      </c>
      <c r="R59" s="17">
        <v>25</v>
      </c>
    </row>
    <row r="60" spans="1:18">
      <c r="A60" s="662" t="str">
        <f t="shared" si="0"/>
        <v>CAM_DAI_LY</v>
      </c>
      <c r="B60" s="369"/>
      <c r="C60" s="798">
        <f t="shared" si="5"/>
        <v>9652</v>
      </c>
      <c r="D60" s="17"/>
      <c r="E60" s="17"/>
      <c r="F60" s="16" t="str">
        <f t="shared" si="2"/>
        <v>25</v>
      </c>
      <c r="J60" s="662" t="str">
        <f>VLOOKUP(P60,Sheet6!$A$2:$E$160,3,0)</f>
        <v>1290D296520025</v>
      </c>
      <c r="L60" s="797" t="s">
        <v>970</v>
      </c>
      <c r="M60" s="370" t="s">
        <v>970</v>
      </c>
      <c r="N60" s="369" t="s">
        <v>971</v>
      </c>
      <c r="O60" s="368" t="str">
        <f t="shared" si="3"/>
        <v>125</v>
      </c>
      <c r="P60" t="str">
        <f t="shared" si="4"/>
        <v>965225</v>
      </c>
      <c r="Q60" s="17">
        <v>9652</v>
      </c>
      <c r="R60" s="17">
        <v>25</v>
      </c>
    </row>
    <row r="61" spans="1:18">
      <c r="A61" s="662" t="str">
        <f t="shared" si="0"/>
        <v>CAM_DAI_LY</v>
      </c>
      <c r="B61" s="369"/>
      <c r="C61" s="798">
        <f t="shared" si="5"/>
        <v>9653</v>
      </c>
      <c r="D61" s="17"/>
      <c r="E61" s="17"/>
      <c r="F61" s="16" t="str">
        <f t="shared" si="2"/>
        <v>25</v>
      </c>
      <c r="J61" s="662" t="e">
        <f>VLOOKUP(P61,Sheet6!$A$2:$E$160,3,0)</f>
        <v>#N/A</v>
      </c>
      <c r="L61" s="797" t="s">
        <v>974</v>
      </c>
      <c r="M61" s="370" t="s">
        <v>974</v>
      </c>
      <c r="N61" s="369" t="s">
        <v>975</v>
      </c>
      <c r="O61" s="368" t="str">
        <f t="shared" si="3"/>
        <v>125</v>
      </c>
      <c r="P61" t="str">
        <f t="shared" si="4"/>
        <v>965325</v>
      </c>
      <c r="Q61" s="17">
        <v>9653</v>
      </c>
      <c r="R61" s="17">
        <v>25</v>
      </c>
    </row>
    <row r="62" spans="1:18">
      <c r="A62" s="662" t="str">
        <f t="shared" si="0"/>
        <v>CAM_DAI_LY</v>
      </c>
      <c r="B62" s="369"/>
      <c r="C62" s="798">
        <f t="shared" si="5"/>
        <v>9666</v>
      </c>
      <c r="D62" s="17"/>
      <c r="E62" s="17"/>
      <c r="F62" s="16" t="str">
        <f t="shared" si="2"/>
        <v>25</v>
      </c>
      <c r="J62" s="662" t="str">
        <f>VLOOKUP(P62,Sheet6!$A$2:$E$160,3,0)</f>
        <v>1290D296660025</v>
      </c>
      <c r="L62" s="797" t="s">
        <v>981</v>
      </c>
      <c r="M62" s="370" t="s">
        <v>981</v>
      </c>
      <c r="N62" s="369" t="s">
        <v>982</v>
      </c>
      <c r="O62" s="368" t="str">
        <f t="shared" si="3"/>
        <v>125</v>
      </c>
      <c r="P62" t="str">
        <f t="shared" si="4"/>
        <v>966625</v>
      </c>
      <c r="Q62" s="17">
        <v>9666</v>
      </c>
      <c r="R62" s="17">
        <v>25</v>
      </c>
    </row>
    <row r="63" spans="1:18">
      <c r="A63" s="662" t="str">
        <f t="shared" si="0"/>
        <v>CAM_DAI_LY</v>
      </c>
      <c r="B63" s="369"/>
      <c r="C63" s="798">
        <f t="shared" si="5"/>
        <v>9667</v>
      </c>
      <c r="D63" s="17"/>
      <c r="E63" s="17"/>
      <c r="F63" s="16" t="str">
        <f t="shared" si="2"/>
        <v>25</v>
      </c>
      <c r="J63" s="662" t="str">
        <f>VLOOKUP(P63,Sheet6!$A$2:$E$160,3,0)</f>
        <v>1290D296670025</v>
      </c>
      <c r="L63" s="797" t="s">
        <v>983</v>
      </c>
      <c r="M63" s="370" t="s">
        <v>983</v>
      </c>
      <c r="N63" s="369" t="s">
        <v>984</v>
      </c>
      <c r="O63" s="368" t="str">
        <f t="shared" si="3"/>
        <v>125</v>
      </c>
      <c r="P63" t="str">
        <f t="shared" si="4"/>
        <v>966725</v>
      </c>
      <c r="Q63" s="17">
        <v>9667</v>
      </c>
      <c r="R63" s="17">
        <v>25</v>
      </c>
    </row>
    <row r="64" spans="1:18">
      <c r="A64" s="662" t="str">
        <f t="shared" si="0"/>
        <v>CAM_TUI</v>
      </c>
      <c r="B64" s="369"/>
      <c r="C64" s="798" t="str">
        <f t="shared" si="5"/>
        <v>150S</v>
      </c>
      <c r="D64" s="16"/>
      <c r="E64" s="16"/>
      <c r="F64" s="16" t="str">
        <f t="shared" si="2"/>
        <v>25</v>
      </c>
      <c r="J64" s="662" t="e">
        <f>VLOOKUP(P64,Sheet6!$A$2:$E$160,3,0)</f>
        <v>#N/A</v>
      </c>
      <c r="L64" s="797" t="s">
        <v>549</v>
      </c>
      <c r="M64" s="370" t="s">
        <v>549</v>
      </c>
      <c r="N64" s="369" t="s">
        <v>550</v>
      </c>
      <c r="O64" s="368" t="str">
        <f t="shared" si="3"/>
        <v>425</v>
      </c>
      <c r="P64" t="str">
        <f t="shared" si="4"/>
        <v>150S5*5</v>
      </c>
      <c r="Q64" s="16" t="s">
        <v>109</v>
      </c>
      <c r="R64" s="17" t="s">
        <v>56</v>
      </c>
    </row>
    <row r="65" spans="1:18">
      <c r="A65" s="662" t="str">
        <f t="shared" si="0"/>
        <v>CAM_DAI_LY</v>
      </c>
      <c r="B65" s="369"/>
      <c r="C65" s="798" t="str">
        <f t="shared" si="5"/>
        <v>150S</v>
      </c>
      <c r="D65" s="17"/>
      <c r="E65" s="17"/>
      <c r="F65" s="16" t="str">
        <f t="shared" si="2"/>
        <v>25</v>
      </c>
      <c r="J65" s="662" t="e">
        <f>VLOOKUP(P65,Sheet6!$A$2:$E$160,3,0)</f>
        <v>#N/A</v>
      </c>
      <c r="L65" s="797" t="s">
        <v>552</v>
      </c>
      <c r="M65" s="370" t="s">
        <v>552</v>
      </c>
      <c r="N65" s="369" t="s">
        <v>553</v>
      </c>
      <c r="O65" s="368" t="str">
        <f t="shared" si="3"/>
        <v>125</v>
      </c>
      <c r="P65" t="str">
        <f t="shared" si="4"/>
        <v>150S25</v>
      </c>
      <c r="Q65" s="17" t="s">
        <v>109</v>
      </c>
      <c r="R65" s="17">
        <v>25</v>
      </c>
    </row>
    <row r="66" spans="1:18">
      <c r="A66" s="662" t="str">
        <f t="shared" ref="A66:A129" si="6">VLOOKUP(O66,$T$83:$U$91,2,0)</f>
        <v>CAM_TUI</v>
      </c>
      <c r="B66" s="369"/>
      <c r="C66" s="798" t="str">
        <f t="shared" ref="C66:C82" si="7">Q66</f>
        <v>157M</v>
      </c>
      <c r="D66" s="17"/>
      <c r="E66" s="17"/>
      <c r="F66" s="16" t="str">
        <f t="shared" ref="F66:F129" si="8">RIGHT(L66,2)</f>
        <v>25</v>
      </c>
      <c r="J66" s="662" t="e">
        <f>VLOOKUP(P66,Sheet6!$A$2:$E$160,3,0)</f>
        <v>#N/A</v>
      </c>
      <c r="L66" s="797" t="s">
        <v>562</v>
      </c>
      <c r="M66" s="370" t="s">
        <v>562</v>
      </c>
      <c r="N66" s="369" t="s">
        <v>563</v>
      </c>
      <c r="O66" s="368" t="str">
        <f t="shared" ref="O66:O129" si="9">MID(L66,12,3)</f>
        <v>425</v>
      </c>
      <c r="P66" t="str">
        <f t="shared" ref="P66:P129" si="10">C66&amp;R66</f>
        <v>157M5*5</v>
      </c>
      <c r="Q66" s="17" t="s">
        <v>115</v>
      </c>
      <c r="R66" s="17" t="s">
        <v>56</v>
      </c>
    </row>
    <row r="67" spans="1:18">
      <c r="A67" s="662" t="str">
        <f t="shared" si="6"/>
        <v>CAM_DAI_LY</v>
      </c>
      <c r="B67" s="369"/>
      <c r="C67" s="798" t="str">
        <f t="shared" si="7"/>
        <v>157M</v>
      </c>
      <c r="D67" s="17"/>
      <c r="E67" s="17"/>
      <c r="F67" s="16" t="str">
        <f t="shared" si="8"/>
        <v>25</v>
      </c>
      <c r="J67" s="662" t="e">
        <f>VLOOKUP(P67,Sheet6!$A$2:$E$160,3,0)</f>
        <v>#N/A</v>
      </c>
      <c r="L67" s="797" t="s">
        <v>565</v>
      </c>
      <c r="M67" s="370" t="s">
        <v>565</v>
      </c>
      <c r="N67" s="369" t="s">
        <v>566</v>
      </c>
      <c r="O67" s="368" t="str">
        <f t="shared" si="9"/>
        <v>125</v>
      </c>
      <c r="P67" t="str">
        <f t="shared" si="10"/>
        <v>157M25</v>
      </c>
      <c r="Q67" s="17" t="s">
        <v>115</v>
      </c>
      <c r="R67" s="17">
        <v>25</v>
      </c>
    </row>
    <row r="68" spans="1:18">
      <c r="A68" s="662" t="str">
        <f t="shared" si="6"/>
        <v>CAM_DAI_LY</v>
      </c>
      <c r="B68" s="369"/>
      <c r="C68" s="798" t="str">
        <f t="shared" si="7"/>
        <v>301A</v>
      </c>
      <c r="D68" s="17"/>
      <c r="E68" s="17"/>
      <c r="F68" s="16" t="str">
        <f t="shared" si="8"/>
        <v>25</v>
      </c>
      <c r="J68" s="662" t="e">
        <f>VLOOKUP(P68,Sheet6!$A$2:$E$160,3,0)</f>
        <v>#N/A</v>
      </c>
      <c r="L68" s="399">
        <v>21113010100125</v>
      </c>
      <c r="M68" s="370" t="s">
        <v>1574</v>
      </c>
      <c r="N68" s="369" t="s">
        <v>1575</v>
      </c>
      <c r="O68" s="368" t="str">
        <f t="shared" si="9"/>
        <v>125</v>
      </c>
      <c r="P68" t="str">
        <f t="shared" si="10"/>
        <v>301A25</v>
      </c>
      <c r="Q68" s="17" t="s">
        <v>118</v>
      </c>
      <c r="R68" s="17">
        <v>25</v>
      </c>
    </row>
    <row r="69" spans="1:18">
      <c r="A69" s="662" t="str">
        <f t="shared" si="6"/>
        <v>CAM_DAI_LY</v>
      </c>
      <c r="B69" s="369"/>
      <c r="C69" s="798" t="str">
        <f t="shared" si="7"/>
        <v>324A</v>
      </c>
      <c r="D69" s="17"/>
      <c r="E69" s="17"/>
      <c r="F69" s="16" t="str">
        <f t="shared" si="8"/>
        <v>25</v>
      </c>
      <c r="J69" s="662" t="e">
        <f>VLOOKUP(P69,Sheet6!$A$2:$E$160,3,0)</f>
        <v>#N/A</v>
      </c>
      <c r="L69" s="797" t="s">
        <v>580</v>
      </c>
      <c r="M69" s="370" t="s">
        <v>580</v>
      </c>
      <c r="N69" s="369" t="s">
        <v>581</v>
      </c>
      <c r="O69" s="368" t="str">
        <f t="shared" si="9"/>
        <v>125</v>
      </c>
      <c r="P69" t="str">
        <f t="shared" si="10"/>
        <v>324A25</v>
      </c>
      <c r="Q69" s="17" t="s">
        <v>125</v>
      </c>
      <c r="R69" s="17">
        <v>25</v>
      </c>
    </row>
    <row r="70" spans="1:18">
      <c r="A70" s="662" t="str">
        <f t="shared" si="6"/>
        <v>CAM_TRAI</v>
      </c>
      <c r="B70" s="369"/>
      <c r="C70" s="798" t="str">
        <f t="shared" si="7"/>
        <v>324F</v>
      </c>
      <c r="D70" s="16"/>
      <c r="E70" s="16"/>
      <c r="F70" s="16" t="str">
        <f t="shared" si="8"/>
        <v>50</v>
      </c>
      <c r="J70" s="662" t="e">
        <f>VLOOKUP(P70,Sheet6!$A$2:$E$160,3,0)</f>
        <v>#N/A</v>
      </c>
      <c r="L70" s="797" t="s">
        <v>582</v>
      </c>
      <c r="M70" s="370" t="s">
        <v>582</v>
      </c>
      <c r="N70" s="369" t="s">
        <v>583</v>
      </c>
      <c r="O70" s="368" t="str">
        <f t="shared" si="9"/>
        <v>250</v>
      </c>
      <c r="P70" t="str">
        <f t="shared" si="10"/>
        <v>324F50</v>
      </c>
      <c r="Q70" s="16" t="s">
        <v>584</v>
      </c>
      <c r="R70" s="17">
        <v>50</v>
      </c>
    </row>
    <row r="71" spans="1:18">
      <c r="A71" s="662" t="str">
        <f t="shared" si="6"/>
        <v>CAM_TRAI</v>
      </c>
      <c r="B71" s="369"/>
      <c r="C71" s="798" t="str">
        <f t="shared" si="7"/>
        <v>324F</v>
      </c>
      <c r="D71" s="16"/>
      <c r="E71" s="16"/>
      <c r="F71" s="16" t="str">
        <f t="shared" si="8"/>
        <v>25</v>
      </c>
      <c r="J71" s="662" t="e">
        <f>VLOOKUP(P71,Sheet6!$A$2:$E$160,3,0)</f>
        <v>#N/A</v>
      </c>
      <c r="L71" s="399">
        <v>21113240000225</v>
      </c>
      <c r="M71" s="370" t="s">
        <v>1206</v>
      </c>
      <c r="N71" s="369" t="s">
        <v>1207</v>
      </c>
      <c r="O71" s="368" t="str">
        <f t="shared" si="9"/>
        <v>225</v>
      </c>
      <c r="P71" t="str">
        <f t="shared" si="10"/>
        <v>324F25</v>
      </c>
      <c r="Q71" s="16" t="s">
        <v>584</v>
      </c>
      <c r="R71" s="17">
        <v>25</v>
      </c>
    </row>
    <row r="72" spans="1:18">
      <c r="A72" s="662" t="str">
        <f t="shared" si="6"/>
        <v>CAM_TRAI</v>
      </c>
      <c r="B72" s="369"/>
      <c r="C72" s="798" t="str">
        <f t="shared" si="7"/>
        <v>350F</v>
      </c>
      <c r="D72" s="16"/>
      <c r="E72" s="16"/>
      <c r="F72" s="16" t="str">
        <f t="shared" si="8"/>
        <v>10</v>
      </c>
      <c r="J72" s="662" t="e">
        <f>VLOOKUP(P72,Sheet6!$A$2:$E$160,3,0)</f>
        <v>#N/A</v>
      </c>
      <c r="L72" s="797" t="s">
        <v>997</v>
      </c>
      <c r="M72" s="370" t="s">
        <v>997</v>
      </c>
      <c r="N72" s="369" t="s">
        <v>998</v>
      </c>
      <c r="O72" s="368" t="str">
        <f t="shared" si="9"/>
        <v>210</v>
      </c>
      <c r="P72" t="str">
        <f t="shared" si="10"/>
        <v>350F10</v>
      </c>
      <c r="Q72" s="16" t="s">
        <v>999</v>
      </c>
      <c r="R72" s="17">
        <v>10</v>
      </c>
    </row>
    <row r="73" spans="1:18">
      <c r="A73" s="662" t="str">
        <f t="shared" si="6"/>
        <v>CAM_DAI_LY</v>
      </c>
      <c r="B73" s="369"/>
      <c r="C73" s="798" t="str">
        <f t="shared" si="7"/>
        <v>350P</v>
      </c>
      <c r="D73" s="17"/>
      <c r="E73" s="17"/>
      <c r="F73" s="16" t="str">
        <f t="shared" si="8"/>
        <v>10</v>
      </c>
      <c r="J73" s="662" t="e">
        <f>VLOOKUP(P73,Sheet6!$A$2:$E$160,3,0)</f>
        <v>#N/A</v>
      </c>
      <c r="L73" s="399">
        <v>21113501600110</v>
      </c>
      <c r="M73" s="370" t="s">
        <v>1219</v>
      </c>
      <c r="N73" s="369" t="s">
        <v>1220</v>
      </c>
      <c r="O73" s="368" t="str">
        <f t="shared" si="9"/>
        <v>110</v>
      </c>
      <c r="P73" t="str">
        <f t="shared" si="10"/>
        <v>350P10</v>
      </c>
      <c r="Q73" s="17" t="s">
        <v>2132</v>
      </c>
      <c r="R73" s="17">
        <v>10</v>
      </c>
    </row>
    <row r="74" spans="1:18">
      <c r="A74" s="662" t="str">
        <f t="shared" si="6"/>
        <v>Box</v>
      </c>
      <c r="B74" s="369"/>
      <c r="C74" s="798" t="str">
        <f t="shared" si="7"/>
        <v>350P Box</v>
      </c>
      <c r="D74" s="17"/>
      <c r="E74" s="17"/>
      <c r="F74" s="16" t="str">
        <f t="shared" si="8"/>
        <v>25</v>
      </c>
      <c r="J74" s="662" t="e">
        <f>VLOOKUP(P74,Sheet6!$A$2:$E$160,3,0)</f>
        <v>#N/A</v>
      </c>
      <c r="L74" s="399" t="s">
        <v>1292</v>
      </c>
      <c r="M74" s="370" t="s">
        <v>1292</v>
      </c>
      <c r="N74" s="369" t="s">
        <v>1293</v>
      </c>
      <c r="O74" s="368" t="str">
        <f t="shared" si="9"/>
        <v>925</v>
      </c>
      <c r="P74" t="str">
        <f t="shared" si="10"/>
        <v>350P Box25</v>
      </c>
      <c r="Q74" s="17" t="s">
        <v>1294</v>
      </c>
      <c r="R74" s="17">
        <v>25</v>
      </c>
    </row>
    <row r="75" spans="1:18">
      <c r="A75" s="662" t="str">
        <f t="shared" si="6"/>
        <v>CAM_TRAI</v>
      </c>
      <c r="B75" s="369"/>
      <c r="C75" s="798" t="str">
        <f t="shared" si="7"/>
        <v>350PF</v>
      </c>
      <c r="D75" s="16"/>
      <c r="E75" s="16"/>
      <c r="F75" s="16" t="str">
        <f t="shared" si="8"/>
        <v>10</v>
      </c>
      <c r="J75" s="662" t="e">
        <f>VLOOKUP(P75,Sheet6!$A$2:$E$160,3,0)</f>
        <v>#N/A</v>
      </c>
      <c r="L75" s="797" t="s">
        <v>748</v>
      </c>
      <c r="M75" s="370" t="s">
        <v>748</v>
      </c>
      <c r="N75" s="369" t="s">
        <v>749</v>
      </c>
      <c r="O75" s="368" t="str">
        <f t="shared" si="9"/>
        <v>210</v>
      </c>
      <c r="P75" t="str">
        <f t="shared" si="10"/>
        <v>350PF10</v>
      </c>
      <c r="Q75" s="16" t="s">
        <v>2133</v>
      </c>
      <c r="R75" s="17">
        <v>10</v>
      </c>
    </row>
    <row r="76" spans="1:18">
      <c r="A76" s="662" t="str">
        <f t="shared" si="6"/>
        <v>CAM_DAI_LY</v>
      </c>
      <c r="B76" s="369"/>
      <c r="C76" s="798" t="str">
        <f t="shared" si="7"/>
        <v>385S</v>
      </c>
      <c r="D76" s="17"/>
      <c r="E76" s="17"/>
      <c r="F76" s="16" t="str">
        <f t="shared" si="8"/>
        <v>25</v>
      </c>
      <c r="J76" s="662" t="str">
        <f>VLOOKUP(P76,Sheet6!$A$2:$E$160,3,0)</f>
        <v>1290D903851925</v>
      </c>
      <c r="L76" s="399">
        <v>21113851900125</v>
      </c>
      <c r="M76" s="370" t="s">
        <v>1328</v>
      </c>
      <c r="N76" s="369" t="s">
        <v>1329</v>
      </c>
      <c r="O76" s="368" t="str">
        <f t="shared" si="9"/>
        <v>125</v>
      </c>
      <c r="P76" t="str">
        <f t="shared" si="10"/>
        <v>385S25</v>
      </c>
      <c r="Q76" s="17" t="s">
        <v>131</v>
      </c>
      <c r="R76" s="17">
        <v>25</v>
      </c>
    </row>
    <row r="77" spans="1:18">
      <c r="A77" s="662" t="str">
        <f t="shared" si="6"/>
        <v>CAM_TRAI</v>
      </c>
      <c r="B77" s="369"/>
      <c r="C77" s="798" t="str">
        <f t="shared" si="7"/>
        <v>510F</v>
      </c>
      <c r="D77" s="17"/>
      <c r="E77" s="17"/>
      <c r="F77" s="16" t="str">
        <f t="shared" si="8"/>
        <v>50</v>
      </c>
      <c r="J77" s="662" t="e">
        <f>VLOOKUP(P77,Sheet6!$A$2:$E$160,3,0)</f>
        <v>#N/A</v>
      </c>
      <c r="L77" s="797" t="s">
        <v>603</v>
      </c>
      <c r="M77" s="370" t="s">
        <v>603</v>
      </c>
      <c r="N77" s="369" t="s">
        <v>604</v>
      </c>
      <c r="O77" s="368" t="str">
        <f t="shared" si="9"/>
        <v>250</v>
      </c>
      <c r="P77" t="str">
        <f t="shared" si="10"/>
        <v>510F50</v>
      </c>
      <c r="Q77" s="17" t="s">
        <v>258</v>
      </c>
      <c r="R77" s="17">
        <v>50</v>
      </c>
    </row>
    <row r="78" spans="1:18">
      <c r="A78" s="662" t="str">
        <f t="shared" si="6"/>
        <v>CAM_TRAI</v>
      </c>
      <c r="B78" s="369"/>
      <c r="C78" s="798" t="str">
        <f t="shared" si="7"/>
        <v>510F</v>
      </c>
      <c r="D78" s="17"/>
      <c r="E78" s="17"/>
      <c r="F78" s="16" t="str">
        <f t="shared" si="8"/>
        <v>25</v>
      </c>
      <c r="J78" s="662" t="e">
        <f>VLOOKUP(P78,Sheet6!$A$2:$E$160,3,0)</f>
        <v>#N/A</v>
      </c>
      <c r="L78" s="399">
        <v>21115100000225</v>
      </c>
      <c r="M78" s="370" t="s">
        <v>1413</v>
      </c>
      <c r="N78" s="369" t="s">
        <v>1414</v>
      </c>
      <c r="O78" s="368" t="str">
        <f t="shared" si="9"/>
        <v>225</v>
      </c>
      <c r="P78" t="str">
        <f t="shared" si="10"/>
        <v>510F25</v>
      </c>
      <c r="Q78" s="17" t="s">
        <v>258</v>
      </c>
      <c r="R78" s="17">
        <v>25</v>
      </c>
    </row>
    <row r="79" spans="1:18">
      <c r="A79" s="662" t="str">
        <f t="shared" si="6"/>
        <v>CAM_DAI_LY</v>
      </c>
      <c r="B79" s="369"/>
      <c r="C79" s="798" t="str">
        <f t="shared" si="7"/>
        <v>510L</v>
      </c>
      <c r="D79" s="17"/>
      <c r="E79" s="17"/>
      <c r="F79" s="16" t="str">
        <f t="shared" si="8"/>
        <v>25</v>
      </c>
      <c r="J79" s="662" t="e">
        <f>VLOOKUP(P79,Sheet6!$A$2:$E$160,3,0)</f>
        <v>#N/A</v>
      </c>
      <c r="L79" s="797" t="s">
        <v>607</v>
      </c>
      <c r="M79" s="370" t="s">
        <v>607</v>
      </c>
      <c r="N79" s="369" t="s">
        <v>608</v>
      </c>
      <c r="O79" s="368" t="str">
        <f t="shared" si="9"/>
        <v>125</v>
      </c>
      <c r="P79" t="str">
        <f t="shared" si="10"/>
        <v>510L25</v>
      </c>
      <c r="Q79" s="17" t="s">
        <v>133</v>
      </c>
      <c r="R79" s="17">
        <v>25</v>
      </c>
    </row>
    <row r="80" spans="1:18">
      <c r="A80" s="662" t="str">
        <f t="shared" si="6"/>
        <v>CAM_DAI_LY</v>
      </c>
      <c r="B80" s="369"/>
      <c r="C80" s="798" t="str">
        <f t="shared" si="7"/>
        <v>510M</v>
      </c>
      <c r="D80" s="17"/>
      <c r="E80" s="17"/>
      <c r="F80" s="16" t="str">
        <f t="shared" si="8"/>
        <v>25</v>
      </c>
      <c r="J80" s="662" t="str">
        <f>VLOOKUP(P80,Sheet6!$A$2:$E$160,3,0)</f>
        <v>1290D205101325</v>
      </c>
      <c r="L80" s="797" t="s">
        <v>609</v>
      </c>
      <c r="M80" s="370" t="s">
        <v>609</v>
      </c>
      <c r="N80" s="369" t="s">
        <v>610</v>
      </c>
      <c r="O80" s="368" t="str">
        <f t="shared" si="9"/>
        <v>125</v>
      </c>
      <c r="P80" t="str">
        <f t="shared" si="10"/>
        <v>510M25</v>
      </c>
      <c r="Q80" s="17" t="s">
        <v>134</v>
      </c>
      <c r="R80" s="17">
        <v>25</v>
      </c>
    </row>
    <row r="81" spans="1:21">
      <c r="A81" s="662" t="str">
        <f t="shared" si="6"/>
        <v>CAM_TUI</v>
      </c>
      <c r="B81" s="369"/>
      <c r="C81" s="798" t="str">
        <f t="shared" si="7"/>
        <v>510M</v>
      </c>
      <c r="D81" s="17"/>
      <c r="E81" s="17"/>
      <c r="F81" s="16" t="str">
        <f t="shared" si="8"/>
        <v>25</v>
      </c>
      <c r="J81" s="662" t="e">
        <f>VLOOKUP(P81,Sheet6!$A$2:$E$160,3,0)</f>
        <v>#N/A</v>
      </c>
      <c r="L81" s="399">
        <v>21115101300425</v>
      </c>
      <c r="M81" s="370" t="s">
        <v>1288</v>
      </c>
      <c r="N81" s="369" t="s">
        <v>1289</v>
      </c>
      <c r="O81" s="368" t="str">
        <f t="shared" si="9"/>
        <v>425</v>
      </c>
      <c r="P81" t="str">
        <f t="shared" si="10"/>
        <v>510M5*5</v>
      </c>
      <c r="Q81" s="17" t="s">
        <v>134</v>
      </c>
      <c r="R81" s="17" t="s">
        <v>56</v>
      </c>
    </row>
    <row r="82" spans="1:21">
      <c r="A82" s="662" t="str">
        <f t="shared" si="6"/>
        <v>CAM_TRAI</v>
      </c>
      <c r="B82" s="369"/>
      <c r="C82" s="798" t="str">
        <f t="shared" si="7"/>
        <v>510NF</v>
      </c>
      <c r="D82" s="17"/>
      <c r="E82" s="17"/>
      <c r="F82" s="16" t="str">
        <f t="shared" si="8"/>
        <v>50</v>
      </c>
      <c r="J82" s="662" t="str">
        <f>VLOOKUP(P82,Sheet6!$A$2:$E$160,3,0)</f>
        <v>1290BU05101450</v>
      </c>
      <c r="L82" s="797" t="s">
        <v>611</v>
      </c>
      <c r="M82" s="370" t="s">
        <v>611</v>
      </c>
      <c r="N82" s="369" t="s">
        <v>612</v>
      </c>
      <c r="O82" s="368" t="str">
        <f t="shared" si="9"/>
        <v>250</v>
      </c>
      <c r="P82" t="str">
        <f t="shared" si="10"/>
        <v>510NF50</v>
      </c>
      <c r="Q82" s="17" t="s">
        <v>263</v>
      </c>
      <c r="R82" s="17">
        <v>50</v>
      </c>
    </row>
    <row r="83" spans="1:21">
      <c r="A83" s="662" t="str">
        <f t="shared" si="6"/>
        <v>CAM_TRAI</v>
      </c>
      <c r="B83" s="369"/>
      <c r="C83" s="798" t="str">
        <f t="shared" ref="C83:C92" si="11">LEFT(Q83,5)</f>
        <v>510NF</v>
      </c>
      <c r="D83" s="17"/>
      <c r="E83" s="17" t="str">
        <f t="shared" ref="E83:E93" si="12">RIGHT(M83,3)</f>
        <v>P12</v>
      </c>
      <c r="F83" s="16" t="str">
        <f t="shared" si="8"/>
        <v>50</v>
      </c>
      <c r="J83" s="662" t="str">
        <f>VLOOKUP(P83,Sheet6!$A$2:$E$160,3,0)</f>
        <v>1290BU05101450</v>
      </c>
      <c r="L83" s="797">
        <v>21115101499250</v>
      </c>
      <c r="M83" s="370" t="s">
        <v>1980</v>
      </c>
      <c r="N83" s="369" t="s">
        <v>1385</v>
      </c>
      <c r="O83" s="368" t="str">
        <f t="shared" si="9"/>
        <v>250</v>
      </c>
      <c r="P83" t="str">
        <f t="shared" si="10"/>
        <v>510NF50</v>
      </c>
      <c r="Q83" s="17" t="s">
        <v>268</v>
      </c>
      <c r="R83" s="17">
        <v>50</v>
      </c>
      <c r="T83" t="s">
        <v>548</v>
      </c>
      <c r="U83" t="s">
        <v>2134</v>
      </c>
    </row>
    <row r="84" spans="1:21">
      <c r="A84" s="662" t="str">
        <f t="shared" si="6"/>
        <v>CAM_TRAI</v>
      </c>
      <c r="B84" s="369"/>
      <c r="C84" s="798" t="str">
        <f t="shared" si="11"/>
        <v>510NF</v>
      </c>
      <c r="D84" s="17"/>
      <c r="E84" s="17" t="str">
        <f t="shared" si="12"/>
        <v>P32</v>
      </c>
      <c r="F84" s="16" t="str">
        <f t="shared" si="8"/>
        <v>50</v>
      </c>
      <c r="J84" s="662" t="str">
        <f>VLOOKUP(P84,Sheet6!$A$2:$E$160,3,0)</f>
        <v>1290BU05101450</v>
      </c>
      <c r="L84" s="399">
        <v>21115101499250</v>
      </c>
      <c r="M84" s="370" t="s">
        <v>1351</v>
      </c>
      <c r="N84" s="369" t="s">
        <v>1211</v>
      </c>
      <c r="O84" s="368" t="str">
        <f t="shared" si="9"/>
        <v>250</v>
      </c>
      <c r="P84" t="str">
        <f t="shared" si="10"/>
        <v>510NF50</v>
      </c>
      <c r="Q84" s="17" t="s">
        <v>1342</v>
      </c>
      <c r="R84" s="17">
        <v>50</v>
      </c>
      <c r="T84" t="s">
        <v>551</v>
      </c>
      <c r="U84" t="s">
        <v>2135</v>
      </c>
    </row>
    <row r="85" spans="1:21">
      <c r="A85" s="662" t="str">
        <f t="shared" si="6"/>
        <v>CAM_TRAI</v>
      </c>
      <c r="B85" s="369"/>
      <c r="C85" s="798" t="str">
        <f t="shared" si="11"/>
        <v>510NF</v>
      </c>
      <c r="D85" s="17"/>
      <c r="E85" s="17" t="str">
        <f t="shared" si="12"/>
        <v>P33</v>
      </c>
      <c r="F85" s="16" t="str">
        <f t="shared" si="8"/>
        <v>50</v>
      </c>
      <c r="J85" s="662" t="str">
        <f>VLOOKUP(P85,Sheet6!$A$2:$E$160,3,0)</f>
        <v>1290BU05101450</v>
      </c>
      <c r="L85" s="399">
        <v>21115101499250</v>
      </c>
      <c r="M85" s="370" t="s">
        <v>1384</v>
      </c>
      <c r="N85" s="369" t="s">
        <v>1385</v>
      </c>
      <c r="O85" s="368" t="str">
        <f t="shared" si="9"/>
        <v>250</v>
      </c>
      <c r="P85" t="str">
        <f t="shared" si="10"/>
        <v>510NF50</v>
      </c>
      <c r="Q85" s="17" t="s">
        <v>1386</v>
      </c>
      <c r="R85" s="17">
        <v>50</v>
      </c>
      <c r="T85" t="s">
        <v>554</v>
      </c>
      <c r="U85" t="s">
        <v>2136</v>
      </c>
    </row>
    <row r="86" spans="1:21">
      <c r="A86" s="662" t="str">
        <f t="shared" si="6"/>
        <v>CAM_TRAI</v>
      </c>
      <c r="B86" s="369"/>
      <c r="C86" s="798" t="str">
        <f t="shared" si="11"/>
        <v>510NF</v>
      </c>
      <c r="D86" s="17"/>
      <c r="E86" s="17" t="str">
        <f t="shared" si="12"/>
        <v>P81</v>
      </c>
      <c r="F86" s="16" t="str">
        <f t="shared" si="8"/>
        <v>50</v>
      </c>
      <c r="J86" s="662" t="str">
        <f>VLOOKUP(P86,Sheet6!$A$2:$E$160,3,0)</f>
        <v>1290BU05101450</v>
      </c>
      <c r="L86" s="399">
        <v>21115101499250</v>
      </c>
      <c r="M86" s="370" t="s">
        <v>1750</v>
      </c>
      <c r="N86" s="369" t="s">
        <v>1385</v>
      </c>
      <c r="O86" s="368" t="str">
        <f t="shared" si="9"/>
        <v>250</v>
      </c>
      <c r="P86" t="str">
        <f t="shared" si="10"/>
        <v>510NF50</v>
      </c>
      <c r="Q86" s="17" t="s">
        <v>1751</v>
      </c>
      <c r="R86" s="17">
        <v>50</v>
      </c>
      <c r="T86" t="s">
        <v>561</v>
      </c>
      <c r="U86" t="s">
        <v>2135</v>
      </c>
    </row>
    <row r="87" spans="1:21">
      <c r="A87" s="662" t="str">
        <f t="shared" si="6"/>
        <v>CAM_TRAI</v>
      </c>
      <c r="B87" s="369"/>
      <c r="C87" s="798" t="str">
        <f t="shared" si="11"/>
        <v>510NF</v>
      </c>
      <c r="D87" s="17"/>
      <c r="E87" s="17" t="str">
        <f t="shared" si="12"/>
        <v>P85</v>
      </c>
      <c r="F87" s="16" t="str">
        <f t="shared" si="8"/>
        <v>50</v>
      </c>
      <c r="J87" s="662" t="str">
        <f>VLOOKUP(P87,Sheet6!$A$2:$E$160,3,0)</f>
        <v>1290BU05101450</v>
      </c>
      <c r="L87" s="399">
        <v>21115101499250</v>
      </c>
      <c r="M87" s="370" t="s">
        <v>1424</v>
      </c>
      <c r="N87" s="369" t="s">
        <v>1385</v>
      </c>
      <c r="O87" s="368" t="str">
        <f t="shared" si="9"/>
        <v>250</v>
      </c>
      <c r="P87" t="str">
        <f t="shared" si="10"/>
        <v>510NF50</v>
      </c>
      <c r="Q87" s="17" t="s">
        <v>277</v>
      </c>
      <c r="R87" s="17">
        <v>50</v>
      </c>
      <c r="T87" t="s">
        <v>564</v>
      </c>
      <c r="U87" t="s">
        <v>2134</v>
      </c>
    </row>
    <row r="88" spans="1:21">
      <c r="A88" s="662" t="str">
        <f t="shared" si="6"/>
        <v>CAM_TRAI</v>
      </c>
      <c r="B88" s="369"/>
      <c r="C88" s="798" t="str">
        <f t="shared" si="11"/>
        <v>510NF</v>
      </c>
      <c r="D88" s="17"/>
      <c r="E88" s="17" t="str">
        <f t="shared" si="12"/>
        <v>P87</v>
      </c>
      <c r="F88" s="16" t="str">
        <f t="shared" si="8"/>
        <v>50</v>
      </c>
      <c r="J88" s="662" t="str">
        <f>VLOOKUP(P88,Sheet6!$A$2:$E$160,3,0)</f>
        <v>1290BU05101450</v>
      </c>
      <c r="L88" s="399">
        <v>21115101499250</v>
      </c>
      <c r="M88" s="370" t="s">
        <v>1494</v>
      </c>
      <c r="N88" s="369" t="s">
        <v>1385</v>
      </c>
      <c r="O88" s="368" t="str">
        <f t="shared" si="9"/>
        <v>250</v>
      </c>
      <c r="P88" t="str">
        <f t="shared" si="10"/>
        <v>510NF50</v>
      </c>
      <c r="Q88" s="17" t="s">
        <v>269</v>
      </c>
      <c r="R88" s="17">
        <v>50</v>
      </c>
      <c r="T88" s="428" t="s">
        <v>567</v>
      </c>
      <c r="U88" t="s">
        <v>568</v>
      </c>
    </row>
    <row r="89" spans="1:21">
      <c r="A89" s="662" t="str">
        <f t="shared" si="6"/>
        <v>CAM_TRAI</v>
      </c>
      <c r="B89" s="369"/>
      <c r="C89" s="798" t="str">
        <f t="shared" si="11"/>
        <v>510NF</v>
      </c>
      <c r="D89" s="17"/>
      <c r="E89" s="17" t="str">
        <f t="shared" si="12"/>
        <v>P88</v>
      </c>
      <c r="F89" s="16" t="str">
        <f t="shared" si="8"/>
        <v>50</v>
      </c>
      <c r="J89" s="662" t="str">
        <f>VLOOKUP(P89,Sheet6!$A$2:$E$160,3,0)</f>
        <v>1290BU05101450</v>
      </c>
      <c r="L89" s="399">
        <v>21115101499250</v>
      </c>
      <c r="M89" s="370" t="s">
        <v>1585</v>
      </c>
      <c r="N89" s="369" t="s">
        <v>1385</v>
      </c>
      <c r="O89" s="368" t="str">
        <f t="shared" si="9"/>
        <v>250</v>
      </c>
      <c r="P89" t="str">
        <f t="shared" si="10"/>
        <v>510NF50</v>
      </c>
      <c r="Q89" s="17" t="s">
        <v>271</v>
      </c>
      <c r="R89" s="17">
        <v>50</v>
      </c>
      <c r="T89" s="428" t="s">
        <v>1028</v>
      </c>
      <c r="U89" t="s">
        <v>2135</v>
      </c>
    </row>
    <row r="90" spans="1:21">
      <c r="A90" s="662" t="str">
        <f t="shared" si="6"/>
        <v>CAM_TRAI</v>
      </c>
      <c r="B90" s="15"/>
      <c r="C90" s="798" t="str">
        <f t="shared" si="11"/>
        <v>510NF</v>
      </c>
      <c r="D90" s="16"/>
      <c r="E90" s="17" t="str">
        <f t="shared" si="12"/>
        <v>P89</v>
      </c>
      <c r="F90" s="16" t="str">
        <f t="shared" si="8"/>
        <v>50</v>
      </c>
      <c r="J90" s="662" t="str">
        <f>VLOOKUP(P90,Sheet6!$A$2:$E$160,3,0)</f>
        <v>1290BU05101450</v>
      </c>
      <c r="L90" s="399">
        <v>21115101499250</v>
      </c>
      <c r="M90" s="569" t="s">
        <v>1626</v>
      </c>
      <c r="N90" s="15" t="s">
        <v>1385</v>
      </c>
      <c r="O90" s="368" t="str">
        <f t="shared" si="9"/>
        <v>250</v>
      </c>
      <c r="P90" t="str">
        <f t="shared" si="10"/>
        <v>510NF50</v>
      </c>
      <c r="Q90" s="16" t="s">
        <v>274</v>
      </c>
      <c r="R90" s="17">
        <v>50</v>
      </c>
      <c r="T90" s="428" t="s">
        <v>2137</v>
      </c>
      <c r="U90" t="s">
        <v>2134</v>
      </c>
    </row>
    <row r="91" spans="1:21">
      <c r="A91" s="662" t="str">
        <f t="shared" si="6"/>
        <v>CAM_TRAI</v>
      </c>
      <c r="B91" s="369"/>
      <c r="C91" s="798" t="str">
        <f t="shared" si="11"/>
        <v>510NF</v>
      </c>
      <c r="D91" s="17"/>
      <c r="E91" s="17" t="str">
        <f t="shared" si="12"/>
        <v>P91</v>
      </c>
      <c r="F91" s="16" t="str">
        <f t="shared" si="8"/>
        <v>50</v>
      </c>
      <c r="J91" s="662" t="str">
        <f>VLOOKUP(P91,Sheet6!$A$2:$E$160,3,0)</f>
        <v>1290BU05101450</v>
      </c>
      <c r="L91" s="399">
        <v>21115101499250</v>
      </c>
      <c r="M91" s="370" t="s">
        <v>1721</v>
      </c>
      <c r="N91" s="369" t="s">
        <v>1385</v>
      </c>
      <c r="O91" s="368" t="str">
        <f t="shared" si="9"/>
        <v>250</v>
      </c>
      <c r="P91" t="str">
        <f t="shared" si="10"/>
        <v>510NF50</v>
      </c>
      <c r="Q91" s="17" t="s">
        <v>272</v>
      </c>
      <c r="R91" s="17">
        <v>50</v>
      </c>
      <c r="T91" t="s">
        <v>2138</v>
      </c>
      <c r="U91" t="s">
        <v>2135</v>
      </c>
    </row>
    <row r="92" spans="1:21">
      <c r="A92" s="662" t="str">
        <f t="shared" si="6"/>
        <v>CAM_TRAI</v>
      </c>
      <c r="B92" s="369"/>
      <c r="C92" s="798" t="str">
        <f t="shared" si="11"/>
        <v>510NF</v>
      </c>
      <c r="D92" s="17"/>
      <c r="E92" s="17" t="str">
        <f t="shared" si="12"/>
        <v>P92</v>
      </c>
      <c r="F92" s="16" t="str">
        <f t="shared" si="8"/>
        <v>50</v>
      </c>
      <c r="J92" s="662" t="str">
        <f>VLOOKUP(P92,Sheet6!$A$2:$E$160,3,0)</f>
        <v>1290BU05101450</v>
      </c>
      <c r="L92" s="399">
        <v>21115101499250</v>
      </c>
      <c r="M92" s="370" t="s">
        <v>1809</v>
      </c>
      <c r="N92" s="369" t="s">
        <v>1385</v>
      </c>
      <c r="O92" s="368" t="str">
        <f t="shared" si="9"/>
        <v>250</v>
      </c>
      <c r="P92" t="str">
        <f t="shared" si="10"/>
        <v>510NF50</v>
      </c>
      <c r="Q92" s="17" t="s">
        <v>279</v>
      </c>
      <c r="R92" s="17">
        <v>50</v>
      </c>
    </row>
    <row r="93" spans="1:21">
      <c r="A93" s="662" t="str">
        <f t="shared" si="6"/>
        <v>CAM_TRAI</v>
      </c>
      <c r="B93" s="369"/>
      <c r="C93" s="16" t="s">
        <v>266</v>
      </c>
      <c r="D93" s="16"/>
      <c r="E93" s="17" t="str">
        <f t="shared" si="12"/>
        <v>P12</v>
      </c>
      <c r="F93" s="16" t="str">
        <f t="shared" si="8"/>
        <v>50</v>
      </c>
      <c r="J93" s="662" t="str">
        <f>VLOOKUP(P93,Sheet6!$A$2:$E$160,3,0)</f>
        <v>1290BU05101450</v>
      </c>
      <c r="L93" s="797" t="s">
        <v>1899</v>
      </c>
      <c r="M93" s="370" t="s">
        <v>1898</v>
      </c>
      <c r="N93" s="369" t="s">
        <v>1900</v>
      </c>
      <c r="O93" s="368" t="str">
        <f t="shared" si="9"/>
        <v>250</v>
      </c>
      <c r="P93" t="str">
        <f t="shared" si="10"/>
        <v>510NFTL350</v>
      </c>
      <c r="Q93" s="16" t="s">
        <v>267</v>
      </c>
      <c r="R93" s="17">
        <v>50</v>
      </c>
    </row>
    <row r="94" spans="1:21">
      <c r="A94" s="662" t="str">
        <f t="shared" si="6"/>
        <v>CAM_DAI_LY</v>
      </c>
      <c r="B94" s="369"/>
      <c r="C94" s="798" t="str">
        <f t="shared" ref="C94:C99" si="13">Q94</f>
        <v>510S</v>
      </c>
      <c r="D94" s="17"/>
      <c r="E94" s="17"/>
      <c r="F94" s="16" t="str">
        <f t="shared" si="8"/>
        <v>25</v>
      </c>
      <c r="J94" s="662" t="str">
        <f>VLOOKUP(P94,Sheet6!$A$2:$E$160,3,0)</f>
        <v>1290E405101925</v>
      </c>
      <c r="L94" s="399">
        <v>21115101900125</v>
      </c>
      <c r="M94" s="370" t="s">
        <v>1397</v>
      </c>
      <c r="N94" s="369" t="s">
        <v>1398</v>
      </c>
      <c r="O94" s="368" t="str">
        <f t="shared" si="9"/>
        <v>125</v>
      </c>
      <c r="P94" t="str">
        <f t="shared" si="10"/>
        <v>510S25</v>
      </c>
      <c r="Q94" s="17" t="s">
        <v>135</v>
      </c>
      <c r="R94" s="17">
        <v>25</v>
      </c>
    </row>
    <row r="95" spans="1:21">
      <c r="A95" s="662" t="str">
        <f t="shared" si="6"/>
        <v>CAM_DAI_LY</v>
      </c>
      <c r="B95" s="369"/>
      <c r="C95" s="798" t="str">
        <f t="shared" si="13"/>
        <v>511A</v>
      </c>
      <c r="D95" s="17"/>
      <c r="E95" s="17"/>
      <c r="F95" s="16" t="str">
        <f t="shared" si="8"/>
        <v>25</v>
      </c>
      <c r="J95" s="662" t="e">
        <f>VLOOKUP(P95,Sheet6!$A$2:$E$160,3,0)</f>
        <v>#N/A</v>
      </c>
      <c r="L95" s="797" t="s">
        <v>628</v>
      </c>
      <c r="M95" s="370" t="s">
        <v>628</v>
      </c>
      <c r="N95" s="369" t="s">
        <v>629</v>
      </c>
      <c r="O95" s="368" t="str">
        <f t="shared" si="9"/>
        <v>125</v>
      </c>
      <c r="P95" t="str">
        <f t="shared" si="10"/>
        <v>511A25</v>
      </c>
      <c r="Q95" s="17" t="s">
        <v>137</v>
      </c>
      <c r="R95" s="17">
        <v>25</v>
      </c>
    </row>
    <row r="96" spans="1:21">
      <c r="A96" s="662" t="str">
        <f t="shared" si="6"/>
        <v>CAM_TRAI</v>
      </c>
      <c r="B96" s="369"/>
      <c r="C96" s="798" t="str">
        <f t="shared" si="13"/>
        <v>511AF</v>
      </c>
      <c r="D96" s="17"/>
      <c r="E96" s="17"/>
      <c r="F96" s="16" t="str">
        <f t="shared" si="8"/>
        <v>50</v>
      </c>
      <c r="J96" s="662" t="e">
        <f>VLOOKUP(P96,Sheet6!$A$2:$E$160,3,0)</f>
        <v>#N/A</v>
      </c>
      <c r="L96" s="797" t="s">
        <v>634</v>
      </c>
      <c r="M96" s="370" t="s">
        <v>634</v>
      </c>
      <c r="N96" s="369" t="s">
        <v>635</v>
      </c>
      <c r="O96" s="368" t="str">
        <f t="shared" si="9"/>
        <v>250</v>
      </c>
      <c r="P96" t="str">
        <f t="shared" si="10"/>
        <v>511AF50</v>
      </c>
      <c r="Q96" s="17" t="s">
        <v>280</v>
      </c>
      <c r="R96" s="17">
        <v>50</v>
      </c>
    </row>
    <row r="97" spans="1:18">
      <c r="A97" s="662" t="str">
        <f t="shared" si="6"/>
        <v>CAM_TRAI</v>
      </c>
      <c r="B97" s="369"/>
      <c r="C97" s="798" t="str">
        <f t="shared" si="13"/>
        <v>511AF</v>
      </c>
      <c r="D97" s="17"/>
      <c r="E97" s="17"/>
      <c r="F97" s="16" t="str">
        <f t="shared" si="8"/>
        <v>25</v>
      </c>
      <c r="J97" s="662" t="e">
        <f>VLOOKUP(P97,Sheet6!$A$2:$E$160,3,0)</f>
        <v>#N/A</v>
      </c>
      <c r="L97" s="399">
        <v>21115110100225</v>
      </c>
      <c r="M97" s="370" t="s">
        <v>1418</v>
      </c>
      <c r="N97" s="369" t="s">
        <v>1419</v>
      </c>
      <c r="O97" s="368" t="str">
        <f t="shared" si="9"/>
        <v>225</v>
      </c>
      <c r="P97" t="str">
        <f t="shared" si="10"/>
        <v>511AF25</v>
      </c>
      <c r="Q97" s="17" t="s">
        <v>280</v>
      </c>
      <c r="R97" s="17">
        <v>25</v>
      </c>
    </row>
    <row r="98" spans="1:18">
      <c r="A98" s="662" t="str">
        <f t="shared" si="6"/>
        <v>CAM_TRAI</v>
      </c>
      <c r="B98" s="369"/>
      <c r="C98" s="798" t="str">
        <f t="shared" si="13"/>
        <v>511ANF</v>
      </c>
      <c r="D98" s="17"/>
      <c r="E98" s="17"/>
      <c r="F98" s="16" t="str">
        <f t="shared" si="8"/>
        <v>50</v>
      </c>
      <c r="J98" s="662" t="str">
        <f>VLOOKUP(P98,Sheet6!$A$2:$E$160,3,0)</f>
        <v>1290BU05116950</v>
      </c>
      <c r="L98" s="797" t="s">
        <v>638</v>
      </c>
      <c r="M98" s="370" t="s">
        <v>638</v>
      </c>
      <c r="N98" s="369" t="s">
        <v>639</v>
      </c>
      <c r="O98" s="368" t="str">
        <f t="shared" si="9"/>
        <v>250</v>
      </c>
      <c r="P98" t="str">
        <f t="shared" si="10"/>
        <v>511ANF50</v>
      </c>
      <c r="Q98" s="17" t="s">
        <v>282</v>
      </c>
      <c r="R98" s="17">
        <v>50</v>
      </c>
    </row>
    <row r="99" spans="1:18">
      <c r="A99" s="662" t="str">
        <f t="shared" si="6"/>
        <v>CAM_TRAI</v>
      </c>
      <c r="B99" s="369"/>
      <c r="C99" s="798" t="str">
        <f t="shared" si="13"/>
        <v>511ANF</v>
      </c>
      <c r="D99" s="16"/>
      <c r="E99" s="17"/>
      <c r="F99" s="16" t="str">
        <f t="shared" si="8"/>
        <v>25</v>
      </c>
      <c r="J99" s="662" t="e">
        <f>VLOOKUP(P99,Sheet6!$A$2:$E$160,3,0)</f>
        <v>#N/A</v>
      </c>
      <c r="L99" s="399">
        <v>21115114300225</v>
      </c>
      <c r="M99" s="370" t="s">
        <v>1568</v>
      </c>
      <c r="N99" s="369" t="s">
        <v>1569</v>
      </c>
      <c r="O99" s="368" t="str">
        <f t="shared" si="9"/>
        <v>225</v>
      </c>
      <c r="P99" t="str">
        <f t="shared" si="10"/>
        <v>511ANF25</v>
      </c>
      <c r="Q99" s="16" t="s">
        <v>282</v>
      </c>
      <c r="R99" s="17">
        <v>25</v>
      </c>
    </row>
    <row r="100" spans="1:18">
      <c r="A100" s="662" t="str">
        <f t="shared" si="6"/>
        <v>CAM_TRAI</v>
      </c>
      <c r="B100" s="369"/>
      <c r="C100" s="798" t="str">
        <f t="shared" ref="C100:C112" si="14">LEFT(Q100,6)</f>
        <v>511ANF</v>
      </c>
      <c r="D100" s="17"/>
      <c r="E100" s="17" t="str">
        <f t="shared" ref="E100:E111" si="15">RIGHT(M100,3)</f>
        <v>P12</v>
      </c>
      <c r="F100" s="16" t="str">
        <f t="shared" si="8"/>
        <v>50</v>
      </c>
      <c r="J100" s="662" t="str">
        <f>VLOOKUP(P100,Sheet6!$A$2:$E$160,3,0)</f>
        <v>1290BU05116950</v>
      </c>
      <c r="L100" s="797">
        <v>21115114399250</v>
      </c>
      <c r="M100" s="370" t="s">
        <v>1982</v>
      </c>
      <c r="N100" s="369" t="s">
        <v>1222</v>
      </c>
      <c r="O100" s="368" t="str">
        <f t="shared" si="9"/>
        <v>250</v>
      </c>
      <c r="P100" t="str">
        <f t="shared" si="10"/>
        <v>511ANF50</v>
      </c>
      <c r="Q100" s="17" t="s">
        <v>287</v>
      </c>
      <c r="R100" s="17">
        <v>50</v>
      </c>
    </row>
    <row r="101" spans="1:18">
      <c r="A101" s="662" t="str">
        <f t="shared" si="6"/>
        <v>CAM_TRAI</v>
      </c>
      <c r="B101" s="369"/>
      <c r="C101" s="798" t="str">
        <f t="shared" si="14"/>
        <v>511ANF</v>
      </c>
      <c r="D101" s="17"/>
      <c r="E101" s="17" t="str">
        <f t="shared" si="15"/>
        <v>P32</v>
      </c>
      <c r="F101" s="16" t="str">
        <f t="shared" si="8"/>
        <v>50</v>
      </c>
      <c r="J101" s="662" t="str">
        <f>VLOOKUP(P101,Sheet6!$A$2:$E$160,3,0)</f>
        <v>1290BU05116950</v>
      </c>
      <c r="L101" s="797" t="s">
        <v>641</v>
      </c>
      <c r="M101" s="370" t="s">
        <v>640</v>
      </c>
      <c r="N101" s="369" t="s">
        <v>642</v>
      </c>
      <c r="O101" s="368" t="str">
        <f t="shared" si="9"/>
        <v>250</v>
      </c>
      <c r="P101" t="str">
        <f t="shared" si="10"/>
        <v>511ANF50</v>
      </c>
      <c r="Q101" s="17" t="s">
        <v>643</v>
      </c>
      <c r="R101" s="17">
        <v>50</v>
      </c>
    </row>
    <row r="102" spans="1:18">
      <c r="A102" s="662" t="str">
        <f t="shared" si="6"/>
        <v>CAM_TRAI</v>
      </c>
      <c r="B102" s="369"/>
      <c r="C102" s="798" t="str">
        <f t="shared" si="14"/>
        <v>511ANF</v>
      </c>
      <c r="D102" s="17"/>
      <c r="E102" s="17" t="str">
        <f t="shared" si="15"/>
        <v>P33</v>
      </c>
      <c r="F102" s="16" t="str">
        <f t="shared" si="8"/>
        <v>50</v>
      </c>
      <c r="J102" s="662" t="str">
        <f>VLOOKUP(P102,Sheet6!$A$2:$E$160,3,0)</f>
        <v>1290BU05116950</v>
      </c>
      <c r="L102" s="399">
        <v>21115114399250</v>
      </c>
      <c r="M102" s="370" t="s">
        <v>1387</v>
      </c>
      <c r="N102" s="369" t="s">
        <v>1222</v>
      </c>
      <c r="O102" s="368" t="str">
        <f t="shared" si="9"/>
        <v>250</v>
      </c>
      <c r="P102" t="str">
        <f t="shared" si="10"/>
        <v>511ANF50</v>
      </c>
      <c r="Q102" s="17" t="s">
        <v>335</v>
      </c>
      <c r="R102" s="17">
        <v>50</v>
      </c>
    </row>
    <row r="103" spans="1:18">
      <c r="A103" s="662" t="str">
        <f t="shared" si="6"/>
        <v>CAM_TRAI</v>
      </c>
      <c r="B103" s="369"/>
      <c r="C103" s="798" t="str">
        <f t="shared" si="14"/>
        <v>511ANF</v>
      </c>
      <c r="D103" s="17"/>
      <c r="E103" s="17" t="str">
        <f t="shared" si="15"/>
        <v>P35</v>
      </c>
      <c r="F103" s="16" t="str">
        <f t="shared" si="8"/>
        <v>50</v>
      </c>
      <c r="J103" s="662" t="str">
        <f>VLOOKUP(P103,Sheet6!$A$2:$E$160,3,0)</f>
        <v>1290BU05116950</v>
      </c>
      <c r="L103" s="399">
        <v>21115114399250</v>
      </c>
      <c r="M103" s="370" t="s">
        <v>1499</v>
      </c>
      <c r="N103" s="369" t="s">
        <v>1222</v>
      </c>
      <c r="O103" s="368" t="str">
        <f t="shared" si="9"/>
        <v>250</v>
      </c>
      <c r="P103" t="str">
        <f t="shared" si="10"/>
        <v>511ANF50</v>
      </c>
      <c r="Q103" s="17" t="s">
        <v>289</v>
      </c>
      <c r="R103" s="17">
        <v>50</v>
      </c>
    </row>
    <row r="104" spans="1:18">
      <c r="A104" s="662" t="str">
        <f t="shared" si="6"/>
        <v>CAM_TRAI</v>
      </c>
      <c r="B104" s="369"/>
      <c r="C104" s="798" t="str">
        <f t="shared" si="14"/>
        <v>511ANF</v>
      </c>
      <c r="D104" s="17"/>
      <c r="E104" s="17" t="str">
        <f t="shared" si="15"/>
        <v>P81</v>
      </c>
      <c r="F104" s="16" t="str">
        <f t="shared" si="8"/>
        <v>50</v>
      </c>
      <c r="J104" s="662" t="str">
        <f>VLOOKUP(P104,Sheet6!$A$2:$E$160,3,0)</f>
        <v>1290BU05116950</v>
      </c>
      <c r="L104" s="399">
        <v>21115114399250</v>
      </c>
      <c r="M104" s="370" t="s">
        <v>1753</v>
      </c>
      <c r="N104" s="369" t="s">
        <v>1222</v>
      </c>
      <c r="O104" s="368" t="str">
        <f t="shared" si="9"/>
        <v>250</v>
      </c>
      <c r="P104" t="str">
        <f t="shared" si="10"/>
        <v>511ANF50</v>
      </c>
      <c r="Q104" s="17" t="s">
        <v>290</v>
      </c>
      <c r="R104" s="17">
        <v>50</v>
      </c>
    </row>
    <row r="105" spans="1:18">
      <c r="A105" s="662" t="str">
        <f t="shared" si="6"/>
        <v>CAM_TRAI</v>
      </c>
      <c r="B105" s="369"/>
      <c r="C105" s="798" t="str">
        <f t="shared" si="14"/>
        <v>511ANF</v>
      </c>
      <c r="D105" s="16"/>
      <c r="E105" s="17" t="str">
        <f t="shared" si="15"/>
        <v>P85</v>
      </c>
      <c r="F105" s="16" t="str">
        <f t="shared" si="8"/>
        <v>50</v>
      </c>
      <c r="J105" s="662" t="str">
        <f>VLOOKUP(P105,Sheet6!$A$2:$E$160,3,0)</f>
        <v>1290BU05116950</v>
      </c>
      <c r="L105" s="399">
        <v>21115114399250</v>
      </c>
      <c r="M105" s="370" t="s">
        <v>1428</v>
      </c>
      <c r="N105" s="369" t="s">
        <v>1222</v>
      </c>
      <c r="O105" s="368" t="str">
        <f t="shared" si="9"/>
        <v>250</v>
      </c>
      <c r="P105" t="str">
        <f t="shared" si="10"/>
        <v>511ANF50</v>
      </c>
      <c r="Q105" s="16" t="s">
        <v>296</v>
      </c>
      <c r="R105" s="17">
        <v>50</v>
      </c>
    </row>
    <row r="106" spans="1:18">
      <c r="A106" s="662" t="str">
        <f t="shared" si="6"/>
        <v>CAM_TRAI</v>
      </c>
      <c r="B106" s="369"/>
      <c r="C106" s="798" t="str">
        <f t="shared" si="14"/>
        <v>511ANF</v>
      </c>
      <c r="D106" s="17"/>
      <c r="E106" s="17" t="str">
        <f t="shared" si="15"/>
        <v>P87</v>
      </c>
      <c r="F106" s="16" t="str">
        <f t="shared" si="8"/>
        <v>50</v>
      </c>
      <c r="J106" s="662" t="str">
        <f>VLOOKUP(P106,Sheet6!$A$2:$E$160,3,0)</f>
        <v>1290BU05116950</v>
      </c>
      <c r="L106" s="399">
        <v>21115114399250</v>
      </c>
      <c r="M106" s="370" t="s">
        <v>1495</v>
      </c>
      <c r="N106" s="369" t="s">
        <v>1222</v>
      </c>
      <c r="O106" s="368" t="str">
        <f t="shared" si="9"/>
        <v>250</v>
      </c>
      <c r="P106" t="str">
        <f t="shared" si="10"/>
        <v>511ANF50</v>
      </c>
      <c r="Q106" s="17" t="s">
        <v>291</v>
      </c>
      <c r="R106" s="17">
        <v>50</v>
      </c>
    </row>
    <row r="107" spans="1:18">
      <c r="A107" s="662" t="str">
        <f t="shared" si="6"/>
        <v>CAM_TRAI</v>
      </c>
      <c r="B107" s="369"/>
      <c r="C107" s="798" t="str">
        <f t="shared" si="14"/>
        <v>511ANF</v>
      </c>
      <c r="D107" s="17"/>
      <c r="E107" s="17" t="str">
        <f t="shared" si="15"/>
        <v>P88</v>
      </c>
      <c r="F107" s="16" t="str">
        <f t="shared" si="8"/>
        <v>50</v>
      </c>
      <c r="J107" s="662" t="str">
        <f>VLOOKUP(P107,Sheet6!$A$2:$E$160,3,0)</f>
        <v>1290BU05116950</v>
      </c>
      <c r="L107" s="399">
        <v>21115114399250</v>
      </c>
      <c r="M107" s="370" t="s">
        <v>1584</v>
      </c>
      <c r="N107" s="369" t="s">
        <v>1222</v>
      </c>
      <c r="O107" s="368" t="str">
        <f t="shared" si="9"/>
        <v>250</v>
      </c>
      <c r="P107" t="str">
        <f t="shared" si="10"/>
        <v>511ANF50</v>
      </c>
      <c r="Q107" s="17" t="s">
        <v>292</v>
      </c>
      <c r="R107" s="17">
        <v>50</v>
      </c>
    </row>
    <row r="108" spans="1:18">
      <c r="A108" s="662" t="str">
        <f t="shared" si="6"/>
        <v>CAM_TRAI</v>
      </c>
      <c r="C108" s="798" t="str">
        <f t="shared" si="14"/>
        <v>511ANF</v>
      </c>
      <c r="D108" s="16"/>
      <c r="E108" s="17" t="str">
        <f t="shared" si="15"/>
        <v>P89</v>
      </c>
      <c r="F108" s="16" t="str">
        <f t="shared" si="8"/>
        <v>50</v>
      </c>
      <c r="J108" s="662" t="str">
        <f>VLOOKUP(P108,Sheet6!$A$2:$E$160,3,0)</f>
        <v>1290BU05116950</v>
      </c>
      <c r="L108" s="399">
        <v>21115114399250</v>
      </c>
      <c r="M108" s="569" t="s">
        <v>1629</v>
      </c>
      <c r="N108" s="428" t="s">
        <v>1222</v>
      </c>
      <c r="O108" s="368" t="str">
        <f t="shared" si="9"/>
        <v>250</v>
      </c>
      <c r="P108" t="str">
        <f t="shared" si="10"/>
        <v>511ANF50</v>
      </c>
      <c r="Q108" s="16" t="s">
        <v>293</v>
      </c>
      <c r="R108" s="17">
        <v>50</v>
      </c>
    </row>
    <row r="109" spans="1:18">
      <c r="A109" s="662" t="str">
        <f t="shared" si="6"/>
        <v>CAM_TRAI</v>
      </c>
      <c r="B109" s="369"/>
      <c r="C109" s="798" t="str">
        <f t="shared" si="14"/>
        <v>511ANF</v>
      </c>
      <c r="D109" s="16"/>
      <c r="E109" s="17" t="str">
        <f t="shared" si="15"/>
        <v>P91</v>
      </c>
      <c r="F109" s="16" t="str">
        <f t="shared" si="8"/>
        <v>50</v>
      </c>
      <c r="J109" s="662" t="str">
        <f>VLOOKUP(P109,Sheet6!$A$2:$E$160,3,0)</f>
        <v>1290BU05116950</v>
      </c>
      <c r="L109" s="399">
        <v>21115114399250</v>
      </c>
      <c r="M109" s="370" t="s">
        <v>1722</v>
      </c>
      <c r="N109" s="369" t="s">
        <v>1222</v>
      </c>
      <c r="O109" s="368" t="str">
        <f t="shared" si="9"/>
        <v>250</v>
      </c>
      <c r="P109" t="str">
        <f t="shared" si="10"/>
        <v>511ANF50</v>
      </c>
      <c r="Q109" s="16" t="s">
        <v>294</v>
      </c>
      <c r="R109" s="17">
        <v>50</v>
      </c>
    </row>
    <row r="110" spans="1:18">
      <c r="A110" s="662" t="str">
        <f t="shared" si="6"/>
        <v>CAM_TRAI</v>
      </c>
      <c r="B110" s="369"/>
      <c r="C110" s="798" t="str">
        <f t="shared" si="14"/>
        <v>511ANF</v>
      </c>
      <c r="D110" s="17"/>
      <c r="E110" s="17" t="str">
        <f t="shared" si="15"/>
        <v>P91</v>
      </c>
      <c r="F110" s="16" t="str">
        <f t="shared" si="8"/>
        <v>25</v>
      </c>
      <c r="J110" s="662" t="e">
        <f>VLOOKUP(P110,Sheet6!$A$2:$E$160,3,0)</f>
        <v>#N/A</v>
      </c>
      <c r="L110" s="399">
        <v>21115114399225</v>
      </c>
      <c r="M110" s="370" t="s">
        <v>1741</v>
      </c>
      <c r="N110" s="369" t="s">
        <v>1742</v>
      </c>
      <c r="O110" s="368" t="str">
        <f t="shared" si="9"/>
        <v>225</v>
      </c>
      <c r="P110" t="str">
        <f t="shared" si="10"/>
        <v>511ANF25</v>
      </c>
      <c r="Q110" s="17" t="s">
        <v>294</v>
      </c>
      <c r="R110" s="17">
        <v>25</v>
      </c>
    </row>
    <row r="111" spans="1:18">
      <c r="A111" s="662" t="str">
        <f t="shared" si="6"/>
        <v>CAM_TRAI</v>
      </c>
      <c r="B111" s="369"/>
      <c r="C111" s="798" t="str">
        <f t="shared" si="14"/>
        <v>511ANF</v>
      </c>
      <c r="D111" s="16"/>
      <c r="E111" s="17" t="str">
        <f t="shared" si="15"/>
        <v>P92</v>
      </c>
      <c r="F111" s="16" t="str">
        <f t="shared" si="8"/>
        <v>50</v>
      </c>
      <c r="J111" s="662" t="str">
        <f>VLOOKUP(P111,Sheet6!$A$2:$E$160,3,0)</f>
        <v>1290BU05116950</v>
      </c>
      <c r="L111" s="399">
        <v>21115114399250</v>
      </c>
      <c r="M111" s="370" t="s">
        <v>1810</v>
      </c>
      <c r="N111" s="369" t="s">
        <v>1222</v>
      </c>
      <c r="O111" s="368" t="str">
        <f t="shared" si="9"/>
        <v>250</v>
      </c>
      <c r="P111" t="str">
        <f t="shared" si="10"/>
        <v>511ANF50</v>
      </c>
      <c r="Q111" s="16" t="s">
        <v>295</v>
      </c>
      <c r="R111" s="17">
        <v>50</v>
      </c>
    </row>
    <row r="112" spans="1:18">
      <c r="A112" s="662" t="str">
        <f t="shared" si="6"/>
        <v>CAM_TRAI</v>
      </c>
      <c r="B112" s="369"/>
      <c r="C112" s="798" t="str">
        <f t="shared" si="14"/>
        <v>511ANF</v>
      </c>
      <c r="D112" s="17"/>
      <c r="E112" s="17"/>
      <c r="F112" s="16" t="str">
        <f t="shared" si="8"/>
        <v>50</v>
      </c>
      <c r="J112" s="662" t="str">
        <f>VLOOKUP(P112,Sheet6!$A$2:$E$160,3,0)</f>
        <v>1290BU05116950</v>
      </c>
      <c r="L112" s="797" t="s">
        <v>1890</v>
      </c>
      <c r="M112" s="370" t="s">
        <v>1890</v>
      </c>
      <c r="N112" s="369" t="s">
        <v>1891</v>
      </c>
      <c r="O112" s="368" t="str">
        <f t="shared" si="9"/>
        <v>250</v>
      </c>
      <c r="P112" t="str">
        <f t="shared" si="10"/>
        <v>511ANF50</v>
      </c>
      <c r="Q112" s="17" t="s">
        <v>285</v>
      </c>
      <c r="R112" s="17">
        <v>50</v>
      </c>
    </row>
    <row r="113" spans="1:18">
      <c r="A113" s="662" t="str">
        <f t="shared" si="6"/>
        <v>CAM_TRAI</v>
      </c>
      <c r="B113" s="369"/>
      <c r="C113" s="799" t="s">
        <v>285</v>
      </c>
      <c r="D113" s="17"/>
      <c r="E113" s="17" t="str">
        <f>RIGHT(M113,3)</f>
        <v>P12</v>
      </c>
      <c r="F113" s="16" t="str">
        <f t="shared" si="8"/>
        <v>50</v>
      </c>
      <c r="J113" s="662" t="str">
        <f>VLOOKUP(P113,Sheet6!$A$2:$E$160,3,0)</f>
        <v>1290BU05116950</v>
      </c>
      <c r="L113" s="797" t="s">
        <v>1904</v>
      </c>
      <c r="M113" s="370" t="s">
        <v>1903</v>
      </c>
      <c r="N113" s="369" t="s">
        <v>1905</v>
      </c>
      <c r="O113" s="368" t="str">
        <f t="shared" si="9"/>
        <v>250</v>
      </c>
      <c r="P113" t="str">
        <f t="shared" si="10"/>
        <v>511ANFTL350</v>
      </c>
      <c r="Q113" s="17" t="s">
        <v>286</v>
      </c>
      <c r="R113" s="17">
        <v>50</v>
      </c>
    </row>
    <row r="114" spans="1:18">
      <c r="A114" s="662" t="str">
        <f t="shared" si="6"/>
        <v>CAM_DAI_LY</v>
      </c>
      <c r="B114" s="369"/>
      <c r="C114" s="798" t="str">
        <f t="shared" ref="C114:C121" si="16">Q114</f>
        <v>511AS</v>
      </c>
      <c r="D114" s="17"/>
      <c r="E114" s="17"/>
      <c r="F114" s="16" t="str">
        <f t="shared" si="8"/>
        <v>25</v>
      </c>
      <c r="J114" s="662" t="str">
        <f>VLOOKUP(P114,Sheet6!$A$2:$E$160,3,0)</f>
        <v>1290K305118425</v>
      </c>
      <c r="L114" s="797">
        <v>21115110119125</v>
      </c>
      <c r="M114" s="370" t="s">
        <v>1954</v>
      </c>
      <c r="N114" s="369" t="s">
        <v>1955</v>
      </c>
      <c r="O114" s="368" t="str">
        <f t="shared" si="9"/>
        <v>125</v>
      </c>
      <c r="P114" t="str">
        <f t="shared" si="10"/>
        <v>511AS25</v>
      </c>
      <c r="Q114" s="17" t="s">
        <v>138</v>
      </c>
      <c r="R114" s="17">
        <v>25</v>
      </c>
    </row>
    <row r="115" spans="1:18">
      <c r="A115" s="662" t="str">
        <f t="shared" si="6"/>
        <v>CAM_DAI_LY</v>
      </c>
      <c r="B115" s="369"/>
      <c r="C115" s="798" t="str">
        <f t="shared" si="16"/>
        <v>511B</v>
      </c>
      <c r="D115" s="17"/>
      <c r="E115" s="17"/>
      <c r="F115" s="16" t="str">
        <f t="shared" si="8"/>
        <v>25</v>
      </c>
      <c r="J115" s="662" t="str">
        <f>VLOOKUP(P115,Sheet6!$A$2:$E$160,3,0)</f>
        <v>1290D205110225</v>
      </c>
      <c r="L115" s="797" t="s">
        <v>653</v>
      </c>
      <c r="M115" s="370" t="s">
        <v>653</v>
      </c>
      <c r="N115" s="369" t="s">
        <v>654</v>
      </c>
      <c r="O115" s="368" t="str">
        <f t="shared" si="9"/>
        <v>125</v>
      </c>
      <c r="P115" t="str">
        <f t="shared" si="10"/>
        <v>511B25</v>
      </c>
      <c r="Q115" s="17" t="s">
        <v>139</v>
      </c>
      <c r="R115" s="17">
        <v>25</v>
      </c>
    </row>
    <row r="116" spans="1:18">
      <c r="A116" s="662" t="str">
        <f t="shared" si="6"/>
        <v>CAM_TRAI</v>
      </c>
      <c r="B116" s="369"/>
      <c r="C116" s="798" t="str">
        <f t="shared" si="16"/>
        <v>511F</v>
      </c>
      <c r="D116" s="17"/>
      <c r="E116" s="17"/>
      <c r="F116" s="16" t="str">
        <f t="shared" si="8"/>
        <v>50</v>
      </c>
      <c r="J116" s="662" t="e">
        <f>VLOOKUP(P116,Sheet6!$A$2:$E$160,3,0)</f>
        <v>#N/A</v>
      </c>
      <c r="L116" s="797" t="s">
        <v>1021</v>
      </c>
      <c r="M116" s="370" t="s">
        <v>1021</v>
      </c>
      <c r="N116" s="369" t="s">
        <v>1022</v>
      </c>
      <c r="O116" s="368" t="str">
        <f t="shared" si="9"/>
        <v>250</v>
      </c>
      <c r="P116" t="str">
        <f t="shared" si="10"/>
        <v>511F50</v>
      </c>
      <c r="Q116" s="17" t="s">
        <v>297</v>
      </c>
      <c r="R116" s="17">
        <v>50</v>
      </c>
    </row>
    <row r="117" spans="1:18">
      <c r="A117" s="662" t="str">
        <f t="shared" si="6"/>
        <v>CAM_TRAI</v>
      </c>
      <c r="B117" s="369"/>
      <c r="C117" s="798" t="str">
        <f t="shared" si="16"/>
        <v>511F</v>
      </c>
      <c r="D117" s="17"/>
      <c r="E117" s="17"/>
      <c r="F117" s="16" t="str">
        <f t="shared" si="8"/>
        <v>25</v>
      </c>
      <c r="J117" s="662" t="e">
        <f>VLOOKUP(P117,Sheet6!$A$2:$E$160,3,0)</f>
        <v>#N/A</v>
      </c>
      <c r="L117" s="399">
        <v>21115110000225</v>
      </c>
      <c r="M117" s="370" t="s">
        <v>1434</v>
      </c>
      <c r="N117" s="369" t="s">
        <v>1435</v>
      </c>
      <c r="O117" s="368" t="str">
        <f t="shared" si="9"/>
        <v>225</v>
      </c>
      <c r="P117" t="str">
        <f t="shared" si="10"/>
        <v>511F25</v>
      </c>
      <c r="Q117" s="17" t="s">
        <v>297</v>
      </c>
      <c r="R117" s="17">
        <v>25</v>
      </c>
    </row>
    <row r="118" spans="1:18">
      <c r="A118" s="662" t="str">
        <f t="shared" si="6"/>
        <v>CAM_DAI_LY</v>
      </c>
      <c r="B118" s="369"/>
      <c r="C118" s="798" t="str">
        <f t="shared" si="16"/>
        <v>511L</v>
      </c>
      <c r="D118" s="17"/>
      <c r="E118" s="17"/>
      <c r="F118" s="16" t="str">
        <f t="shared" si="8"/>
        <v>25</v>
      </c>
      <c r="J118" s="662" t="str">
        <f>VLOOKUP(P118,Sheet6!$A$2:$E$160,3,0)</f>
        <v>1290D205111225</v>
      </c>
      <c r="L118" s="797" t="s">
        <v>657</v>
      </c>
      <c r="M118" s="370" t="s">
        <v>657</v>
      </c>
      <c r="N118" s="369" t="s">
        <v>658</v>
      </c>
      <c r="O118" s="368" t="str">
        <f t="shared" si="9"/>
        <v>125</v>
      </c>
      <c r="P118" t="str">
        <f t="shared" si="10"/>
        <v>511L25</v>
      </c>
      <c r="Q118" s="17" t="s">
        <v>142</v>
      </c>
      <c r="R118" s="17">
        <v>25</v>
      </c>
    </row>
    <row r="119" spans="1:18">
      <c r="A119" s="662" t="str">
        <f t="shared" si="6"/>
        <v>CAM_DAI_LY</v>
      </c>
      <c r="B119" s="369"/>
      <c r="C119" s="798" t="str">
        <f t="shared" si="16"/>
        <v>511M</v>
      </c>
      <c r="D119" s="17"/>
      <c r="E119" s="17"/>
      <c r="F119" s="16" t="str">
        <f t="shared" si="8"/>
        <v>25</v>
      </c>
      <c r="J119" s="662" t="str">
        <f>VLOOKUP(P119,Sheet6!$A$2:$E$160,3,0)</f>
        <v>1290D205111325</v>
      </c>
      <c r="L119" s="797" t="s">
        <v>659</v>
      </c>
      <c r="M119" s="370" t="s">
        <v>659</v>
      </c>
      <c r="N119" s="369" t="s">
        <v>660</v>
      </c>
      <c r="O119" s="368" t="str">
        <f t="shared" si="9"/>
        <v>125</v>
      </c>
      <c r="P119" t="str">
        <f t="shared" si="10"/>
        <v>511M25</v>
      </c>
      <c r="Q119" s="17" t="s">
        <v>143</v>
      </c>
      <c r="R119" s="17">
        <v>25</v>
      </c>
    </row>
    <row r="120" spans="1:18">
      <c r="A120" s="662" t="str">
        <f t="shared" si="6"/>
        <v>CAM_TRAI</v>
      </c>
      <c r="B120" s="369"/>
      <c r="C120" s="798" t="str">
        <f t="shared" si="16"/>
        <v>511NF</v>
      </c>
      <c r="D120" s="17"/>
      <c r="E120" s="17"/>
      <c r="F120" s="16" t="str">
        <f t="shared" si="8"/>
        <v>25</v>
      </c>
      <c r="J120" s="662" t="e">
        <f>VLOOKUP(P120,Sheet6!$A$2:$E$160,3,0)</f>
        <v>#N/A</v>
      </c>
      <c r="L120" s="797" t="s">
        <v>661</v>
      </c>
      <c r="M120" s="370" t="s">
        <v>661</v>
      </c>
      <c r="N120" s="369" t="s">
        <v>662</v>
      </c>
      <c r="O120" s="368" t="str">
        <f t="shared" si="9"/>
        <v>225</v>
      </c>
      <c r="P120" t="str">
        <f t="shared" si="10"/>
        <v>511NF25</v>
      </c>
      <c r="Q120" s="17" t="s">
        <v>299</v>
      </c>
      <c r="R120" s="17">
        <v>25</v>
      </c>
    </row>
    <row r="121" spans="1:18">
      <c r="A121" s="662" t="str">
        <f t="shared" si="6"/>
        <v>CAM_TRAI</v>
      </c>
      <c r="B121" s="369"/>
      <c r="C121" s="798" t="str">
        <f t="shared" si="16"/>
        <v>511NF</v>
      </c>
      <c r="D121" s="17"/>
      <c r="E121" s="17"/>
      <c r="F121" s="16" t="str">
        <f t="shared" si="8"/>
        <v>50</v>
      </c>
      <c r="J121" s="662" t="str">
        <f>VLOOKUP(P121,Sheet6!$A$2:$E$160,3,0)</f>
        <v>1290BT05111450</v>
      </c>
      <c r="L121" s="797" t="s">
        <v>663</v>
      </c>
      <c r="M121" s="370" t="s">
        <v>663</v>
      </c>
      <c r="N121" s="369" t="s">
        <v>664</v>
      </c>
      <c r="O121" s="368" t="str">
        <f t="shared" si="9"/>
        <v>250</v>
      </c>
      <c r="P121" t="str">
        <f t="shared" si="10"/>
        <v>511NF50</v>
      </c>
      <c r="Q121" s="17" t="s">
        <v>299</v>
      </c>
      <c r="R121" s="17">
        <v>50</v>
      </c>
    </row>
    <row r="122" spans="1:18">
      <c r="A122" s="662" t="str">
        <f t="shared" si="6"/>
        <v>CAM_TRAI</v>
      </c>
      <c r="B122" s="369"/>
      <c r="C122" s="798" t="str">
        <f t="shared" ref="C122:C127" si="17">LEFT(Q122,5)</f>
        <v>511NF</v>
      </c>
      <c r="D122" s="17"/>
      <c r="E122" s="17" t="str">
        <f t="shared" ref="E122:E127" si="18">RIGHT(M122,3)</f>
        <v>P31</v>
      </c>
      <c r="F122" s="16" t="str">
        <f t="shared" si="8"/>
        <v>50</v>
      </c>
      <c r="J122" s="662" t="str">
        <f>VLOOKUP(P122,Sheet6!$A$2:$E$160,3,0)</f>
        <v>1290BT05111450</v>
      </c>
      <c r="L122" s="399">
        <v>21115111499250</v>
      </c>
      <c r="M122" s="370" t="s">
        <v>1752</v>
      </c>
      <c r="N122" s="369" t="s">
        <v>1285</v>
      </c>
      <c r="O122" s="368" t="str">
        <f t="shared" si="9"/>
        <v>250</v>
      </c>
      <c r="P122" t="str">
        <f t="shared" si="10"/>
        <v>511NF50</v>
      </c>
      <c r="Q122" s="17" t="s">
        <v>302</v>
      </c>
      <c r="R122" s="17">
        <v>50</v>
      </c>
    </row>
    <row r="123" spans="1:18">
      <c r="A123" s="662" t="str">
        <f t="shared" si="6"/>
        <v>CAM_TRAI</v>
      </c>
      <c r="B123" s="369"/>
      <c r="C123" s="798" t="str">
        <f t="shared" si="17"/>
        <v>511NF</v>
      </c>
      <c r="D123" s="17"/>
      <c r="E123" s="17" t="str">
        <f t="shared" si="18"/>
        <v>P32</v>
      </c>
      <c r="F123" s="16" t="str">
        <f t="shared" si="8"/>
        <v>50</v>
      </c>
      <c r="J123" s="662" t="str">
        <f>VLOOKUP(P123,Sheet6!$A$2:$E$160,3,0)</f>
        <v>1290BT05111450</v>
      </c>
      <c r="L123" s="399">
        <v>21115111499250</v>
      </c>
      <c r="M123" s="370" t="s">
        <v>1352</v>
      </c>
      <c r="N123" s="369" t="s">
        <v>1285</v>
      </c>
      <c r="O123" s="368" t="str">
        <f t="shared" si="9"/>
        <v>250</v>
      </c>
      <c r="P123" t="str">
        <f t="shared" si="10"/>
        <v>511NF50</v>
      </c>
      <c r="Q123" s="17" t="s">
        <v>303</v>
      </c>
      <c r="R123" s="17">
        <v>50</v>
      </c>
    </row>
    <row r="124" spans="1:18">
      <c r="A124" s="662" t="str">
        <f t="shared" si="6"/>
        <v>CAM_TRAI</v>
      </c>
      <c r="B124" s="369"/>
      <c r="C124" s="798" t="str">
        <f t="shared" si="17"/>
        <v>511NF</v>
      </c>
      <c r="D124" s="17"/>
      <c r="E124" s="17" t="str">
        <f t="shared" si="18"/>
        <v>P33</v>
      </c>
      <c r="F124" s="16" t="str">
        <f t="shared" si="8"/>
        <v>50</v>
      </c>
      <c r="J124" s="662" t="str">
        <f>VLOOKUP(P124,Sheet6!$A$2:$E$160,3,0)</f>
        <v>1290BT05111450</v>
      </c>
      <c r="L124" s="399">
        <v>21115111499250</v>
      </c>
      <c r="M124" s="370" t="s">
        <v>1388</v>
      </c>
      <c r="N124" s="369" t="s">
        <v>1285</v>
      </c>
      <c r="O124" s="368" t="str">
        <f t="shared" si="9"/>
        <v>250</v>
      </c>
      <c r="P124" t="str">
        <f t="shared" si="10"/>
        <v>511NF50</v>
      </c>
      <c r="Q124" s="17" t="s">
        <v>304</v>
      </c>
      <c r="R124" s="17">
        <v>50</v>
      </c>
    </row>
    <row r="125" spans="1:18">
      <c r="A125" s="662" t="str">
        <f t="shared" si="6"/>
        <v>CAM_TRAI</v>
      </c>
      <c r="B125" s="369"/>
      <c r="C125" s="798" t="str">
        <f t="shared" si="17"/>
        <v>511NF</v>
      </c>
      <c r="D125" s="17"/>
      <c r="E125" s="17" t="str">
        <f t="shared" si="18"/>
        <v>P35</v>
      </c>
      <c r="F125" s="16" t="str">
        <f t="shared" si="8"/>
        <v>50</v>
      </c>
      <c r="J125" s="662" t="str">
        <f>VLOOKUP(P125,Sheet6!$A$2:$E$160,3,0)</f>
        <v>1290BT05111450</v>
      </c>
      <c r="L125" s="399">
        <v>21115111499250</v>
      </c>
      <c r="M125" s="370" t="s">
        <v>1496</v>
      </c>
      <c r="N125" s="369" t="s">
        <v>1285</v>
      </c>
      <c r="O125" s="368" t="str">
        <f t="shared" si="9"/>
        <v>250</v>
      </c>
      <c r="P125" t="str">
        <f t="shared" si="10"/>
        <v>511NF50</v>
      </c>
      <c r="Q125" s="17" t="s">
        <v>305</v>
      </c>
      <c r="R125" s="17">
        <v>50</v>
      </c>
    </row>
    <row r="126" spans="1:18">
      <c r="A126" s="662" t="str">
        <f t="shared" si="6"/>
        <v>CAM_TRAI</v>
      </c>
      <c r="B126" s="369"/>
      <c r="C126" s="798" t="str">
        <f t="shared" si="17"/>
        <v>511NF</v>
      </c>
      <c r="D126" s="17"/>
      <c r="E126" s="17" t="str">
        <f t="shared" si="18"/>
        <v>P85</v>
      </c>
      <c r="F126" s="16" t="str">
        <f t="shared" si="8"/>
        <v>50</v>
      </c>
      <c r="J126" s="662" t="str">
        <f>VLOOKUP(P126,Sheet6!$A$2:$E$160,3,0)</f>
        <v>1290BT05111450</v>
      </c>
      <c r="L126" s="399">
        <v>21115111499250</v>
      </c>
      <c r="M126" s="370" t="s">
        <v>1469</v>
      </c>
      <c r="N126" s="369" t="s">
        <v>1285</v>
      </c>
      <c r="O126" s="368" t="str">
        <f t="shared" si="9"/>
        <v>250</v>
      </c>
      <c r="P126" t="str">
        <f t="shared" si="10"/>
        <v>511NF50</v>
      </c>
      <c r="Q126" s="17" t="s">
        <v>306</v>
      </c>
      <c r="R126" s="17">
        <v>50</v>
      </c>
    </row>
    <row r="127" spans="1:18">
      <c r="A127" s="662" t="str">
        <f t="shared" si="6"/>
        <v>CAM_TRAI</v>
      </c>
      <c r="B127" s="369"/>
      <c r="C127" s="798" t="str">
        <f t="shared" si="17"/>
        <v>511NF</v>
      </c>
      <c r="D127" s="17"/>
      <c r="E127" s="17" t="str">
        <f t="shared" si="18"/>
        <v>P87</v>
      </c>
      <c r="F127" s="16" t="str">
        <f t="shared" si="8"/>
        <v>50</v>
      </c>
      <c r="J127" s="662" t="str">
        <f>VLOOKUP(P127,Sheet6!$A$2:$E$160,3,0)</f>
        <v>1290BT05111450</v>
      </c>
      <c r="L127" s="399">
        <v>21115111499250</v>
      </c>
      <c r="M127" s="370" t="s">
        <v>1563</v>
      </c>
      <c r="N127" s="369" t="s">
        <v>1285</v>
      </c>
      <c r="O127" s="368" t="str">
        <f t="shared" si="9"/>
        <v>250</v>
      </c>
      <c r="P127" t="str">
        <f t="shared" si="10"/>
        <v>511NF50</v>
      </c>
      <c r="Q127" s="17" t="s">
        <v>307</v>
      </c>
      <c r="R127" s="17">
        <v>50</v>
      </c>
    </row>
    <row r="128" spans="1:18">
      <c r="A128" s="662" t="str">
        <f t="shared" si="6"/>
        <v>CAM_TRAI</v>
      </c>
      <c r="B128" s="369"/>
      <c r="C128" s="798" t="str">
        <f t="shared" ref="C128:C136" si="19">Q128</f>
        <v>511NFTL3</v>
      </c>
      <c r="D128" s="17"/>
      <c r="E128" s="17"/>
      <c r="F128" s="16" t="str">
        <f t="shared" si="8"/>
        <v>50</v>
      </c>
      <c r="J128" s="662" t="str">
        <f>VLOOKUP(P128,Sheet6!$A$2:$E$160,3,0)</f>
        <v>1290BT05111450</v>
      </c>
      <c r="L128" s="797" t="s">
        <v>1894</v>
      </c>
      <c r="M128" s="370" t="s">
        <v>1894</v>
      </c>
      <c r="N128" s="369" t="s">
        <v>1895</v>
      </c>
      <c r="O128" s="368" t="str">
        <f t="shared" si="9"/>
        <v>250</v>
      </c>
      <c r="P128" t="str">
        <f t="shared" si="10"/>
        <v>511NFTL350</v>
      </c>
      <c r="Q128" s="17" t="s">
        <v>301</v>
      </c>
      <c r="R128" s="17">
        <v>50</v>
      </c>
    </row>
    <row r="129" spans="1:18">
      <c r="A129" s="662" t="str">
        <f t="shared" si="6"/>
        <v>CAM_DAI_LY</v>
      </c>
      <c r="B129" s="369"/>
      <c r="C129" s="798" t="str">
        <f t="shared" si="19"/>
        <v>511S</v>
      </c>
      <c r="D129" s="17"/>
      <c r="E129" s="17"/>
      <c r="F129" s="16" t="str">
        <f t="shared" si="8"/>
        <v>25</v>
      </c>
      <c r="J129" s="662" t="str">
        <f>VLOOKUP(P129,Sheet6!$A$2:$E$160,3,0)</f>
        <v>1290H605111925</v>
      </c>
      <c r="L129" s="797">
        <v>21115111900125</v>
      </c>
      <c r="M129" s="370" t="s">
        <v>1974</v>
      </c>
      <c r="N129" s="369" t="s">
        <v>1975</v>
      </c>
      <c r="O129" s="368" t="str">
        <f t="shared" si="9"/>
        <v>125</v>
      </c>
      <c r="P129" t="str">
        <f t="shared" si="10"/>
        <v>511S25</v>
      </c>
      <c r="Q129" s="17" t="s">
        <v>136</v>
      </c>
      <c r="R129" s="17">
        <v>25</v>
      </c>
    </row>
    <row r="130" spans="1:18">
      <c r="A130" s="662" t="str">
        <f t="shared" ref="A130:A193" si="20">VLOOKUP(O130,$T$83:$U$91,2,0)</f>
        <v>CAM_DAI_LY</v>
      </c>
      <c r="B130" s="369"/>
      <c r="C130" s="798" t="str">
        <f t="shared" si="19"/>
        <v>512M</v>
      </c>
      <c r="D130" s="17"/>
      <c r="E130" s="17"/>
      <c r="F130" s="16" t="str">
        <f t="shared" ref="F130:F193" si="21">RIGHT(L130,2)</f>
        <v>25</v>
      </c>
      <c r="J130" s="662" t="e">
        <f>VLOOKUP(P130,Sheet6!$A$2:$E$160,3,0)</f>
        <v>#N/A</v>
      </c>
      <c r="L130" s="797" t="s">
        <v>674</v>
      </c>
      <c r="M130" s="370" t="s">
        <v>674</v>
      </c>
      <c r="N130" s="369" t="s">
        <v>675</v>
      </c>
      <c r="O130" s="368" t="str">
        <f t="shared" ref="O130:O193" si="22">MID(L130,12,3)</f>
        <v>125</v>
      </c>
      <c r="P130" t="str">
        <f t="shared" ref="P130:P193" si="23">C130&amp;R130</f>
        <v>512M25</v>
      </c>
      <c r="Q130" s="17" t="s">
        <v>144</v>
      </c>
      <c r="R130" s="17">
        <v>25</v>
      </c>
    </row>
    <row r="131" spans="1:18">
      <c r="A131" s="662" t="str">
        <f t="shared" si="20"/>
        <v>CAM_DAI_LY</v>
      </c>
      <c r="B131" s="369"/>
      <c r="C131" s="798" t="str">
        <f t="shared" si="19"/>
        <v>513F</v>
      </c>
      <c r="D131" s="17"/>
      <c r="E131" s="17"/>
      <c r="F131" s="16" t="str">
        <f t="shared" si="21"/>
        <v>25</v>
      </c>
      <c r="J131" s="662" t="e">
        <f>VLOOKUP(P131,Sheet6!$A$2:$E$160,3,0)</f>
        <v>#N/A</v>
      </c>
      <c r="L131" s="797" t="s">
        <v>676</v>
      </c>
      <c r="M131" s="370" t="s">
        <v>676</v>
      </c>
      <c r="N131" s="369" t="s">
        <v>2139</v>
      </c>
      <c r="O131" s="368" t="str">
        <f t="shared" si="22"/>
        <v>125</v>
      </c>
      <c r="P131" t="str">
        <f t="shared" si="23"/>
        <v>513F25</v>
      </c>
      <c r="Q131" s="17" t="s">
        <v>309</v>
      </c>
      <c r="R131" s="17">
        <v>25</v>
      </c>
    </row>
    <row r="132" spans="1:18">
      <c r="A132" s="662" t="str">
        <f t="shared" si="20"/>
        <v>CAM_TRAI</v>
      </c>
      <c r="B132" s="369"/>
      <c r="C132" s="798" t="str">
        <f t="shared" si="19"/>
        <v>513F</v>
      </c>
      <c r="D132" s="17"/>
      <c r="E132" s="17"/>
      <c r="F132" s="16" t="str">
        <f t="shared" si="21"/>
        <v>50</v>
      </c>
      <c r="J132" s="662" t="str">
        <f>VLOOKUP(P132,Sheet6!$A$2:$E$160,3,0)</f>
        <v>1290BT05130050</v>
      </c>
      <c r="L132" s="797" t="s">
        <v>679</v>
      </c>
      <c r="M132" s="370" t="s">
        <v>679</v>
      </c>
      <c r="N132" s="369" t="s">
        <v>678</v>
      </c>
      <c r="O132" s="368" t="str">
        <f t="shared" si="22"/>
        <v>250</v>
      </c>
      <c r="P132" t="str">
        <f t="shared" si="23"/>
        <v>513F50</v>
      </c>
      <c r="Q132" s="17" t="s">
        <v>309</v>
      </c>
      <c r="R132" s="17">
        <v>50</v>
      </c>
    </row>
    <row r="133" spans="1:18">
      <c r="A133" s="662" t="str">
        <f t="shared" si="20"/>
        <v>CAM_TRAI</v>
      </c>
      <c r="B133" s="369"/>
      <c r="C133" s="798" t="str">
        <f t="shared" si="19"/>
        <v>513F</v>
      </c>
      <c r="D133" s="16"/>
      <c r="E133" s="17"/>
      <c r="F133" s="16" t="str">
        <f t="shared" si="21"/>
        <v>25</v>
      </c>
      <c r="J133" s="662" t="e">
        <f>VLOOKUP(P133,Sheet6!$A$2:$E$160,3,0)</f>
        <v>#N/A</v>
      </c>
      <c r="L133" s="399">
        <v>21115130000225</v>
      </c>
      <c r="M133" s="370" t="s">
        <v>1073</v>
      </c>
      <c r="N133" s="369" t="s">
        <v>1074</v>
      </c>
      <c r="O133" s="368" t="str">
        <f t="shared" si="22"/>
        <v>225</v>
      </c>
      <c r="P133" t="str">
        <f t="shared" si="23"/>
        <v>513F25</v>
      </c>
      <c r="Q133" s="16" t="s">
        <v>309</v>
      </c>
      <c r="R133" s="17">
        <v>25</v>
      </c>
    </row>
    <row r="134" spans="1:18">
      <c r="A134" s="662" t="str">
        <f t="shared" si="20"/>
        <v>CAM_TRAI</v>
      </c>
      <c r="B134" s="369"/>
      <c r="C134" s="798" t="str">
        <f t="shared" si="19"/>
        <v>513FTL3</v>
      </c>
      <c r="D134" s="17"/>
      <c r="E134" s="17"/>
      <c r="F134" s="16" t="str">
        <f t="shared" si="21"/>
        <v>50</v>
      </c>
      <c r="J134" s="662" t="str">
        <f>VLOOKUP(P134,Sheet6!$A$2:$E$160,3,0)</f>
        <v>1290BT05130050</v>
      </c>
      <c r="L134" s="797" t="s">
        <v>1918</v>
      </c>
      <c r="M134" s="370" t="s">
        <v>1918</v>
      </c>
      <c r="N134" s="369" t="s">
        <v>1919</v>
      </c>
      <c r="O134" s="368" t="str">
        <f t="shared" si="22"/>
        <v>250</v>
      </c>
      <c r="P134" t="str">
        <f t="shared" si="23"/>
        <v>513FTL350</v>
      </c>
      <c r="Q134" s="17" t="s">
        <v>308</v>
      </c>
      <c r="R134" s="17">
        <v>50</v>
      </c>
    </row>
    <row r="135" spans="1:18">
      <c r="A135" s="662" t="str">
        <f t="shared" si="20"/>
        <v>CAM_TRAI</v>
      </c>
      <c r="B135" s="369"/>
      <c r="C135" s="798" t="str">
        <f t="shared" si="19"/>
        <v>521F</v>
      </c>
      <c r="D135" s="16"/>
      <c r="E135" s="17"/>
      <c r="F135" s="16" t="str">
        <f t="shared" si="21"/>
        <v>50</v>
      </c>
      <c r="J135" s="662" t="e">
        <f>VLOOKUP(P135,Sheet6!$A$2:$E$160,3,0)</f>
        <v>#N/A</v>
      </c>
      <c r="L135" s="797" t="s">
        <v>1019</v>
      </c>
      <c r="M135" s="370" t="s">
        <v>1019</v>
      </c>
      <c r="N135" s="369" t="s">
        <v>1020</v>
      </c>
      <c r="O135" s="368" t="str">
        <f t="shared" si="22"/>
        <v>250</v>
      </c>
      <c r="P135" t="str">
        <f t="shared" si="23"/>
        <v>521F50</v>
      </c>
      <c r="Q135" s="16" t="s">
        <v>311</v>
      </c>
      <c r="R135" s="17">
        <v>50</v>
      </c>
    </row>
    <row r="136" spans="1:18">
      <c r="A136" s="662" t="str">
        <f t="shared" si="20"/>
        <v>CAM_TRAI</v>
      </c>
      <c r="B136" s="369"/>
      <c r="C136" s="798" t="str">
        <f t="shared" si="19"/>
        <v>521NF</v>
      </c>
      <c r="D136" s="17"/>
      <c r="E136" s="17"/>
      <c r="F136" s="16" t="str">
        <f t="shared" si="21"/>
        <v>50</v>
      </c>
      <c r="J136" s="662" t="e">
        <f>VLOOKUP(P136,Sheet6!$A$2:$E$160,3,0)</f>
        <v>#N/A</v>
      </c>
      <c r="L136" s="399">
        <v>21115211400250</v>
      </c>
      <c r="M136" s="373" t="s">
        <v>1242</v>
      </c>
      <c r="N136" s="369" t="s">
        <v>1243</v>
      </c>
      <c r="O136" s="368" t="str">
        <f t="shared" si="22"/>
        <v>250</v>
      </c>
      <c r="P136" t="str">
        <f t="shared" si="23"/>
        <v>521NF50</v>
      </c>
      <c r="Q136" s="17" t="s">
        <v>313</v>
      </c>
      <c r="R136" s="17">
        <v>50</v>
      </c>
    </row>
    <row r="137" spans="1:18">
      <c r="A137" s="662" t="str">
        <f t="shared" si="20"/>
        <v>CAM_TRAI</v>
      </c>
      <c r="B137" s="369"/>
      <c r="C137" s="798" t="str">
        <f>LEFT(Q137,5)</f>
        <v>521NF</v>
      </c>
      <c r="D137" s="17"/>
      <c r="E137" s="17" t="str">
        <f>RIGHT(M137,3)</f>
        <v>P44</v>
      </c>
      <c r="F137" s="16" t="str">
        <f t="shared" si="21"/>
        <v>50</v>
      </c>
      <c r="J137" s="662" t="e">
        <f>VLOOKUP(P137,Sheet6!$A$2:$E$160,3,0)</f>
        <v>#N/A</v>
      </c>
      <c r="L137" s="399">
        <v>21115211499250</v>
      </c>
      <c r="M137" s="370" t="s">
        <v>1450</v>
      </c>
      <c r="N137" s="369" t="s">
        <v>1109</v>
      </c>
      <c r="O137" s="368" t="str">
        <f t="shared" si="22"/>
        <v>250</v>
      </c>
      <c r="P137" t="str">
        <f t="shared" si="23"/>
        <v>521NF50</v>
      </c>
      <c r="Q137" s="17" t="s">
        <v>314</v>
      </c>
      <c r="R137" s="17">
        <v>50</v>
      </c>
    </row>
    <row r="138" spans="1:18">
      <c r="A138" s="662" t="str">
        <f t="shared" si="20"/>
        <v>CAM_TRAI</v>
      </c>
      <c r="B138" s="369"/>
      <c r="C138" s="798" t="str">
        <f>LEFT(Q138,5)</f>
        <v>521NF</v>
      </c>
      <c r="D138" s="17"/>
      <c r="E138" s="17" t="str">
        <f>RIGHT(M138,3)</f>
        <v>P70</v>
      </c>
      <c r="F138" s="16" t="str">
        <f t="shared" si="21"/>
        <v>50</v>
      </c>
      <c r="J138" s="662" t="e">
        <f>VLOOKUP(P138,Sheet6!$A$2:$E$160,3,0)</f>
        <v>#N/A</v>
      </c>
      <c r="L138" s="399">
        <v>21115211499250</v>
      </c>
      <c r="M138" s="370" t="s">
        <v>1401</v>
      </c>
      <c r="N138" s="369" t="s">
        <v>1109</v>
      </c>
      <c r="O138" s="368" t="str">
        <f t="shared" si="22"/>
        <v>250</v>
      </c>
      <c r="P138" t="str">
        <f t="shared" si="23"/>
        <v>521NF50</v>
      </c>
      <c r="Q138" s="17" t="s">
        <v>1366</v>
      </c>
      <c r="R138" s="17">
        <v>50</v>
      </c>
    </row>
    <row r="139" spans="1:18">
      <c r="A139" s="662" t="str">
        <f t="shared" si="20"/>
        <v>CAM_DAI_LY</v>
      </c>
      <c r="B139" s="369"/>
      <c r="C139" s="798" t="str">
        <f>Q139</f>
        <v>521Pro</v>
      </c>
      <c r="D139" s="16"/>
      <c r="E139" s="17"/>
      <c r="F139" s="16" t="str">
        <f t="shared" si="21"/>
        <v>25</v>
      </c>
      <c r="J139" s="662" t="str">
        <f>VLOOKUP(P139,Sheet6!$A$2:$E$160,3,0)</f>
        <v>1290K605217525</v>
      </c>
      <c r="L139" s="399">
        <v>21115211600125</v>
      </c>
      <c r="M139" s="370" t="s">
        <v>1883</v>
      </c>
      <c r="N139" s="369" t="s">
        <v>1884</v>
      </c>
      <c r="O139" s="368" t="str">
        <f t="shared" si="22"/>
        <v>125</v>
      </c>
      <c r="P139" t="str">
        <f t="shared" si="23"/>
        <v>521Pro25</v>
      </c>
      <c r="Q139" s="16" t="s">
        <v>53</v>
      </c>
      <c r="R139" s="17">
        <v>25</v>
      </c>
    </row>
    <row r="140" spans="1:18">
      <c r="A140" s="662" t="str">
        <f t="shared" si="20"/>
        <v>CAM_DAI_LY</v>
      </c>
      <c r="B140" s="369"/>
      <c r="C140" s="798" t="str">
        <f>Q140</f>
        <v>521SPro</v>
      </c>
      <c r="D140" s="17"/>
      <c r="E140" s="17"/>
      <c r="F140" s="16" t="str">
        <f t="shared" si="21"/>
        <v>25</v>
      </c>
      <c r="J140" s="662" t="str">
        <f>VLOOKUP(P140,Sheet6!$A$2:$E$160,3,0)</f>
        <v>1290K605217925</v>
      </c>
      <c r="L140" s="797">
        <v>21115211916125</v>
      </c>
      <c r="M140" s="370" t="s">
        <v>1906</v>
      </c>
      <c r="N140" s="369" t="s">
        <v>1907</v>
      </c>
      <c r="O140" s="368" t="str">
        <f t="shared" si="22"/>
        <v>125</v>
      </c>
      <c r="P140" t="str">
        <f t="shared" si="23"/>
        <v>521SPro25</v>
      </c>
      <c r="Q140" s="17" t="s">
        <v>52</v>
      </c>
      <c r="R140" s="17">
        <v>25</v>
      </c>
    </row>
    <row r="141" spans="1:18">
      <c r="A141" s="662" t="str">
        <f t="shared" si="20"/>
        <v>CAM_TRAI</v>
      </c>
      <c r="B141" s="369"/>
      <c r="C141" s="798" t="str">
        <f>Q141</f>
        <v>522NF</v>
      </c>
      <c r="D141" s="17"/>
      <c r="E141" s="17"/>
      <c r="F141" s="16" t="str">
        <f t="shared" si="21"/>
        <v>50</v>
      </c>
      <c r="J141" s="662" t="e">
        <f>VLOOKUP(P141,Sheet6!$A$2:$E$160,3,0)</f>
        <v>#N/A</v>
      </c>
      <c r="L141" s="399">
        <v>21115221400250</v>
      </c>
      <c r="M141" s="370" t="s">
        <v>1615</v>
      </c>
      <c r="N141" s="369" t="s">
        <v>1616</v>
      </c>
      <c r="O141" s="368" t="str">
        <f t="shared" si="22"/>
        <v>250</v>
      </c>
      <c r="P141" t="str">
        <f t="shared" si="23"/>
        <v>522NF50</v>
      </c>
      <c r="Q141" s="17" t="s">
        <v>317</v>
      </c>
      <c r="R141" s="17">
        <v>50</v>
      </c>
    </row>
    <row r="142" spans="1:18">
      <c r="A142" s="662" t="str">
        <f t="shared" si="20"/>
        <v>CAM_TRAI</v>
      </c>
      <c r="B142" s="369"/>
      <c r="C142" s="798" t="str">
        <f>LEFT(Q142,5)</f>
        <v>522NF</v>
      </c>
      <c r="D142" s="17"/>
      <c r="E142" s="17" t="str">
        <f>RIGHT(M142,3)</f>
        <v>P70</v>
      </c>
      <c r="F142" s="16" t="str">
        <f t="shared" si="21"/>
        <v>50</v>
      </c>
      <c r="J142" s="662" t="e">
        <f>VLOOKUP(P142,Sheet6!$A$2:$E$160,3,0)</f>
        <v>#N/A</v>
      </c>
      <c r="L142" s="399">
        <v>21115221499250</v>
      </c>
      <c r="M142" s="370" t="s">
        <v>1402</v>
      </c>
      <c r="N142" s="369" t="s">
        <v>1111</v>
      </c>
      <c r="O142" s="368" t="str">
        <f t="shared" si="22"/>
        <v>250</v>
      </c>
      <c r="P142" t="str">
        <f t="shared" si="23"/>
        <v>522NF50</v>
      </c>
      <c r="Q142" s="17" t="s">
        <v>1380</v>
      </c>
      <c r="R142" s="17">
        <v>50</v>
      </c>
    </row>
    <row r="143" spans="1:18">
      <c r="A143" s="662" t="str">
        <f t="shared" si="20"/>
        <v>CAM_DAI_LY</v>
      </c>
      <c r="B143" s="369"/>
      <c r="C143" s="798" t="str">
        <f t="shared" ref="C143:C151" si="24">Q143</f>
        <v>522Pro</v>
      </c>
      <c r="D143" s="17"/>
      <c r="E143" s="17"/>
      <c r="F143" s="16" t="str">
        <f t="shared" si="21"/>
        <v>25</v>
      </c>
      <c r="J143" s="662" t="str">
        <f>VLOOKUP(P143,Sheet6!$A$2:$E$160,3,0)</f>
        <v>1290K605227525</v>
      </c>
      <c r="L143" s="399">
        <v>21115221600125</v>
      </c>
      <c r="M143" s="370" t="s">
        <v>1844</v>
      </c>
      <c r="N143" s="369" t="s">
        <v>1845</v>
      </c>
      <c r="O143" s="368" t="str">
        <f t="shared" si="22"/>
        <v>125</v>
      </c>
      <c r="P143" t="str">
        <f t="shared" si="23"/>
        <v>522Pro25</v>
      </c>
      <c r="Q143" s="17" t="s">
        <v>50</v>
      </c>
      <c r="R143" s="17">
        <v>25</v>
      </c>
    </row>
    <row r="144" spans="1:18">
      <c r="A144" s="662" t="str">
        <f t="shared" si="20"/>
        <v>CAM_DAI_LY</v>
      </c>
      <c r="B144" s="369"/>
      <c r="C144" s="798" t="str">
        <f t="shared" si="24"/>
        <v>524A</v>
      </c>
      <c r="D144" s="17"/>
      <c r="E144" s="17"/>
      <c r="F144" s="16" t="str">
        <f t="shared" si="21"/>
        <v>25</v>
      </c>
      <c r="J144" s="662" t="e">
        <f>VLOOKUP(P144,Sheet6!$A$2:$E$160,3,0)</f>
        <v>#N/A</v>
      </c>
      <c r="L144" s="797" t="s">
        <v>715</v>
      </c>
      <c r="M144" s="370" t="s">
        <v>715</v>
      </c>
      <c r="N144" s="369" t="s">
        <v>716</v>
      </c>
      <c r="O144" s="368" t="str">
        <f t="shared" si="22"/>
        <v>125</v>
      </c>
      <c r="P144" t="str">
        <f t="shared" si="23"/>
        <v>524A25</v>
      </c>
      <c r="Q144" s="17" t="s">
        <v>149</v>
      </c>
      <c r="R144" s="17">
        <v>25</v>
      </c>
    </row>
    <row r="145" spans="1:18">
      <c r="A145" s="662" t="str">
        <f t="shared" si="20"/>
        <v>CAM_TRAI</v>
      </c>
      <c r="B145" s="369"/>
      <c r="C145" s="798" t="str">
        <f t="shared" si="24"/>
        <v>524F</v>
      </c>
      <c r="D145" s="17"/>
      <c r="E145" s="17"/>
      <c r="F145" s="16" t="str">
        <f t="shared" si="21"/>
        <v>25</v>
      </c>
      <c r="J145" s="662" t="e">
        <f>VLOOKUP(P145,Sheet6!$A$2:$E$160,3,0)</f>
        <v>#N/A</v>
      </c>
      <c r="L145" s="399">
        <v>21115240000225</v>
      </c>
      <c r="M145" s="370" t="s">
        <v>1643</v>
      </c>
      <c r="N145" s="369" t="s">
        <v>1644</v>
      </c>
      <c r="O145" s="368" t="str">
        <f t="shared" si="22"/>
        <v>225</v>
      </c>
      <c r="P145" t="str">
        <f t="shared" si="23"/>
        <v>524F25</v>
      </c>
      <c r="Q145" s="17" t="s">
        <v>318</v>
      </c>
      <c r="R145" s="17">
        <v>25</v>
      </c>
    </row>
    <row r="146" spans="1:18">
      <c r="A146" s="662" t="str">
        <f t="shared" si="20"/>
        <v>CAM_DAI_LY</v>
      </c>
      <c r="B146" s="369"/>
      <c r="C146" s="798" t="str">
        <f t="shared" si="24"/>
        <v>524P</v>
      </c>
      <c r="D146" s="17"/>
      <c r="E146" s="17"/>
      <c r="F146" s="16" t="str">
        <f t="shared" si="21"/>
        <v>25</v>
      </c>
      <c r="J146" s="662" t="e">
        <f>VLOOKUP(P146,Sheet6!$A$2:$E$160,3,0)</f>
        <v>#N/A</v>
      </c>
      <c r="L146" s="797">
        <v>21115246100125</v>
      </c>
      <c r="M146" s="370" t="s">
        <v>1952</v>
      </c>
      <c r="N146" s="369" t="s">
        <v>1953</v>
      </c>
      <c r="O146" s="368" t="str">
        <f t="shared" si="22"/>
        <v>125</v>
      </c>
      <c r="P146" t="str">
        <f t="shared" si="23"/>
        <v>524P25</v>
      </c>
      <c r="Q146" s="17" t="s">
        <v>147</v>
      </c>
      <c r="R146" s="17">
        <v>25</v>
      </c>
    </row>
    <row r="147" spans="1:18">
      <c r="A147" s="662" t="str">
        <f t="shared" si="20"/>
        <v>CAM_TRAI</v>
      </c>
      <c r="B147" s="369"/>
      <c r="C147" s="798" t="str">
        <f t="shared" si="24"/>
        <v>540F</v>
      </c>
      <c r="D147" s="17"/>
      <c r="E147" s="17"/>
      <c r="F147" s="16" t="str">
        <f t="shared" si="21"/>
        <v>50</v>
      </c>
      <c r="J147" s="662" t="str">
        <f>VLOOKUP(P147,Sheet6!$A$2:$E$160,3,0)</f>
        <v>1290BT05400050</v>
      </c>
      <c r="L147" s="797" t="s">
        <v>1023</v>
      </c>
      <c r="M147" s="370" t="s">
        <v>1023</v>
      </c>
      <c r="N147" s="369" t="s">
        <v>1024</v>
      </c>
      <c r="O147" s="368" t="str">
        <f t="shared" si="22"/>
        <v>250</v>
      </c>
      <c r="P147" t="str">
        <f t="shared" si="23"/>
        <v>540F50</v>
      </c>
      <c r="Q147" s="17" t="s">
        <v>322</v>
      </c>
      <c r="R147" s="17">
        <v>50</v>
      </c>
    </row>
    <row r="148" spans="1:18">
      <c r="A148" s="662" t="str">
        <f t="shared" si="20"/>
        <v>CAM_TRAI</v>
      </c>
      <c r="B148" s="369"/>
      <c r="C148" s="798" t="str">
        <f t="shared" si="24"/>
        <v>540F</v>
      </c>
      <c r="D148" s="17"/>
      <c r="E148" s="17"/>
      <c r="F148" s="16" t="str">
        <f t="shared" si="21"/>
        <v>25</v>
      </c>
      <c r="J148" s="662" t="e">
        <f>VLOOKUP(P148,Sheet6!$A$2:$E$160,3,0)</f>
        <v>#N/A</v>
      </c>
      <c r="L148" s="399">
        <v>21115400000225</v>
      </c>
      <c r="M148" s="370" t="s">
        <v>1381</v>
      </c>
      <c r="N148" s="369" t="s">
        <v>1382</v>
      </c>
      <c r="O148" s="368" t="str">
        <f t="shared" si="22"/>
        <v>225</v>
      </c>
      <c r="P148" t="str">
        <f t="shared" si="23"/>
        <v>540F25</v>
      </c>
      <c r="Q148" s="17" t="s">
        <v>322</v>
      </c>
      <c r="R148" s="17">
        <v>25</v>
      </c>
    </row>
    <row r="149" spans="1:18">
      <c r="A149" s="662" t="str">
        <f t="shared" si="20"/>
        <v>CAM_TRAI</v>
      </c>
      <c r="B149" s="369"/>
      <c r="C149" s="798" t="str">
        <f t="shared" si="24"/>
        <v>540F</v>
      </c>
      <c r="D149" s="17"/>
      <c r="E149" s="17"/>
      <c r="F149" s="16" t="str">
        <f t="shared" si="21"/>
        <v>40</v>
      </c>
      <c r="J149" s="662" t="e">
        <f>VLOOKUP(P149,Sheet6!$A$2:$E$160,3,0)</f>
        <v>#N/A</v>
      </c>
      <c r="L149" s="399">
        <v>21115400000240</v>
      </c>
      <c r="M149" s="370" t="s">
        <v>1770</v>
      </c>
      <c r="N149" s="369" t="s">
        <v>1771</v>
      </c>
      <c r="O149" s="368" t="str">
        <f t="shared" si="22"/>
        <v>240</v>
      </c>
      <c r="P149" t="str">
        <f t="shared" si="23"/>
        <v>540F40</v>
      </c>
      <c r="Q149" s="17" t="s">
        <v>322</v>
      </c>
      <c r="R149" s="17">
        <v>40</v>
      </c>
    </row>
    <row r="150" spans="1:18">
      <c r="A150" s="662" t="str">
        <f t="shared" si="20"/>
        <v>CAM_TRAI</v>
      </c>
      <c r="B150" s="369"/>
      <c r="C150" s="798" t="str">
        <f t="shared" si="24"/>
        <v>548F</v>
      </c>
      <c r="D150" s="17"/>
      <c r="E150" s="17"/>
      <c r="F150" s="16" t="str">
        <f t="shared" si="21"/>
        <v>50</v>
      </c>
      <c r="J150" s="662" t="str">
        <f>VLOOKUP(P150,Sheet6!$A$2:$E$160,3,0)</f>
        <v>1290BT05480050</v>
      </c>
      <c r="L150" s="797" t="s">
        <v>740</v>
      </c>
      <c r="M150" s="370" t="s">
        <v>740</v>
      </c>
      <c r="N150" s="369" t="s">
        <v>741</v>
      </c>
      <c r="O150" s="368" t="str">
        <f t="shared" si="22"/>
        <v>250</v>
      </c>
      <c r="P150" t="str">
        <f t="shared" si="23"/>
        <v>548F50</v>
      </c>
      <c r="Q150" s="17" t="s">
        <v>324</v>
      </c>
      <c r="R150" s="17">
        <v>50</v>
      </c>
    </row>
    <row r="151" spans="1:18">
      <c r="A151" s="662" t="str">
        <f t="shared" si="20"/>
        <v>CAM_TRAI</v>
      </c>
      <c r="B151" s="369"/>
      <c r="C151" s="798" t="str">
        <f t="shared" si="24"/>
        <v>548F</v>
      </c>
      <c r="D151" s="17"/>
      <c r="E151" s="17"/>
      <c r="F151" s="16" t="str">
        <f t="shared" si="21"/>
        <v>25</v>
      </c>
      <c r="J151" s="662" t="e">
        <f>VLOOKUP(P151,Sheet6!$A$2:$E$160,3,0)</f>
        <v>#N/A</v>
      </c>
      <c r="L151" s="399">
        <v>21115480000225</v>
      </c>
      <c r="M151" s="370" t="s">
        <v>1487</v>
      </c>
      <c r="N151" s="369" t="s">
        <v>1488</v>
      </c>
      <c r="O151" s="368" t="str">
        <f t="shared" si="22"/>
        <v>225</v>
      </c>
      <c r="P151" t="str">
        <f t="shared" si="23"/>
        <v>548F25</v>
      </c>
      <c r="Q151" s="17" t="s">
        <v>324</v>
      </c>
      <c r="R151" s="17">
        <v>25</v>
      </c>
    </row>
    <row r="152" spans="1:18">
      <c r="A152" s="662" t="str">
        <f t="shared" si="20"/>
        <v>CAM_TRAI</v>
      </c>
      <c r="B152" s="369"/>
      <c r="C152" s="798" t="str">
        <f>LEFT(Q152,4)</f>
        <v>548F</v>
      </c>
      <c r="D152" s="17"/>
      <c r="E152" s="17" t="str">
        <f>RIGHT(M152,3)</f>
        <v>P31</v>
      </c>
      <c r="F152" s="16" t="str">
        <f t="shared" si="21"/>
        <v>50</v>
      </c>
      <c r="J152" s="662" t="str">
        <f>VLOOKUP(P152,Sheet6!$A$2:$E$160,3,0)</f>
        <v>1290BT05480050</v>
      </c>
      <c r="L152" s="399">
        <v>21115480099250</v>
      </c>
      <c r="M152" s="370" t="s">
        <v>1436</v>
      </c>
      <c r="N152" s="369" t="s">
        <v>1437</v>
      </c>
      <c r="O152" s="368" t="str">
        <f t="shared" si="22"/>
        <v>250</v>
      </c>
      <c r="P152" t="str">
        <f t="shared" si="23"/>
        <v>548F50</v>
      </c>
      <c r="Q152" s="17" t="s">
        <v>325</v>
      </c>
      <c r="R152" s="17">
        <v>50</v>
      </c>
    </row>
    <row r="153" spans="1:18">
      <c r="A153" s="662" t="str">
        <f t="shared" si="20"/>
        <v>CAM_TRAI</v>
      </c>
      <c r="B153" s="369"/>
      <c r="C153" s="798" t="str">
        <f>LEFT(Q153,4)</f>
        <v>548F</v>
      </c>
      <c r="D153" s="17"/>
      <c r="E153" s="17" t="str">
        <f>RIGHT(M153,3)</f>
        <v>P33</v>
      </c>
      <c r="F153" s="16" t="str">
        <f t="shared" si="21"/>
        <v>50</v>
      </c>
      <c r="J153" s="662" t="str">
        <f>VLOOKUP(P153,Sheet6!$A$2:$E$160,3,0)</f>
        <v>1290BT05480050</v>
      </c>
      <c r="L153" s="399">
        <v>21115480099250</v>
      </c>
      <c r="M153" s="370" t="s">
        <v>1482</v>
      </c>
      <c r="N153" s="369" t="s">
        <v>1437</v>
      </c>
      <c r="O153" s="368" t="str">
        <f t="shared" si="22"/>
        <v>250</v>
      </c>
      <c r="P153" t="str">
        <f t="shared" si="23"/>
        <v>548F50</v>
      </c>
      <c r="Q153" s="17" t="s">
        <v>326</v>
      </c>
      <c r="R153" s="17">
        <v>50</v>
      </c>
    </row>
    <row r="154" spans="1:18">
      <c r="A154" s="662" t="str">
        <f t="shared" si="20"/>
        <v>CAM_TRAI</v>
      </c>
      <c r="B154" s="369"/>
      <c r="C154" s="798" t="str">
        <f>LEFT(Q154,4)</f>
        <v>548F</v>
      </c>
      <c r="D154" s="17"/>
      <c r="E154" s="17" t="str">
        <f>RIGHT(M154,3)</f>
        <v>P35</v>
      </c>
      <c r="F154" s="16" t="str">
        <f t="shared" si="21"/>
        <v>50</v>
      </c>
      <c r="J154" s="662" t="str">
        <f>VLOOKUP(P154,Sheet6!$A$2:$E$160,3,0)</f>
        <v>1290BT05480050</v>
      </c>
      <c r="L154" s="399">
        <v>21115480099250</v>
      </c>
      <c r="M154" s="370" t="s">
        <v>1692</v>
      </c>
      <c r="N154" s="369" t="s">
        <v>1437</v>
      </c>
      <c r="O154" s="368" t="str">
        <f t="shared" si="22"/>
        <v>250</v>
      </c>
      <c r="P154" t="str">
        <f t="shared" si="23"/>
        <v>548F50</v>
      </c>
      <c r="Q154" s="17" t="s">
        <v>328</v>
      </c>
      <c r="R154" s="17">
        <v>50</v>
      </c>
    </row>
    <row r="155" spans="1:18">
      <c r="A155" s="662" t="str">
        <f t="shared" si="20"/>
        <v>CAM_DAI_LY</v>
      </c>
      <c r="B155" s="369"/>
      <c r="C155" s="798" t="str">
        <f t="shared" ref="C155:C160" si="25">Q155</f>
        <v>548M</v>
      </c>
      <c r="D155" s="17"/>
      <c r="E155" s="17"/>
      <c r="F155" s="16" t="str">
        <f t="shared" si="21"/>
        <v>25</v>
      </c>
      <c r="J155" s="662" t="e">
        <f>VLOOKUP(P155,Sheet6!$A$2:$E$160,3,0)</f>
        <v>#N/A</v>
      </c>
      <c r="L155" s="399">
        <v>21115481300125</v>
      </c>
      <c r="M155" s="370" t="s">
        <v>1557</v>
      </c>
      <c r="N155" s="369" t="s">
        <v>1558</v>
      </c>
      <c r="O155" s="368" t="str">
        <f t="shared" si="22"/>
        <v>125</v>
      </c>
      <c r="P155" t="str">
        <f t="shared" si="23"/>
        <v>548M25</v>
      </c>
      <c r="Q155" s="17" t="s">
        <v>150</v>
      </c>
      <c r="R155" s="17">
        <v>25</v>
      </c>
    </row>
    <row r="156" spans="1:18">
      <c r="A156" s="662" t="str">
        <f t="shared" si="20"/>
        <v>CAM_TRAI</v>
      </c>
      <c r="B156" s="369"/>
      <c r="C156" s="798" t="str">
        <f t="shared" si="25"/>
        <v>549F</v>
      </c>
      <c r="D156" s="17"/>
      <c r="E156" s="17"/>
      <c r="F156" s="16" t="str">
        <f t="shared" si="21"/>
        <v>50</v>
      </c>
      <c r="J156" s="662" t="str">
        <f>VLOOKUP(P156,Sheet6!$A$2:$E$160,3,0)</f>
        <v>1290BT05490050</v>
      </c>
      <c r="L156" s="797" t="s">
        <v>744</v>
      </c>
      <c r="M156" s="370" t="s">
        <v>744</v>
      </c>
      <c r="N156" s="369" t="s">
        <v>745</v>
      </c>
      <c r="O156" s="368" t="str">
        <f t="shared" si="22"/>
        <v>250</v>
      </c>
      <c r="P156" t="str">
        <f t="shared" si="23"/>
        <v>549F50</v>
      </c>
      <c r="Q156" s="17" t="s">
        <v>329</v>
      </c>
      <c r="R156" s="17">
        <v>50</v>
      </c>
    </row>
    <row r="157" spans="1:18">
      <c r="A157" s="662" t="str">
        <f t="shared" si="20"/>
        <v>CAM_TRAI</v>
      </c>
      <c r="B157" s="369"/>
      <c r="C157" s="798" t="str">
        <f t="shared" si="25"/>
        <v>549F</v>
      </c>
      <c r="D157" s="17"/>
      <c r="E157" s="17"/>
      <c r="F157" s="16" t="str">
        <f t="shared" si="21"/>
        <v>25</v>
      </c>
      <c r="J157" s="662" t="e">
        <f>VLOOKUP(P157,Sheet6!$A$2:$E$160,3,0)</f>
        <v>#N/A</v>
      </c>
      <c r="L157" s="399">
        <v>21115490000225</v>
      </c>
      <c r="M157" s="370" t="s">
        <v>1492</v>
      </c>
      <c r="N157" s="369" t="s">
        <v>1493</v>
      </c>
      <c r="O157" s="368" t="str">
        <f t="shared" si="22"/>
        <v>225</v>
      </c>
      <c r="P157" t="str">
        <f t="shared" si="23"/>
        <v>549F25</v>
      </c>
      <c r="Q157" s="17" t="s">
        <v>329</v>
      </c>
      <c r="R157" s="17">
        <v>25</v>
      </c>
    </row>
    <row r="158" spans="1:18">
      <c r="A158" s="662" t="str">
        <f t="shared" si="20"/>
        <v>CAM_TRAI</v>
      </c>
      <c r="B158" s="369"/>
      <c r="C158" s="798" t="str">
        <f t="shared" si="25"/>
        <v>549F</v>
      </c>
      <c r="D158" s="17"/>
      <c r="E158" s="17"/>
      <c r="F158" s="16" t="str">
        <f t="shared" si="21"/>
        <v>40</v>
      </c>
      <c r="J158" s="662" t="e">
        <f>VLOOKUP(P158,Sheet6!$A$2:$E$160,3,0)</f>
        <v>#N/A</v>
      </c>
      <c r="L158" s="399">
        <v>21115490000240</v>
      </c>
      <c r="M158" s="370" t="s">
        <v>1787</v>
      </c>
      <c r="N158" s="369" t="s">
        <v>1788</v>
      </c>
      <c r="O158" s="368" t="str">
        <f t="shared" si="22"/>
        <v>240</v>
      </c>
      <c r="P158" t="str">
        <f t="shared" si="23"/>
        <v>549F40</v>
      </c>
      <c r="Q158" s="17" t="s">
        <v>329</v>
      </c>
      <c r="R158" s="17">
        <v>40</v>
      </c>
    </row>
    <row r="159" spans="1:18">
      <c r="A159" s="662" t="str">
        <f t="shared" si="20"/>
        <v>CAM_DAI_LY</v>
      </c>
      <c r="B159" s="369"/>
      <c r="C159" s="798" t="str">
        <f t="shared" si="25"/>
        <v>549M</v>
      </c>
      <c r="D159" s="17"/>
      <c r="E159" s="17"/>
      <c r="F159" s="16" t="str">
        <f t="shared" si="21"/>
        <v>25</v>
      </c>
      <c r="J159" s="662" t="e">
        <f>VLOOKUP(P159,Sheet6!$A$2:$E$160,3,0)</f>
        <v>#N/A</v>
      </c>
      <c r="L159" s="399">
        <v>21115491300125</v>
      </c>
      <c r="M159" s="370" t="s">
        <v>1549</v>
      </c>
      <c r="N159" s="369" t="s">
        <v>1550</v>
      </c>
      <c r="O159" s="368" t="str">
        <f t="shared" si="22"/>
        <v>125</v>
      </c>
      <c r="P159" t="str">
        <f t="shared" si="23"/>
        <v>549M25</v>
      </c>
      <c r="Q159" s="17" t="s">
        <v>151</v>
      </c>
      <c r="R159" s="17">
        <v>25</v>
      </c>
    </row>
    <row r="160" spans="1:18">
      <c r="A160" s="662" t="str">
        <f t="shared" si="20"/>
        <v>CAM_TRAI</v>
      </c>
      <c r="B160"/>
      <c r="C160" s="798" t="str">
        <f t="shared" si="25"/>
        <v>550BSF</v>
      </c>
      <c r="D160" s="17"/>
      <c r="E160" s="17"/>
      <c r="F160" s="16" t="str">
        <f t="shared" si="21"/>
        <v>25</v>
      </c>
      <c r="J160" s="662" t="e">
        <f>VLOOKUP(P160,Sheet6!$A$2:$E$160,3,0)</f>
        <v>#N/A</v>
      </c>
      <c r="L160" s="399">
        <v>21115507200225</v>
      </c>
      <c r="M160" s="374" t="s">
        <v>2140</v>
      </c>
      <c r="N160" t="s">
        <v>1255</v>
      </c>
      <c r="O160" s="368" t="str">
        <f t="shared" si="22"/>
        <v>225</v>
      </c>
      <c r="P160" t="str">
        <f t="shared" si="23"/>
        <v>550BSF25</v>
      </c>
      <c r="Q160" s="17" t="s">
        <v>1256</v>
      </c>
      <c r="R160" s="17">
        <v>25</v>
      </c>
    </row>
    <row r="161" spans="1:18">
      <c r="A161" s="662" t="str">
        <f t="shared" si="20"/>
        <v>CAM_TRAI</v>
      </c>
      <c r="B161" s="369"/>
      <c r="C161" s="798" t="str">
        <f>LEFT(Q161,5)</f>
        <v>550PF</v>
      </c>
      <c r="D161" s="17"/>
      <c r="E161" s="17" t="str">
        <f>RIGHT(M161,3)</f>
        <v>S46</v>
      </c>
      <c r="F161" s="16" t="str">
        <f t="shared" si="21"/>
        <v>10</v>
      </c>
      <c r="J161" s="662" t="e">
        <f>VLOOKUP(P161,Sheet6!$A$2:$E$160,3,0)</f>
        <v>#N/A</v>
      </c>
      <c r="L161" s="399">
        <v>21115501699210</v>
      </c>
      <c r="M161" s="370" t="s">
        <v>1700</v>
      </c>
      <c r="N161" s="369" t="s">
        <v>1701</v>
      </c>
      <c r="O161" s="368" t="str">
        <f t="shared" si="22"/>
        <v>210</v>
      </c>
      <c r="P161" t="str">
        <f t="shared" si="23"/>
        <v>550PF10</v>
      </c>
      <c r="Q161" s="17" t="s">
        <v>351</v>
      </c>
      <c r="R161" s="17">
        <v>10</v>
      </c>
    </row>
    <row r="162" spans="1:18">
      <c r="A162" s="662" t="str">
        <f t="shared" si="20"/>
        <v>CAM_TRAI</v>
      </c>
      <c r="B162" s="369"/>
      <c r="C162" s="798" t="str">
        <f>LEFT(Q162,5)</f>
        <v>550PF</v>
      </c>
      <c r="D162" s="17"/>
      <c r="E162" s="17" t="str">
        <f>RIGHT(M162,3)</f>
        <v>S87</v>
      </c>
      <c r="F162" s="16" t="str">
        <f t="shared" si="21"/>
        <v>10</v>
      </c>
      <c r="J162" s="662" t="e">
        <f>VLOOKUP(P162,Sheet6!$A$2:$E$160,3,0)</f>
        <v>#N/A</v>
      </c>
      <c r="L162" s="399">
        <v>21115501699210</v>
      </c>
      <c r="M162" s="370" t="s">
        <v>1779</v>
      </c>
      <c r="N162" s="369" t="s">
        <v>1701</v>
      </c>
      <c r="O162" s="368" t="str">
        <f t="shared" si="22"/>
        <v>210</v>
      </c>
      <c r="P162" t="str">
        <f t="shared" si="23"/>
        <v>550PF10</v>
      </c>
      <c r="Q162" s="17" t="s">
        <v>353</v>
      </c>
      <c r="R162" s="17">
        <v>10</v>
      </c>
    </row>
    <row r="163" spans="1:18">
      <c r="A163" s="662" t="str">
        <f t="shared" si="20"/>
        <v>CAM_TRAI</v>
      </c>
      <c r="B163" s="369"/>
      <c r="C163" s="798" t="str">
        <f>LEFT(Q163,5)</f>
        <v>550PF</v>
      </c>
      <c r="D163" s="16"/>
      <c r="E163" s="17" t="str">
        <f>RIGHT(M163,3)</f>
        <v>S88</v>
      </c>
      <c r="F163" s="16" t="str">
        <f t="shared" si="21"/>
        <v>10</v>
      </c>
      <c r="J163" s="662" t="e">
        <f>VLOOKUP(P163,Sheet6!$A$2:$E$160,3,0)</f>
        <v>#N/A</v>
      </c>
      <c r="L163" s="399">
        <v>21115501699210</v>
      </c>
      <c r="M163" s="370" t="s">
        <v>1836</v>
      </c>
      <c r="N163" s="369" t="s">
        <v>1837</v>
      </c>
      <c r="O163" s="368" t="str">
        <f t="shared" si="22"/>
        <v>210</v>
      </c>
      <c r="P163" t="str">
        <f t="shared" si="23"/>
        <v>550PF10</v>
      </c>
      <c r="Q163" s="16" t="s">
        <v>352</v>
      </c>
      <c r="R163" s="17">
        <v>10</v>
      </c>
    </row>
    <row r="164" spans="1:18">
      <c r="A164" s="662" t="str">
        <f t="shared" si="20"/>
        <v>CAM_DAI_LY</v>
      </c>
      <c r="B164" s="369"/>
      <c r="C164" s="798" t="str">
        <f t="shared" ref="C164:C169" si="26">Q164</f>
        <v>550Pro</v>
      </c>
      <c r="D164" s="17"/>
      <c r="E164" s="17"/>
      <c r="F164" s="16" t="str">
        <f t="shared" si="21"/>
        <v>25</v>
      </c>
      <c r="J164" s="662" t="str">
        <f>VLOOKUP(P164,Sheet6!$A$2:$E$160,3,0)</f>
        <v>1290B705501625</v>
      </c>
      <c r="L164" s="399">
        <v>21115501600125</v>
      </c>
      <c r="M164" s="370" t="s">
        <v>1719</v>
      </c>
      <c r="N164" s="369" t="s">
        <v>1720</v>
      </c>
      <c r="O164" s="368" t="str">
        <f t="shared" si="22"/>
        <v>125</v>
      </c>
      <c r="P164" t="str">
        <f t="shared" si="23"/>
        <v>550Pro25</v>
      </c>
      <c r="Q164" s="17" t="s">
        <v>54</v>
      </c>
      <c r="R164" s="17">
        <v>25</v>
      </c>
    </row>
    <row r="165" spans="1:18">
      <c r="A165" s="662" t="str">
        <f t="shared" si="20"/>
        <v>CAM_TUI</v>
      </c>
      <c r="B165" s="369"/>
      <c r="C165" s="798" t="str">
        <f t="shared" si="26"/>
        <v>550Pro</v>
      </c>
      <c r="D165" s="17"/>
      <c r="E165" s="17"/>
      <c r="F165" s="16" t="str">
        <f t="shared" si="21"/>
        <v>25</v>
      </c>
      <c r="J165" s="662" t="e">
        <f>VLOOKUP(P165,Sheet6!$A$2:$E$160,3,0)</f>
        <v>#N/A</v>
      </c>
      <c r="L165" s="399">
        <v>21115501600425</v>
      </c>
      <c r="M165" s="370" t="s">
        <v>1775</v>
      </c>
      <c r="N165" s="369" t="s">
        <v>1776</v>
      </c>
      <c r="O165" s="368" t="str">
        <f t="shared" si="22"/>
        <v>425</v>
      </c>
      <c r="P165" t="str">
        <f t="shared" si="23"/>
        <v>550Pro5*5</v>
      </c>
      <c r="Q165" s="17" t="s">
        <v>54</v>
      </c>
      <c r="R165" s="17" t="s">
        <v>56</v>
      </c>
    </row>
    <row r="166" spans="1:18">
      <c r="A166" s="662" t="str">
        <f t="shared" si="20"/>
        <v>CAM_DAI_LY</v>
      </c>
      <c r="B166" s="369"/>
      <c r="C166" s="798" t="str">
        <f t="shared" si="26"/>
        <v>550S</v>
      </c>
      <c r="D166" s="17"/>
      <c r="E166" s="17"/>
      <c r="F166" s="16" t="str">
        <f t="shared" si="21"/>
        <v>25</v>
      </c>
      <c r="J166" s="662" t="str">
        <f>VLOOKUP(P166,Sheet6!$A$2:$E$160,3,0)</f>
        <v>1290B705501925</v>
      </c>
      <c r="L166" s="797" t="s">
        <v>750</v>
      </c>
      <c r="M166" s="370" t="s">
        <v>750</v>
      </c>
      <c r="N166" s="369" t="s">
        <v>751</v>
      </c>
      <c r="O166" s="368" t="str">
        <f t="shared" si="22"/>
        <v>125</v>
      </c>
      <c r="P166" t="str">
        <f t="shared" si="23"/>
        <v>550S25</v>
      </c>
      <c r="Q166" s="17" t="s">
        <v>154</v>
      </c>
      <c r="R166" s="17">
        <v>25</v>
      </c>
    </row>
    <row r="167" spans="1:18">
      <c r="A167" s="662" t="str">
        <f t="shared" si="20"/>
        <v>CAM_TUI</v>
      </c>
      <c r="B167" s="369"/>
      <c r="C167" s="798" t="str">
        <f t="shared" si="26"/>
        <v>550S</v>
      </c>
      <c r="D167" s="17"/>
      <c r="E167" s="17"/>
      <c r="F167" s="16" t="str">
        <f t="shared" si="21"/>
        <v>25</v>
      </c>
      <c r="J167" s="662" t="e">
        <f>VLOOKUP(P167,Sheet6!$A$2:$E$160,3,0)</f>
        <v>#N/A</v>
      </c>
      <c r="L167" s="797" t="s">
        <v>752</v>
      </c>
      <c r="M167" s="370" t="s">
        <v>752</v>
      </c>
      <c r="N167" s="369" t="s">
        <v>753</v>
      </c>
      <c r="O167" s="368" t="str">
        <f t="shared" si="22"/>
        <v>425</v>
      </c>
      <c r="P167" t="str">
        <f t="shared" si="23"/>
        <v>550S5*5</v>
      </c>
      <c r="Q167" s="17" t="s">
        <v>154</v>
      </c>
      <c r="R167" s="17" t="s">
        <v>56</v>
      </c>
    </row>
    <row r="168" spans="1:18">
      <c r="A168" s="662" t="str">
        <f t="shared" si="20"/>
        <v>CAM_TRAI</v>
      </c>
      <c r="B168" s="369"/>
      <c r="C168" s="798" t="str">
        <f t="shared" si="26"/>
        <v>550S F</v>
      </c>
      <c r="D168" s="17"/>
      <c r="E168" s="17"/>
      <c r="F168" s="16" t="str">
        <f t="shared" si="21"/>
        <v>50</v>
      </c>
      <c r="J168" s="662" t="e">
        <f>VLOOKUP(P168,Sheet6!$A$2:$E$160,3,0)</f>
        <v>#N/A</v>
      </c>
      <c r="L168" s="797">
        <v>21115501900250</v>
      </c>
      <c r="M168" s="370" t="s">
        <v>1920</v>
      </c>
      <c r="N168" s="369" t="s">
        <v>1921</v>
      </c>
      <c r="O168" s="368" t="str">
        <f t="shared" si="22"/>
        <v>250</v>
      </c>
      <c r="P168" t="str">
        <f t="shared" si="23"/>
        <v>550S F50</v>
      </c>
      <c r="Q168" s="17" t="s">
        <v>2141</v>
      </c>
      <c r="R168" s="17">
        <v>50</v>
      </c>
    </row>
    <row r="169" spans="1:18">
      <c r="A169" s="662" t="str">
        <f t="shared" si="20"/>
        <v>Box</v>
      </c>
      <c r="B169" s="369"/>
      <c r="C169" s="798" t="str">
        <f t="shared" si="26"/>
        <v>550SBox</v>
      </c>
      <c r="D169" s="17"/>
      <c r="E169" s="17"/>
      <c r="F169" s="16" t="str">
        <f t="shared" si="21"/>
        <v>25</v>
      </c>
      <c r="J169" s="662" t="e">
        <f>VLOOKUP(P169,Sheet6!$A$2:$E$160,3,0)</f>
        <v>#N/A</v>
      </c>
      <c r="L169" s="797" t="s">
        <v>754</v>
      </c>
      <c r="M169" s="370" t="s">
        <v>754</v>
      </c>
      <c r="N169" s="369" t="s">
        <v>755</v>
      </c>
      <c r="O169" s="368" t="str">
        <f t="shared" si="22"/>
        <v>925</v>
      </c>
      <c r="P169" t="str">
        <f t="shared" si="23"/>
        <v>550SBox25</v>
      </c>
      <c r="Q169" s="17" t="s">
        <v>153</v>
      </c>
      <c r="R169" s="17">
        <v>25</v>
      </c>
    </row>
    <row r="170" spans="1:18">
      <c r="A170" s="662" t="str">
        <f t="shared" si="20"/>
        <v>CAM_TRAI</v>
      </c>
      <c r="B170" s="369"/>
      <c r="C170" s="799" t="s">
        <v>344</v>
      </c>
      <c r="D170" s="17"/>
      <c r="E170" s="17" t="str">
        <f>RIGHT(M170,3)</f>
        <v>S25</v>
      </c>
      <c r="F170" s="16" t="str">
        <f t="shared" si="21"/>
        <v>50</v>
      </c>
      <c r="J170" s="662" t="str">
        <f>VLOOKUP(P170,Sheet6!$A$2:$E$160,3,0)</f>
        <v>1290BT05501950</v>
      </c>
      <c r="L170" s="797">
        <v>21115501999250</v>
      </c>
      <c r="M170" s="370" t="s">
        <v>1978</v>
      </c>
      <c r="N170" s="369" t="s">
        <v>1979</v>
      </c>
      <c r="O170" s="368" t="str">
        <f t="shared" si="22"/>
        <v>250</v>
      </c>
      <c r="P170" t="str">
        <f t="shared" si="23"/>
        <v>550SF50</v>
      </c>
      <c r="Q170" s="17" t="s">
        <v>349</v>
      </c>
      <c r="R170" s="17">
        <v>50</v>
      </c>
    </row>
    <row r="171" spans="1:18">
      <c r="A171" s="662" t="str">
        <f t="shared" si="20"/>
        <v>CAM_TRAI</v>
      </c>
      <c r="B171" s="369"/>
      <c r="C171" s="799" t="s">
        <v>344</v>
      </c>
      <c r="D171" s="17"/>
      <c r="E171" s="17" t="str">
        <f>RIGHT(M171,3)</f>
        <v>S31</v>
      </c>
      <c r="F171" s="16" t="str">
        <f t="shared" si="21"/>
        <v>50</v>
      </c>
      <c r="J171" s="662" t="str">
        <f>VLOOKUP(P171,Sheet6!$A$2:$E$160,3,0)</f>
        <v>1290BT05501950</v>
      </c>
      <c r="L171" s="797">
        <v>21115501999250</v>
      </c>
      <c r="M171" s="370" t="s">
        <v>1981</v>
      </c>
      <c r="N171" s="369" t="s">
        <v>1979</v>
      </c>
      <c r="O171" s="368" t="str">
        <f t="shared" si="22"/>
        <v>250</v>
      </c>
      <c r="P171" t="str">
        <f t="shared" si="23"/>
        <v>550SF50</v>
      </c>
      <c r="Q171" s="17" t="s">
        <v>348</v>
      </c>
      <c r="R171" s="17">
        <v>50</v>
      </c>
    </row>
    <row r="172" spans="1:18">
      <c r="A172" s="662" t="str">
        <f t="shared" si="20"/>
        <v>CAM_TRAI</v>
      </c>
      <c r="B172" s="369"/>
      <c r="C172" s="799" t="s">
        <v>344</v>
      </c>
      <c r="D172" s="17"/>
      <c r="E172" s="17" t="str">
        <f>RIGHT(M172,3)</f>
        <v>S88</v>
      </c>
      <c r="F172" s="16" t="str">
        <f t="shared" si="21"/>
        <v>50</v>
      </c>
      <c r="J172" s="662" t="str">
        <f>VLOOKUP(P172,Sheet6!$A$2:$E$160,3,0)</f>
        <v>1290BT05501950</v>
      </c>
      <c r="L172" s="797">
        <v>21115501999250</v>
      </c>
      <c r="M172" s="370" t="s">
        <v>1916</v>
      </c>
      <c r="N172" s="369" t="s">
        <v>1917</v>
      </c>
      <c r="O172" s="368" t="str">
        <f t="shared" si="22"/>
        <v>250</v>
      </c>
      <c r="P172" t="str">
        <f t="shared" si="23"/>
        <v>550SF50</v>
      </c>
      <c r="Q172" s="17" t="s">
        <v>436</v>
      </c>
      <c r="R172" s="17">
        <v>50</v>
      </c>
    </row>
    <row r="173" spans="1:18">
      <c r="A173" s="662" t="str">
        <f t="shared" si="20"/>
        <v>CAM_DAI_LY</v>
      </c>
      <c r="B173" s="369"/>
      <c r="C173" s="798" t="str">
        <f>Q173</f>
        <v>550SX</v>
      </c>
      <c r="D173" s="17"/>
      <c r="E173" s="17"/>
      <c r="F173" s="16" t="str">
        <f t="shared" si="21"/>
        <v>25</v>
      </c>
      <c r="J173" s="662" t="e">
        <f>VLOOKUP(P173,Sheet6!$A$2:$E$160,3,0)</f>
        <v>#N/A</v>
      </c>
      <c r="L173" s="399">
        <v>21115507800125</v>
      </c>
      <c r="M173" s="370" t="s">
        <v>1869</v>
      </c>
      <c r="N173" s="369" t="s">
        <v>1870</v>
      </c>
      <c r="O173" s="368" t="str">
        <f t="shared" si="22"/>
        <v>125</v>
      </c>
      <c r="P173" t="str">
        <f t="shared" si="23"/>
        <v>550SX25</v>
      </c>
      <c r="Q173" s="17" t="s">
        <v>155</v>
      </c>
      <c r="R173" s="17">
        <v>25</v>
      </c>
    </row>
    <row r="174" spans="1:18">
      <c r="A174" s="662" t="str">
        <f t="shared" si="20"/>
        <v>CAM_DAI_LY</v>
      </c>
      <c r="B174" s="576"/>
      <c r="C174" s="798" t="str">
        <f>Q174</f>
        <v>550XPro</v>
      </c>
      <c r="D174" s="17"/>
      <c r="E174" s="17"/>
      <c r="F174" s="16" t="str">
        <f t="shared" si="21"/>
        <v>25</v>
      </c>
      <c r="J174" s="662" t="e">
        <f>VLOOKUP(P174,Sheet6!$A$2:$E$160,3,0)</f>
        <v>#N/A</v>
      </c>
      <c r="L174" s="797" t="s">
        <v>1864</v>
      </c>
      <c r="M174" s="370" t="s">
        <v>1864</v>
      </c>
      <c r="N174" s="576" t="s">
        <v>1865</v>
      </c>
      <c r="O174" s="368" t="str">
        <f t="shared" si="22"/>
        <v>125</v>
      </c>
      <c r="P174" t="str">
        <f t="shared" si="23"/>
        <v>550XPro25</v>
      </c>
      <c r="Q174" s="17" t="s">
        <v>57</v>
      </c>
      <c r="R174" s="17">
        <v>25</v>
      </c>
    </row>
    <row r="175" spans="1:18">
      <c r="A175" s="662" t="str">
        <f t="shared" si="20"/>
        <v>CAM_TRAI</v>
      </c>
      <c r="B175" s="369"/>
      <c r="C175" s="798" t="str">
        <f>Q175</f>
        <v>551BSF</v>
      </c>
      <c r="D175" s="17"/>
      <c r="E175" s="17"/>
      <c r="F175" s="16" t="str">
        <f t="shared" si="21"/>
        <v>50</v>
      </c>
      <c r="J175" s="662" t="e">
        <f>VLOOKUP(P175,Sheet6!$A$2:$E$160,3,0)</f>
        <v>#N/A</v>
      </c>
      <c r="L175" s="399">
        <v>21115517200250</v>
      </c>
      <c r="M175" s="370" t="s">
        <v>1270</v>
      </c>
      <c r="N175" s="369" t="s">
        <v>1271</v>
      </c>
      <c r="O175" s="368" t="str">
        <f t="shared" si="22"/>
        <v>250</v>
      </c>
      <c r="P175" t="str">
        <f t="shared" si="23"/>
        <v>551BSF50</v>
      </c>
      <c r="Q175" s="17" t="s">
        <v>1272</v>
      </c>
      <c r="R175" s="17">
        <v>50</v>
      </c>
    </row>
    <row r="176" spans="1:18">
      <c r="A176" s="662" t="str">
        <f t="shared" si="20"/>
        <v>CAM_TRAI</v>
      </c>
      <c r="B176" s="369"/>
      <c r="C176" s="798" t="s">
        <v>356</v>
      </c>
      <c r="D176" s="17"/>
      <c r="E176" s="17"/>
      <c r="F176" s="16" t="str">
        <f t="shared" si="21"/>
        <v>50</v>
      </c>
      <c r="J176" s="662" t="str">
        <f>VLOOKUP(P176,Sheet6!$A$2:$E$160,3,0)</f>
        <v>1290BT05510050</v>
      </c>
      <c r="L176" s="797" t="s">
        <v>776</v>
      </c>
      <c r="M176" s="370" t="s">
        <v>776</v>
      </c>
      <c r="N176" s="369" t="s">
        <v>777</v>
      </c>
      <c r="O176" s="368" t="str">
        <f t="shared" si="22"/>
        <v>250</v>
      </c>
      <c r="P176" t="str">
        <f t="shared" si="23"/>
        <v>551F50</v>
      </c>
      <c r="Q176" s="17" t="s">
        <v>356</v>
      </c>
      <c r="R176" s="17">
        <v>50</v>
      </c>
    </row>
    <row r="177" spans="1:18">
      <c r="A177" s="662" t="str">
        <f t="shared" si="20"/>
        <v>CAM_TRAI</v>
      </c>
      <c r="B177" s="369"/>
      <c r="C177" s="798" t="s">
        <v>356</v>
      </c>
      <c r="D177" s="16"/>
      <c r="E177" s="17"/>
      <c r="F177" s="16" t="str">
        <f t="shared" si="21"/>
        <v>25</v>
      </c>
      <c r="J177" s="662" t="e">
        <f>VLOOKUP(P177,Sheet6!$A$2:$E$160,3,0)</f>
        <v>#N/A</v>
      </c>
      <c r="L177" s="399">
        <v>21115510000225</v>
      </c>
      <c r="M177" s="370" t="s">
        <v>1503</v>
      </c>
      <c r="N177" s="369" t="s">
        <v>1504</v>
      </c>
      <c r="O177" s="368" t="str">
        <f t="shared" si="22"/>
        <v>225</v>
      </c>
      <c r="P177" t="str">
        <f t="shared" si="23"/>
        <v>551F25</v>
      </c>
      <c r="Q177" s="16" t="s">
        <v>356</v>
      </c>
      <c r="R177" s="17">
        <v>25</v>
      </c>
    </row>
    <row r="178" spans="1:18">
      <c r="A178" s="662" t="str">
        <f t="shared" si="20"/>
        <v>CAM_TRAI</v>
      </c>
      <c r="B178" s="369"/>
      <c r="C178" s="798" t="s">
        <v>356</v>
      </c>
      <c r="D178" s="17"/>
      <c r="E178" s="17" t="str">
        <f t="shared" ref="E178:E184" si="27">RIGHT(M178,3)</f>
        <v>S21</v>
      </c>
      <c r="F178" s="16" t="str">
        <f t="shared" si="21"/>
        <v>50</v>
      </c>
      <c r="J178" s="662" t="str">
        <f>VLOOKUP(P178,Sheet6!$A$2:$E$160,3,0)</f>
        <v>1290BT05510050</v>
      </c>
      <c r="L178" s="797" t="s">
        <v>767</v>
      </c>
      <c r="M178" s="370" t="s">
        <v>1334</v>
      </c>
      <c r="N178" s="369" t="s">
        <v>1335</v>
      </c>
      <c r="O178" s="368" t="str">
        <f t="shared" si="22"/>
        <v>250</v>
      </c>
      <c r="P178" t="str">
        <f t="shared" si="23"/>
        <v>551F50</v>
      </c>
      <c r="Q178" s="17" t="s">
        <v>1336</v>
      </c>
      <c r="R178" s="17">
        <v>50</v>
      </c>
    </row>
    <row r="179" spans="1:18">
      <c r="A179" s="662" t="str">
        <f t="shared" si="20"/>
        <v>CAM_TRAI</v>
      </c>
      <c r="B179" s="369"/>
      <c r="C179" s="798" t="s">
        <v>356</v>
      </c>
      <c r="D179" s="17"/>
      <c r="E179" s="17" t="str">
        <f t="shared" si="27"/>
        <v>S23</v>
      </c>
      <c r="F179" s="16" t="str">
        <f t="shared" si="21"/>
        <v>50</v>
      </c>
      <c r="J179" s="662" t="str">
        <f>VLOOKUP(P179,Sheet6!$A$2:$E$160,3,0)</f>
        <v>1290BT05510050</v>
      </c>
      <c r="L179" s="399">
        <v>21115510099250</v>
      </c>
      <c r="M179" s="370" t="s">
        <v>1590</v>
      </c>
      <c r="N179" s="369" t="s">
        <v>1591</v>
      </c>
      <c r="O179" s="368" t="str">
        <f t="shared" si="22"/>
        <v>250</v>
      </c>
      <c r="P179" t="str">
        <f t="shared" si="23"/>
        <v>551F50</v>
      </c>
      <c r="Q179" s="17" t="s">
        <v>1592</v>
      </c>
      <c r="R179" s="17">
        <v>50</v>
      </c>
    </row>
    <row r="180" spans="1:18">
      <c r="A180" s="662" t="str">
        <f t="shared" si="20"/>
        <v>CAM_TRAI</v>
      </c>
      <c r="B180" s="369"/>
      <c r="C180" s="798" t="s">
        <v>356</v>
      </c>
      <c r="D180" s="16"/>
      <c r="E180" s="17" t="str">
        <f t="shared" si="27"/>
        <v>S44</v>
      </c>
      <c r="F180" s="16" t="str">
        <f t="shared" si="21"/>
        <v>50</v>
      </c>
      <c r="J180" s="662" t="str">
        <f>VLOOKUP(P180,Sheet6!$A$2:$E$160,3,0)</f>
        <v>1290BT05510050</v>
      </c>
      <c r="L180" s="399">
        <v>21115510099250</v>
      </c>
      <c r="M180" s="370" t="s">
        <v>1641</v>
      </c>
      <c r="N180" s="369" t="s">
        <v>1591</v>
      </c>
      <c r="O180" s="368" t="str">
        <f t="shared" si="22"/>
        <v>250</v>
      </c>
      <c r="P180" t="str">
        <f t="shared" si="23"/>
        <v>551F50</v>
      </c>
      <c r="Q180" s="16" t="s">
        <v>362</v>
      </c>
      <c r="R180" s="17">
        <v>50</v>
      </c>
    </row>
    <row r="181" spans="1:18">
      <c r="A181" s="662" t="str">
        <f t="shared" si="20"/>
        <v>CAM_TRAI</v>
      </c>
      <c r="B181" s="369"/>
      <c r="C181" s="798" t="s">
        <v>356</v>
      </c>
      <c r="D181" s="17"/>
      <c r="E181" s="17" t="str">
        <f t="shared" si="27"/>
        <v>S47</v>
      </c>
      <c r="F181" s="16" t="str">
        <f t="shared" si="21"/>
        <v>50</v>
      </c>
      <c r="J181" s="662" t="str">
        <f>VLOOKUP(P181,Sheet6!$A$2:$E$160,3,0)</f>
        <v>1290BT05510050</v>
      </c>
      <c r="L181" s="399">
        <v>21115510099250</v>
      </c>
      <c r="M181" s="370" t="s">
        <v>1695</v>
      </c>
      <c r="N181" s="369" t="s">
        <v>1591</v>
      </c>
      <c r="O181" s="368" t="str">
        <f t="shared" si="22"/>
        <v>250</v>
      </c>
      <c r="P181" t="str">
        <f t="shared" si="23"/>
        <v>551F50</v>
      </c>
      <c r="Q181" s="17" t="s">
        <v>363</v>
      </c>
      <c r="R181" s="17">
        <v>50</v>
      </c>
    </row>
    <row r="182" spans="1:18">
      <c r="A182" s="662" t="str">
        <f t="shared" si="20"/>
        <v>CAM_TRAI</v>
      </c>
      <c r="B182" s="369"/>
      <c r="C182" s="798" t="s">
        <v>356</v>
      </c>
      <c r="D182" s="17"/>
      <c r="E182" s="17" t="str">
        <f t="shared" si="27"/>
        <v>S48</v>
      </c>
      <c r="F182" s="16" t="str">
        <f t="shared" si="21"/>
        <v>50</v>
      </c>
      <c r="J182" s="662" t="str">
        <f>VLOOKUP(P182,Sheet6!$A$2:$E$160,3,0)</f>
        <v>1290BT05510050</v>
      </c>
      <c r="L182" s="399">
        <v>21115510099250</v>
      </c>
      <c r="M182" s="370" t="s">
        <v>1703</v>
      </c>
      <c r="N182" s="369" t="s">
        <v>1591</v>
      </c>
      <c r="O182" s="368" t="str">
        <f t="shared" si="22"/>
        <v>250</v>
      </c>
      <c r="P182" t="str">
        <f t="shared" si="23"/>
        <v>551F50</v>
      </c>
      <c r="Q182" s="17" t="s">
        <v>438</v>
      </c>
      <c r="R182" s="17">
        <v>50</v>
      </c>
    </row>
    <row r="183" spans="1:18">
      <c r="A183" s="662" t="str">
        <f t="shared" si="20"/>
        <v>CAM_TRAI</v>
      </c>
      <c r="B183" s="369"/>
      <c r="C183" s="798" t="s">
        <v>356</v>
      </c>
      <c r="D183" s="17"/>
      <c r="E183" s="17" t="str">
        <f t="shared" si="27"/>
        <v>S52</v>
      </c>
      <c r="F183" s="16" t="str">
        <f t="shared" si="21"/>
        <v>50</v>
      </c>
      <c r="J183" s="662" t="str">
        <f>VLOOKUP(P183,Sheet6!$A$2:$E$160,3,0)</f>
        <v>1290BT05510050</v>
      </c>
      <c r="L183" s="399">
        <v>21115510099250</v>
      </c>
      <c r="M183" s="370" t="s">
        <v>1780</v>
      </c>
      <c r="N183" s="369" t="s">
        <v>1591</v>
      </c>
      <c r="O183" s="368" t="str">
        <f t="shared" si="22"/>
        <v>250</v>
      </c>
      <c r="P183" t="str">
        <f t="shared" si="23"/>
        <v>551F50</v>
      </c>
      <c r="Q183" s="17" t="s">
        <v>365</v>
      </c>
      <c r="R183" s="17">
        <v>50</v>
      </c>
    </row>
    <row r="184" spans="1:18">
      <c r="A184" s="662" t="str">
        <f t="shared" si="20"/>
        <v>CAM_TRAI</v>
      </c>
      <c r="B184" s="369"/>
      <c r="C184" s="798" t="s">
        <v>356</v>
      </c>
      <c r="D184" s="16"/>
      <c r="E184" s="17" t="str">
        <f t="shared" si="27"/>
        <v>S54</v>
      </c>
      <c r="F184" s="16" t="str">
        <f t="shared" si="21"/>
        <v>50</v>
      </c>
      <c r="J184" s="662" t="str">
        <f>VLOOKUP(P184,Sheet6!$A$2:$E$160,3,0)</f>
        <v>1290BT05510050</v>
      </c>
      <c r="L184" s="399">
        <v>21115510099250</v>
      </c>
      <c r="M184" s="370" t="s">
        <v>1834</v>
      </c>
      <c r="N184" s="369" t="s">
        <v>1591</v>
      </c>
      <c r="O184" s="368" t="str">
        <f t="shared" si="22"/>
        <v>250</v>
      </c>
      <c r="P184" t="str">
        <f t="shared" si="23"/>
        <v>551F50</v>
      </c>
      <c r="Q184" s="16" t="s">
        <v>364</v>
      </c>
      <c r="R184" s="17">
        <v>50</v>
      </c>
    </row>
    <row r="185" spans="1:18">
      <c r="A185" s="662" t="str">
        <f t="shared" si="20"/>
        <v>CAM_DAI_LY</v>
      </c>
      <c r="B185" s="369"/>
      <c r="C185" s="798" t="str">
        <f>Q185</f>
        <v>551GP</v>
      </c>
      <c r="D185" s="17"/>
      <c r="E185" s="17"/>
      <c r="F185" s="16" t="str">
        <f t="shared" si="21"/>
        <v>25</v>
      </c>
      <c r="J185" s="662" t="str">
        <f>VLOOKUP(P185,Sheet6!$A$2:$E$160,3,0)</f>
        <v>1290D205511625</v>
      </c>
      <c r="L185" s="797" t="s">
        <v>781</v>
      </c>
      <c r="M185" s="370" t="s">
        <v>781</v>
      </c>
      <c r="N185" s="369" t="s">
        <v>782</v>
      </c>
      <c r="O185" s="368" t="str">
        <f t="shared" si="22"/>
        <v>125</v>
      </c>
      <c r="P185" t="str">
        <f t="shared" si="23"/>
        <v>551GP25</v>
      </c>
      <c r="Q185" s="17" t="s">
        <v>159</v>
      </c>
      <c r="R185" s="17">
        <v>25</v>
      </c>
    </row>
    <row r="186" spans="1:18">
      <c r="A186" s="662" t="str">
        <f t="shared" si="20"/>
        <v>CAM_TRAI</v>
      </c>
      <c r="B186" s="369"/>
      <c r="C186" s="798" t="str">
        <f>Q186</f>
        <v>551GP F</v>
      </c>
      <c r="D186" s="16"/>
      <c r="E186" s="17"/>
      <c r="F186" s="16" t="str">
        <f t="shared" si="21"/>
        <v>25</v>
      </c>
      <c r="J186" s="662" t="e">
        <f>VLOOKUP(P186,Sheet6!$A$2:$E$160,3,0)</f>
        <v>#N/A</v>
      </c>
      <c r="L186" s="399">
        <v>21115517500225</v>
      </c>
      <c r="M186" s="370" t="s">
        <v>1509</v>
      </c>
      <c r="N186" s="369" t="s">
        <v>1510</v>
      </c>
      <c r="O186" s="368" t="str">
        <f t="shared" si="22"/>
        <v>225</v>
      </c>
      <c r="P186" t="str">
        <f t="shared" si="23"/>
        <v>551GP F25</v>
      </c>
      <c r="Q186" s="16" t="s">
        <v>366</v>
      </c>
      <c r="R186" s="17">
        <v>25</v>
      </c>
    </row>
    <row r="187" spans="1:18">
      <c r="A187" s="662" t="str">
        <f t="shared" si="20"/>
        <v>CAM_TRAI</v>
      </c>
      <c r="B187" s="369"/>
      <c r="C187" s="798" t="str">
        <f>Q187</f>
        <v>551GPBSF</v>
      </c>
      <c r="D187" s="17"/>
      <c r="E187" s="17"/>
      <c r="F187" s="16" t="str">
        <f t="shared" si="21"/>
        <v>50</v>
      </c>
      <c r="J187" s="662" t="e">
        <f>VLOOKUP(P187,Sheet6!$A$2:$E$160,3,0)</f>
        <v>#N/A</v>
      </c>
      <c r="L187" s="399">
        <v>21115517572250</v>
      </c>
      <c r="M187" s="370" t="s">
        <v>1273</v>
      </c>
      <c r="N187" s="369" t="s">
        <v>1274</v>
      </c>
      <c r="O187" s="368" t="str">
        <f t="shared" si="22"/>
        <v>250</v>
      </c>
      <c r="P187" t="str">
        <f t="shared" si="23"/>
        <v>551GPBSF50</v>
      </c>
      <c r="Q187" s="17" t="s">
        <v>1275</v>
      </c>
      <c r="R187" s="17">
        <v>50</v>
      </c>
    </row>
    <row r="188" spans="1:18">
      <c r="A188" s="662" t="str">
        <f t="shared" si="20"/>
        <v>CAM_TRAI</v>
      </c>
      <c r="B188" s="369"/>
      <c r="C188" s="798" t="s">
        <v>368</v>
      </c>
      <c r="D188" s="16"/>
      <c r="E188" s="17"/>
      <c r="F188" s="16" t="str">
        <f t="shared" si="21"/>
        <v>50</v>
      </c>
      <c r="J188" s="662" t="str">
        <f>VLOOKUP(P188,Sheet6!$A$2:$E$160,3,0)</f>
        <v>1290BT05514950</v>
      </c>
      <c r="L188" s="797" t="s">
        <v>783</v>
      </c>
      <c r="M188" s="370" t="s">
        <v>783</v>
      </c>
      <c r="N188" s="369" t="s">
        <v>784</v>
      </c>
      <c r="O188" s="368" t="str">
        <f t="shared" si="22"/>
        <v>250</v>
      </c>
      <c r="P188" t="str">
        <f t="shared" si="23"/>
        <v>551GPF50</v>
      </c>
      <c r="Q188" s="16" t="s">
        <v>368</v>
      </c>
      <c r="R188" s="17">
        <v>50</v>
      </c>
    </row>
    <row r="189" spans="1:18">
      <c r="A189" s="662" t="str">
        <f t="shared" si="20"/>
        <v>CAM_TRAI</v>
      </c>
      <c r="B189" s="369"/>
      <c r="C189" s="798" t="s">
        <v>368</v>
      </c>
      <c r="D189" s="17"/>
      <c r="E189" s="17" t="str">
        <f t="shared" ref="E189:E198" si="28">RIGHT(M189,3)</f>
        <v>S10</v>
      </c>
      <c r="F189" s="16" t="str">
        <f t="shared" si="21"/>
        <v>50</v>
      </c>
      <c r="J189" s="662" t="str">
        <f>VLOOKUP(P189,Sheet6!$A$2:$E$160,3,0)</f>
        <v>1290BT05514950</v>
      </c>
      <c r="L189" s="399">
        <v>21115517599250</v>
      </c>
      <c r="M189" s="370" t="s">
        <v>1360</v>
      </c>
      <c r="N189" s="369" t="s">
        <v>1350</v>
      </c>
      <c r="O189" s="368" t="str">
        <f t="shared" si="22"/>
        <v>250</v>
      </c>
      <c r="P189" t="str">
        <f t="shared" si="23"/>
        <v>551GPF50</v>
      </c>
      <c r="Q189" s="17" t="s">
        <v>439</v>
      </c>
      <c r="R189" s="17">
        <v>50</v>
      </c>
    </row>
    <row r="190" spans="1:18" ht="12" customHeight="1">
      <c r="A190" s="662" t="str">
        <f t="shared" si="20"/>
        <v>CAM_TRAI</v>
      </c>
      <c r="B190" s="369"/>
      <c r="C190" s="798" t="s">
        <v>368</v>
      </c>
      <c r="D190" s="17"/>
      <c r="E190" s="17" t="str">
        <f t="shared" si="28"/>
        <v>S11</v>
      </c>
      <c r="F190" s="16" t="str">
        <f t="shared" si="21"/>
        <v>50</v>
      </c>
      <c r="J190" s="662" t="str">
        <f>VLOOKUP(P190,Sheet6!$A$2:$E$160,3,0)</f>
        <v>1290BT05514950</v>
      </c>
      <c r="L190" s="399">
        <v>21115517599250</v>
      </c>
      <c r="M190" s="370" t="s">
        <v>1593</v>
      </c>
      <c r="N190" s="369" t="s">
        <v>1350</v>
      </c>
      <c r="O190" s="368" t="str">
        <f t="shared" si="22"/>
        <v>250</v>
      </c>
      <c r="P190" t="str">
        <f t="shared" si="23"/>
        <v>551GPF50</v>
      </c>
      <c r="Q190" s="17" t="s">
        <v>376</v>
      </c>
      <c r="R190" s="17">
        <v>50</v>
      </c>
    </row>
    <row r="191" spans="1:18">
      <c r="A191" s="662" t="str">
        <f t="shared" si="20"/>
        <v>CAM_TRAI</v>
      </c>
      <c r="B191" s="369"/>
      <c r="C191" s="798" t="s">
        <v>368</v>
      </c>
      <c r="D191" s="17"/>
      <c r="E191" s="17" t="str">
        <f t="shared" si="28"/>
        <v>S13</v>
      </c>
      <c r="F191" s="16" t="str">
        <f t="shared" si="21"/>
        <v>50</v>
      </c>
      <c r="J191" s="662" t="str">
        <f>VLOOKUP(P191,Sheet6!$A$2:$E$160,3,0)</f>
        <v>1290BT05514950</v>
      </c>
      <c r="L191" s="797">
        <v>21115517599250</v>
      </c>
      <c r="M191" s="370" t="s">
        <v>1922</v>
      </c>
      <c r="N191" s="369" t="s">
        <v>1350</v>
      </c>
      <c r="O191" s="368" t="str">
        <f t="shared" si="22"/>
        <v>250</v>
      </c>
      <c r="P191" t="str">
        <f t="shared" si="23"/>
        <v>551GPF50</v>
      </c>
      <c r="Q191" s="17" t="s">
        <v>377</v>
      </c>
      <c r="R191" s="17">
        <v>50</v>
      </c>
    </row>
    <row r="192" spans="1:18">
      <c r="A192" s="662" t="str">
        <f t="shared" si="20"/>
        <v>CAM_TRAI</v>
      </c>
      <c r="B192" s="369"/>
      <c r="C192" s="798" t="s">
        <v>368</v>
      </c>
      <c r="D192" s="17"/>
      <c r="E192" s="17" t="str">
        <f t="shared" si="28"/>
        <v>S21</v>
      </c>
      <c r="F192" s="16" t="str">
        <f t="shared" si="21"/>
        <v>50</v>
      </c>
      <c r="J192" s="662" t="str">
        <f>VLOOKUP(P192,Sheet6!$A$2:$E$160,3,0)</f>
        <v>1290BT05514950</v>
      </c>
      <c r="L192" s="399">
        <v>21115517599250</v>
      </c>
      <c r="M192" s="370" t="s">
        <v>1349</v>
      </c>
      <c r="N192" s="369" t="s">
        <v>1350</v>
      </c>
      <c r="O192" s="368" t="str">
        <f t="shared" si="22"/>
        <v>250</v>
      </c>
      <c r="P192" t="str">
        <f t="shared" si="23"/>
        <v>551GPF50</v>
      </c>
      <c r="Q192" s="17" t="s">
        <v>1347</v>
      </c>
      <c r="R192" s="17">
        <v>50</v>
      </c>
    </row>
    <row r="193" spans="1:18">
      <c r="A193" s="662" t="str">
        <f t="shared" si="20"/>
        <v>CAM_TRAI</v>
      </c>
      <c r="B193" s="369"/>
      <c r="C193" s="798" t="s">
        <v>368</v>
      </c>
      <c r="D193" s="17"/>
      <c r="E193" s="17" t="str">
        <f t="shared" si="28"/>
        <v>S23</v>
      </c>
      <c r="F193" s="16" t="str">
        <f t="shared" si="21"/>
        <v>50</v>
      </c>
      <c r="J193" s="662" t="str">
        <f>VLOOKUP(P193,Sheet6!$A$2:$E$160,3,0)</f>
        <v>1290BT05514950</v>
      </c>
      <c r="L193" s="399">
        <v>21115517599250</v>
      </c>
      <c r="M193" s="370" t="s">
        <v>1594</v>
      </c>
      <c r="N193" s="369" t="s">
        <v>1350</v>
      </c>
      <c r="O193" s="368" t="str">
        <f t="shared" si="22"/>
        <v>250</v>
      </c>
      <c r="P193" t="str">
        <f t="shared" si="23"/>
        <v>551GPF50</v>
      </c>
      <c r="Q193" s="17" t="s">
        <v>1589</v>
      </c>
      <c r="R193" s="17">
        <v>50</v>
      </c>
    </row>
    <row r="194" spans="1:18">
      <c r="A194" s="662" t="str">
        <f t="shared" ref="A194:A257" si="29">VLOOKUP(O194,$T$83:$U$91,2,0)</f>
        <v>CAM_TRAI</v>
      </c>
      <c r="B194" s="369"/>
      <c r="C194" s="798" t="s">
        <v>368</v>
      </c>
      <c r="D194" s="17"/>
      <c r="E194" s="17" t="str">
        <f t="shared" si="28"/>
        <v>S44</v>
      </c>
      <c r="F194" s="16" t="str">
        <f t="shared" ref="F194:F257" si="30">RIGHT(L194,2)</f>
        <v>50</v>
      </c>
      <c r="J194" s="662" t="str">
        <f>VLOOKUP(P194,Sheet6!$A$2:$E$160,3,0)</f>
        <v>1290BT05514950</v>
      </c>
      <c r="L194" s="399">
        <v>21115517599250</v>
      </c>
      <c r="M194" s="370" t="s">
        <v>1642</v>
      </c>
      <c r="N194" s="369" t="s">
        <v>1350</v>
      </c>
      <c r="O194" s="368" t="str">
        <f t="shared" ref="O194:O257" si="31">MID(L194,12,3)</f>
        <v>250</v>
      </c>
      <c r="P194" t="str">
        <f t="shared" ref="P194:P257" si="32">C194&amp;R194</f>
        <v>551GPF50</v>
      </c>
      <c r="Q194" s="17" t="s">
        <v>371</v>
      </c>
      <c r="R194" s="17">
        <v>50</v>
      </c>
    </row>
    <row r="195" spans="1:18">
      <c r="A195" s="662" t="str">
        <f t="shared" si="29"/>
        <v>CAM_TRAI</v>
      </c>
      <c r="B195" s="369"/>
      <c r="C195" s="798" t="s">
        <v>368</v>
      </c>
      <c r="D195" s="17"/>
      <c r="E195" s="17" t="str">
        <f t="shared" si="28"/>
        <v>S47</v>
      </c>
      <c r="F195" s="16" t="str">
        <f t="shared" si="30"/>
        <v>50</v>
      </c>
      <c r="J195" s="662" t="str">
        <f>VLOOKUP(P195,Sheet6!$A$2:$E$160,3,0)</f>
        <v>1290BT05514950</v>
      </c>
      <c r="L195" s="399">
        <v>21115517599250</v>
      </c>
      <c r="M195" s="370" t="s">
        <v>1696</v>
      </c>
      <c r="N195" s="369" t="s">
        <v>1350</v>
      </c>
      <c r="O195" s="368" t="str">
        <f t="shared" si="31"/>
        <v>250</v>
      </c>
      <c r="P195" t="str">
        <f t="shared" si="32"/>
        <v>551GPF50</v>
      </c>
      <c r="Q195" s="17" t="s">
        <v>372</v>
      </c>
      <c r="R195" s="17">
        <v>50</v>
      </c>
    </row>
    <row r="196" spans="1:18">
      <c r="A196" s="662" t="str">
        <f t="shared" si="29"/>
        <v>CAM_TRAI</v>
      </c>
      <c r="B196" s="369"/>
      <c r="C196" s="798" t="s">
        <v>368</v>
      </c>
      <c r="D196" s="17"/>
      <c r="E196" s="17" t="str">
        <f t="shared" si="28"/>
        <v>S48</v>
      </c>
      <c r="F196" s="16" t="str">
        <f t="shared" si="30"/>
        <v>50</v>
      </c>
      <c r="J196" s="662" t="str">
        <f>VLOOKUP(P196,Sheet6!$A$2:$E$160,3,0)</f>
        <v>1290BT05514950</v>
      </c>
      <c r="L196" s="399">
        <v>21115517599250</v>
      </c>
      <c r="M196" s="370" t="s">
        <v>1705</v>
      </c>
      <c r="N196" s="369" t="s">
        <v>1350</v>
      </c>
      <c r="O196" s="368" t="str">
        <f t="shared" si="31"/>
        <v>250</v>
      </c>
      <c r="P196" t="str">
        <f t="shared" si="32"/>
        <v>551GPF50</v>
      </c>
      <c r="Q196" s="17" t="s">
        <v>373</v>
      </c>
      <c r="R196" s="17">
        <v>50</v>
      </c>
    </row>
    <row r="197" spans="1:18">
      <c r="A197" s="662" t="str">
        <f t="shared" si="29"/>
        <v>CAM_TRAI</v>
      </c>
      <c r="B197" s="369"/>
      <c r="C197" s="798" t="s">
        <v>368</v>
      </c>
      <c r="D197" s="17"/>
      <c r="E197" s="17" t="str">
        <f t="shared" si="28"/>
        <v>S52</v>
      </c>
      <c r="F197" s="16" t="str">
        <f t="shared" si="30"/>
        <v>50</v>
      </c>
      <c r="J197" s="662" t="str">
        <f>VLOOKUP(P197,Sheet6!$A$2:$E$160,3,0)</f>
        <v>1290BT05514950</v>
      </c>
      <c r="L197" s="399">
        <v>21115517599250</v>
      </c>
      <c r="M197" s="370" t="s">
        <v>1777</v>
      </c>
      <c r="N197" s="369" t="s">
        <v>1350</v>
      </c>
      <c r="O197" s="368" t="str">
        <f t="shared" si="31"/>
        <v>250</v>
      </c>
      <c r="P197" t="str">
        <f t="shared" si="32"/>
        <v>551GPF50</v>
      </c>
      <c r="Q197" s="17" t="s">
        <v>374</v>
      </c>
      <c r="R197" s="17">
        <v>50</v>
      </c>
    </row>
    <row r="198" spans="1:18">
      <c r="A198" s="662" t="str">
        <f t="shared" si="29"/>
        <v>CAM_TRAI</v>
      </c>
      <c r="B198" s="369"/>
      <c r="C198" s="798" t="s">
        <v>368</v>
      </c>
      <c r="D198" s="16"/>
      <c r="E198" s="17" t="str">
        <f t="shared" si="28"/>
        <v>S54</v>
      </c>
      <c r="F198" s="16" t="str">
        <f t="shared" si="30"/>
        <v>50</v>
      </c>
      <c r="J198" s="662" t="str">
        <f>VLOOKUP(P198,Sheet6!$A$2:$E$160,3,0)</f>
        <v>1290BT05514950</v>
      </c>
      <c r="L198" s="399">
        <v>21115517599250</v>
      </c>
      <c r="M198" s="370" t="s">
        <v>1833</v>
      </c>
      <c r="N198" s="369" t="s">
        <v>1350</v>
      </c>
      <c r="O198" s="368" t="str">
        <f t="shared" si="31"/>
        <v>250</v>
      </c>
      <c r="P198" t="str">
        <f t="shared" si="32"/>
        <v>551GPF50</v>
      </c>
      <c r="Q198" s="16" t="s">
        <v>380</v>
      </c>
      <c r="R198" s="17">
        <v>50</v>
      </c>
    </row>
    <row r="199" spans="1:18">
      <c r="A199" s="662" t="str">
        <f t="shared" si="29"/>
        <v>CAM_DAI_LY</v>
      </c>
      <c r="B199" s="369"/>
      <c r="C199" s="798" t="str">
        <f t="shared" ref="C199:C207" si="33">Q199</f>
        <v>551Pro</v>
      </c>
      <c r="D199" s="17"/>
      <c r="E199" s="17"/>
      <c r="F199" s="16" t="str">
        <f t="shared" si="30"/>
        <v>25</v>
      </c>
      <c r="J199" s="662" t="str">
        <f>VLOOKUP(P199,Sheet6!$A$2:$E$160,3,0)</f>
        <v>1290B705511625</v>
      </c>
      <c r="L199" s="399">
        <v>21115511600125</v>
      </c>
      <c r="M199" s="370" t="s">
        <v>1729</v>
      </c>
      <c r="N199" s="369" t="s">
        <v>1730</v>
      </c>
      <c r="O199" s="368" t="str">
        <f t="shared" si="31"/>
        <v>125</v>
      </c>
      <c r="P199" t="str">
        <f t="shared" si="32"/>
        <v>551Pro25</v>
      </c>
      <c r="Q199" s="17" t="s">
        <v>59</v>
      </c>
      <c r="R199" s="17">
        <v>25</v>
      </c>
    </row>
    <row r="200" spans="1:18">
      <c r="A200" s="662" t="str">
        <f t="shared" si="29"/>
        <v>CAM_DAI_LY</v>
      </c>
      <c r="B200" s="576"/>
      <c r="C200" s="798" t="str">
        <f t="shared" si="33"/>
        <v>551X</v>
      </c>
      <c r="D200" s="17"/>
      <c r="E200" s="17"/>
      <c r="F200" s="16" t="str">
        <f t="shared" si="30"/>
        <v>25</v>
      </c>
      <c r="J200" s="662" t="e">
        <f>VLOOKUP(P200,Sheet6!$A$2:$E$160,3,0)</f>
        <v>#N/A</v>
      </c>
      <c r="L200" s="399" t="s">
        <v>1862</v>
      </c>
      <c r="M200" s="399" t="s">
        <v>1862</v>
      </c>
      <c r="N200" s="576" t="s">
        <v>1863</v>
      </c>
      <c r="O200" s="368" t="str">
        <f t="shared" si="31"/>
        <v>125</v>
      </c>
      <c r="P200" t="str">
        <f t="shared" si="32"/>
        <v>551X25</v>
      </c>
      <c r="Q200" s="17" t="s">
        <v>156</v>
      </c>
      <c r="R200" s="17">
        <v>25</v>
      </c>
    </row>
    <row r="201" spans="1:18">
      <c r="A201" s="662" t="str">
        <f t="shared" si="29"/>
        <v>CAM_DAI_LY</v>
      </c>
      <c r="B201" s="369"/>
      <c r="C201" s="798" t="str">
        <f t="shared" si="33"/>
        <v>551X26</v>
      </c>
      <c r="D201" s="17"/>
      <c r="E201" s="17" t="str">
        <f>RIGHT(M201,3)</f>
        <v>X26</v>
      </c>
      <c r="F201" s="16" t="str">
        <f t="shared" si="30"/>
        <v>25</v>
      </c>
      <c r="J201" s="662" t="str">
        <f>VLOOKUP(P201,Sheet6!$A$2:$E$160,3,0)</f>
        <v>1290D205512625</v>
      </c>
      <c r="L201" s="797">
        <v>21115510099125</v>
      </c>
      <c r="M201" s="370" t="s">
        <v>1896</v>
      </c>
      <c r="N201" s="369" t="s">
        <v>1897</v>
      </c>
      <c r="O201" s="368" t="str">
        <f t="shared" si="31"/>
        <v>125</v>
      </c>
      <c r="P201" t="str">
        <f t="shared" si="32"/>
        <v>551X2625</v>
      </c>
      <c r="Q201" s="17" t="s">
        <v>157</v>
      </c>
      <c r="R201" s="17">
        <v>25</v>
      </c>
    </row>
    <row r="202" spans="1:18">
      <c r="A202" s="662" t="str">
        <f t="shared" si="29"/>
        <v>CAM_DAI_LY</v>
      </c>
      <c r="B202" s="369"/>
      <c r="C202" s="798" t="str">
        <f t="shared" si="33"/>
        <v>551XPRO</v>
      </c>
      <c r="D202" s="17"/>
      <c r="E202" s="17"/>
      <c r="F202" s="16" t="str">
        <f t="shared" si="30"/>
        <v>25</v>
      </c>
      <c r="J202" s="662" t="e">
        <f>VLOOKUP(P202,Sheet6!$A$2:$E$160,3,0)</f>
        <v>#N/A</v>
      </c>
      <c r="L202" s="797">
        <v>21115512416125</v>
      </c>
      <c r="M202" s="370" t="s">
        <v>2001</v>
      </c>
      <c r="N202" s="369" t="s">
        <v>2002</v>
      </c>
      <c r="O202" s="368" t="str">
        <f t="shared" si="31"/>
        <v>125</v>
      </c>
      <c r="P202" t="str">
        <f t="shared" si="32"/>
        <v>551XPRO25</v>
      </c>
      <c r="Q202" s="17" t="s">
        <v>60</v>
      </c>
      <c r="R202" s="17">
        <v>25</v>
      </c>
    </row>
    <row r="203" spans="1:18">
      <c r="A203" s="662" t="str">
        <f t="shared" si="29"/>
        <v>CAM_DAI_LY</v>
      </c>
      <c r="B203" s="369"/>
      <c r="C203" s="798" t="str">
        <f t="shared" si="33"/>
        <v>552 SX</v>
      </c>
      <c r="D203" s="17"/>
      <c r="E203" s="17"/>
      <c r="F203" s="16" t="str">
        <f t="shared" si="30"/>
        <v>25</v>
      </c>
      <c r="J203" s="662" t="e">
        <f>VLOOKUP(P203,Sheet6!$A$2:$E$160,3,0)</f>
        <v>#N/A</v>
      </c>
      <c r="L203" s="399">
        <v>21115527800125</v>
      </c>
      <c r="M203" s="370" t="s">
        <v>1525</v>
      </c>
      <c r="N203" s="369" t="s">
        <v>1526</v>
      </c>
      <c r="O203" s="368" t="str">
        <f t="shared" si="31"/>
        <v>125</v>
      </c>
      <c r="P203" t="str">
        <f t="shared" si="32"/>
        <v>552 SX25</v>
      </c>
      <c r="Q203" s="17" t="s">
        <v>2142</v>
      </c>
      <c r="R203" s="17">
        <v>25</v>
      </c>
    </row>
    <row r="204" spans="1:18">
      <c r="A204" s="662" t="str">
        <f t="shared" si="29"/>
        <v>CAM_TRAI</v>
      </c>
      <c r="B204"/>
      <c r="C204" s="798" t="str">
        <f t="shared" si="33"/>
        <v>552BSF</v>
      </c>
      <c r="D204" s="16"/>
      <c r="E204" s="17"/>
      <c r="F204" s="16" t="str">
        <f t="shared" si="30"/>
        <v>50</v>
      </c>
      <c r="J204" s="662" t="e">
        <f>VLOOKUP(P204,Sheet6!$A$2:$E$160,3,0)</f>
        <v>#N/A</v>
      </c>
      <c r="L204" s="394">
        <v>21115527200250</v>
      </c>
      <c r="M204" s="394" t="s">
        <v>1038</v>
      </c>
      <c r="N204" t="s">
        <v>1039</v>
      </c>
      <c r="O204" s="368" t="str">
        <f t="shared" si="31"/>
        <v>250</v>
      </c>
      <c r="P204" t="str">
        <f t="shared" si="32"/>
        <v>552BSF50</v>
      </c>
      <c r="Q204" s="16" t="s">
        <v>1040</v>
      </c>
      <c r="R204" s="17">
        <v>50</v>
      </c>
    </row>
    <row r="205" spans="1:18">
      <c r="A205" s="662" t="str">
        <f t="shared" si="29"/>
        <v>CAM_DAI_LY</v>
      </c>
      <c r="B205" s="369"/>
      <c r="C205" s="798" t="str">
        <f t="shared" si="33"/>
        <v>552E</v>
      </c>
      <c r="D205" s="17"/>
      <c r="E205" s="17"/>
      <c r="F205" s="16" t="str">
        <f t="shared" si="30"/>
        <v>25</v>
      </c>
      <c r="J205" s="662" t="str">
        <f>VLOOKUP(P205,Sheet6!$A$2:$E$160,3,0)</f>
        <v>1290H605520525</v>
      </c>
      <c r="L205" s="797" t="s">
        <v>1931</v>
      </c>
      <c r="M205" s="370" t="s">
        <v>1931</v>
      </c>
      <c r="N205" s="369" t="s">
        <v>1932</v>
      </c>
      <c r="O205" s="368" t="str">
        <f t="shared" si="31"/>
        <v>125</v>
      </c>
      <c r="P205" t="str">
        <f t="shared" si="32"/>
        <v>552E25</v>
      </c>
      <c r="Q205" s="17" t="s">
        <v>160</v>
      </c>
      <c r="R205" s="17">
        <v>25</v>
      </c>
    </row>
    <row r="206" spans="1:18">
      <c r="A206" s="662" t="str">
        <f t="shared" si="29"/>
        <v>CAM_TRAI</v>
      </c>
      <c r="B206" s="369"/>
      <c r="C206" s="798" t="str">
        <f t="shared" si="33"/>
        <v>552F</v>
      </c>
      <c r="D206" s="17"/>
      <c r="E206" s="17"/>
      <c r="F206" s="16" t="str">
        <f t="shared" si="30"/>
        <v>50</v>
      </c>
      <c r="J206" s="662" t="str">
        <f>VLOOKUP(P206,Sheet6!$A$2:$E$160,3,0)</f>
        <v>1290BT05520050</v>
      </c>
      <c r="L206" s="797" t="s">
        <v>806</v>
      </c>
      <c r="M206" s="370" t="s">
        <v>806</v>
      </c>
      <c r="N206" s="369" t="s">
        <v>807</v>
      </c>
      <c r="O206" s="368" t="str">
        <f t="shared" si="31"/>
        <v>250</v>
      </c>
      <c r="P206" t="str">
        <f t="shared" si="32"/>
        <v>552F50</v>
      </c>
      <c r="Q206" s="17" t="s">
        <v>382</v>
      </c>
      <c r="R206" s="17">
        <v>50</v>
      </c>
    </row>
    <row r="207" spans="1:18">
      <c r="A207" s="662" t="str">
        <f t="shared" si="29"/>
        <v>CAM_TRAI</v>
      </c>
      <c r="B207" s="369"/>
      <c r="C207" s="798" t="str">
        <f t="shared" si="33"/>
        <v>552F</v>
      </c>
      <c r="D207" s="17"/>
      <c r="E207" s="17"/>
      <c r="F207" s="16" t="str">
        <f t="shared" si="30"/>
        <v>25</v>
      </c>
      <c r="J207" s="662" t="e">
        <f>VLOOKUP(P207,Sheet6!$A$2:$E$160,3,0)</f>
        <v>#N/A</v>
      </c>
      <c r="L207" s="399">
        <v>21115520000225</v>
      </c>
      <c r="M207" s="370" t="s">
        <v>1572</v>
      </c>
      <c r="N207" s="369" t="s">
        <v>1573</v>
      </c>
      <c r="O207" s="368" t="str">
        <f t="shared" si="31"/>
        <v>225</v>
      </c>
      <c r="P207" t="str">
        <f t="shared" si="32"/>
        <v>552F25</v>
      </c>
      <c r="Q207" s="17" t="s">
        <v>382</v>
      </c>
      <c r="R207" s="17">
        <v>25</v>
      </c>
    </row>
    <row r="208" spans="1:18">
      <c r="A208" s="662" t="str">
        <f t="shared" si="29"/>
        <v>CAM_TRAI</v>
      </c>
      <c r="B208" s="369"/>
      <c r="C208" s="798" t="s">
        <v>382</v>
      </c>
      <c r="D208" s="17"/>
      <c r="E208" s="17" t="str">
        <f t="shared" ref="E208:E216" si="34">RIGHT(M208,3)</f>
        <v>S10</v>
      </c>
      <c r="F208" s="16" t="str">
        <f t="shared" si="30"/>
        <v>50</v>
      </c>
      <c r="J208" s="662" t="str">
        <f>VLOOKUP(P208,Sheet6!$A$2:$E$160,3,0)</f>
        <v>1290BT05520050</v>
      </c>
      <c r="L208" s="399">
        <v>21115520099250</v>
      </c>
      <c r="M208" s="370" t="s">
        <v>1393</v>
      </c>
      <c r="N208" s="369" t="s">
        <v>1320</v>
      </c>
      <c r="O208" s="368" t="str">
        <f t="shared" si="31"/>
        <v>250</v>
      </c>
      <c r="P208" t="str">
        <f t="shared" si="32"/>
        <v>552F50</v>
      </c>
      <c r="Q208" s="17" t="s">
        <v>384</v>
      </c>
      <c r="R208" s="17">
        <v>50</v>
      </c>
    </row>
    <row r="209" spans="1:18">
      <c r="A209" s="662" t="str">
        <f t="shared" si="29"/>
        <v>CAM_TRAI</v>
      </c>
      <c r="B209" s="369"/>
      <c r="C209" s="798" t="s">
        <v>382</v>
      </c>
      <c r="D209" s="17"/>
      <c r="E209" s="17" t="str">
        <f t="shared" si="34"/>
        <v>S11</v>
      </c>
      <c r="F209" s="16" t="str">
        <f t="shared" si="30"/>
        <v>50</v>
      </c>
      <c r="J209" s="662" t="str">
        <f>VLOOKUP(P209,Sheet6!$A$2:$E$160,3,0)</f>
        <v>1290BT05520050</v>
      </c>
      <c r="L209" s="399">
        <v>21115520099250</v>
      </c>
      <c r="M209" s="370" t="s">
        <v>1597</v>
      </c>
      <c r="N209" s="369" t="s">
        <v>1320</v>
      </c>
      <c r="O209" s="368" t="str">
        <f t="shared" si="31"/>
        <v>250</v>
      </c>
      <c r="P209" t="str">
        <f t="shared" si="32"/>
        <v>552F50</v>
      </c>
      <c r="Q209" s="17" t="s">
        <v>385</v>
      </c>
      <c r="R209" s="17">
        <v>50</v>
      </c>
    </row>
    <row r="210" spans="1:18">
      <c r="A210" s="662" t="str">
        <f t="shared" si="29"/>
        <v>CAM_TRAI</v>
      </c>
      <c r="B210" s="369"/>
      <c r="C210" s="798" t="s">
        <v>382</v>
      </c>
      <c r="D210" s="17"/>
      <c r="E210" s="17" t="str">
        <f t="shared" si="34"/>
        <v>S13</v>
      </c>
      <c r="F210" s="16" t="str">
        <f t="shared" si="30"/>
        <v>50</v>
      </c>
      <c r="J210" s="662" t="str">
        <f>VLOOKUP(P210,Sheet6!$A$2:$E$160,3,0)</f>
        <v>1290BT05520050</v>
      </c>
      <c r="L210" s="797">
        <v>21115520099250</v>
      </c>
      <c r="M210" s="370" t="s">
        <v>1923</v>
      </c>
      <c r="N210" s="369" t="s">
        <v>1320</v>
      </c>
      <c r="O210" s="368" t="str">
        <f t="shared" si="31"/>
        <v>250</v>
      </c>
      <c r="P210" t="str">
        <f t="shared" si="32"/>
        <v>552F50</v>
      </c>
      <c r="Q210" s="17" t="s">
        <v>386</v>
      </c>
      <c r="R210" s="17">
        <v>50</v>
      </c>
    </row>
    <row r="211" spans="1:18">
      <c r="A211" s="662" t="str">
        <f t="shared" si="29"/>
        <v>CAM_TRAI</v>
      </c>
      <c r="B211" s="369"/>
      <c r="C211" s="798" t="s">
        <v>382</v>
      </c>
      <c r="D211" s="17"/>
      <c r="E211" s="17" t="str">
        <f t="shared" si="34"/>
        <v>S31</v>
      </c>
      <c r="F211" s="16" t="str">
        <f t="shared" si="30"/>
        <v>50</v>
      </c>
      <c r="J211" s="662" t="str">
        <f>VLOOKUP(P211,Sheet6!$A$2:$E$160,3,0)</f>
        <v>1290BT05520050</v>
      </c>
      <c r="L211" s="399">
        <v>21115520099250</v>
      </c>
      <c r="M211" s="370" t="s">
        <v>1343</v>
      </c>
      <c r="N211" s="369" t="s">
        <v>1320</v>
      </c>
      <c r="O211" s="368" t="str">
        <f t="shared" si="31"/>
        <v>250</v>
      </c>
      <c r="P211" t="str">
        <f t="shared" si="32"/>
        <v>552F50</v>
      </c>
      <c r="Q211" s="17" t="s">
        <v>387</v>
      </c>
      <c r="R211" s="17">
        <v>50</v>
      </c>
    </row>
    <row r="212" spans="1:18">
      <c r="A212" s="662" t="str">
        <f t="shared" si="29"/>
        <v>CAM_TRAI</v>
      </c>
      <c r="B212" s="369"/>
      <c r="C212" s="798" t="s">
        <v>382</v>
      </c>
      <c r="D212" s="17"/>
      <c r="E212" s="17" t="str">
        <f t="shared" si="34"/>
        <v>S34</v>
      </c>
      <c r="F212" s="16" t="str">
        <f t="shared" si="30"/>
        <v>50</v>
      </c>
      <c r="J212" s="662" t="str">
        <f>VLOOKUP(P212,Sheet6!$A$2:$E$160,3,0)</f>
        <v>1290BT05520050</v>
      </c>
      <c r="L212" s="399">
        <v>21115520099250</v>
      </c>
      <c r="M212" s="370" t="s">
        <v>1559</v>
      </c>
      <c r="N212" s="369" t="s">
        <v>1320</v>
      </c>
      <c r="O212" s="368" t="str">
        <f t="shared" si="31"/>
        <v>250</v>
      </c>
      <c r="P212" t="str">
        <f t="shared" si="32"/>
        <v>552F50</v>
      </c>
      <c r="Q212" s="17" t="s">
        <v>388</v>
      </c>
      <c r="R212" s="17">
        <v>50</v>
      </c>
    </row>
    <row r="213" spans="1:18">
      <c r="A213" s="662" t="str">
        <f t="shared" si="29"/>
        <v>CAM_TRAI</v>
      </c>
      <c r="B213" s="369"/>
      <c r="C213" s="798" t="s">
        <v>382</v>
      </c>
      <c r="D213" s="17"/>
      <c r="E213" s="17" t="str">
        <f t="shared" si="34"/>
        <v>S37</v>
      </c>
      <c r="F213" s="16" t="str">
        <f t="shared" si="30"/>
        <v>50</v>
      </c>
      <c r="J213" s="662" t="str">
        <f>VLOOKUP(P213,Sheet6!$A$2:$E$160,3,0)</f>
        <v>1290BT05520050</v>
      </c>
      <c r="L213" s="399">
        <v>21115520099250</v>
      </c>
      <c r="M213" s="370" t="s">
        <v>1395</v>
      </c>
      <c r="N213" s="369" t="s">
        <v>1320</v>
      </c>
      <c r="O213" s="368" t="str">
        <f t="shared" si="31"/>
        <v>250</v>
      </c>
      <c r="P213" t="str">
        <f t="shared" si="32"/>
        <v>552F50</v>
      </c>
      <c r="Q213" s="17" t="s">
        <v>389</v>
      </c>
      <c r="R213" s="17">
        <v>50</v>
      </c>
    </row>
    <row r="214" spans="1:18">
      <c r="A214" s="662" t="str">
        <f t="shared" si="29"/>
        <v>CAM_TRAI</v>
      </c>
      <c r="B214" s="369"/>
      <c r="C214" s="798" t="s">
        <v>382</v>
      </c>
      <c r="D214" s="17"/>
      <c r="E214" s="17" t="str">
        <f t="shared" si="34"/>
        <v>S38</v>
      </c>
      <c r="F214" s="16" t="str">
        <f t="shared" si="30"/>
        <v>50</v>
      </c>
      <c r="J214" s="662" t="str">
        <f>VLOOKUP(P214,Sheet6!$A$2:$E$160,3,0)</f>
        <v>1290BT05520050</v>
      </c>
      <c r="L214" s="399">
        <v>21115520099250</v>
      </c>
      <c r="M214" s="370" t="s">
        <v>1407</v>
      </c>
      <c r="N214" s="369" t="s">
        <v>1320</v>
      </c>
      <c r="O214" s="368" t="str">
        <f t="shared" si="31"/>
        <v>250</v>
      </c>
      <c r="P214" t="str">
        <f t="shared" si="32"/>
        <v>552F50</v>
      </c>
      <c r="Q214" s="17" t="s">
        <v>1406</v>
      </c>
      <c r="R214" s="17">
        <v>50</v>
      </c>
    </row>
    <row r="215" spans="1:18">
      <c r="A215" s="662" t="str">
        <f t="shared" si="29"/>
        <v>CAM_TRAI</v>
      </c>
      <c r="B215" s="369"/>
      <c r="C215" s="798" t="s">
        <v>382</v>
      </c>
      <c r="D215" s="17"/>
      <c r="E215" s="17" t="str">
        <f t="shared" si="34"/>
        <v>S73</v>
      </c>
      <c r="F215" s="16" t="str">
        <f t="shared" si="30"/>
        <v>50</v>
      </c>
      <c r="J215" s="662" t="str">
        <f>VLOOKUP(P215,Sheet6!$A$2:$E$160,3,0)</f>
        <v>1290BT05520050</v>
      </c>
      <c r="L215" s="797">
        <v>21115520099250</v>
      </c>
      <c r="M215" s="370" t="s">
        <v>1970</v>
      </c>
      <c r="N215" s="369" t="s">
        <v>1320</v>
      </c>
      <c r="O215" s="368" t="str">
        <f t="shared" si="31"/>
        <v>250</v>
      </c>
      <c r="P215" t="str">
        <f t="shared" si="32"/>
        <v>552F50</v>
      </c>
      <c r="Q215" s="17" t="s">
        <v>390</v>
      </c>
      <c r="R215" s="17">
        <v>50</v>
      </c>
    </row>
    <row r="216" spans="1:18">
      <c r="A216" s="662" t="str">
        <f t="shared" si="29"/>
        <v>CAM_TRAI</v>
      </c>
      <c r="B216" s="369"/>
      <c r="C216" s="798" t="s">
        <v>382</v>
      </c>
      <c r="D216" s="17"/>
      <c r="E216" s="17" t="str">
        <f t="shared" si="34"/>
        <v>S90</v>
      </c>
      <c r="F216" s="16" t="str">
        <f t="shared" si="30"/>
        <v>50</v>
      </c>
      <c r="J216" s="662" t="str">
        <f>VLOOKUP(P216,Sheet6!$A$2:$E$160,3,0)</f>
        <v>1290BT05520050</v>
      </c>
      <c r="L216" s="399">
        <v>21115520099250</v>
      </c>
      <c r="M216" s="370" t="s">
        <v>1667</v>
      </c>
      <c r="N216" s="369" t="s">
        <v>1320</v>
      </c>
      <c r="O216" s="368" t="str">
        <f t="shared" si="31"/>
        <v>250</v>
      </c>
      <c r="P216" t="str">
        <f t="shared" si="32"/>
        <v>552F50</v>
      </c>
      <c r="Q216" s="17" t="s">
        <v>391</v>
      </c>
      <c r="R216" s="17">
        <v>50</v>
      </c>
    </row>
    <row r="217" spans="1:18">
      <c r="A217" s="662" t="str">
        <f t="shared" si="29"/>
        <v>CAM_DAI_LY</v>
      </c>
      <c r="B217" s="369"/>
      <c r="C217" s="798" t="str">
        <f t="shared" ref="C217:C224" si="35">Q217</f>
        <v>552M</v>
      </c>
      <c r="D217" s="17"/>
      <c r="E217" s="17"/>
      <c r="F217" s="16" t="str">
        <f t="shared" si="30"/>
        <v>25</v>
      </c>
      <c r="J217" s="662" t="str">
        <f>VLOOKUP(P217,Sheet6!$A$2:$E$160,3,0)</f>
        <v>1290D205521325</v>
      </c>
      <c r="L217" s="797" t="s">
        <v>808</v>
      </c>
      <c r="M217" s="370" t="s">
        <v>808</v>
      </c>
      <c r="N217" s="369" t="s">
        <v>809</v>
      </c>
      <c r="O217" s="368" t="str">
        <f t="shared" si="31"/>
        <v>125</v>
      </c>
      <c r="P217" t="str">
        <f t="shared" si="32"/>
        <v>552M25</v>
      </c>
      <c r="Q217" s="17" t="s">
        <v>162</v>
      </c>
      <c r="R217" s="17">
        <v>25</v>
      </c>
    </row>
    <row r="218" spans="1:18">
      <c r="A218" s="662" t="str">
        <f t="shared" si="29"/>
        <v>CAM_DAI_LY</v>
      </c>
      <c r="B218" s="369"/>
      <c r="C218" s="798" t="str">
        <f t="shared" si="35"/>
        <v>552MX</v>
      </c>
      <c r="D218" s="17"/>
      <c r="E218" s="17"/>
      <c r="F218" s="16" t="str">
        <f t="shared" si="30"/>
        <v>25</v>
      </c>
      <c r="J218" s="662" t="str">
        <f>VLOOKUP(P218,Sheet6!$A$2:$E$160,3,0)</f>
        <v>1290D205527925</v>
      </c>
      <c r="L218" s="399">
        <v>21115527900125</v>
      </c>
      <c r="M218" s="370" t="s">
        <v>1675</v>
      </c>
      <c r="N218" s="369" t="s">
        <v>1676</v>
      </c>
      <c r="O218" s="368" t="str">
        <f t="shared" si="31"/>
        <v>125</v>
      </c>
      <c r="P218" t="str">
        <f t="shared" si="32"/>
        <v>552MX25</v>
      </c>
      <c r="Q218" s="17" t="s">
        <v>163</v>
      </c>
      <c r="R218" s="17">
        <v>25</v>
      </c>
    </row>
    <row r="219" spans="1:18">
      <c r="A219" s="662" t="str">
        <f t="shared" si="29"/>
        <v>CAM_DAI_LY</v>
      </c>
      <c r="B219" s="369"/>
      <c r="C219" s="798" t="str">
        <f t="shared" si="35"/>
        <v>552Pro</v>
      </c>
      <c r="D219" s="17"/>
      <c r="E219" s="17"/>
      <c r="F219" s="16" t="str">
        <f t="shared" si="30"/>
        <v>25</v>
      </c>
      <c r="J219" s="662" t="str">
        <f>VLOOKUP(P219,Sheet6!$A$2:$E$160,3,0)</f>
        <v>1290H205521625</v>
      </c>
      <c r="L219" s="399">
        <v>21115521600125</v>
      </c>
      <c r="M219" s="370" t="s">
        <v>1727</v>
      </c>
      <c r="N219" s="369" t="s">
        <v>1728</v>
      </c>
      <c r="O219" s="368" t="str">
        <f t="shared" si="31"/>
        <v>125</v>
      </c>
      <c r="P219" t="str">
        <f t="shared" si="32"/>
        <v>552Pro25</v>
      </c>
      <c r="Q219" s="17" t="s">
        <v>63</v>
      </c>
      <c r="R219" s="17">
        <v>25</v>
      </c>
    </row>
    <row r="220" spans="1:18">
      <c r="A220" s="662" t="str">
        <f t="shared" si="29"/>
        <v>CAM_DAI_LY</v>
      </c>
      <c r="B220" s="369"/>
      <c r="C220" s="798" t="str">
        <f t="shared" si="35"/>
        <v>552Pro</v>
      </c>
      <c r="D220" s="17"/>
      <c r="E220" s="17"/>
      <c r="F220" s="16" t="str">
        <f t="shared" si="30"/>
        <v>25</v>
      </c>
      <c r="J220" s="662" t="str">
        <f>VLOOKUP(P220,Sheet6!$A$2:$E$160,3,0)</f>
        <v>1290H205521625</v>
      </c>
      <c r="L220" s="797">
        <v>21115521600125</v>
      </c>
      <c r="M220" s="370" t="s">
        <v>1727</v>
      </c>
      <c r="N220" s="369" t="s">
        <v>1728</v>
      </c>
      <c r="O220" s="368" t="str">
        <f t="shared" si="31"/>
        <v>125</v>
      </c>
      <c r="P220" t="str">
        <f t="shared" si="32"/>
        <v>552Pro25</v>
      </c>
      <c r="Q220" s="17" t="s">
        <v>63</v>
      </c>
      <c r="R220" s="17">
        <v>25</v>
      </c>
    </row>
    <row r="221" spans="1:18">
      <c r="A221" s="662" t="str">
        <f t="shared" si="29"/>
        <v>CAM_DAI_LY</v>
      </c>
      <c r="B221" s="369"/>
      <c r="C221" s="798" t="str">
        <f t="shared" si="35"/>
        <v>552S</v>
      </c>
      <c r="D221" s="17"/>
      <c r="E221" s="17"/>
      <c r="F221" s="16" t="str">
        <f t="shared" si="30"/>
        <v>25</v>
      </c>
      <c r="J221" s="662" t="str">
        <f>VLOOKUP(P221,Sheet6!$A$2:$E$160,3,0)</f>
        <v>1290D205521925</v>
      </c>
      <c r="L221" s="797" t="s">
        <v>810</v>
      </c>
      <c r="M221" s="370" t="s">
        <v>810</v>
      </c>
      <c r="N221" s="369" t="s">
        <v>811</v>
      </c>
      <c r="O221" s="368" t="str">
        <f t="shared" si="31"/>
        <v>125</v>
      </c>
      <c r="P221" t="str">
        <f t="shared" si="32"/>
        <v>552S25</v>
      </c>
      <c r="Q221" s="17" t="s">
        <v>164</v>
      </c>
      <c r="R221" s="17">
        <v>25</v>
      </c>
    </row>
    <row r="222" spans="1:18">
      <c r="A222" s="662" t="str">
        <f t="shared" si="29"/>
        <v>CAM_DAI_LY</v>
      </c>
      <c r="B222" s="369"/>
      <c r="C222" s="798" t="str">
        <f t="shared" si="35"/>
        <v>552S</v>
      </c>
      <c r="D222" s="17"/>
      <c r="E222" s="17"/>
      <c r="F222" s="16" t="str">
        <f t="shared" si="30"/>
        <v>25</v>
      </c>
      <c r="J222" s="662" t="str">
        <f>VLOOKUP(P222,Sheet6!$A$2:$E$160,3,0)</f>
        <v>1290D205521925</v>
      </c>
      <c r="L222" s="797" t="s">
        <v>810</v>
      </c>
      <c r="M222" s="370" t="s">
        <v>810</v>
      </c>
      <c r="N222" s="369" t="s">
        <v>812</v>
      </c>
      <c r="O222" s="368" t="str">
        <f t="shared" si="31"/>
        <v>125</v>
      </c>
      <c r="P222" t="str">
        <f t="shared" si="32"/>
        <v>552S25</v>
      </c>
      <c r="Q222" s="17" t="s">
        <v>164</v>
      </c>
      <c r="R222" s="17">
        <v>25</v>
      </c>
    </row>
    <row r="223" spans="1:18">
      <c r="A223" s="662" t="str">
        <f t="shared" si="29"/>
        <v>CAM_TRAI</v>
      </c>
      <c r="B223" s="369"/>
      <c r="C223" s="798" t="str">
        <f t="shared" si="35"/>
        <v>552SF</v>
      </c>
      <c r="D223" s="17"/>
      <c r="E223" s="17"/>
      <c r="F223" s="16" t="str">
        <f t="shared" si="30"/>
        <v>50</v>
      </c>
      <c r="J223" s="662" t="str">
        <f>VLOOKUP(P223,Sheet6!$A$2:$E$160,3,0)</f>
        <v>1290BT05521950</v>
      </c>
      <c r="L223" s="797" t="s">
        <v>815</v>
      </c>
      <c r="M223" s="370" t="s">
        <v>815</v>
      </c>
      <c r="N223" s="369" t="s">
        <v>816</v>
      </c>
      <c r="O223" s="368" t="str">
        <f t="shared" si="31"/>
        <v>250</v>
      </c>
      <c r="P223" t="str">
        <f t="shared" si="32"/>
        <v>552SF50</v>
      </c>
      <c r="Q223" s="17" t="s">
        <v>393</v>
      </c>
      <c r="R223" s="17">
        <v>50</v>
      </c>
    </row>
    <row r="224" spans="1:18">
      <c r="A224" s="662" t="str">
        <f t="shared" si="29"/>
        <v>CAM_TRAI</v>
      </c>
      <c r="B224" s="369"/>
      <c r="C224" s="798" t="str">
        <f t="shared" si="35"/>
        <v>552SF</v>
      </c>
      <c r="D224" s="17"/>
      <c r="E224" s="17"/>
      <c r="F224" s="16" t="str">
        <f t="shared" si="30"/>
        <v>25</v>
      </c>
      <c r="J224" s="662" t="e">
        <f>VLOOKUP(P224,Sheet6!$A$2:$E$160,3,0)</f>
        <v>#N/A</v>
      </c>
      <c r="L224" s="399">
        <v>21115521900225</v>
      </c>
      <c r="M224" s="370" t="s">
        <v>1511</v>
      </c>
      <c r="N224" s="369" t="s">
        <v>1512</v>
      </c>
      <c r="O224" s="368" t="str">
        <f t="shared" si="31"/>
        <v>225</v>
      </c>
      <c r="P224" t="str">
        <f t="shared" si="32"/>
        <v>552SF25</v>
      </c>
      <c r="Q224" s="17" t="s">
        <v>393</v>
      </c>
      <c r="R224" s="17">
        <v>25</v>
      </c>
    </row>
    <row r="225" spans="1:18">
      <c r="A225" s="662" t="str">
        <f t="shared" si="29"/>
        <v>CAM_TRAI</v>
      </c>
      <c r="B225" s="369"/>
      <c r="C225" s="798" t="s">
        <v>393</v>
      </c>
      <c r="D225" s="17"/>
      <c r="E225" s="17" t="str">
        <f t="shared" ref="E225:E230" si="36">RIGHT(M225,3)</f>
        <v>S31</v>
      </c>
      <c r="F225" s="16" t="str">
        <f t="shared" si="30"/>
        <v>50</v>
      </c>
      <c r="J225" s="662" t="str">
        <f>VLOOKUP(P225,Sheet6!$A$2:$E$160,3,0)</f>
        <v>1290BT05521950</v>
      </c>
      <c r="L225" s="399">
        <v>21115521999250</v>
      </c>
      <c r="M225" s="370" t="s">
        <v>1344</v>
      </c>
      <c r="N225" s="369" t="s">
        <v>1313</v>
      </c>
      <c r="O225" s="368" t="str">
        <f t="shared" si="31"/>
        <v>250</v>
      </c>
      <c r="P225" t="str">
        <f t="shared" si="32"/>
        <v>552SF50</v>
      </c>
      <c r="Q225" s="17" t="s">
        <v>396</v>
      </c>
      <c r="R225" s="17">
        <v>50</v>
      </c>
    </row>
    <row r="226" spans="1:18">
      <c r="A226" s="662" t="str">
        <f t="shared" si="29"/>
        <v>CAM_TRAI</v>
      </c>
      <c r="B226" s="369"/>
      <c r="C226" s="798" t="s">
        <v>393</v>
      </c>
      <c r="D226" s="17"/>
      <c r="E226" s="17" t="str">
        <f t="shared" si="36"/>
        <v>S34</v>
      </c>
      <c r="F226" s="16" t="str">
        <f t="shared" si="30"/>
        <v>50</v>
      </c>
      <c r="J226" s="662" t="str">
        <f>VLOOKUP(P226,Sheet6!$A$2:$E$160,3,0)</f>
        <v>1290BT05521950</v>
      </c>
      <c r="L226" s="399">
        <v>21115521999250</v>
      </c>
      <c r="M226" s="370" t="s">
        <v>1554</v>
      </c>
      <c r="N226" s="369" t="s">
        <v>1313</v>
      </c>
      <c r="O226" s="368" t="str">
        <f t="shared" si="31"/>
        <v>250</v>
      </c>
      <c r="P226" t="str">
        <f t="shared" si="32"/>
        <v>552SF50</v>
      </c>
      <c r="Q226" s="17" t="s">
        <v>1555</v>
      </c>
      <c r="R226" s="17">
        <v>50</v>
      </c>
    </row>
    <row r="227" spans="1:18">
      <c r="A227" s="662" t="str">
        <f t="shared" si="29"/>
        <v>CAM_TRAI</v>
      </c>
      <c r="B227" s="369"/>
      <c r="C227" s="798" t="s">
        <v>393</v>
      </c>
      <c r="D227" s="17"/>
      <c r="E227" s="17" t="str">
        <f t="shared" si="36"/>
        <v>S37</v>
      </c>
      <c r="F227" s="16" t="str">
        <f t="shared" si="30"/>
        <v>50</v>
      </c>
      <c r="J227" s="662" t="str">
        <f>VLOOKUP(P227,Sheet6!$A$2:$E$160,3,0)</f>
        <v>1290BT05521950</v>
      </c>
      <c r="L227" s="399">
        <v>21115521999250</v>
      </c>
      <c r="M227" s="370" t="s">
        <v>1396</v>
      </c>
      <c r="N227" s="369" t="s">
        <v>1313</v>
      </c>
      <c r="O227" s="368" t="str">
        <f t="shared" si="31"/>
        <v>250</v>
      </c>
      <c r="P227" t="str">
        <f t="shared" si="32"/>
        <v>552SF50</v>
      </c>
      <c r="Q227" s="17" t="s">
        <v>398</v>
      </c>
      <c r="R227" s="17">
        <v>50</v>
      </c>
    </row>
    <row r="228" spans="1:18">
      <c r="A228" s="662" t="str">
        <f t="shared" si="29"/>
        <v>CAM_TRAI</v>
      </c>
      <c r="B228" s="369"/>
      <c r="C228" s="798" t="s">
        <v>393</v>
      </c>
      <c r="D228" s="17"/>
      <c r="E228" s="17" t="str">
        <f t="shared" si="36"/>
        <v>S38</v>
      </c>
      <c r="F228" s="16" t="str">
        <f t="shared" si="30"/>
        <v>50</v>
      </c>
      <c r="J228" s="662" t="str">
        <f>VLOOKUP(P228,Sheet6!$A$2:$E$160,3,0)</f>
        <v>1290BT05521950</v>
      </c>
      <c r="L228" s="399">
        <v>21115521999250</v>
      </c>
      <c r="M228" s="370" t="s">
        <v>1408</v>
      </c>
      <c r="N228" s="369" t="s">
        <v>1313</v>
      </c>
      <c r="O228" s="368" t="str">
        <f t="shared" si="31"/>
        <v>250</v>
      </c>
      <c r="P228" t="str">
        <f t="shared" si="32"/>
        <v>552SF50</v>
      </c>
      <c r="Q228" s="17" t="s">
        <v>1404</v>
      </c>
      <c r="R228" s="17">
        <v>50</v>
      </c>
    </row>
    <row r="229" spans="1:18">
      <c r="A229" s="662" t="str">
        <f t="shared" si="29"/>
        <v>CAM_TRAI</v>
      </c>
      <c r="B229" s="369"/>
      <c r="C229" s="798" t="s">
        <v>393</v>
      </c>
      <c r="D229" s="17"/>
      <c r="E229" s="17" t="str">
        <f t="shared" si="36"/>
        <v>S73</v>
      </c>
      <c r="F229" s="16" t="str">
        <f t="shared" si="30"/>
        <v>50</v>
      </c>
      <c r="J229" s="662" t="str">
        <f>VLOOKUP(P229,Sheet6!$A$2:$E$160,3,0)</f>
        <v>1290BT05521950</v>
      </c>
      <c r="L229" s="797">
        <v>21115521999250</v>
      </c>
      <c r="M229" s="370" t="s">
        <v>1971</v>
      </c>
      <c r="N229" s="369" t="s">
        <v>1313</v>
      </c>
      <c r="O229" s="368" t="str">
        <f t="shared" si="31"/>
        <v>250</v>
      </c>
      <c r="P229" t="str">
        <f t="shared" si="32"/>
        <v>552SF50</v>
      </c>
      <c r="Q229" s="17" t="s">
        <v>399</v>
      </c>
      <c r="R229" s="17">
        <v>50</v>
      </c>
    </row>
    <row r="230" spans="1:18">
      <c r="A230" s="662" t="str">
        <f t="shared" si="29"/>
        <v>CAM_TRAI</v>
      </c>
      <c r="B230" s="369"/>
      <c r="C230" s="798" t="s">
        <v>393</v>
      </c>
      <c r="D230" s="17"/>
      <c r="E230" s="17" t="str">
        <f t="shared" si="36"/>
        <v>S90</v>
      </c>
      <c r="F230" s="16" t="str">
        <f t="shared" si="30"/>
        <v>50</v>
      </c>
      <c r="J230" s="662" t="str">
        <f>VLOOKUP(P230,Sheet6!$A$2:$E$160,3,0)</f>
        <v>1290BT05521950</v>
      </c>
      <c r="L230" s="399">
        <v>21115521999250</v>
      </c>
      <c r="M230" s="370" t="s">
        <v>1671</v>
      </c>
      <c r="N230" s="369" t="s">
        <v>1313</v>
      </c>
      <c r="O230" s="368" t="str">
        <f t="shared" si="31"/>
        <v>250</v>
      </c>
      <c r="P230" t="str">
        <f t="shared" si="32"/>
        <v>552SF50</v>
      </c>
      <c r="Q230" s="17" t="s">
        <v>400</v>
      </c>
      <c r="R230" s="17">
        <v>50</v>
      </c>
    </row>
    <row r="231" spans="1:18">
      <c r="A231" s="662" t="str">
        <f t="shared" si="29"/>
        <v>CAM_DAI_LY</v>
      </c>
      <c r="B231" s="369"/>
      <c r="C231" s="798" t="str">
        <f>Q231</f>
        <v>552SPro</v>
      </c>
      <c r="D231" s="17"/>
      <c r="E231" s="17"/>
      <c r="F231" s="16" t="str">
        <f t="shared" si="30"/>
        <v>25</v>
      </c>
      <c r="J231" s="662" t="str">
        <f>VLOOKUP(P231,Sheet6!$A$2:$E$160,3,0)</f>
        <v>1290H205527525</v>
      </c>
      <c r="L231" s="399">
        <v>21115521916125</v>
      </c>
      <c r="M231" s="370" t="s">
        <v>1725</v>
      </c>
      <c r="N231" s="369" t="s">
        <v>1726</v>
      </c>
      <c r="O231" s="368" t="str">
        <f t="shared" si="31"/>
        <v>125</v>
      </c>
      <c r="P231" t="str">
        <f t="shared" si="32"/>
        <v>552SPro25</v>
      </c>
      <c r="Q231" s="17" t="s">
        <v>65</v>
      </c>
      <c r="R231" s="17">
        <v>25</v>
      </c>
    </row>
    <row r="232" spans="1:18">
      <c r="A232" s="662" t="str">
        <f t="shared" si="29"/>
        <v>CAM_TRAI</v>
      </c>
      <c r="B232" s="369"/>
      <c r="C232" s="798" t="str">
        <f>Q232</f>
        <v>552SXF</v>
      </c>
      <c r="D232" s="17"/>
      <c r="E232" s="17"/>
      <c r="F232" s="16" t="str">
        <f t="shared" si="30"/>
        <v>25</v>
      </c>
      <c r="J232" s="662" t="e">
        <f>VLOOKUP(P232,Sheet6!$A$2:$E$160,3,0)</f>
        <v>#N/A</v>
      </c>
      <c r="L232" s="399">
        <v>21115527800225</v>
      </c>
      <c r="M232" s="370" t="s">
        <v>1646</v>
      </c>
      <c r="N232" s="369" t="s">
        <v>1647</v>
      </c>
      <c r="O232" s="368" t="str">
        <f t="shared" si="31"/>
        <v>225</v>
      </c>
      <c r="P232" t="str">
        <f t="shared" si="32"/>
        <v>552SXF25</v>
      </c>
      <c r="Q232" s="17" t="s">
        <v>395</v>
      </c>
      <c r="R232" s="17">
        <v>25</v>
      </c>
    </row>
    <row r="233" spans="1:18">
      <c r="A233" s="662" t="str">
        <f t="shared" si="29"/>
        <v>CAM_TRAI</v>
      </c>
      <c r="B233" s="369"/>
      <c r="C233" s="798" t="str">
        <f>Q233</f>
        <v>553BF</v>
      </c>
      <c r="D233" s="17"/>
      <c r="E233" s="17"/>
      <c r="F233" s="16" t="str">
        <f t="shared" si="30"/>
        <v>50</v>
      </c>
      <c r="J233" s="662" t="e">
        <f>VLOOKUP(P233,Sheet6!$A$2:$E$160,3,0)</f>
        <v>#N/A</v>
      </c>
      <c r="L233" s="797" t="s">
        <v>834</v>
      </c>
      <c r="M233" s="370" t="s">
        <v>834</v>
      </c>
      <c r="N233" s="369" t="s">
        <v>835</v>
      </c>
      <c r="O233" s="368" t="str">
        <f t="shared" si="31"/>
        <v>250</v>
      </c>
      <c r="P233" t="str">
        <f t="shared" si="32"/>
        <v>553BF50</v>
      </c>
      <c r="Q233" s="17" t="s">
        <v>401</v>
      </c>
      <c r="R233" s="17">
        <v>50</v>
      </c>
    </row>
    <row r="234" spans="1:18">
      <c r="A234" s="662" t="str">
        <f t="shared" si="29"/>
        <v>CAM_TRAI</v>
      </c>
      <c r="B234"/>
      <c r="C234" s="798" t="str">
        <f>Q234</f>
        <v>553BSF</v>
      </c>
      <c r="D234" s="16"/>
      <c r="E234" s="17"/>
      <c r="F234" s="16" t="str">
        <f t="shared" si="30"/>
        <v>50</v>
      </c>
      <c r="J234" s="662" t="e">
        <f>VLOOKUP(P234,Sheet6!$A$2:$E$160,3,0)</f>
        <v>#N/A</v>
      </c>
      <c r="L234" s="394">
        <v>21115537200250</v>
      </c>
      <c r="M234" t="s">
        <v>2143</v>
      </c>
      <c r="N234" t="s">
        <v>1036</v>
      </c>
      <c r="O234" s="368" t="str">
        <f t="shared" si="31"/>
        <v>250</v>
      </c>
      <c r="P234" t="str">
        <f t="shared" si="32"/>
        <v>553BSF50</v>
      </c>
      <c r="Q234" s="16" t="s">
        <v>1037</v>
      </c>
      <c r="R234" s="17">
        <v>50</v>
      </c>
    </row>
    <row r="235" spans="1:18">
      <c r="A235" s="662" t="str">
        <f t="shared" si="29"/>
        <v>CAM_TRAI</v>
      </c>
      <c r="B235" s="369"/>
      <c r="C235" s="798" t="str">
        <f>Q235</f>
        <v>553BSOF</v>
      </c>
      <c r="D235" s="16"/>
      <c r="E235" s="17"/>
      <c r="F235" s="16" t="str">
        <f t="shared" si="30"/>
        <v>50</v>
      </c>
      <c r="J235" s="662" t="e">
        <f>VLOOKUP(P235,Sheet6!$A$2:$E$160,3,0)</f>
        <v>#N/A</v>
      </c>
      <c r="L235" s="399">
        <v>21115539900250</v>
      </c>
      <c r="M235" s="370" t="s">
        <v>1099</v>
      </c>
      <c r="N235" s="369" t="s">
        <v>1100</v>
      </c>
      <c r="O235" s="368" t="str">
        <f t="shared" si="31"/>
        <v>250</v>
      </c>
      <c r="P235" t="str">
        <f t="shared" si="32"/>
        <v>553BSOF50</v>
      </c>
      <c r="Q235" s="16" t="s">
        <v>1101</v>
      </c>
      <c r="R235" s="17">
        <v>50</v>
      </c>
    </row>
    <row r="236" spans="1:18">
      <c r="A236" s="662" t="str">
        <f t="shared" si="29"/>
        <v>CAM_TRAI</v>
      </c>
      <c r="B236" s="369"/>
      <c r="C236" s="798" t="s">
        <v>403</v>
      </c>
      <c r="D236" s="17"/>
      <c r="E236" s="17"/>
      <c r="F236" s="16" t="str">
        <f t="shared" si="30"/>
        <v>50</v>
      </c>
      <c r="J236" s="662" t="str">
        <f>VLOOKUP(P236,Sheet6!$A$2:$E$160,3,0)</f>
        <v>1290BT05531350</v>
      </c>
      <c r="L236" s="797" t="s">
        <v>843</v>
      </c>
      <c r="M236" s="370" t="s">
        <v>843</v>
      </c>
      <c r="N236" s="369" t="s">
        <v>844</v>
      </c>
      <c r="O236" s="368" t="str">
        <f t="shared" si="31"/>
        <v>250</v>
      </c>
      <c r="P236" t="str">
        <f t="shared" si="32"/>
        <v>553MF50</v>
      </c>
      <c r="Q236" s="17" t="s">
        <v>403</v>
      </c>
      <c r="R236" s="17">
        <v>50</v>
      </c>
    </row>
    <row r="237" spans="1:18">
      <c r="A237" s="662" t="str">
        <f t="shared" si="29"/>
        <v>CAM_TRAI</v>
      </c>
      <c r="B237" s="369"/>
      <c r="C237" s="798" t="s">
        <v>403</v>
      </c>
      <c r="D237" s="16"/>
      <c r="E237" s="17" t="str">
        <f>RIGHT(M237,3)</f>
        <v>S34</v>
      </c>
      <c r="F237" s="16" t="str">
        <f t="shared" si="30"/>
        <v>50</v>
      </c>
      <c r="J237" s="662" t="str">
        <f>VLOOKUP(P237,Sheet6!$A$2:$E$160,3,0)</f>
        <v>1290BT05531350</v>
      </c>
      <c r="L237" s="399">
        <v>21115531399250</v>
      </c>
      <c r="M237" s="370" t="s">
        <v>1657</v>
      </c>
      <c r="N237" s="369" t="s">
        <v>1649</v>
      </c>
      <c r="O237" s="368" t="str">
        <f t="shared" si="31"/>
        <v>250</v>
      </c>
      <c r="P237" t="str">
        <f t="shared" si="32"/>
        <v>553MF50</v>
      </c>
      <c r="Q237" s="16" t="s">
        <v>405</v>
      </c>
      <c r="R237" s="17">
        <v>50</v>
      </c>
    </row>
    <row r="238" spans="1:18">
      <c r="A238" s="662" t="str">
        <f t="shared" si="29"/>
        <v>CAM_TRAI</v>
      </c>
      <c r="B238" s="369"/>
      <c r="C238" s="798" t="s">
        <v>403</v>
      </c>
      <c r="D238" s="17"/>
      <c r="E238" s="17" t="str">
        <f>RIGHT(M238,3)</f>
        <v>S37</v>
      </c>
      <c r="F238" s="16" t="str">
        <f t="shared" si="30"/>
        <v>50</v>
      </c>
      <c r="J238" s="662" t="str">
        <f>VLOOKUP(P238,Sheet6!$A$2:$E$160,3,0)</f>
        <v>1290BT05531350</v>
      </c>
      <c r="L238" s="399">
        <v>21115531399250</v>
      </c>
      <c r="M238" s="370" t="s">
        <v>1648</v>
      </c>
      <c r="N238" s="369" t="s">
        <v>1649</v>
      </c>
      <c r="O238" s="368" t="str">
        <f t="shared" si="31"/>
        <v>250</v>
      </c>
      <c r="P238" t="str">
        <f t="shared" si="32"/>
        <v>553MF50</v>
      </c>
      <c r="Q238" s="17" t="s">
        <v>1650</v>
      </c>
      <c r="R238" s="17">
        <v>50</v>
      </c>
    </row>
    <row r="239" spans="1:18">
      <c r="A239" s="662" t="str">
        <f t="shared" si="29"/>
        <v>CAM_TRAI</v>
      </c>
      <c r="B239" s="369"/>
      <c r="C239" s="798" t="s">
        <v>403</v>
      </c>
      <c r="D239" s="16"/>
      <c r="E239" s="17" t="str">
        <f>RIGHT(M239,3)</f>
        <v>S70</v>
      </c>
      <c r="F239" s="16" t="str">
        <f t="shared" si="30"/>
        <v>50</v>
      </c>
      <c r="J239" s="662" t="str">
        <f>VLOOKUP(P239,Sheet6!$A$2:$E$160,3,0)</f>
        <v>1290BT05531350</v>
      </c>
      <c r="L239" s="399">
        <v>21115531399250</v>
      </c>
      <c r="M239" s="370" t="s">
        <v>1651</v>
      </c>
      <c r="N239" s="369" t="s">
        <v>1649</v>
      </c>
      <c r="O239" s="368" t="str">
        <f t="shared" si="31"/>
        <v>250</v>
      </c>
      <c r="P239" t="str">
        <f t="shared" si="32"/>
        <v>553MF50</v>
      </c>
      <c r="Q239" s="16" t="s">
        <v>1652</v>
      </c>
      <c r="R239" s="17">
        <v>50</v>
      </c>
    </row>
    <row r="240" spans="1:18">
      <c r="A240" s="662" t="str">
        <f t="shared" si="29"/>
        <v>CAM_TRAI</v>
      </c>
      <c r="B240" s="369"/>
      <c r="C240" s="798" t="s">
        <v>403</v>
      </c>
      <c r="D240" s="16"/>
      <c r="E240" s="17" t="str">
        <f>RIGHT(M240,3)</f>
        <v>S73</v>
      </c>
      <c r="F240" s="16" t="str">
        <f t="shared" si="30"/>
        <v>50</v>
      </c>
      <c r="J240" s="662" t="str">
        <f>VLOOKUP(P240,Sheet6!$A$2:$E$160,3,0)</f>
        <v>1290BT05531350</v>
      </c>
      <c r="L240" s="399">
        <v>21115531399250</v>
      </c>
      <c r="M240" s="370" t="s">
        <v>1793</v>
      </c>
      <c r="N240" s="369" t="s">
        <v>1649</v>
      </c>
      <c r="O240" s="368" t="str">
        <f t="shared" si="31"/>
        <v>250</v>
      </c>
      <c r="P240" t="str">
        <f t="shared" si="32"/>
        <v>553MF50</v>
      </c>
      <c r="Q240" s="16" t="s">
        <v>406</v>
      </c>
      <c r="R240" s="17">
        <v>50</v>
      </c>
    </row>
    <row r="241" spans="1:18">
      <c r="A241" s="662" t="str">
        <f t="shared" si="29"/>
        <v>CAM_TRAI</v>
      </c>
      <c r="B241" s="369"/>
      <c r="C241" s="798" t="s">
        <v>403</v>
      </c>
      <c r="D241" s="17"/>
      <c r="E241" s="17" t="str">
        <f>RIGHT(M241,3)</f>
        <v>S90</v>
      </c>
      <c r="F241" s="16" t="str">
        <f t="shared" si="30"/>
        <v>50</v>
      </c>
      <c r="J241" s="662" t="str">
        <f>VLOOKUP(P241,Sheet6!$A$2:$E$160,3,0)</f>
        <v>1290BT05531350</v>
      </c>
      <c r="L241" s="399">
        <v>21115531399250</v>
      </c>
      <c r="M241" s="370" t="s">
        <v>1672</v>
      </c>
      <c r="N241" s="369" t="s">
        <v>1649</v>
      </c>
      <c r="O241" s="368" t="str">
        <f t="shared" si="31"/>
        <v>250</v>
      </c>
      <c r="P241" t="str">
        <f t="shared" si="32"/>
        <v>553MF50</v>
      </c>
      <c r="Q241" s="17" t="s">
        <v>407</v>
      </c>
      <c r="R241" s="17">
        <v>50</v>
      </c>
    </row>
    <row r="242" spans="1:18">
      <c r="A242" s="662" t="str">
        <f t="shared" si="29"/>
        <v>CAM_DAI_LY</v>
      </c>
      <c r="B242" s="369"/>
      <c r="C242" s="798" t="str">
        <f t="shared" ref="C242:C249" si="37">Q242</f>
        <v>553S</v>
      </c>
      <c r="D242" s="17"/>
      <c r="E242" s="17"/>
      <c r="F242" s="16" t="str">
        <f t="shared" si="30"/>
        <v>25</v>
      </c>
      <c r="J242" s="662" t="str">
        <f>VLOOKUP(P242,Sheet6!$A$2:$E$160,3,0)</f>
        <v>1290D205531925</v>
      </c>
      <c r="L242" s="797" t="s">
        <v>855</v>
      </c>
      <c r="M242" s="370" t="s">
        <v>855</v>
      </c>
      <c r="N242" s="369" t="s">
        <v>856</v>
      </c>
      <c r="O242" s="368" t="str">
        <f t="shared" si="31"/>
        <v>125</v>
      </c>
      <c r="P242" t="str">
        <f t="shared" si="32"/>
        <v>553S25</v>
      </c>
      <c r="Q242" s="17" t="s">
        <v>166</v>
      </c>
      <c r="R242" s="17">
        <v>25</v>
      </c>
    </row>
    <row r="243" spans="1:18">
      <c r="A243" s="662" t="str">
        <f t="shared" si="29"/>
        <v>CAM_TRAI</v>
      </c>
      <c r="B243" s="369"/>
      <c r="C243" s="798" t="str">
        <f t="shared" si="37"/>
        <v>553SF</v>
      </c>
      <c r="D243" s="17"/>
      <c r="E243" s="17"/>
      <c r="F243" s="16" t="str">
        <f t="shared" si="30"/>
        <v>25</v>
      </c>
      <c r="J243" s="662" t="e">
        <f>VLOOKUP(P243,Sheet6!$A$2:$E$160,3,0)</f>
        <v>#N/A</v>
      </c>
      <c r="L243" s="399">
        <v>21115531900225</v>
      </c>
      <c r="M243" s="370" t="s">
        <v>1711</v>
      </c>
      <c r="N243" s="369" t="s">
        <v>1712</v>
      </c>
      <c r="O243" s="368" t="str">
        <f t="shared" si="31"/>
        <v>225</v>
      </c>
      <c r="P243" t="str">
        <f t="shared" si="32"/>
        <v>553SF25</v>
      </c>
      <c r="Q243" s="17" t="s">
        <v>408</v>
      </c>
      <c r="R243" s="17">
        <v>25</v>
      </c>
    </row>
    <row r="244" spans="1:18">
      <c r="A244" s="662" t="str">
        <f t="shared" si="29"/>
        <v>CAM_TRAI</v>
      </c>
      <c r="B244" s="369"/>
      <c r="C244" s="798" t="str">
        <f t="shared" si="37"/>
        <v>553SF</v>
      </c>
      <c r="D244" s="17"/>
      <c r="E244" s="17"/>
      <c r="F244" s="16" t="str">
        <f t="shared" si="30"/>
        <v>50</v>
      </c>
      <c r="J244" s="662" t="e">
        <f>VLOOKUP(P244,Sheet6!$A$2:$E$160,3,0)</f>
        <v>#N/A</v>
      </c>
      <c r="L244" s="399">
        <v>21115531900250</v>
      </c>
      <c r="M244" s="370" t="s">
        <v>1624</v>
      </c>
      <c r="N244" s="369" t="s">
        <v>1625</v>
      </c>
      <c r="O244" s="368" t="str">
        <f t="shared" si="31"/>
        <v>250</v>
      </c>
      <c r="P244" t="str">
        <f t="shared" si="32"/>
        <v>553SF50</v>
      </c>
      <c r="Q244" s="17" t="s">
        <v>408</v>
      </c>
      <c r="R244" s="17">
        <v>50</v>
      </c>
    </row>
    <row r="245" spans="1:18">
      <c r="A245" s="662" t="str">
        <f t="shared" si="29"/>
        <v>CAM_DAI_LY</v>
      </c>
      <c r="B245" s="369"/>
      <c r="C245" s="798" t="str">
        <f t="shared" si="37"/>
        <v>553SPro</v>
      </c>
      <c r="D245" s="17"/>
      <c r="E245" s="17"/>
      <c r="F245" s="16" t="str">
        <f t="shared" si="30"/>
        <v>25</v>
      </c>
      <c r="J245" s="662" t="str">
        <f>VLOOKUP(P245,Sheet6!$A$2:$E$160,3,0)</f>
        <v>1290H205537525</v>
      </c>
      <c r="L245" s="399">
        <v>21115531916125</v>
      </c>
      <c r="M245" s="370" t="s">
        <v>1743</v>
      </c>
      <c r="N245" s="369" t="s">
        <v>1744</v>
      </c>
      <c r="O245" s="368" t="str">
        <f t="shared" si="31"/>
        <v>125</v>
      </c>
      <c r="P245" t="str">
        <f t="shared" si="32"/>
        <v>553SPro25</v>
      </c>
      <c r="Q245" s="17" t="s">
        <v>67</v>
      </c>
      <c r="R245" s="17">
        <v>25</v>
      </c>
    </row>
    <row r="246" spans="1:18">
      <c r="A246" s="662" t="str">
        <f t="shared" si="29"/>
        <v>CAM_TRAI</v>
      </c>
      <c r="B246" s="369"/>
      <c r="C246" s="798" t="str">
        <f t="shared" si="37"/>
        <v>553WDF</v>
      </c>
      <c r="D246" s="17"/>
      <c r="E246" s="17"/>
      <c r="F246" s="16" t="str">
        <f t="shared" si="30"/>
        <v>50</v>
      </c>
      <c r="J246" s="662" t="e">
        <f>VLOOKUP(P246,Sheet6!$A$2:$E$160,3,0)</f>
        <v>#N/A</v>
      </c>
      <c r="L246" s="797" t="s">
        <v>857</v>
      </c>
      <c r="M246" s="370" t="s">
        <v>857</v>
      </c>
      <c r="N246" s="369" t="s">
        <v>858</v>
      </c>
      <c r="O246" s="368" t="str">
        <f t="shared" si="31"/>
        <v>250</v>
      </c>
      <c r="P246" t="str">
        <f t="shared" si="32"/>
        <v>553WDF50</v>
      </c>
      <c r="Q246" s="17" t="s">
        <v>409</v>
      </c>
      <c r="R246" s="17">
        <v>50</v>
      </c>
    </row>
    <row r="247" spans="1:18">
      <c r="A247" s="662" t="str">
        <f t="shared" si="29"/>
        <v>CAM_TRAI</v>
      </c>
      <c r="B247" s="369"/>
      <c r="C247" s="798" t="str">
        <f t="shared" si="37"/>
        <v>553WDF</v>
      </c>
      <c r="D247" s="17"/>
      <c r="E247" s="17"/>
      <c r="F247" s="16" t="str">
        <f t="shared" si="30"/>
        <v>25</v>
      </c>
      <c r="J247" s="662" t="e">
        <f>VLOOKUP(P247,Sheet6!$A$2:$E$160,3,0)</f>
        <v>#N/A</v>
      </c>
      <c r="L247" s="399" t="s">
        <v>1875</v>
      </c>
      <c r="M247" s="370" t="s">
        <v>1875</v>
      </c>
      <c r="N247" s="369" t="s">
        <v>1876</v>
      </c>
      <c r="O247" s="368" t="str">
        <f t="shared" si="31"/>
        <v>225</v>
      </c>
      <c r="P247" t="str">
        <f t="shared" si="32"/>
        <v>553WDF25</v>
      </c>
      <c r="Q247" s="17" t="s">
        <v>409</v>
      </c>
      <c r="R247" s="17">
        <v>25</v>
      </c>
    </row>
    <row r="248" spans="1:18">
      <c r="A248" s="662" t="str">
        <f t="shared" si="29"/>
        <v>CAM_TRAI</v>
      </c>
      <c r="B248" s="369"/>
      <c r="C248" s="798" t="str">
        <f t="shared" si="37"/>
        <v>562F</v>
      </c>
      <c r="D248" s="17"/>
      <c r="E248" s="17"/>
      <c r="F248" s="16" t="str">
        <f t="shared" si="30"/>
        <v>50</v>
      </c>
      <c r="J248" s="662" t="str">
        <f>VLOOKUP(P248,Sheet6!$A$2:$E$160,3,0)</f>
        <v>1290BT05620050</v>
      </c>
      <c r="L248" s="797" t="s">
        <v>878</v>
      </c>
      <c r="M248" s="370" t="s">
        <v>878</v>
      </c>
      <c r="N248" s="369" t="s">
        <v>879</v>
      </c>
      <c r="O248" s="368" t="str">
        <f t="shared" si="31"/>
        <v>250</v>
      </c>
      <c r="P248" t="str">
        <f t="shared" si="32"/>
        <v>562F50</v>
      </c>
      <c r="Q248" s="17" t="s">
        <v>410</v>
      </c>
      <c r="R248" s="17">
        <v>50</v>
      </c>
    </row>
    <row r="249" spans="1:18">
      <c r="A249" s="662" t="str">
        <f t="shared" si="29"/>
        <v>CAM_DAI_LY</v>
      </c>
      <c r="B249" s="369"/>
      <c r="C249" s="798" t="str">
        <f t="shared" si="37"/>
        <v>562P</v>
      </c>
      <c r="D249" s="17"/>
      <c r="E249" s="17"/>
      <c r="F249" s="16" t="str">
        <f t="shared" si="30"/>
        <v>25</v>
      </c>
      <c r="J249" s="662" t="str">
        <f>VLOOKUP(P249,Sheet6!$A$2:$E$160,3,0)</f>
        <v>1290D205621625</v>
      </c>
      <c r="L249" s="797" t="s">
        <v>880</v>
      </c>
      <c r="M249" s="370" t="s">
        <v>880</v>
      </c>
      <c r="N249" s="369" t="s">
        <v>881</v>
      </c>
      <c r="O249" s="368" t="str">
        <f t="shared" si="31"/>
        <v>125</v>
      </c>
      <c r="P249" t="str">
        <f t="shared" si="32"/>
        <v>562P25</v>
      </c>
      <c r="Q249" s="17" t="s">
        <v>167</v>
      </c>
      <c r="R249" s="17">
        <v>25</v>
      </c>
    </row>
    <row r="250" spans="1:18">
      <c r="A250" s="662" t="str">
        <f t="shared" si="29"/>
        <v>CAM_TRAI</v>
      </c>
      <c r="B250" s="369"/>
      <c r="C250" s="798" t="s">
        <v>413</v>
      </c>
      <c r="D250" s="17"/>
      <c r="E250" s="17"/>
      <c r="F250" s="16" t="str">
        <f t="shared" si="30"/>
        <v>50</v>
      </c>
      <c r="J250" s="662" t="str">
        <f>VLOOKUP(P250,Sheet6!$A$2:$E$160,3,0)</f>
        <v>1290BT05621650</v>
      </c>
      <c r="L250" s="797" t="s">
        <v>892</v>
      </c>
      <c r="M250" s="370" t="s">
        <v>892</v>
      </c>
      <c r="N250" s="369" t="s">
        <v>893</v>
      </c>
      <c r="O250" s="368" t="str">
        <f t="shared" si="31"/>
        <v>250</v>
      </c>
      <c r="P250" t="str">
        <f t="shared" si="32"/>
        <v>562PF50</v>
      </c>
      <c r="Q250" s="17" t="s">
        <v>413</v>
      </c>
      <c r="R250" s="17">
        <v>50</v>
      </c>
    </row>
    <row r="251" spans="1:18">
      <c r="A251" s="662" t="str">
        <f t="shared" si="29"/>
        <v>CAM_TRAI</v>
      </c>
      <c r="B251" s="369"/>
      <c r="C251" s="798" t="s">
        <v>413</v>
      </c>
      <c r="D251" s="17"/>
      <c r="E251" s="17" t="str">
        <f>RIGHT(M251,3)</f>
        <v>S34</v>
      </c>
      <c r="F251" s="16" t="str">
        <f t="shared" si="30"/>
        <v>50</v>
      </c>
      <c r="J251" s="662" t="str">
        <f>VLOOKUP(P251,Sheet6!$A$2:$E$160,3,0)</f>
        <v>1290BT05621650</v>
      </c>
      <c r="L251" s="399">
        <v>21115621699250</v>
      </c>
      <c r="M251" s="391" t="s">
        <v>1621</v>
      </c>
      <c r="N251" s="369" t="s">
        <v>1611</v>
      </c>
      <c r="O251" s="368" t="str">
        <f t="shared" si="31"/>
        <v>250</v>
      </c>
      <c r="P251" t="str">
        <f t="shared" si="32"/>
        <v>562PF50</v>
      </c>
      <c r="Q251" s="17" t="s">
        <v>415</v>
      </c>
      <c r="R251" s="17">
        <v>50</v>
      </c>
    </row>
    <row r="252" spans="1:18">
      <c r="A252" s="662" t="str">
        <f t="shared" si="29"/>
        <v>CAM_TRAI</v>
      </c>
      <c r="B252" s="369"/>
      <c r="C252" s="798" t="s">
        <v>413</v>
      </c>
      <c r="D252" s="17"/>
      <c r="E252" s="17" t="str">
        <f>RIGHT(M252,3)</f>
        <v>S37</v>
      </c>
      <c r="F252" s="16" t="str">
        <f t="shared" si="30"/>
        <v>50</v>
      </c>
      <c r="J252" s="662" t="str">
        <f>VLOOKUP(P252,Sheet6!$A$2:$E$160,3,0)</f>
        <v>1290BT05621650</v>
      </c>
      <c r="L252" s="399">
        <v>21115621699250</v>
      </c>
      <c r="M252" s="370" t="s">
        <v>1610</v>
      </c>
      <c r="N252" s="369" t="s">
        <v>1611</v>
      </c>
      <c r="O252" s="368" t="str">
        <f t="shared" si="31"/>
        <v>250</v>
      </c>
      <c r="P252" t="str">
        <f t="shared" si="32"/>
        <v>562PF50</v>
      </c>
      <c r="Q252" s="17" t="s">
        <v>416</v>
      </c>
      <c r="R252" s="17">
        <v>50</v>
      </c>
    </row>
    <row r="253" spans="1:18">
      <c r="A253" s="662" t="str">
        <f t="shared" si="29"/>
        <v>CAM_TRAI</v>
      </c>
      <c r="B253" s="369"/>
      <c r="C253" s="798" t="s">
        <v>413</v>
      </c>
      <c r="D253" s="17"/>
      <c r="E253" s="17" t="str">
        <f>RIGHT(M253,3)</f>
        <v>S76</v>
      </c>
      <c r="F253" s="16" t="str">
        <f t="shared" si="30"/>
        <v>50</v>
      </c>
      <c r="J253" s="662" t="str">
        <f>VLOOKUP(P253,Sheet6!$A$2:$E$160,3,0)</f>
        <v>1290BT05621650</v>
      </c>
      <c r="L253" s="797">
        <v>21115621699250</v>
      </c>
      <c r="M253" s="370" t="s">
        <v>1912</v>
      </c>
      <c r="N253" s="369" t="s">
        <v>1611</v>
      </c>
      <c r="O253" s="368" t="str">
        <f t="shared" si="31"/>
        <v>250</v>
      </c>
      <c r="P253" t="str">
        <f t="shared" si="32"/>
        <v>562PF50</v>
      </c>
      <c r="Q253" s="17" t="s">
        <v>417</v>
      </c>
      <c r="R253" s="17">
        <v>50</v>
      </c>
    </row>
    <row r="254" spans="1:18">
      <c r="A254" s="662" t="str">
        <f t="shared" si="29"/>
        <v>CAM_TRAI</v>
      </c>
      <c r="B254" s="369"/>
      <c r="C254" s="798" t="s">
        <v>413</v>
      </c>
      <c r="D254" s="16"/>
      <c r="E254" s="17" t="str">
        <f>RIGHT(M254,3)</f>
        <v>S90</v>
      </c>
      <c r="F254" s="16" t="str">
        <f t="shared" si="30"/>
        <v>50</v>
      </c>
      <c r="J254" s="662" t="str">
        <f>VLOOKUP(P254,Sheet6!$A$2:$E$160,3,0)</f>
        <v>1290BT05621650</v>
      </c>
      <c r="L254" s="399" t="s">
        <v>883</v>
      </c>
      <c r="M254" s="391" t="s">
        <v>1772</v>
      </c>
      <c r="N254" s="369" t="s">
        <v>1611</v>
      </c>
      <c r="O254" s="368" t="str">
        <f t="shared" si="31"/>
        <v>250</v>
      </c>
      <c r="P254" t="str">
        <f t="shared" si="32"/>
        <v>562PF50</v>
      </c>
      <c r="Q254" s="16" t="s">
        <v>418</v>
      </c>
      <c r="R254" s="17">
        <v>50</v>
      </c>
    </row>
    <row r="255" spans="1:18">
      <c r="A255" s="662" t="str">
        <f t="shared" si="29"/>
        <v>CAM_TRAI</v>
      </c>
      <c r="B255" s="369"/>
      <c r="C255" s="798" t="str">
        <f>Q255</f>
        <v>566F</v>
      </c>
      <c r="D255" s="17"/>
      <c r="E255" s="17"/>
      <c r="F255" s="16" t="str">
        <f t="shared" si="30"/>
        <v>50</v>
      </c>
      <c r="J255" s="662" t="str">
        <f>VLOOKUP(P255,Sheet6!$A$2:$E$160,3,0)</f>
        <v>1290BT05660050</v>
      </c>
      <c r="L255" s="797" t="s">
        <v>900</v>
      </c>
      <c r="M255" s="370" t="s">
        <v>900</v>
      </c>
      <c r="N255" s="369" t="s">
        <v>901</v>
      </c>
      <c r="O255" s="368" t="str">
        <f t="shared" si="31"/>
        <v>250</v>
      </c>
      <c r="P255" t="str">
        <f t="shared" si="32"/>
        <v>566F50</v>
      </c>
      <c r="Q255" s="17" t="s">
        <v>419</v>
      </c>
      <c r="R255" s="17">
        <v>50</v>
      </c>
    </row>
    <row r="256" spans="1:18">
      <c r="A256" s="662" t="str">
        <f t="shared" si="29"/>
        <v>CAM_TRAI</v>
      </c>
      <c r="B256" s="369"/>
      <c r="C256" s="798" t="s">
        <v>419</v>
      </c>
      <c r="D256" s="17"/>
      <c r="E256" s="17" t="str">
        <f t="shared" ref="E256:E261" si="38">RIGHT(M256,3)</f>
        <v>S25</v>
      </c>
      <c r="F256" s="16" t="str">
        <f t="shared" si="30"/>
        <v>50</v>
      </c>
      <c r="J256" s="662" t="str">
        <f>VLOOKUP(P256,Sheet6!$A$2:$E$160,3,0)</f>
        <v>1290BT05660050</v>
      </c>
      <c r="L256" s="797">
        <v>21115660099250</v>
      </c>
      <c r="M256" s="370" t="s">
        <v>1948</v>
      </c>
      <c r="N256" s="369" t="s">
        <v>1254</v>
      </c>
      <c r="O256" s="368" t="str">
        <f t="shared" si="31"/>
        <v>250</v>
      </c>
      <c r="P256" t="str">
        <f t="shared" si="32"/>
        <v>566F50</v>
      </c>
      <c r="Q256" s="17" t="s">
        <v>421</v>
      </c>
      <c r="R256" s="17">
        <v>50</v>
      </c>
    </row>
    <row r="257" spans="1:18">
      <c r="A257" s="662" t="str">
        <f t="shared" si="29"/>
        <v>CAM_TRAI</v>
      </c>
      <c r="B257" s="369"/>
      <c r="C257" s="798" t="s">
        <v>419</v>
      </c>
      <c r="D257" s="17"/>
      <c r="E257" s="17" t="str">
        <f t="shared" si="38"/>
        <v>S31</v>
      </c>
      <c r="F257" s="16" t="str">
        <f t="shared" si="30"/>
        <v>50</v>
      </c>
      <c r="J257" s="662" t="str">
        <f>VLOOKUP(P257,Sheet6!$A$2:$E$160,3,0)</f>
        <v>1290BT05660050</v>
      </c>
      <c r="L257" s="797">
        <v>21115660099250</v>
      </c>
      <c r="M257" s="370" t="s">
        <v>1985</v>
      </c>
      <c r="N257" s="369" t="s">
        <v>1254</v>
      </c>
      <c r="O257" s="368" t="str">
        <f t="shared" si="31"/>
        <v>250</v>
      </c>
      <c r="P257" t="str">
        <f t="shared" si="32"/>
        <v>566F50</v>
      </c>
      <c r="Q257" s="17" t="s">
        <v>422</v>
      </c>
      <c r="R257" s="17">
        <v>50</v>
      </c>
    </row>
    <row r="258" spans="1:18">
      <c r="A258" s="662" t="str">
        <f t="shared" ref="A258:A321" si="39">VLOOKUP(O258,$T$83:$U$91,2,0)</f>
        <v>CAM_TRAI</v>
      </c>
      <c r="B258" s="369"/>
      <c r="C258" s="798" t="s">
        <v>419</v>
      </c>
      <c r="D258" s="16"/>
      <c r="E258" s="17" t="str">
        <f t="shared" si="38"/>
        <v>S34</v>
      </c>
      <c r="F258" s="16" t="str">
        <f t="shared" ref="F258:F321" si="40">RIGHT(L258,2)</f>
        <v>50</v>
      </c>
      <c r="J258" s="662" t="str">
        <f>VLOOKUP(P258,Sheet6!$A$2:$E$160,3,0)</f>
        <v>1290BT05660050</v>
      </c>
      <c r="L258" s="399">
        <v>21115660099250</v>
      </c>
      <c r="M258" s="391" t="s">
        <v>1622</v>
      </c>
      <c r="N258" s="369" t="s">
        <v>1254</v>
      </c>
      <c r="O258" s="368" t="str">
        <f t="shared" ref="O258:O321" si="41">MID(L258,12,3)</f>
        <v>250</v>
      </c>
      <c r="P258" t="str">
        <f t="shared" ref="P258:P321" si="42">C258&amp;R258</f>
        <v>566F50</v>
      </c>
      <c r="Q258" s="16" t="s">
        <v>443</v>
      </c>
      <c r="R258" s="17">
        <v>50</v>
      </c>
    </row>
    <row r="259" spans="1:18">
      <c r="A259" s="662" t="str">
        <f t="shared" si="39"/>
        <v>CAM_TRAI</v>
      </c>
      <c r="B259" s="369"/>
      <c r="C259" s="798" t="s">
        <v>419</v>
      </c>
      <c r="D259" s="17"/>
      <c r="E259" s="17" t="str">
        <f t="shared" si="38"/>
        <v>S37</v>
      </c>
      <c r="F259" s="16" t="str">
        <f t="shared" si="40"/>
        <v>50</v>
      </c>
      <c r="J259" s="662" t="str">
        <f>VLOOKUP(P259,Sheet6!$A$2:$E$160,3,0)</f>
        <v>1290BT05660050</v>
      </c>
      <c r="L259" s="399">
        <v>21115660099250</v>
      </c>
      <c r="M259" s="370" t="s">
        <v>1596</v>
      </c>
      <c r="N259" s="369" t="s">
        <v>1254</v>
      </c>
      <c r="O259" s="368" t="str">
        <f t="shared" si="41"/>
        <v>250</v>
      </c>
      <c r="P259" t="str">
        <f t="shared" si="42"/>
        <v>566F50</v>
      </c>
      <c r="Q259" s="17" t="s">
        <v>423</v>
      </c>
      <c r="R259" s="17">
        <v>50</v>
      </c>
    </row>
    <row r="260" spans="1:18">
      <c r="A260" s="662" t="str">
        <f t="shared" si="39"/>
        <v>CAM_TRAI</v>
      </c>
      <c r="B260" s="369"/>
      <c r="C260" s="798" t="s">
        <v>419</v>
      </c>
      <c r="D260" s="17"/>
      <c r="E260" s="17" t="str">
        <f t="shared" si="38"/>
        <v>S72</v>
      </c>
      <c r="F260" s="16" t="str">
        <f t="shared" si="40"/>
        <v>50</v>
      </c>
      <c r="J260" s="662" t="str">
        <f>VLOOKUP(P260,Sheet6!$A$2:$E$160,3,0)</f>
        <v>1290BT05660050</v>
      </c>
      <c r="L260" s="399">
        <v>21115660099250</v>
      </c>
      <c r="M260" s="370" t="s">
        <v>1253</v>
      </c>
      <c r="N260" s="369" t="s">
        <v>1254</v>
      </c>
      <c r="O260" s="368" t="str">
        <f t="shared" si="41"/>
        <v>250</v>
      </c>
      <c r="P260" t="str">
        <f t="shared" si="42"/>
        <v>566F50</v>
      </c>
      <c r="Q260" s="17" t="s">
        <v>424</v>
      </c>
      <c r="R260" s="17">
        <v>50</v>
      </c>
    </row>
    <row r="261" spans="1:18">
      <c r="A261" s="662" t="str">
        <f t="shared" si="39"/>
        <v>CAM_TRAI</v>
      </c>
      <c r="B261" s="369"/>
      <c r="C261" s="798" t="s">
        <v>419</v>
      </c>
      <c r="D261" s="16"/>
      <c r="E261" s="17" t="str">
        <f t="shared" si="38"/>
        <v>S90</v>
      </c>
      <c r="F261" s="16" t="str">
        <f t="shared" si="40"/>
        <v>50</v>
      </c>
      <c r="J261" s="662" t="str">
        <f>VLOOKUP(P261,Sheet6!$A$2:$E$160,3,0)</f>
        <v>1290BT05660050</v>
      </c>
      <c r="L261" s="399">
        <v>21115660099250</v>
      </c>
      <c r="M261" s="370" t="s">
        <v>1774</v>
      </c>
      <c r="N261" s="369" t="s">
        <v>1254</v>
      </c>
      <c r="O261" s="368" t="str">
        <f t="shared" si="41"/>
        <v>250</v>
      </c>
      <c r="P261" t="str">
        <f t="shared" si="42"/>
        <v>566F50</v>
      </c>
      <c r="Q261" s="16" t="s">
        <v>425</v>
      </c>
      <c r="R261" s="17">
        <v>50</v>
      </c>
    </row>
    <row r="262" spans="1:18">
      <c r="A262" s="662" t="str">
        <f t="shared" si="39"/>
        <v>CAM_DAI_LY</v>
      </c>
      <c r="B262" s="369"/>
      <c r="C262" s="798" t="str">
        <f>Q262</f>
        <v>566X</v>
      </c>
      <c r="D262" s="17"/>
      <c r="E262" s="17"/>
      <c r="F262" s="16" t="str">
        <f t="shared" si="40"/>
        <v>25</v>
      </c>
      <c r="J262" s="662" t="e">
        <f>VLOOKUP(P262,Sheet6!$A$2:$E$160,3,0)</f>
        <v>#N/A</v>
      </c>
      <c r="L262" s="797">
        <v>21115662400125</v>
      </c>
      <c r="M262" s="370" t="s">
        <v>1940</v>
      </c>
      <c r="N262" s="369" t="s">
        <v>1941</v>
      </c>
      <c r="O262" s="368" t="str">
        <f t="shared" si="41"/>
        <v>125</v>
      </c>
      <c r="P262" t="str">
        <f t="shared" si="42"/>
        <v>566X25</v>
      </c>
      <c r="Q262" s="17" t="s">
        <v>169</v>
      </c>
      <c r="R262" s="17">
        <v>25</v>
      </c>
    </row>
    <row r="263" spans="1:18">
      <c r="A263" s="662" t="str">
        <f t="shared" si="39"/>
        <v>CAM_DAI_LY</v>
      </c>
      <c r="B263" s="369"/>
      <c r="C263" s="798" t="str">
        <f>Q263</f>
        <v>567S</v>
      </c>
      <c r="D263" s="17"/>
      <c r="E263" s="17"/>
      <c r="F263" s="16" t="str">
        <f t="shared" si="40"/>
        <v>25</v>
      </c>
      <c r="J263" s="662" t="str">
        <f>VLOOKUP(P263,Sheet6!$A$2:$E$160,3,0)</f>
        <v>1290D205671925</v>
      </c>
      <c r="L263" s="797" t="s">
        <v>904</v>
      </c>
      <c r="M263" s="370" t="s">
        <v>904</v>
      </c>
      <c r="N263" s="369" t="s">
        <v>905</v>
      </c>
      <c r="O263" s="368" t="str">
        <f t="shared" si="41"/>
        <v>125</v>
      </c>
      <c r="P263" t="str">
        <f t="shared" si="42"/>
        <v>567S25</v>
      </c>
      <c r="Q263" s="17" t="s">
        <v>170</v>
      </c>
      <c r="R263" s="17">
        <v>25</v>
      </c>
    </row>
    <row r="264" spans="1:18">
      <c r="A264" s="662" t="str">
        <f t="shared" si="39"/>
        <v>CAM_TRAI</v>
      </c>
      <c r="B264" s="369"/>
      <c r="C264" s="798" t="str">
        <f>Q264</f>
        <v>567SF</v>
      </c>
      <c r="D264" s="17"/>
      <c r="E264" s="17"/>
      <c r="F264" s="16" t="str">
        <f t="shared" si="40"/>
        <v>50</v>
      </c>
      <c r="J264" s="662" t="str">
        <f>VLOOKUP(P264,Sheet6!$A$2:$E$160,3,0)</f>
        <v>1290BT05671950</v>
      </c>
      <c r="L264" s="797" t="s">
        <v>915</v>
      </c>
      <c r="M264" s="370" t="s">
        <v>915</v>
      </c>
      <c r="N264" s="369" t="s">
        <v>916</v>
      </c>
      <c r="O264" s="368" t="str">
        <f t="shared" si="41"/>
        <v>250</v>
      </c>
      <c r="P264" t="str">
        <f t="shared" si="42"/>
        <v>567SF50</v>
      </c>
      <c r="Q264" s="17" t="s">
        <v>426</v>
      </c>
      <c r="R264" s="17">
        <v>50</v>
      </c>
    </row>
    <row r="265" spans="1:18">
      <c r="A265" s="662" t="str">
        <f t="shared" si="39"/>
        <v>CAM_TRAI</v>
      </c>
      <c r="B265" s="369"/>
      <c r="C265" s="798" t="s">
        <v>426</v>
      </c>
      <c r="D265" s="17"/>
      <c r="E265" s="17" t="str">
        <f t="shared" ref="E265:E274" si="43">RIGHT(M265,3)</f>
        <v>S25</v>
      </c>
      <c r="F265" s="16" t="str">
        <f t="shared" si="40"/>
        <v>50</v>
      </c>
      <c r="J265" s="662" t="str">
        <f>VLOOKUP(P265,Sheet6!$A$2:$E$160,3,0)</f>
        <v>1290BT05671950</v>
      </c>
      <c r="L265" s="797">
        <v>21115671999250</v>
      </c>
      <c r="M265" s="370" t="s">
        <v>1949</v>
      </c>
      <c r="N265" s="369" t="s">
        <v>1324</v>
      </c>
      <c r="O265" s="368" t="str">
        <f t="shared" si="41"/>
        <v>250</v>
      </c>
      <c r="P265" t="str">
        <f t="shared" si="42"/>
        <v>567SF50</v>
      </c>
      <c r="Q265" s="17" t="s">
        <v>429</v>
      </c>
      <c r="R265" s="17">
        <v>50</v>
      </c>
    </row>
    <row r="266" spans="1:18">
      <c r="A266" s="662" t="str">
        <f t="shared" si="39"/>
        <v>CAM_TRAI</v>
      </c>
      <c r="B266" s="369"/>
      <c r="C266" s="798" t="s">
        <v>426</v>
      </c>
      <c r="D266" s="17"/>
      <c r="E266" s="17" t="str">
        <f t="shared" si="43"/>
        <v>S31</v>
      </c>
      <c r="F266" s="16" t="str">
        <f t="shared" si="40"/>
        <v>50</v>
      </c>
      <c r="J266" s="662" t="str">
        <f>VLOOKUP(P266,Sheet6!$A$2:$E$160,3,0)</f>
        <v>1290BT05671950</v>
      </c>
      <c r="L266" s="399">
        <v>21115671999250</v>
      </c>
      <c r="M266" s="370" t="s">
        <v>1361</v>
      </c>
      <c r="N266" s="369" t="s">
        <v>1324</v>
      </c>
      <c r="O266" s="368" t="str">
        <f t="shared" si="41"/>
        <v>250</v>
      </c>
      <c r="P266" t="str">
        <f t="shared" si="42"/>
        <v>567SF50</v>
      </c>
      <c r="Q266" s="17" t="s">
        <v>428</v>
      </c>
      <c r="R266" s="17">
        <v>50</v>
      </c>
    </row>
    <row r="267" spans="1:18">
      <c r="A267" s="662" t="str">
        <f t="shared" si="39"/>
        <v>CAM_TRAI</v>
      </c>
      <c r="B267" s="369"/>
      <c r="C267" s="798" t="s">
        <v>426</v>
      </c>
      <c r="D267" s="16"/>
      <c r="E267" s="17" t="str">
        <f t="shared" si="43"/>
        <v>S32</v>
      </c>
      <c r="F267" s="16" t="str">
        <f t="shared" si="40"/>
        <v>50</v>
      </c>
      <c r="J267" s="662" t="str">
        <f>VLOOKUP(P267,Sheet6!$A$2:$E$160,3,0)</f>
        <v>1290BT05671950</v>
      </c>
      <c r="L267" s="399">
        <v>21115671999250</v>
      </c>
      <c r="M267" s="370" t="s">
        <v>1466</v>
      </c>
      <c r="N267" s="369" t="s">
        <v>1324</v>
      </c>
      <c r="O267" s="368" t="str">
        <f t="shared" si="41"/>
        <v>250</v>
      </c>
      <c r="P267" t="str">
        <f t="shared" si="42"/>
        <v>567SF50</v>
      </c>
      <c r="Q267" s="16" t="s">
        <v>435</v>
      </c>
      <c r="R267" s="17">
        <v>50</v>
      </c>
    </row>
    <row r="268" spans="1:18">
      <c r="A268" s="662" t="str">
        <f t="shared" si="39"/>
        <v>CAM_TRAI</v>
      </c>
      <c r="B268" s="369"/>
      <c r="C268" s="798" t="s">
        <v>426</v>
      </c>
      <c r="D268" s="17"/>
      <c r="E268" s="17" t="str">
        <f t="shared" si="43"/>
        <v>S37</v>
      </c>
      <c r="F268" s="16" t="str">
        <f t="shared" si="40"/>
        <v>50</v>
      </c>
      <c r="J268" s="662" t="str">
        <f>VLOOKUP(P268,Sheet6!$A$2:$E$160,3,0)</f>
        <v>1290BT05671950</v>
      </c>
      <c r="L268" s="399">
        <v>21115671999250</v>
      </c>
      <c r="M268" s="370" t="s">
        <v>1811</v>
      </c>
      <c r="N268" s="369" t="s">
        <v>1324</v>
      </c>
      <c r="O268" s="368" t="str">
        <f t="shared" si="41"/>
        <v>250</v>
      </c>
      <c r="P268" t="str">
        <f t="shared" si="42"/>
        <v>567SF50</v>
      </c>
      <c r="Q268" s="17" t="s">
        <v>1812</v>
      </c>
      <c r="R268" s="17">
        <v>50</v>
      </c>
    </row>
    <row r="269" spans="1:18">
      <c r="A269" s="662" t="str">
        <f t="shared" si="39"/>
        <v>CAM_TRAI</v>
      </c>
      <c r="B269" s="369"/>
      <c r="C269" s="798" t="s">
        <v>426</v>
      </c>
      <c r="D269" s="16"/>
      <c r="E269" s="17" t="str">
        <f t="shared" si="43"/>
        <v>S49</v>
      </c>
      <c r="F269" s="16" t="str">
        <f t="shared" si="40"/>
        <v>50</v>
      </c>
      <c r="J269" s="662" t="str">
        <f>VLOOKUP(P269,Sheet6!$A$2:$E$160,3,0)</f>
        <v>1290BT05671950</v>
      </c>
      <c r="L269" s="399">
        <v>21115671999250</v>
      </c>
      <c r="M269" s="370" t="s">
        <v>1697</v>
      </c>
      <c r="N269" s="369" t="s">
        <v>1324</v>
      </c>
      <c r="O269" s="368" t="str">
        <f t="shared" si="41"/>
        <v>250</v>
      </c>
      <c r="P269" t="str">
        <f t="shared" si="42"/>
        <v>567SF50</v>
      </c>
      <c r="Q269" s="16" t="s">
        <v>430</v>
      </c>
      <c r="R269" s="17">
        <v>50</v>
      </c>
    </row>
    <row r="270" spans="1:18">
      <c r="A270" s="662" t="str">
        <f t="shared" si="39"/>
        <v>CAM_TRAI</v>
      </c>
      <c r="B270" s="369"/>
      <c r="C270" s="798" t="s">
        <v>426</v>
      </c>
      <c r="D270" s="17"/>
      <c r="E270" s="17" t="str">
        <f t="shared" si="43"/>
        <v>S50</v>
      </c>
      <c r="F270" s="16" t="str">
        <f t="shared" si="40"/>
        <v>50</v>
      </c>
      <c r="J270" s="662" t="str">
        <f>VLOOKUP(P270,Sheet6!$A$2:$E$160,3,0)</f>
        <v>1290BT05671950</v>
      </c>
      <c r="L270" s="399">
        <v>21115671999250</v>
      </c>
      <c r="M270" s="370" t="s">
        <v>1704</v>
      </c>
      <c r="N270" s="369" t="s">
        <v>1324</v>
      </c>
      <c r="O270" s="368" t="str">
        <f t="shared" si="41"/>
        <v>250</v>
      </c>
      <c r="P270" t="str">
        <f t="shared" si="42"/>
        <v>567SF50</v>
      </c>
      <c r="Q270" s="17" t="s">
        <v>431</v>
      </c>
      <c r="R270" s="17">
        <v>50</v>
      </c>
    </row>
    <row r="271" spans="1:18">
      <c r="A271" s="662" t="str">
        <f t="shared" si="39"/>
        <v>CAM_TRAI</v>
      </c>
      <c r="B271" s="369"/>
      <c r="C271" s="798" t="s">
        <v>426</v>
      </c>
      <c r="D271" s="17"/>
      <c r="E271" s="17" t="str">
        <f t="shared" si="43"/>
        <v>S53</v>
      </c>
      <c r="F271" s="16" t="str">
        <f t="shared" si="40"/>
        <v>50</v>
      </c>
      <c r="J271" s="662" t="str">
        <f>VLOOKUP(P271,Sheet6!$A$2:$E$160,3,0)</f>
        <v>1290BT05671950</v>
      </c>
      <c r="L271" s="399">
        <v>21115671999250</v>
      </c>
      <c r="M271" s="370" t="s">
        <v>1782</v>
      </c>
      <c r="N271" s="369" t="s">
        <v>1324</v>
      </c>
      <c r="O271" s="368" t="str">
        <f t="shared" si="41"/>
        <v>250</v>
      </c>
      <c r="P271" t="str">
        <f t="shared" si="42"/>
        <v>567SF50</v>
      </c>
      <c r="Q271" s="17" t="s">
        <v>432</v>
      </c>
      <c r="R271" s="17">
        <v>50</v>
      </c>
    </row>
    <row r="272" spans="1:18">
      <c r="A272" s="662" t="str">
        <f t="shared" si="39"/>
        <v>CAM_TRAI</v>
      </c>
      <c r="B272" s="369"/>
      <c r="C272" s="798" t="s">
        <v>426</v>
      </c>
      <c r="D272" s="17"/>
      <c r="E272" s="17" t="str">
        <f t="shared" si="43"/>
        <v>S72</v>
      </c>
      <c r="F272" s="16" t="str">
        <f t="shared" si="40"/>
        <v>50</v>
      </c>
      <c r="J272" s="662" t="str">
        <f>VLOOKUP(P272,Sheet6!$A$2:$E$160,3,0)</f>
        <v>1290BT05671950</v>
      </c>
      <c r="L272" s="797">
        <v>21115671999250</v>
      </c>
      <c r="M272" s="370" t="s">
        <v>1901</v>
      </c>
      <c r="N272" s="369" t="s">
        <v>1324</v>
      </c>
      <c r="O272" s="368" t="str">
        <f t="shared" si="41"/>
        <v>250</v>
      </c>
      <c r="P272" t="str">
        <f t="shared" si="42"/>
        <v>567SF50</v>
      </c>
      <c r="Q272" s="17" t="s">
        <v>445</v>
      </c>
      <c r="R272" s="17">
        <v>50</v>
      </c>
    </row>
    <row r="273" spans="1:18">
      <c r="A273" s="662" t="str">
        <f t="shared" si="39"/>
        <v>CAM_TRAI</v>
      </c>
      <c r="B273" s="369"/>
      <c r="C273" s="798" t="s">
        <v>426</v>
      </c>
      <c r="D273" s="17"/>
      <c r="E273" s="17" t="str">
        <f t="shared" si="43"/>
        <v>S76</v>
      </c>
      <c r="F273" s="16" t="str">
        <f t="shared" si="40"/>
        <v>50</v>
      </c>
      <c r="J273" s="662" t="str">
        <f>VLOOKUP(P273,Sheet6!$A$2:$E$160,3,0)</f>
        <v>1290BT05671950</v>
      </c>
      <c r="L273" s="797">
        <v>21115671999250</v>
      </c>
      <c r="M273" s="370" t="s">
        <v>1915</v>
      </c>
      <c r="N273" s="369" t="s">
        <v>1324</v>
      </c>
      <c r="O273" s="368" t="str">
        <f t="shared" si="41"/>
        <v>250</v>
      </c>
      <c r="P273" t="str">
        <f t="shared" si="42"/>
        <v>567SF50</v>
      </c>
      <c r="Q273" s="17" t="s">
        <v>434</v>
      </c>
      <c r="R273" s="17">
        <v>50</v>
      </c>
    </row>
    <row r="274" spans="1:18">
      <c r="A274" s="662" t="str">
        <f t="shared" si="39"/>
        <v>CAM_TRAI</v>
      </c>
      <c r="B274" s="369"/>
      <c r="C274" s="798" t="s">
        <v>426</v>
      </c>
      <c r="D274" s="17"/>
      <c r="E274" s="17" t="str">
        <f t="shared" si="43"/>
        <v>S90</v>
      </c>
      <c r="F274" s="16" t="str">
        <f t="shared" si="40"/>
        <v>50</v>
      </c>
      <c r="J274" s="662" t="str">
        <f>VLOOKUP(P274,Sheet6!$A$2:$E$160,3,0)</f>
        <v>1290BT05671950</v>
      </c>
      <c r="L274" s="399">
        <v>21115671999250</v>
      </c>
      <c r="M274" s="370" t="s">
        <v>1886</v>
      </c>
      <c r="N274" s="369" t="s">
        <v>1324</v>
      </c>
      <c r="O274" s="368" t="str">
        <f t="shared" si="41"/>
        <v>250</v>
      </c>
      <c r="P274" t="str">
        <f t="shared" si="42"/>
        <v>567SF50</v>
      </c>
      <c r="Q274" s="17" t="s">
        <v>433</v>
      </c>
      <c r="R274" s="17">
        <v>50</v>
      </c>
    </row>
    <row r="275" spans="1:18">
      <c r="A275" s="662" t="str">
        <f t="shared" si="39"/>
        <v>CAM_DAI_LY</v>
      </c>
      <c r="B275" s="369"/>
      <c r="C275" s="798" t="str">
        <f t="shared" ref="C275:C306" si="44">Q275</f>
        <v>571 O1</v>
      </c>
      <c r="D275" s="17"/>
      <c r="E275" s="17"/>
      <c r="F275" s="16" t="str">
        <f t="shared" si="40"/>
        <v>25</v>
      </c>
      <c r="J275" s="662" t="e">
        <f>VLOOKUP(P275,Sheet6!$A$2:$E$160,3,0)</f>
        <v>#N/A</v>
      </c>
      <c r="L275" s="797" t="s">
        <v>1925</v>
      </c>
      <c r="M275" s="370" t="s">
        <v>1925</v>
      </c>
      <c r="N275" s="369" t="s">
        <v>1926</v>
      </c>
      <c r="O275" s="368" t="str">
        <f t="shared" si="41"/>
        <v>125</v>
      </c>
      <c r="P275" t="str">
        <f t="shared" si="42"/>
        <v>571 O125</v>
      </c>
      <c r="Q275" s="17" t="s">
        <v>172</v>
      </c>
      <c r="R275" s="17">
        <v>25</v>
      </c>
    </row>
    <row r="276" spans="1:18">
      <c r="A276" s="662" t="str">
        <f t="shared" si="39"/>
        <v>CAM_DAI_LY</v>
      </c>
      <c r="B276" s="369"/>
      <c r="C276" s="798" t="str">
        <f t="shared" si="44"/>
        <v>585S</v>
      </c>
      <c r="D276" s="17"/>
      <c r="E276" s="17"/>
      <c r="F276" s="16" t="str">
        <f t="shared" si="40"/>
        <v>25</v>
      </c>
      <c r="J276" s="662" t="e">
        <f>VLOOKUP(P276,Sheet6!$A$2:$E$160,3,0)</f>
        <v>#N/A</v>
      </c>
      <c r="L276" s="399">
        <v>21115851900125</v>
      </c>
      <c r="M276" s="370" t="s">
        <v>1326</v>
      </c>
      <c r="N276" s="369" t="s">
        <v>1327</v>
      </c>
      <c r="O276" s="368" t="str">
        <f t="shared" si="41"/>
        <v>125</v>
      </c>
      <c r="P276" t="str">
        <f t="shared" si="42"/>
        <v>585S25</v>
      </c>
      <c r="Q276" s="17" t="s">
        <v>173</v>
      </c>
      <c r="R276" s="17">
        <v>25</v>
      </c>
    </row>
    <row r="277" spans="1:18">
      <c r="A277" s="662" t="str">
        <f t="shared" si="39"/>
        <v>CAM_DAI_LY</v>
      </c>
      <c r="B277" s="369"/>
      <c r="C277" s="798" t="str">
        <f t="shared" si="44"/>
        <v>6924P</v>
      </c>
      <c r="D277" s="17"/>
      <c r="E277" s="17"/>
      <c r="F277" s="16" t="str">
        <f t="shared" si="40"/>
        <v>25</v>
      </c>
      <c r="J277" s="662" t="e">
        <f>VLOOKUP(P277,Sheet6!$A$2:$E$160,3,0)</f>
        <v>#N/A</v>
      </c>
      <c r="L277" s="797">
        <v>21165241600125</v>
      </c>
      <c r="M277" s="370" t="s">
        <v>2003</v>
      </c>
      <c r="N277" s="369" t="s">
        <v>2004</v>
      </c>
      <c r="O277" s="368" t="str">
        <f t="shared" si="41"/>
        <v>125</v>
      </c>
      <c r="P277" t="str">
        <f t="shared" si="42"/>
        <v>6924P25</v>
      </c>
      <c r="Q277" s="17" t="s">
        <v>81</v>
      </c>
      <c r="R277" s="17">
        <v>25</v>
      </c>
    </row>
    <row r="278" spans="1:18">
      <c r="A278" s="662" t="str">
        <f t="shared" si="39"/>
        <v>CAM_DAI_LY</v>
      </c>
      <c r="B278" s="369"/>
      <c r="C278" s="798" t="str">
        <f t="shared" si="44"/>
        <v>885S</v>
      </c>
      <c r="D278" s="17"/>
      <c r="E278" s="17"/>
      <c r="F278" s="16" t="str">
        <f t="shared" si="40"/>
        <v>25</v>
      </c>
      <c r="J278" s="662" t="str">
        <f>VLOOKUP(P278,Sheet6!$A$2:$E$160,3,0)</f>
        <v>1290D908851925</v>
      </c>
      <c r="L278" s="797" t="s">
        <v>949</v>
      </c>
      <c r="M278" s="370" t="s">
        <v>949</v>
      </c>
      <c r="N278" s="369" t="s">
        <v>950</v>
      </c>
      <c r="O278" s="368" t="str">
        <f t="shared" si="41"/>
        <v>125</v>
      </c>
      <c r="P278" t="str">
        <f t="shared" si="42"/>
        <v>885S25</v>
      </c>
      <c r="Q278" s="17" t="s">
        <v>179</v>
      </c>
      <c r="R278" s="17">
        <v>25</v>
      </c>
    </row>
    <row r="279" spans="1:18">
      <c r="A279" s="662" t="str">
        <f t="shared" si="39"/>
        <v>CAM_DAI_LY</v>
      </c>
      <c r="B279" s="369"/>
      <c r="C279" s="798" t="str">
        <f t="shared" si="44"/>
        <v>910M</v>
      </c>
      <c r="D279" s="16"/>
      <c r="E279" s="17"/>
      <c r="F279" s="16" t="str">
        <f t="shared" si="40"/>
        <v>25</v>
      </c>
      <c r="J279" s="662" t="e">
        <f>VLOOKUP(P279,Sheet6!$A$2:$E$160,3,0)</f>
        <v>#N/A</v>
      </c>
      <c r="L279" s="797" t="s">
        <v>1030</v>
      </c>
      <c r="M279" s="370" t="s">
        <v>1030</v>
      </c>
      <c r="N279" s="369" t="s">
        <v>1031</v>
      </c>
      <c r="O279" s="368" t="str">
        <f t="shared" si="41"/>
        <v>125</v>
      </c>
      <c r="P279" t="str">
        <f t="shared" si="42"/>
        <v>910M25</v>
      </c>
      <c r="Q279" s="16" t="s">
        <v>1032</v>
      </c>
      <c r="R279" s="17">
        <v>25</v>
      </c>
    </row>
    <row r="280" spans="1:18">
      <c r="A280" s="662" t="str">
        <f t="shared" si="39"/>
        <v>CAM_DAI_LY</v>
      </c>
      <c r="B280" s="369"/>
      <c r="C280" s="798" t="str">
        <f t="shared" si="44"/>
        <v>911B</v>
      </c>
      <c r="D280" s="17"/>
      <c r="E280" s="17"/>
      <c r="F280" s="16" t="str">
        <f t="shared" si="40"/>
        <v>25</v>
      </c>
      <c r="J280" s="662" t="e">
        <f>VLOOKUP(P280,Sheet6!$A$2:$E$160,3,0)</f>
        <v>#N/A</v>
      </c>
      <c r="L280" s="399">
        <v>21125110200125</v>
      </c>
      <c r="M280" s="370" t="s">
        <v>1688</v>
      </c>
      <c r="N280" s="369" t="s">
        <v>1689</v>
      </c>
      <c r="O280" s="368" t="str">
        <f t="shared" si="41"/>
        <v>125</v>
      </c>
      <c r="P280" t="str">
        <f t="shared" si="42"/>
        <v>911B25</v>
      </c>
      <c r="Q280" s="17" t="s">
        <v>180</v>
      </c>
      <c r="R280" s="17">
        <v>25</v>
      </c>
    </row>
    <row r="281" spans="1:18">
      <c r="A281" s="662" t="str">
        <f t="shared" si="39"/>
        <v>CAM_DAI_LY</v>
      </c>
      <c r="B281" s="369"/>
      <c r="C281" s="798" t="str">
        <f t="shared" si="44"/>
        <v>911M</v>
      </c>
      <c r="D281" s="17"/>
      <c r="E281" s="17"/>
      <c r="F281" s="16" t="str">
        <f t="shared" si="40"/>
        <v>25</v>
      </c>
      <c r="J281" s="662" t="e">
        <f>VLOOKUP(P281,Sheet6!$A$2:$E$160,3,0)</f>
        <v>#N/A</v>
      </c>
      <c r="L281" s="797" t="s">
        <v>953</v>
      </c>
      <c r="M281" s="370" t="s">
        <v>953</v>
      </c>
      <c r="N281" s="369" t="s">
        <v>954</v>
      </c>
      <c r="O281" s="368" t="str">
        <f t="shared" si="41"/>
        <v>125</v>
      </c>
      <c r="P281" t="str">
        <f t="shared" si="42"/>
        <v>911M25</v>
      </c>
      <c r="Q281" s="17" t="s">
        <v>955</v>
      </c>
      <c r="R281" s="17">
        <v>25</v>
      </c>
    </row>
    <row r="282" spans="1:18">
      <c r="A282" s="662" t="str">
        <f t="shared" si="39"/>
        <v>CAM_DAI_LY</v>
      </c>
      <c r="B282" s="369"/>
      <c r="C282" s="798" t="str">
        <f t="shared" si="44"/>
        <v>912M</v>
      </c>
      <c r="D282" s="17"/>
      <c r="E282" s="17"/>
      <c r="F282" s="16" t="str">
        <f t="shared" si="40"/>
        <v>25</v>
      </c>
      <c r="J282" s="662" t="e">
        <f>VLOOKUP(P282,Sheet6!$A$2:$E$160,3,0)</f>
        <v>#N/A</v>
      </c>
      <c r="L282" s="399">
        <v>21125121300125</v>
      </c>
      <c r="M282" s="370" t="s">
        <v>1102</v>
      </c>
      <c r="N282" s="369" t="s">
        <v>1103</v>
      </c>
      <c r="O282" s="368" t="str">
        <f t="shared" si="41"/>
        <v>125</v>
      </c>
      <c r="P282" t="str">
        <f t="shared" si="42"/>
        <v>912M25</v>
      </c>
      <c r="Q282" s="17" t="s">
        <v>1104</v>
      </c>
      <c r="R282" s="17">
        <v>25</v>
      </c>
    </row>
    <row r="283" spans="1:18">
      <c r="A283" s="662" t="str">
        <f t="shared" si="39"/>
        <v>CAM_DAI_LY</v>
      </c>
      <c r="B283" s="369"/>
      <c r="C283" s="798" t="str">
        <f t="shared" si="44"/>
        <v>949M</v>
      </c>
      <c r="D283" s="17"/>
      <c r="E283" s="17"/>
      <c r="F283" s="16" t="str">
        <f t="shared" si="40"/>
        <v>25</v>
      </c>
      <c r="J283" s="662" t="e">
        <f>VLOOKUP(P283,Sheet6!$A$2:$E$160,3,0)</f>
        <v>#N/A</v>
      </c>
      <c r="L283" s="399">
        <v>21125491300125</v>
      </c>
      <c r="M283" s="370" t="s">
        <v>1570</v>
      </c>
      <c r="N283" s="369" t="s">
        <v>1571</v>
      </c>
      <c r="O283" s="368" t="str">
        <f t="shared" si="41"/>
        <v>125</v>
      </c>
      <c r="P283" t="str">
        <f t="shared" si="42"/>
        <v>949M25</v>
      </c>
      <c r="Q283" s="17" t="s">
        <v>181</v>
      </c>
      <c r="R283" s="17">
        <v>25</v>
      </c>
    </row>
    <row r="284" spans="1:18">
      <c r="A284" s="662" t="str">
        <f t="shared" si="39"/>
        <v>CAM_DAI_LY</v>
      </c>
      <c r="B284" s="369"/>
      <c r="C284" s="798" t="str">
        <f t="shared" si="44"/>
        <v>952 SX</v>
      </c>
      <c r="D284" s="17"/>
      <c r="E284" s="17"/>
      <c r="F284" s="16" t="str">
        <f t="shared" si="40"/>
        <v>25</v>
      </c>
      <c r="J284" s="662" t="e">
        <f>VLOOKUP(P284,Sheet6!$A$2:$E$160,3,0)</f>
        <v>#N/A</v>
      </c>
      <c r="L284" s="399">
        <v>21125527800125</v>
      </c>
      <c r="M284" s="370" t="s">
        <v>1533</v>
      </c>
      <c r="N284" s="369" t="s">
        <v>1534</v>
      </c>
      <c r="O284" s="368" t="str">
        <f t="shared" si="41"/>
        <v>125</v>
      </c>
      <c r="P284" t="str">
        <f t="shared" si="42"/>
        <v>952 SX25</v>
      </c>
      <c r="Q284" s="17" t="s">
        <v>2144</v>
      </c>
      <c r="R284" s="17">
        <v>25</v>
      </c>
    </row>
    <row r="285" spans="1:18">
      <c r="A285" s="662" t="str">
        <f t="shared" si="39"/>
        <v>CAM_DAI_LY</v>
      </c>
      <c r="B285" s="369"/>
      <c r="C285" s="798" t="str">
        <f t="shared" si="44"/>
        <v>952M</v>
      </c>
      <c r="D285" s="17"/>
      <c r="E285" s="17"/>
      <c r="F285" s="16" t="str">
        <f t="shared" si="40"/>
        <v>25</v>
      </c>
      <c r="J285" s="662" t="str">
        <f>VLOOKUP(P285,Sheet6!$A$2:$E$160,3,0)</f>
        <v>1290D209521325</v>
      </c>
      <c r="L285" s="797" t="s">
        <v>960</v>
      </c>
      <c r="M285" s="370" t="s">
        <v>960</v>
      </c>
      <c r="N285" s="369" t="s">
        <v>961</v>
      </c>
      <c r="O285" s="368" t="str">
        <f t="shared" si="41"/>
        <v>125</v>
      </c>
      <c r="P285" t="str">
        <f t="shared" si="42"/>
        <v>952M25</v>
      </c>
      <c r="Q285" s="17" t="s">
        <v>182</v>
      </c>
      <c r="R285" s="17">
        <v>25</v>
      </c>
    </row>
    <row r="286" spans="1:18">
      <c r="A286" s="662" t="str">
        <f t="shared" si="39"/>
        <v>CAM_DAI_LY</v>
      </c>
      <c r="B286" s="369"/>
      <c r="C286" s="798" t="str">
        <f t="shared" si="44"/>
        <v>952MX</v>
      </c>
      <c r="D286" s="17"/>
      <c r="E286" s="17"/>
      <c r="F286" s="16" t="str">
        <f t="shared" si="40"/>
        <v>25</v>
      </c>
      <c r="J286" s="662" t="e">
        <f>VLOOKUP(P286,Sheet6!$A$2:$E$160,3,0)</f>
        <v>#N/A</v>
      </c>
      <c r="L286" s="399">
        <v>21125527900125</v>
      </c>
      <c r="M286" s="370" t="s">
        <v>1673</v>
      </c>
      <c r="N286" s="369" t="s">
        <v>1674</v>
      </c>
      <c r="O286" s="368" t="str">
        <f t="shared" si="41"/>
        <v>125</v>
      </c>
      <c r="P286" t="str">
        <f t="shared" si="42"/>
        <v>952MX25</v>
      </c>
      <c r="Q286" s="17" t="s">
        <v>183</v>
      </c>
      <c r="R286" s="17">
        <v>25</v>
      </c>
    </row>
    <row r="287" spans="1:18">
      <c r="A287" s="662" t="str">
        <f t="shared" si="39"/>
        <v>CAM_DAI_LY</v>
      </c>
      <c r="B287" s="369"/>
      <c r="C287" s="798" t="str">
        <f t="shared" si="44"/>
        <v>952S</v>
      </c>
      <c r="D287" s="17"/>
      <c r="E287" s="17"/>
      <c r="F287" s="16" t="str">
        <f t="shared" si="40"/>
        <v>25</v>
      </c>
      <c r="J287" s="662" t="str">
        <f>VLOOKUP(P287,Sheet6!$A$2:$E$160,3,0)</f>
        <v>1290D209521925</v>
      </c>
      <c r="L287" s="797" t="s">
        <v>962</v>
      </c>
      <c r="M287" s="370" t="s">
        <v>962</v>
      </c>
      <c r="N287" s="369" t="s">
        <v>963</v>
      </c>
      <c r="O287" s="368" t="str">
        <f t="shared" si="41"/>
        <v>125</v>
      </c>
      <c r="P287" t="str">
        <f t="shared" si="42"/>
        <v>952S25</v>
      </c>
      <c r="Q287" s="17" t="s">
        <v>184</v>
      </c>
      <c r="R287" s="17">
        <v>25</v>
      </c>
    </row>
    <row r="288" spans="1:18">
      <c r="A288" s="662" t="str">
        <f t="shared" si="39"/>
        <v>CAM_DAI_LY</v>
      </c>
      <c r="B288" s="369"/>
      <c r="C288" s="798" t="str">
        <f t="shared" si="44"/>
        <v>953S</v>
      </c>
      <c r="D288" s="17"/>
      <c r="E288" s="17"/>
      <c r="F288" s="16" t="str">
        <f t="shared" si="40"/>
        <v>25</v>
      </c>
      <c r="J288" s="662" t="str">
        <f>VLOOKUP(P288,Sheet6!$A$2:$E$160,3,0)</f>
        <v>1290D209531925</v>
      </c>
      <c r="L288" s="797" t="s">
        <v>966</v>
      </c>
      <c r="M288" s="370" t="s">
        <v>966</v>
      </c>
      <c r="N288" s="369" t="s">
        <v>967</v>
      </c>
      <c r="O288" s="368" t="str">
        <f t="shared" si="41"/>
        <v>125</v>
      </c>
      <c r="P288" t="str">
        <f t="shared" si="42"/>
        <v>953S25</v>
      </c>
      <c r="Q288" s="17" t="s">
        <v>186</v>
      </c>
      <c r="R288" s="17">
        <v>25</v>
      </c>
    </row>
    <row r="289" spans="1:18">
      <c r="A289" s="662" t="str">
        <f t="shared" si="39"/>
        <v>CAM_DAI_LY</v>
      </c>
      <c r="B289" s="369"/>
      <c r="C289" s="798" t="str">
        <f t="shared" si="44"/>
        <v>9652S</v>
      </c>
      <c r="D289" s="17"/>
      <c r="E289" s="17"/>
      <c r="F289" s="16" t="str">
        <f t="shared" si="40"/>
        <v>25</v>
      </c>
      <c r="J289" s="662" t="str">
        <f>VLOOKUP(P289,Sheet6!$A$2:$E$160,3,0)</f>
        <v>1290D296521925</v>
      </c>
      <c r="L289" s="797" t="s">
        <v>972</v>
      </c>
      <c r="M289" s="370" t="s">
        <v>972</v>
      </c>
      <c r="N289" s="369" t="s">
        <v>973</v>
      </c>
      <c r="O289" s="368" t="str">
        <f t="shared" si="41"/>
        <v>125</v>
      </c>
      <c r="P289" t="str">
        <f t="shared" si="42"/>
        <v>9652S25</v>
      </c>
      <c r="Q289" s="17" t="s">
        <v>249</v>
      </c>
      <c r="R289" s="17">
        <v>25</v>
      </c>
    </row>
    <row r="290" spans="1:18">
      <c r="A290" s="662" t="str">
        <f t="shared" si="39"/>
        <v>CAM_DAI_LY</v>
      </c>
      <c r="B290" s="369"/>
      <c r="C290" s="798" t="str">
        <f t="shared" si="44"/>
        <v>9653S</v>
      </c>
      <c r="D290" s="17"/>
      <c r="E290" s="17"/>
      <c r="F290" s="16" t="str">
        <f t="shared" si="40"/>
        <v>25</v>
      </c>
      <c r="J290" s="662" t="e">
        <f>VLOOKUP(P290,Sheet6!$A$2:$E$160,3,0)</f>
        <v>#N/A</v>
      </c>
      <c r="L290" s="797" t="s">
        <v>976</v>
      </c>
      <c r="M290" s="370" t="s">
        <v>976</v>
      </c>
      <c r="N290" s="369" t="s">
        <v>977</v>
      </c>
      <c r="O290" s="368" t="str">
        <f t="shared" si="41"/>
        <v>125</v>
      </c>
      <c r="P290" t="str">
        <f t="shared" si="42"/>
        <v>9653S25</v>
      </c>
      <c r="Q290" s="17" t="s">
        <v>978</v>
      </c>
      <c r="R290" s="17">
        <v>25</v>
      </c>
    </row>
    <row r="291" spans="1:18">
      <c r="A291" s="662" t="str">
        <f t="shared" si="39"/>
        <v>CAM_DAI_LY</v>
      </c>
      <c r="B291" s="369"/>
      <c r="C291" s="798" t="str">
        <f t="shared" si="44"/>
        <v>967S</v>
      </c>
      <c r="D291" s="17"/>
      <c r="E291" s="17"/>
      <c r="F291" s="16" t="str">
        <f t="shared" si="40"/>
        <v>25</v>
      </c>
      <c r="J291" s="662" t="str">
        <f>VLOOKUP(P291,Sheet6!$A$2:$E$160,3,0)</f>
        <v>1290D209671925</v>
      </c>
      <c r="L291" s="797" t="s">
        <v>987</v>
      </c>
      <c r="M291" s="370" t="s">
        <v>987</v>
      </c>
      <c r="N291" s="369" t="s">
        <v>988</v>
      </c>
      <c r="O291" s="368" t="str">
        <f t="shared" si="41"/>
        <v>125</v>
      </c>
      <c r="P291" t="str">
        <f t="shared" si="42"/>
        <v>967S25</v>
      </c>
      <c r="Q291" s="17" t="s">
        <v>187</v>
      </c>
      <c r="R291" s="17">
        <v>25</v>
      </c>
    </row>
    <row r="292" spans="1:18">
      <c r="A292" s="662" t="str">
        <f t="shared" si="39"/>
        <v>CAM_DAI_LY</v>
      </c>
      <c r="B292" s="369"/>
      <c r="C292" s="798" t="str">
        <f t="shared" si="44"/>
        <v>985S</v>
      </c>
      <c r="D292" s="17"/>
      <c r="E292" s="17"/>
      <c r="F292" s="16" t="str">
        <f t="shared" si="40"/>
        <v>25</v>
      </c>
      <c r="J292" s="662" t="e">
        <f>VLOOKUP(P292,Sheet6!$A$2:$E$160,3,0)</f>
        <v>#N/A</v>
      </c>
      <c r="L292" s="797" t="s">
        <v>991</v>
      </c>
      <c r="M292" s="370" t="s">
        <v>991</v>
      </c>
      <c r="N292" s="369" t="s">
        <v>992</v>
      </c>
      <c r="O292" s="368" t="str">
        <f t="shared" si="41"/>
        <v>125</v>
      </c>
      <c r="P292" t="str">
        <f t="shared" si="42"/>
        <v>985S25</v>
      </c>
      <c r="Q292" s="17" t="s">
        <v>188</v>
      </c>
      <c r="R292" s="17">
        <v>25</v>
      </c>
    </row>
    <row r="293" spans="1:18">
      <c r="A293" s="662" t="str">
        <f t="shared" si="39"/>
        <v>CAM_DAI_LY</v>
      </c>
      <c r="B293" s="369"/>
      <c r="C293" s="798" t="str">
        <f t="shared" si="44"/>
        <v>991-14</v>
      </c>
      <c r="D293" s="17"/>
      <c r="E293" s="17"/>
      <c r="F293" s="16" t="str">
        <f t="shared" si="40"/>
        <v>25</v>
      </c>
      <c r="J293" s="662" t="str">
        <f>VLOOKUP(P293,Sheet6!$A$2:$E$160,3,0)</f>
        <v>1290D209911425</v>
      </c>
      <c r="L293" s="399">
        <v>21125911400125</v>
      </c>
      <c r="M293" s="370" t="s">
        <v>1093</v>
      </c>
      <c r="N293" s="369" t="s">
        <v>1094</v>
      </c>
      <c r="O293" s="368" t="str">
        <f t="shared" si="41"/>
        <v>125</v>
      </c>
      <c r="P293" t="str">
        <f t="shared" si="42"/>
        <v>991-1425</v>
      </c>
      <c r="Q293" s="17" t="s">
        <v>189</v>
      </c>
      <c r="R293" s="17">
        <v>25</v>
      </c>
    </row>
    <row r="294" spans="1:18">
      <c r="A294" s="662" t="str">
        <f t="shared" si="39"/>
        <v>CAM_DAI_LY</v>
      </c>
      <c r="B294" s="369"/>
      <c r="C294" s="798" t="str">
        <f t="shared" si="44"/>
        <v>991-16</v>
      </c>
      <c r="D294" s="17"/>
      <c r="E294" s="17"/>
      <c r="F294" s="16" t="str">
        <f t="shared" si="40"/>
        <v>25</v>
      </c>
      <c r="J294" s="662" t="e">
        <f>VLOOKUP(P294,Sheet6!$A$2:$E$160,3,0)</f>
        <v>#N/A</v>
      </c>
      <c r="L294" s="399">
        <v>21125911600125</v>
      </c>
      <c r="M294" s="370" t="s">
        <v>1171</v>
      </c>
      <c r="N294" s="369" t="s">
        <v>1172</v>
      </c>
      <c r="O294" s="368" t="str">
        <f t="shared" si="41"/>
        <v>125</v>
      </c>
      <c r="P294" t="str">
        <f t="shared" si="42"/>
        <v>991-1625</v>
      </c>
      <c r="Q294" s="17" t="s">
        <v>1173</v>
      </c>
      <c r="R294" s="17">
        <v>25</v>
      </c>
    </row>
    <row r="295" spans="1:18">
      <c r="A295" s="662" t="str">
        <f t="shared" si="39"/>
        <v>CAM_DAI_LY</v>
      </c>
      <c r="B295" s="369"/>
      <c r="C295" s="798" t="str">
        <f t="shared" si="44"/>
        <v>991-18</v>
      </c>
      <c r="D295" s="17"/>
      <c r="E295" s="17"/>
      <c r="F295" s="16" t="str">
        <f t="shared" si="40"/>
        <v>25</v>
      </c>
      <c r="J295" s="662" t="str">
        <f>VLOOKUP(P295,Sheet6!$A$2:$E$160,3,0)</f>
        <v>1290D209911825</v>
      </c>
      <c r="L295" s="797" t="s">
        <v>1202</v>
      </c>
      <c r="M295" s="370" t="s">
        <v>1202</v>
      </c>
      <c r="N295" s="369" t="s">
        <v>1203</v>
      </c>
      <c r="O295" s="368" t="str">
        <f t="shared" si="41"/>
        <v>125</v>
      </c>
      <c r="P295" t="str">
        <f t="shared" si="42"/>
        <v>991-1825</v>
      </c>
      <c r="Q295" s="17" t="s">
        <v>190</v>
      </c>
      <c r="R295" s="17">
        <v>25</v>
      </c>
    </row>
    <row r="296" spans="1:18">
      <c r="A296" s="662" t="str">
        <f t="shared" si="39"/>
        <v>CAM_DAI_LY</v>
      </c>
      <c r="B296" s="369"/>
      <c r="C296" s="798" t="str">
        <f t="shared" si="44"/>
        <v>BS04</v>
      </c>
      <c r="D296" s="16"/>
      <c r="E296" s="17"/>
      <c r="F296" s="16" t="str">
        <f t="shared" si="40"/>
        <v>25</v>
      </c>
      <c r="J296" s="662" t="str">
        <f>VLOOKUP(P296,Sheet6!$A$2:$E$160,3,0)</f>
        <v>1290D913840025</v>
      </c>
      <c r="L296" s="797" t="s">
        <v>1888</v>
      </c>
      <c r="M296" s="370" t="s">
        <v>1888</v>
      </c>
      <c r="N296" s="369" t="s">
        <v>1889</v>
      </c>
      <c r="O296" s="368" t="str">
        <f t="shared" si="41"/>
        <v>125</v>
      </c>
      <c r="P296" t="str">
        <f t="shared" si="42"/>
        <v>BS0425</v>
      </c>
      <c r="Q296" s="16" t="s">
        <v>2145</v>
      </c>
      <c r="R296" s="17">
        <v>25</v>
      </c>
    </row>
    <row r="297" spans="1:18">
      <c r="A297" s="662" t="str">
        <f t="shared" si="39"/>
        <v>CAM_DAI_LY</v>
      </c>
      <c r="B297" s="369"/>
      <c r="C297" s="798" t="str">
        <f t="shared" si="44"/>
        <v>BS04A</v>
      </c>
      <c r="D297" s="17"/>
      <c r="E297" s="17"/>
      <c r="F297" s="16" t="str">
        <f t="shared" si="40"/>
        <v>25</v>
      </c>
      <c r="J297" s="662" t="str">
        <f>VLOOKUP(P297,Sheet6!$A$2:$E$160,3,0)</f>
        <v>1290D913840125</v>
      </c>
      <c r="L297" s="797" t="s">
        <v>1892</v>
      </c>
      <c r="M297" s="370" t="s">
        <v>1892</v>
      </c>
      <c r="N297" s="369" t="s">
        <v>1893</v>
      </c>
      <c r="O297" s="368" t="str">
        <f t="shared" si="41"/>
        <v>125</v>
      </c>
      <c r="P297" t="str">
        <f t="shared" si="42"/>
        <v>BS04A25</v>
      </c>
      <c r="Q297" s="17" t="s">
        <v>2146</v>
      </c>
      <c r="R297" s="17">
        <v>25</v>
      </c>
    </row>
    <row r="298" spans="1:18">
      <c r="A298" s="662" t="str">
        <f t="shared" si="39"/>
        <v>CAM_DAI_LY</v>
      </c>
      <c r="B298" s="369"/>
      <c r="C298" s="798" t="str">
        <f t="shared" si="44"/>
        <v>BS04V</v>
      </c>
      <c r="D298" s="17"/>
      <c r="E298" s="17"/>
      <c r="F298" s="16" t="str">
        <f t="shared" si="40"/>
        <v>25</v>
      </c>
      <c r="J298" s="662" t="e">
        <f>VLOOKUP(P298,Sheet6!$A$2:$E$160,3,0)</f>
        <v>#N/A</v>
      </c>
      <c r="L298" s="797" t="s">
        <v>1999</v>
      </c>
      <c r="M298" s="370" t="s">
        <v>1999</v>
      </c>
      <c r="N298" s="369" t="s">
        <v>2000</v>
      </c>
      <c r="O298" s="368" t="str">
        <f t="shared" si="41"/>
        <v>125</v>
      </c>
      <c r="P298" t="str">
        <f t="shared" si="42"/>
        <v>BS04V25</v>
      </c>
      <c r="Q298" s="17" t="s">
        <v>219</v>
      </c>
      <c r="R298" s="17">
        <v>25</v>
      </c>
    </row>
    <row r="299" spans="1:18">
      <c r="A299" s="662" t="str">
        <f t="shared" si="39"/>
        <v>CAM_DAI_LY</v>
      </c>
      <c r="B299" s="369"/>
      <c r="C299" s="798" t="str">
        <f t="shared" si="44"/>
        <v>BS04V</v>
      </c>
      <c r="D299" s="17"/>
      <c r="E299" s="17"/>
      <c r="F299" s="16" t="str">
        <f t="shared" si="40"/>
        <v>40</v>
      </c>
      <c r="J299" s="662" t="e">
        <f>VLOOKUP(P299,Sheet6!$A$2:$E$160,3,0)</f>
        <v>#N/A</v>
      </c>
      <c r="L299" s="797" t="s">
        <v>2007</v>
      </c>
      <c r="M299" s="370" t="s">
        <v>2007</v>
      </c>
      <c r="N299" s="369" t="s">
        <v>2008</v>
      </c>
      <c r="O299" s="368" t="str">
        <f t="shared" si="41"/>
        <v>140</v>
      </c>
      <c r="P299" t="str">
        <f t="shared" si="42"/>
        <v>BS04V40</v>
      </c>
      <c r="Q299" s="17" t="s">
        <v>219</v>
      </c>
      <c r="R299" s="17">
        <v>40</v>
      </c>
    </row>
    <row r="300" spans="1:18">
      <c r="A300" s="662" t="str">
        <f t="shared" si="39"/>
        <v>CAM_DAI_LY</v>
      </c>
      <c r="B300" s="369"/>
      <c r="C300" s="798" t="str">
        <f t="shared" si="44"/>
        <v>BS14</v>
      </c>
      <c r="D300" s="17"/>
      <c r="E300" s="17"/>
      <c r="F300" s="16" t="str">
        <f t="shared" si="40"/>
        <v>25</v>
      </c>
      <c r="J300" s="662" t="str">
        <f>VLOOKUP(P300,Sheet6!$A$2:$E$160,3,0)</f>
        <v>1290D915841925</v>
      </c>
      <c r="L300" s="797" t="s">
        <v>1958</v>
      </c>
      <c r="M300" s="370" t="s">
        <v>1958</v>
      </c>
      <c r="N300" s="369" t="s">
        <v>1959</v>
      </c>
      <c r="O300" s="368" t="str">
        <f t="shared" si="41"/>
        <v>125</v>
      </c>
      <c r="P300" t="str">
        <f t="shared" si="42"/>
        <v>BS1425</v>
      </c>
      <c r="Q300" s="17" t="s">
        <v>227</v>
      </c>
      <c r="R300" s="17">
        <v>25</v>
      </c>
    </row>
    <row r="301" spans="1:18">
      <c r="A301" s="662" t="str">
        <f t="shared" si="39"/>
        <v>CAM_DAI_LY</v>
      </c>
      <c r="B301" s="369"/>
      <c r="C301" s="798" t="str">
        <f t="shared" si="44"/>
        <v>GD04</v>
      </c>
      <c r="D301" s="17"/>
      <c r="E301" s="17"/>
      <c r="F301" s="16" t="str">
        <f t="shared" si="40"/>
        <v>25</v>
      </c>
      <c r="J301" s="662" t="str">
        <f>VLOOKUP(P301,Sheet6!$A$2:$E$160,3,0)</f>
        <v>1290D213240025</v>
      </c>
      <c r="L301" s="399">
        <v>21133240000125</v>
      </c>
      <c r="M301" s="370" t="s">
        <v>1664</v>
      </c>
      <c r="N301" s="369" t="s">
        <v>1665</v>
      </c>
      <c r="O301" s="368" t="str">
        <f t="shared" si="41"/>
        <v>125</v>
      </c>
      <c r="P301" t="str">
        <f t="shared" si="42"/>
        <v>GD0425</v>
      </c>
      <c r="Q301" s="17" t="s">
        <v>193</v>
      </c>
      <c r="R301" s="17">
        <v>25</v>
      </c>
    </row>
    <row r="302" spans="1:18">
      <c r="A302" s="662" t="str">
        <f t="shared" si="39"/>
        <v>CAM_DAI_LY</v>
      </c>
      <c r="B302" s="369"/>
      <c r="C302" s="798" t="str">
        <f t="shared" si="44"/>
        <v>GD14</v>
      </c>
      <c r="D302" s="17"/>
      <c r="E302" s="17"/>
      <c r="F302" s="16" t="str">
        <f t="shared" si="40"/>
        <v>25</v>
      </c>
      <c r="J302" s="662" t="str">
        <f>VLOOKUP(P302,Sheet6!$A$2:$E$160,3,0)</f>
        <v>1290D215240025</v>
      </c>
      <c r="L302" s="399">
        <v>21135240000125</v>
      </c>
      <c r="M302" s="370" t="s">
        <v>1852</v>
      </c>
      <c r="N302" s="369" t="s">
        <v>1853</v>
      </c>
      <c r="O302" s="368" t="str">
        <f t="shared" si="41"/>
        <v>125</v>
      </c>
      <c r="P302" t="str">
        <f t="shared" si="42"/>
        <v>GD1425</v>
      </c>
      <c r="Q302" s="17" t="s">
        <v>196</v>
      </c>
      <c r="R302" s="17">
        <v>25</v>
      </c>
    </row>
    <row r="303" spans="1:18">
      <c r="A303" s="662" t="str">
        <f t="shared" si="39"/>
        <v>CAM_DAI_LY</v>
      </c>
      <c r="B303" s="369"/>
      <c r="C303" s="798" t="str">
        <f t="shared" si="44"/>
        <v>GD14P</v>
      </c>
      <c r="D303" s="17"/>
      <c r="E303" s="17"/>
      <c r="F303" s="16" t="str">
        <f t="shared" si="40"/>
        <v>25</v>
      </c>
      <c r="J303" s="662" t="e">
        <f>VLOOKUP(P303,Sheet6!$A$2:$E$160,3,0)</f>
        <v>#N/A</v>
      </c>
      <c r="L303" s="797">
        <v>21135241600125</v>
      </c>
      <c r="M303" s="370" t="s">
        <v>1987</v>
      </c>
      <c r="N303" s="369" t="s">
        <v>1988</v>
      </c>
      <c r="O303" s="368" t="str">
        <f t="shared" si="41"/>
        <v>125</v>
      </c>
      <c r="P303" t="str">
        <f t="shared" si="42"/>
        <v>GD14P25</v>
      </c>
      <c r="Q303" s="17" t="s">
        <v>199</v>
      </c>
      <c r="R303" s="17">
        <v>25</v>
      </c>
    </row>
    <row r="304" spans="1:18">
      <c r="A304" s="662" t="str">
        <f t="shared" si="39"/>
        <v>CAM_DAI_LY</v>
      </c>
      <c r="B304" s="369"/>
      <c r="C304" s="798" t="str">
        <f t="shared" si="44"/>
        <v>GD15</v>
      </c>
      <c r="D304" s="16"/>
      <c r="E304" s="17"/>
      <c r="F304" s="16" t="str">
        <f t="shared" si="40"/>
        <v>25</v>
      </c>
      <c r="J304" s="662" t="e">
        <f>VLOOKUP(P304,Sheet6!$A$2:$E$160,3,0)</f>
        <v>#N/A</v>
      </c>
      <c r="L304" s="797">
        <v>21135250000125</v>
      </c>
      <c r="M304" s="370" t="s">
        <v>2009</v>
      </c>
      <c r="N304" s="369" t="s">
        <v>2010</v>
      </c>
      <c r="O304" s="368" t="str">
        <f t="shared" si="41"/>
        <v>125</v>
      </c>
      <c r="P304" t="str">
        <f t="shared" si="42"/>
        <v>GD1525</v>
      </c>
      <c r="Q304" s="16" t="s">
        <v>200</v>
      </c>
      <c r="R304" s="17">
        <v>25</v>
      </c>
    </row>
    <row r="305" spans="1:18">
      <c r="A305" s="662" t="str">
        <f t="shared" si="39"/>
        <v>CAM_DAI_LY</v>
      </c>
      <c r="B305" s="369"/>
      <c r="C305" s="798" t="str">
        <f t="shared" si="44"/>
        <v>GT11</v>
      </c>
      <c r="D305" s="17"/>
      <c r="E305" s="17"/>
      <c r="F305" s="16" t="str">
        <f t="shared" si="40"/>
        <v>25</v>
      </c>
      <c r="J305" s="662" t="str">
        <f>VLOOKUP(P305,Sheet6!$A$2:$E$160,3,0)</f>
        <v>1290D215210025</v>
      </c>
      <c r="L305" s="399">
        <v>21135100000125</v>
      </c>
      <c r="M305" s="370" t="s">
        <v>1709</v>
      </c>
      <c r="N305" s="369" t="s">
        <v>1710</v>
      </c>
      <c r="O305" s="368" t="str">
        <f t="shared" si="41"/>
        <v>125</v>
      </c>
      <c r="P305" t="str">
        <f t="shared" si="42"/>
        <v>GT1125</v>
      </c>
      <c r="Q305" s="17" t="s">
        <v>203</v>
      </c>
      <c r="R305" s="17">
        <v>25</v>
      </c>
    </row>
    <row r="306" spans="1:18">
      <c r="A306" s="662" t="str">
        <f t="shared" si="39"/>
        <v>CAM_DAI_LY</v>
      </c>
      <c r="B306" s="369"/>
      <c r="C306" s="798" t="str">
        <f t="shared" si="44"/>
        <v>GT11S</v>
      </c>
      <c r="D306" s="17"/>
      <c r="E306" s="17"/>
      <c r="F306" s="16" t="str">
        <f t="shared" si="40"/>
        <v>25</v>
      </c>
      <c r="J306" s="662" t="str">
        <f>VLOOKUP(P306,Sheet6!$A$2:$E$160,3,0)</f>
        <v>1290D215101925</v>
      </c>
      <c r="L306" s="797">
        <v>21135101900125</v>
      </c>
      <c r="M306" s="370" t="s">
        <v>1976</v>
      </c>
      <c r="N306" s="369" t="s">
        <v>1977</v>
      </c>
      <c r="O306" s="368" t="str">
        <f t="shared" si="41"/>
        <v>125</v>
      </c>
      <c r="P306" t="str">
        <f t="shared" si="42"/>
        <v>GT11S25</v>
      </c>
      <c r="Q306" s="17" t="s">
        <v>204</v>
      </c>
      <c r="R306" s="17">
        <v>25</v>
      </c>
    </row>
    <row r="307" spans="1:18">
      <c r="A307" s="662" t="str">
        <f t="shared" si="39"/>
        <v>CAM_DAI_LY</v>
      </c>
      <c r="B307" s="369"/>
      <c r="C307" s="798" t="str">
        <f t="shared" ref="C307:C330" si="45">Q307</f>
        <v>GT12</v>
      </c>
      <c r="D307" s="17"/>
      <c r="E307" s="17"/>
      <c r="F307" s="16" t="str">
        <f t="shared" si="40"/>
        <v>25</v>
      </c>
      <c r="J307" s="662" t="str">
        <f>VLOOKUP(P307,Sheet6!$A$2:$E$160,3,0)</f>
        <v>1290D215110025</v>
      </c>
      <c r="L307" s="399">
        <v>21135110000125</v>
      </c>
      <c r="M307" s="370" t="s">
        <v>1754</v>
      </c>
      <c r="N307" s="369" t="s">
        <v>1755</v>
      </c>
      <c r="O307" s="368" t="str">
        <f t="shared" si="41"/>
        <v>125</v>
      </c>
      <c r="P307" t="str">
        <f t="shared" si="42"/>
        <v>GT1225</v>
      </c>
      <c r="Q307" s="17" t="s">
        <v>205</v>
      </c>
      <c r="R307" s="17">
        <v>25</v>
      </c>
    </row>
    <row r="308" spans="1:18">
      <c r="A308" s="662" t="str">
        <f t="shared" si="39"/>
        <v>CAM_DAI_LY</v>
      </c>
      <c r="B308" s="369"/>
      <c r="C308" s="798" t="str">
        <f t="shared" si="45"/>
        <v>GT12A</v>
      </c>
      <c r="D308" s="16"/>
      <c r="E308" s="17"/>
      <c r="F308" s="16" t="str">
        <f t="shared" si="40"/>
        <v>25</v>
      </c>
      <c r="J308" s="662" t="str">
        <f>VLOOKUP(P308,Sheet6!$A$2:$E$160,3,0)</f>
        <v>1290D215110125</v>
      </c>
      <c r="L308" s="399">
        <v>21135110100125</v>
      </c>
      <c r="M308" s="370" t="s">
        <v>1713</v>
      </c>
      <c r="N308" s="369" t="s">
        <v>1714</v>
      </c>
      <c r="O308" s="368" t="str">
        <f t="shared" si="41"/>
        <v>125</v>
      </c>
      <c r="P308" t="str">
        <f t="shared" si="42"/>
        <v>GT12A25</v>
      </c>
      <c r="Q308" s="16" t="s">
        <v>211</v>
      </c>
      <c r="R308" s="17">
        <v>25</v>
      </c>
    </row>
    <row r="309" spans="1:18">
      <c r="A309" s="662" t="str">
        <f t="shared" si="39"/>
        <v>CAM_DAI_LY</v>
      </c>
      <c r="B309" s="369"/>
      <c r="C309" s="798" t="str">
        <f t="shared" si="45"/>
        <v>GT12AS</v>
      </c>
      <c r="D309" s="17"/>
      <c r="E309" s="17"/>
      <c r="F309" s="16" t="str">
        <f t="shared" si="40"/>
        <v>25</v>
      </c>
      <c r="J309" s="662" t="str">
        <f>VLOOKUP(P309,Sheet6!$A$2:$E$160,3,0)</f>
        <v>1290D215118425</v>
      </c>
      <c r="L309" s="797">
        <v>21135110119125</v>
      </c>
      <c r="M309" s="370" t="s">
        <v>1956</v>
      </c>
      <c r="N309" s="369" t="s">
        <v>1957</v>
      </c>
      <c r="O309" s="368" t="str">
        <f t="shared" si="41"/>
        <v>125</v>
      </c>
      <c r="P309" t="str">
        <f t="shared" si="42"/>
        <v>GT12AS25</v>
      </c>
      <c r="Q309" s="17" t="s">
        <v>213</v>
      </c>
      <c r="R309" s="17">
        <v>25</v>
      </c>
    </row>
    <row r="310" spans="1:18">
      <c r="A310" s="662" t="str">
        <f t="shared" si="39"/>
        <v>CAM_DAI_LY</v>
      </c>
      <c r="B310" s="369"/>
      <c r="C310" s="798" t="str">
        <f t="shared" si="45"/>
        <v>GT12B</v>
      </c>
      <c r="D310" s="17"/>
      <c r="E310" s="17"/>
      <c r="F310" s="16" t="str">
        <f t="shared" si="40"/>
        <v>25</v>
      </c>
      <c r="J310" s="662" t="str">
        <f>VLOOKUP(P310,Sheet6!$A$2:$E$160,3,0)</f>
        <v>1290D215110225</v>
      </c>
      <c r="L310" s="399">
        <v>21135110200125</v>
      </c>
      <c r="M310" s="370" t="s">
        <v>1715</v>
      </c>
      <c r="N310" s="369" t="s">
        <v>1716</v>
      </c>
      <c r="O310" s="368" t="str">
        <f t="shared" si="41"/>
        <v>125</v>
      </c>
      <c r="P310" t="str">
        <f t="shared" si="42"/>
        <v>GT12B25</v>
      </c>
      <c r="Q310" s="17" t="s">
        <v>206</v>
      </c>
      <c r="R310" s="17">
        <v>25</v>
      </c>
    </row>
    <row r="311" spans="1:18">
      <c r="A311" s="662" t="str">
        <f t="shared" si="39"/>
        <v>CAM_DAI_LY</v>
      </c>
      <c r="B311" s="369"/>
      <c r="C311" s="798" t="str">
        <f t="shared" si="45"/>
        <v>GT12BS</v>
      </c>
      <c r="D311" s="17"/>
      <c r="E311" s="17"/>
      <c r="F311" s="16" t="str">
        <f t="shared" si="40"/>
        <v>25</v>
      </c>
      <c r="J311" s="662" t="str">
        <f>VLOOKUP(P311,Sheet6!$A$2:$E$160,3,0)</f>
        <v>1290D215117225</v>
      </c>
      <c r="L311" s="797">
        <v>21135117200125</v>
      </c>
      <c r="M311" s="370" t="s">
        <v>1995</v>
      </c>
      <c r="N311" s="369" t="s">
        <v>1996</v>
      </c>
      <c r="O311" s="368" t="str">
        <f t="shared" si="41"/>
        <v>125</v>
      </c>
      <c r="P311" t="str">
        <f t="shared" si="42"/>
        <v>GT12BS25</v>
      </c>
      <c r="Q311" s="17" t="s">
        <v>207</v>
      </c>
      <c r="R311" s="17">
        <v>25</v>
      </c>
    </row>
    <row r="312" spans="1:18">
      <c r="A312" s="662" t="str">
        <f t="shared" si="39"/>
        <v>CAM_DAI_LY</v>
      </c>
      <c r="B312" s="369"/>
      <c r="C312" s="798" t="str">
        <f t="shared" si="45"/>
        <v>GT12S</v>
      </c>
      <c r="D312" s="17"/>
      <c r="E312" s="17"/>
      <c r="F312" s="16" t="str">
        <f t="shared" si="40"/>
        <v>25</v>
      </c>
      <c r="J312" s="662" t="str">
        <f>VLOOKUP(P312,Sheet6!$A$2:$E$160,3,0)</f>
        <v>1290D225111925</v>
      </c>
      <c r="L312" s="797" t="s">
        <v>1964</v>
      </c>
      <c r="M312" s="370" t="s">
        <v>1964</v>
      </c>
      <c r="N312" s="369" t="s">
        <v>1965</v>
      </c>
      <c r="O312" s="368" t="str">
        <f t="shared" si="41"/>
        <v>125</v>
      </c>
      <c r="P312" t="str">
        <f t="shared" si="42"/>
        <v>GT12S25</v>
      </c>
      <c r="Q312" s="17" t="s">
        <v>212</v>
      </c>
      <c r="R312" s="17">
        <v>25</v>
      </c>
    </row>
    <row r="313" spans="1:18">
      <c r="A313" s="662" t="str">
        <f t="shared" si="39"/>
        <v>CAM_DAI_LY</v>
      </c>
      <c r="B313" s="369"/>
      <c r="C313" s="798" t="str">
        <f t="shared" si="45"/>
        <v>HG16</v>
      </c>
      <c r="D313" s="17"/>
      <c r="E313" s="17"/>
      <c r="F313" s="16" t="str">
        <f t="shared" si="40"/>
        <v>25</v>
      </c>
      <c r="J313" s="662" t="str">
        <f>VLOOKUP(P313,Sheet6!$A$2:$E$160,3,0)</f>
        <v>1290D215660025</v>
      </c>
      <c r="L313" s="797" t="s">
        <v>993</v>
      </c>
      <c r="M313" s="370" t="s">
        <v>993</v>
      </c>
      <c r="N313" s="369" t="s">
        <v>994</v>
      </c>
      <c r="O313" s="368" t="str">
        <f t="shared" si="41"/>
        <v>125</v>
      </c>
      <c r="P313" t="str">
        <f t="shared" si="42"/>
        <v>HG1625</v>
      </c>
      <c r="Q313" s="17" t="s">
        <v>240</v>
      </c>
      <c r="R313" s="17">
        <v>25</v>
      </c>
    </row>
    <row r="314" spans="1:18">
      <c r="A314" s="662" t="str">
        <f t="shared" si="39"/>
        <v>CAM_DAI_LY</v>
      </c>
      <c r="B314" s="369"/>
      <c r="C314" s="798" t="str">
        <f t="shared" si="45"/>
        <v>HG17</v>
      </c>
      <c r="D314" s="17"/>
      <c r="E314" s="17"/>
      <c r="F314" s="16" t="str">
        <f t="shared" si="40"/>
        <v>25</v>
      </c>
      <c r="J314" s="662" t="str">
        <f>VLOOKUP(P314,Sheet6!$A$2:$E$160,3,0)</f>
        <v>1290D215670025</v>
      </c>
      <c r="L314" s="797" t="s">
        <v>995</v>
      </c>
      <c r="M314" s="370" t="s">
        <v>995</v>
      </c>
      <c r="N314" s="369" t="s">
        <v>996</v>
      </c>
      <c r="O314" s="368" t="str">
        <f t="shared" si="41"/>
        <v>125</v>
      </c>
      <c r="P314" t="str">
        <f t="shared" si="42"/>
        <v>HG1725</v>
      </c>
      <c r="Q314" s="17" t="s">
        <v>244</v>
      </c>
      <c r="R314" s="17">
        <v>25</v>
      </c>
    </row>
    <row r="315" spans="1:18">
      <c r="A315" s="662" t="str">
        <f t="shared" si="39"/>
        <v>CAM_DAI_LY</v>
      </c>
      <c r="B315" s="369"/>
      <c r="C315" s="798" t="str">
        <f t="shared" si="45"/>
        <v>HG17S</v>
      </c>
      <c r="D315" s="17"/>
      <c r="E315" s="17"/>
      <c r="F315" s="16" t="str">
        <f t="shared" si="40"/>
        <v>25</v>
      </c>
      <c r="J315" s="662" t="str">
        <f>VLOOKUP(P315,Sheet6!$A$2:$E$160,3,0)</f>
        <v>1290D215671925</v>
      </c>
      <c r="L315" s="399">
        <v>21135671900125</v>
      </c>
      <c r="M315" s="370" t="s">
        <v>1653</v>
      </c>
      <c r="N315" s="369" t="s">
        <v>1654</v>
      </c>
      <c r="O315" s="368" t="str">
        <f t="shared" si="41"/>
        <v>125</v>
      </c>
      <c r="P315" t="str">
        <f t="shared" si="42"/>
        <v>HG17S25</v>
      </c>
      <c r="Q315" s="17" t="s">
        <v>242</v>
      </c>
      <c r="R315" s="17">
        <v>25</v>
      </c>
    </row>
    <row r="316" spans="1:18">
      <c r="A316" s="662" t="str">
        <f t="shared" si="39"/>
        <v>CAM_DAI_LY</v>
      </c>
      <c r="B316" s="369"/>
      <c r="C316" s="798" t="str">
        <f t="shared" si="45"/>
        <v>HT#11</v>
      </c>
      <c r="D316" s="17"/>
      <c r="E316" s="17"/>
      <c r="F316" s="16" t="str">
        <f t="shared" si="40"/>
        <v>25</v>
      </c>
      <c r="J316" s="662" t="e">
        <f>VLOOKUP(P316,Sheet6!$A$2:$E$160,3,0)</f>
        <v>#N/A</v>
      </c>
      <c r="L316" s="797" t="s">
        <v>1000</v>
      </c>
      <c r="M316" s="370" t="s">
        <v>1000</v>
      </c>
      <c r="N316" s="369" t="s">
        <v>1001</v>
      </c>
      <c r="O316" s="368" t="str">
        <f t="shared" si="41"/>
        <v>125</v>
      </c>
      <c r="P316" t="str">
        <f t="shared" si="42"/>
        <v>HT#1125</v>
      </c>
      <c r="Q316" s="17" t="s">
        <v>2147</v>
      </c>
      <c r="R316" s="17">
        <v>25</v>
      </c>
    </row>
    <row r="317" spans="1:18">
      <c r="A317" s="662" t="str">
        <f t="shared" si="39"/>
        <v>CAM_DAI_LY</v>
      </c>
      <c r="B317" s="369"/>
      <c r="C317" s="798" t="str">
        <f t="shared" si="45"/>
        <v>HT11GP</v>
      </c>
      <c r="D317" s="17"/>
      <c r="E317" s="17"/>
      <c r="F317" s="16" t="str">
        <f t="shared" si="40"/>
        <v>25</v>
      </c>
      <c r="J317" s="662" t="str">
        <f>VLOOKUP(P317,Sheet6!$A$2:$E$160,3,0)</f>
        <v>1290D215514925</v>
      </c>
      <c r="L317" s="399">
        <v>21135517500125</v>
      </c>
      <c r="M317" s="370" t="s">
        <v>1655</v>
      </c>
      <c r="N317" s="369" t="s">
        <v>1656</v>
      </c>
      <c r="O317" s="368" t="str">
        <f t="shared" si="41"/>
        <v>125</v>
      </c>
      <c r="P317" t="str">
        <f t="shared" si="42"/>
        <v>HT11GP25</v>
      </c>
      <c r="Q317" s="17" t="s">
        <v>233</v>
      </c>
      <c r="R317" s="17">
        <v>25</v>
      </c>
    </row>
    <row r="318" spans="1:18">
      <c r="A318" s="662" t="str">
        <f t="shared" si="39"/>
        <v>CAM_DAI_LY</v>
      </c>
      <c r="B318" s="369"/>
      <c r="C318" s="798" t="str">
        <f t="shared" si="45"/>
        <v>HT11X</v>
      </c>
      <c r="D318" s="17"/>
      <c r="E318" s="17"/>
      <c r="F318" s="16" t="str">
        <f t="shared" si="40"/>
        <v>25</v>
      </c>
      <c r="J318" s="662" t="e">
        <f>VLOOKUP(P318,Sheet6!$A$2:$E$160,3,0)</f>
        <v>#N/A</v>
      </c>
      <c r="L318" s="399">
        <v>21135512400125</v>
      </c>
      <c r="M318" s="370" t="s">
        <v>1871</v>
      </c>
      <c r="N318" s="369" t="s">
        <v>1872</v>
      </c>
      <c r="O318" s="368" t="str">
        <f t="shared" si="41"/>
        <v>125</v>
      </c>
      <c r="P318" t="str">
        <f t="shared" si="42"/>
        <v>HT11X25</v>
      </c>
      <c r="Q318" s="17" t="s">
        <v>232</v>
      </c>
      <c r="R318" s="17">
        <v>25</v>
      </c>
    </row>
    <row r="319" spans="1:18">
      <c r="A319" s="662" t="str">
        <f t="shared" si="39"/>
        <v>CAM_DAI_LY</v>
      </c>
      <c r="B319" s="369"/>
      <c r="C319" s="798" t="str">
        <f t="shared" si="45"/>
        <v>HT12</v>
      </c>
      <c r="D319" s="17"/>
      <c r="E319" s="17"/>
      <c r="F319" s="16" t="str">
        <f t="shared" si="40"/>
        <v>25</v>
      </c>
      <c r="J319" s="662" t="str">
        <f>VLOOKUP(P319,Sheet6!$A$2:$E$160,3,0)</f>
        <v>1290D215520025</v>
      </c>
      <c r="L319" s="797" t="s">
        <v>1002</v>
      </c>
      <c r="M319" s="370" t="s">
        <v>1002</v>
      </c>
      <c r="N319" s="369" t="s">
        <v>1003</v>
      </c>
      <c r="O319" s="368" t="str">
        <f t="shared" si="41"/>
        <v>125</v>
      </c>
      <c r="P319" t="str">
        <f t="shared" si="42"/>
        <v>HT1225</v>
      </c>
      <c r="Q319" s="17" t="s">
        <v>234</v>
      </c>
      <c r="R319" s="17">
        <v>25</v>
      </c>
    </row>
    <row r="320" spans="1:18">
      <c r="A320" s="662" t="str">
        <f t="shared" si="39"/>
        <v>CAM_DAI_LY</v>
      </c>
      <c r="B320" s="369"/>
      <c r="C320" s="798" t="str">
        <f t="shared" si="45"/>
        <v>HT12M</v>
      </c>
      <c r="D320" s="16"/>
      <c r="E320" s="17"/>
      <c r="F320" s="16" t="str">
        <f t="shared" si="40"/>
        <v>25</v>
      </c>
      <c r="J320" s="662" t="e">
        <f>VLOOKUP(P320,Sheet6!$A$2:$E$160,3,0)</f>
        <v>#N/A</v>
      </c>
      <c r="L320" s="399">
        <v>21135521300125</v>
      </c>
      <c r="M320" s="370" t="s">
        <v>1707</v>
      </c>
      <c r="N320" s="369" t="s">
        <v>1708</v>
      </c>
      <c r="O320" s="368" t="str">
        <f t="shared" si="41"/>
        <v>125</v>
      </c>
      <c r="P320" t="str">
        <f t="shared" si="42"/>
        <v>HT12M25</v>
      </c>
      <c r="Q320" s="16" t="s">
        <v>235</v>
      </c>
      <c r="R320" s="17">
        <v>25</v>
      </c>
    </row>
    <row r="321" spans="1:18">
      <c r="A321" s="662" t="str">
        <f t="shared" si="39"/>
        <v>CAM_DAI_LY</v>
      </c>
      <c r="B321" s="369"/>
      <c r="C321" s="798" t="str">
        <f t="shared" si="45"/>
        <v>HT12S</v>
      </c>
      <c r="D321" s="17"/>
      <c r="E321" s="17"/>
      <c r="F321" s="16" t="str">
        <f t="shared" si="40"/>
        <v>25</v>
      </c>
      <c r="J321" s="662" t="str">
        <f>VLOOKUP(P321,Sheet6!$A$2:$E$160,3,0)</f>
        <v>1290D215521925</v>
      </c>
      <c r="L321" s="797" t="s">
        <v>1004</v>
      </c>
      <c r="M321" s="370" t="s">
        <v>1004</v>
      </c>
      <c r="N321" s="369" t="s">
        <v>1005</v>
      </c>
      <c r="O321" s="368" t="str">
        <f t="shared" si="41"/>
        <v>125</v>
      </c>
      <c r="P321" t="str">
        <f t="shared" si="42"/>
        <v>HT12S25</v>
      </c>
      <c r="Q321" s="17" t="s">
        <v>236</v>
      </c>
      <c r="R321" s="17">
        <v>25</v>
      </c>
    </row>
    <row r="322" spans="1:18">
      <c r="A322" s="662" t="str">
        <f t="shared" ref="A322:A330" si="46">VLOOKUP(O322,$T$83:$U$91,2,0)</f>
        <v>CAM_DAI_LY</v>
      </c>
      <c r="B322" s="369"/>
      <c r="C322" s="798" t="str">
        <f t="shared" si="45"/>
        <v>HT12SX</v>
      </c>
      <c r="D322" s="16"/>
      <c r="E322" s="17"/>
      <c r="F322" s="16" t="str">
        <f t="shared" ref="F322:F330" si="47">RIGHT(L322,2)</f>
        <v>25</v>
      </c>
      <c r="J322" s="662" t="str">
        <f>VLOOKUP(P322,Sheet6!$A$2:$E$160,3,0)</f>
        <v>1290D215527325</v>
      </c>
      <c r="L322" s="399">
        <v>21135527800125</v>
      </c>
      <c r="M322" s="370" t="s">
        <v>1686</v>
      </c>
      <c r="N322" s="369" t="s">
        <v>1687</v>
      </c>
      <c r="O322" s="368" t="str">
        <f t="shared" ref="O322:O330" si="48">MID(L322,12,3)</f>
        <v>125</v>
      </c>
      <c r="P322" t="str">
        <f t="shared" ref="P322:P330" si="49">C322&amp;R322</f>
        <v>HT12SX25</v>
      </c>
      <c r="Q322" s="16" t="s">
        <v>237</v>
      </c>
      <c r="R322" s="17">
        <v>25</v>
      </c>
    </row>
    <row r="323" spans="1:18">
      <c r="A323" s="662" t="str">
        <f t="shared" si="46"/>
        <v>CAM_DAI_LY</v>
      </c>
      <c r="B323" s="369"/>
      <c r="C323" s="798" t="str">
        <f t="shared" si="45"/>
        <v>HT13</v>
      </c>
      <c r="D323" s="17"/>
      <c r="E323" s="17"/>
      <c r="F323" s="16" t="str">
        <f t="shared" si="47"/>
        <v>25</v>
      </c>
      <c r="J323" s="662" t="str">
        <f>VLOOKUP(P323,Sheet6!$A$2:$E$160,3,0)</f>
        <v>1290D215530025</v>
      </c>
      <c r="L323" s="797" t="s">
        <v>1006</v>
      </c>
      <c r="M323" s="370" t="s">
        <v>1006</v>
      </c>
      <c r="N323" s="369" t="s">
        <v>1007</v>
      </c>
      <c r="O323" s="368" t="str">
        <f t="shared" si="48"/>
        <v>125</v>
      </c>
      <c r="P323" t="str">
        <f t="shared" si="49"/>
        <v>HT1325</v>
      </c>
      <c r="Q323" s="17" t="s">
        <v>238</v>
      </c>
      <c r="R323" s="17">
        <v>25</v>
      </c>
    </row>
    <row r="324" spans="1:18">
      <c r="A324" s="662" t="str">
        <f t="shared" si="46"/>
        <v>CAM_DAI_LY</v>
      </c>
      <c r="B324" s="369"/>
      <c r="C324" s="798" t="str">
        <f t="shared" si="45"/>
        <v>HT13S</v>
      </c>
      <c r="D324" s="17"/>
      <c r="E324" s="17"/>
      <c r="F324" s="16" t="str">
        <f t="shared" si="47"/>
        <v>25</v>
      </c>
      <c r="J324" s="662" t="str">
        <f>VLOOKUP(P324,Sheet6!$A$2:$E$160,3,0)</f>
        <v>1290D215531925</v>
      </c>
      <c r="L324" s="797" t="s">
        <v>1008</v>
      </c>
      <c r="M324" s="370" t="s">
        <v>1008</v>
      </c>
      <c r="N324" s="369" t="s">
        <v>1009</v>
      </c>
      <c r="O324" s="368" t="str">
        <f t="shared" si="48"/>
        <v>125</v>
      </c>
      <c r="P324" t="str">
        <f t="shared" si="49"/>
        <v>HT13S25</v>
      </c>
      <c r="Q324" s="17" t="s">
        <v>239</v>
      </c>
      <c r="R324" s="17">
        <v>25</v>
      </c>
    </row>
    <row r="325" spans="1:18">
      <c r="A325" s="662" t="str">
        <f t="shared" si="46"/>
        <v>CAM_DAI_LY</v>
      </c>
      <c r="B325" s="369"/>
      <c r="C325" s="798" t="str">
        <f t="shared" si="45"/>
        <v>PP20</v>
      </c>
      <c r="D325" s="17"/>
      <c r="E325" s="17"/>
      <c r="F325" s="16" t="str">
        <f t="shared" si="47"/>
        <v>25</v>
      </c>
      <c r="J325" s="662" t="str">
        <f>VLOOKUP(P325,Sheet6!$A$2:$E$160,3,0)</f>
        <v>1290D215440025</v>
      </c>
      <c r="L325" s="797">
        <v>21115437100125</v>
      </c>
      <c r="M325" s="370" t="s">
        <v>1908</v>
      </c>
      <c r="N325" s="369" t="s">
        <v>1909</v>
      </c>
      <c r="O325" s="368" t="str">
        <f t="shared" si="48"/>
        <v>125</v>
      </c>
      <c r="P325" t="str">
        <f t="shared" si="49"/>
        <v>PP2025</v>
      </c>
      <c r="Q325" s="17" t="s">
        <v>152</v>
      </c>
      <c r="R325" s="17">
        <v>25</v>
      </c>
    </row>
    <row r="326" spans="1:18">
      <c r="A326" s="662" t="str">
        <f t="shared" si="46"/>
        <v>CAM_DAI_LY</v>
      </c>
      <c r="B326" s="369"/>
      <c r="C326" s="798" t="str">
        <f t="shared" si="45"/>
        <v>VD14</v>
      </c>
      <c r="D326" s="17"/>
      <c r="E326" s="17"/>
      <c r="F326" s="16" t="str">
        <f t="shared" si="47"/>
        <v>40</v>
      </c>
      <c r="J326" s="662" t="e">
        <f>VLOOKUP(P326,Sheet6!$A$2:$E$160,3,0)</f>
        <v>#N/A</v>
      </c>
      <c r="L326" s="797" t="s">
        <v>1010</v>
      </c>
      <c r="M326" s="370" t="s">
        <v>1010</v>
      </c>
      <c r="N326" s="369" t="s">
        <v>1011</v>
      </c>
      <c r="O326" s="368" t="str">
        <f t="shared" si="48"/>
        <v>140</v>
      </c>
      <c r="P326" t="str">
        <f t="shared" si="49"/>
        <v>VD1440</v>
      </c>
      <c r="Q326" s="17" t="s">
        <v>245</v>
      </c>
      <c r="R326" s="17">
        <v>40</v>
      </c>
    </row>
    <row r="327" spans="1:18">
      <c r="A327" s="662" t="str">
        <f t="shared" si="46"/>
        <v>CAM_DAI_LY</v>
      </c>
      <c r="B327" s="369"/>
      <c r="C327" s="798" t="str">
        <f t="shared" si="45"/>
        <v>VD14</v>
      </c>
      <c r="D327" s="17"/>
      <c r="E327" s="17"/>
      <c r="F327" s="16" t="str">
        <f t="shared" si="47"/>
        <v>25</v>
      </c>
      <c r="J327" s="662" t="e">
        <f>VLOOKUP(P327,Sheet6!$A$2:$E$160,3,0)</f>
        <v>#N/A</v>
      </c>
      <c r="L327" s="399">
        <v>21135440000125</v>
      </c>
      <c r="M327" s="370" t="s">
        <v>1735</v>
      </c>
      <c r="N327" s="369" t="s">
        <v>1736</v>
      </c>
      <c r="O327" s="368" t="str">
        <f t="shared" si="48"/>
        <v>125</v>
      </c>
      <c r="P327" t="str">
        <f t="shared" si="49"/>
        <v>VD1425</v>
      </c>
      <c r="Q327" s="17" t="s">
        <v>245</v>
      </c>
      <c r="R327" s="17">
        <v>25</v>
      </c>
    </row>
    <row r="328" spans="1:18">
      <c r="A328" s="662" t="str">
        <f t="shared" si="46"/>
        <v>CAM_DAI_LY</v>
      </c>
      <c r="B328" s="369"/>
      <c r="C328" s="798" t="str">
        <f t="shared" si="45"/>
        <v>VT11</v>
      </c>
      <c r="D328" s="17"/>
      <c r="E328" s="17"/>
      <c r="F328" s="16" t="str">
        <f t="shared" si="47"/>
        <v>25</v>
      </c>
      <c r="J328" s="662" t="str">
        <f>VLOOKUP(P328,Sheet6!$A$2:$E$160,3,0)</f>
        <v>1290D215480025</v>
      </c>
      <c r="L328" s="797" t="s">
        <v>1012</v>
      </c>
      <c r="M328" s="370" t="s">
        <v>1012</v>
      </c>
      <c r="N328" s="369" t="s">
        <v>1013</v>
      </c>
      <c r="O328" s="368" t="str">
        <f t="shared" si="48"/>
        <v>125</v>
      </c>
      <c r="P328" t="str">
        <f t="shared" si="49"/>
        <v>VT1125</v>
      </c>
      <c r="Q328" s="17" t="s">
        <v>228</v>
      </c>
      <c r="R328" s="17">
        <v>25</v>
      </c>
    </row>
    <row r="329" spans="1:18">
      <c r="A329" s="662" t="str">
        <f t="shared" si="46"/>
        <v>CAM_DAI_LY</v>
      </c>
      <c r="B329" s="369"/>
      <c r="C329" s="798" t="str">
        <f t="shared" si="45"/>
        <v>VT12</v>
      </c>
      <c r="D329" s="17"/>
      <c r="E329" s="17"/>
      <c r="F329" s="16" t="str">
        <f t="shared" si="47"/>
        <v>25</v>
      </c>
      <c r="J329" s="662" t="str">
        <f>VLOOKUP(P329,Sheet6!$A$2:$E$160,3,0)</f>
        <v>1290D215490025</v>
      </c>
      <c r="L329" s="797" t="s">
        <v>1014</v>
      </c>
      <c r="M329" s="370" t="s">
        <v>1014</v>
      </c>
      <c r="N329" s="369" t="s">
        <v>1015</v>
      </c>
      <c r="O329" s="368" t="str">
        <f t="shared" si="48"/>
        <v>125</v>
      </c>
      <c r="P329" t="str">
        <f t="shared" si="49"/>
        <v>VT1225</v>
      </c>
      <c r="Q329" s="17" t="s">
        <v>229</v>
      </c>
      <c r="R329" s="17">
        <v>25</v>
      </c>
    </row>
    <row r="330" spans="1:18">
      <c r="A330" s="662" t="str">
        <f t="shared" si="46"/>
        <v>CAM_DAI_LY</v>
      </c>
      <c r="B330" s="369"/>
      <c r="C330" s="798" t="str">
        <f t="shared" si="45"/>
        <v>VT13</v>
      </c>
      <c r="D330" s="17"/>
      <c r="E330" s="17"/>
      <c r="F330" s="16" t="str">
        <f t="shared" si="47"/>
        <v>25</v>
      </c>
      <c r="J330" s="662" t="e">
        <f>VLOOKUP(P330,Sheet6!$A$2:$E$160,3,0)</f>
        <v>#N/A</v>
      </c>
      <c r="L330" s="797" t="s">
        <v>1016</v>
      </c>
      <c r="M330" s="370" t="s">
        <v>1016</v>
      </c>
      <c r="N330" s="369" t="s">
        <v>1017</v>
      </c>
      <c r="O330" s="368" t="str">
        <f t="shared" si="48"/>
        <v>125</v>
      </c>
      <c r="P330" t="str">
        <f t="shared" si="49"/>
        <v>VT1325</v>
      </c>
      <c r="Q330" s="17" t="s">
        <v>1018</v>
      </c>
      <c r="R330" s="17">
        <v>25</v>
      </c>
    </row>
  </sheetData>
  <sortState xmlns:xlrd2="http://schemas.microsoft.com/office/spreadsheetml/2017/richdata2" ref="A2:S330">
    <sortCondition ref="C2:C330"/>
  </sortState>
  <pageMargins left="0.16" right="0.21" top="0.22" bottom="0.2" header="0.18" footer="0.16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3ABF0-998E-4D4F-8018-FCF601B75DA9}"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52051-8887-43BC-ABE1-5AF06A6E2BA2}">
  <sheetPr codeName="Sheet18"/>
  <dimension ref="A2:M159"/>
  <sheetViews>
    <sheetView workbookViewId="0">
      <selection activeCell="H13" sqref="H13"/>
    </sheetView>
  </sheetViews>
  <sheetFormatPr defaultRowHeight="12.75"/>
  <cols>
    <col min="1" max="1" width="13.5703125" customWidth="1"/>
    <col min="2" max="2" width="14.42578125" style="428" customWidth="1"/>
    <col min="3" max="3" width="17.5703125" customWidth="1"/>
    <col min="4" max="4" width="8" style="17" customWidth="1"/>
    <col min="5" max="5" width="42" customWidth="1"/>
    <col min="7" max="7" width="10.140625" bestFit="1" customWidth="1"/>
  </cols>
  <sheetData>
    <row r="2" spans="1:13">
      <c r="A2" t="s">
        <v>2148</v>
      </c>
      <c r="B2" s="428" t="s">
        <v>2149</v>
      </c>
      <c r="C2" t="s">
        <v>2150</v>
      </c>
      <c r="D2" s="17" t="s">
        <v>2151</v>
      </c>
      <c r="E2" s="442" t="s">
        <v>2152</v>
      </c>
      <c r="F2" s="442"/>
      <c r="G2" s="14"/>
      <c r="M2" s="536"/>
    </row>
    <row r="3" spans="1:13">
      <c r="A3" t="s">
        <v>2153</v>
      </c>
      <c r="B3" s="428">
        <v>302</v>
      </c>
      <c r="C3" t="s">
        <v>2154</v>
      </c>
      <c r="D3" s="17" t="s">
        <v>2151</v>
      </c>
      <c r="E3" s="442" t="s">
        <v>2155</v>
      </c>
      <c r="F3" s="442"/>
      <c r="G3" s="14"/>
      <c r="M3" s="536"/>
    </row>
    <row r="4" spans="1:13">
      <c r="A4" t="s">
        <v>2156</v>
      </c>
      <c r="B4" s="428" t="s">
        <v>2157</v>
      </c>
      <c r="C4" t="s">
        <v>2158</v>
      </c>
      <c r="D4" s="17" t="s">
        <v>2151</v>
      </c>
      <c r="E4" s="442" t="s">
        <v>2159</v>
      </c>
      <c r="G4" s="14"/>
      <c r="M4" s="536"/>
    </row>
    <row r="5" spans="1:13">
      <c r="A5" t="s">
        <v>2160</v>
      </c>
      <c r="B5" s="428" t="s">
        <v>2161</v>
      </c>
      <c r="C5" t="s">
        <v>2162</v>
      </c>
      <c r="D5" s="17" t="s">
        <v>2151</v>
      </c>
      <c r="E5" s="442" t="s">
        <v>2163</v>
      </c>
      <c r="G5" s="14"/>
      <c r="M5" s="536"/>
    </row>
    <row r="6" spans="1:13">
      <c r="A6" t="s">
        <v>2164</v>
      </c>
      <c r="B6" s="428">
        <v>384</v>
      </c>
      <c r="C6" t="s">
        <v>2165</v>
      </c>
      <c r="D6" s="17" t="s">
        <v>2151</v>
      </c>
      <c r="E6" s="442" t="s">
        <v>2166</v>
      </c>
      <c r="F6" s="442"/>
      <c r="G6" s="14"/>
      <c r="M6" s="536"/>
    </row>
    <row r="7" spans="1:13">
      <c r="A7" t="s">
        <v>2167</v>
      </c>
      <c r="B7" s="428" t="s">
        <v>131</v>
      </c>
      <c r="C7" t="s">
        <v>2168</v>
      </c>
      <c r="D7" s="17" t="s">
        <v>2151</v>
      </c>
      <c r="E7" s="442" t="s">
        <v>2169</v>
      </c>
      <c r="F7" s="442"/>
      <c r="G7" s="14"/>
      <c r="M7" s="536"/>
    </row>
    <row r="8" spans="1:13">
      <c r="A8" t="s">
        <v>2170</v>
      </c>
      <c r="B8" s="428">
        <v>510</v>
      </c>
      <c r="C8" t="s">
        <v>2171</v>
      </c>
      <c r="D8" s="17" t="s">
        <v>2151</v>
      </c>
      <c r="E8" s="442" t="s">
        <v>2172</v>
      </c>
      <c r="F8" s="442"/>
      <c r="G8" s="14"/>
      <c r="M8" s="536"/>
    </row>
    <row r="9" spans="1:13">
      <c r="A9" t="s">
        <v>2173</v>
      </c>
      <c r="B9" s="428" t="s">
        <v>135</v>
      </c>
      <c r="C9" t="s">
        <v>2174</v>
      </c>
      <c r="D9" s="17">
        <v>25</v>
      </c>
      <c r="E9" s="442" t="s">
        <v>2175</v>
      </c>
      <c r="F9" s="442"/>
      <c r="G9" s="14"/>
      <c r="M9" s="536"/>
    </row>
    <row r="10" spans="1:13">
      <c r="A10" t="s">
        <v>2176</v>
      </c>
      <c r="B10" s="428" t="s">
        <v>134</v>
      </c>
      <c r="C10" t="s">
        <v>2177</v>
      </c>
      <c r="D10" s="17" t="s">
        <v>2151</v>
      </c>
      <c r="E10" s="442" t="s">
        <v>2178</v>
      </c>
      <c r="F10" s="442"/>
      <c r="G10" s="14"/>
      <c r="M10" s="536"/>
    </row>
    <row r="11" spans="1:13">
      <c r="A11" t="s">
        <v>2179</v>
      </c>
      <c r="B11" s="428" t="s">
        <v>2180</v>
      </c>
      <c r="C11" t="s">
        <v>2181</v>
      </c>
      <c r="D11" s="17" t="s">
        <v>2151</v>
      </c>
      <c r="E11" s="442" t="s">
        <v>2182</v>
      </c>
      <c r="F11" s="442"/>
      <c r="G11" s="14"/>
      <c r="M11" s="536"/>
    </row>
    <row r="12" spans="1:13">
      <c r="A12" t="s">
        <v>2183</v>
      </c>
      <c r="B12" s="428" t="s">
        <v>139</v>
      </c>
      <c r="C12" t="s">
        <v>2184</v>
      </c>
      <c r="D12" s="17" t="s">
        <v>2151</v>
      </c>
      <c r="E12" s="442" t="s">
        <v>2185</v>
      </c>
      <c r="F12" s="442"/>
      <c r="G12" s="14"/>
      <c r="M12" s="536"/>
    </row>
    <row r="13" spans="1:13">
      <c r="A13" t="s">
        <v>2186</v>
      </c>
      <c r="B13" s="428" t="s">
        <v>142</v>
      </c>
      <c r="C13" t="s">
        <v>2187</v>
      </c>
      <c r="D13" s="17" t="s">
        <v>2151</v>
      </c>
      <c r="E13" s="442" t="s">
        <v>2188</v>
      </c>
      <c r="F13" s="442"/>
      <c r="G13" s="14"/>
      <c r="M13" s="536"/>
    </row>
    <row r="14" spans="1:13">
      <c r="A14" t="s">
        <v>2189</v>
      </c>
      <c r="B14" s="428" t="s">
        <v>143</v>
      </c>
      <c r="C14" t="s">
        <v>2190</v>
      </c>
      <c r="D14" s="17" t="s">
        <v>2151</v>
      </c>
      <c r="E14" s="442" t="s">
        <v>2191</v>
      </c>
      <c r="F14" s="442"/>
      <c r="G14" s="14"/>
      <c r="M14" s="536"/>
    </row>
    <row r="15" spans="1:13">
      <c r="A15" t="s">
        <v>2192</v>
      </c>
      <c r="B15" s="428" t="s">
        <v>136</v>
      </c>
      <c r="C15" t="s">
        <v>2193</v>
      </c>
      <c r="D15" s="17" t="s">
        <v>2151</v>
      </c>
      <c r="E15" s="442" t="s">
        <v>2194</v>
      </c>
      <c r="F15" s="442"/>
      <c r="G15" s="14"/>
      <c r="M15" s="536"/>
    </row>
    <row r="16" spans="1:13">
      <c r="A16" t="s">
        <v>2195</v>
      </c>
      <c r="B16" s="428" t="s">
        <v>138</v>
      </c>
      <c r="C16" t="s">
        <v>2196</v>
      </c>
      <c r="D16" s="17" t="s">
        <v>2151</v>
      </c>
      <c r="E16" s="442" t="s">
        <v>2197</v>
      </c>
      <c r="F16" s="442"/>
      <c r="G16" s="14"/>
      <c r="M16" s="536"/>
    </row>
    <row r="17" spans="1:13">
      <c r="A17" t="s">
        <v>2198</v>
      </c>
      <c r="B17" s="428" t="s">
        <v>2199</v>
      </c>
      <c r="C17" t="s">
        <v>2200</v>
      </c>
      <c r="D17" s="17" t="s">
        <v>2151</v>
      </c>
      <c r="E17" s="442" t="s">
        <v>2201</v>
      </c>
      <c r="G17" s="14"/>
      <c r="M17" s="536"/>
    </row>
    <row r="18" spans="1:13">
      <c r="A18" t="s">
        <v>2202</v>
      </c>
      <c r="B18" s="428" t="s">
        <v>2203</v>
      </c>
      <c r="C18" t="s">
        <v>2204</v>
      </c>
      <c r="D18" s="17">
        <v>25</v>
      </c>
      <c r="E18" s="442" t="s">
        <v>2205</v>
      </c>
      <c r="F18" s="442"/>
      <c r="G18" s="14"/>
      <c r="M18" s="536"/>
    </row>
    <row r="19" spans="1:13">
      <c r="A19" t="s">
        <v>2206</v>
      </c>
      <c r="B19" s="428" t="s">
        <v>2207</v>
      </c>
      <c r="C19" t="s">
        <v>2208</v>
      </c>
      <c r="D19" s="17">
        <v>25</v>
      </c>
      <c r="E19" s="442" t="s">
        <v>2209</v>
      </c>
      <c r="F19" s="442"/>
      <c r="G19" s="14"/>
      <c r="M19" s="536"/>
    </row>
    <row r="20" spans="1:13">
      <c r="A20" t="s">
        <v>2210</v>
      </c>
      <c r="B20" s="428" t="s">
        <v>2211</v>
      </c>
      <c r="C20" t="s">
        <v>2212</v>
      </c>
      <c r="D20" s="17" t="s">
        <v>2151</v>
      </c>
      <c r="E20" s="442" t="s">
        <v>2213</v>
      </c>
      <c r="F20" s="442"/>
      <c r="G20" s="14"/>
      <c r="M20" s="536"/>
    </row>
    <row r="21" spans="1:13">
      <c r="A21" t="s">
        <v>2214</v>
      </c>
      <c r="B21" s="428" t="s">
        <v>2215</v>
      </c>
      <c r="C21" t="s">
        <v>2216</v>
      </c>
      <c r="D21" s="17">
        <v>25</v>
      </c>
      <c r="E21" s="442" t="s">
        <v>2217</v>
      </c>
      <c r="F21" s="442"/>
      <c r="G21" s="14"/>
      <c r="M21" s="536"/>
    </row>
    <row r="22" spans="1:13">
      <c r="A22" t="s">
        <v>2218</v>
      </c>
      <c r="B22" s="428" t="s">
        <v>2219</v>
      </c>
      <c r="C22" t="s">
        <v>2220</v>
      </c>
      <c r="D22" s="17" t="s">
        <v>2151</v>
      </c>
      <c r="E22" s="442" t="s">
        <v>2221</v>
      </c>
      <c r="F22" s="442"/>
      <c r="G22" s="14"/>
    </row>
    <row r="23" spans="1:13">
      <c r="A23" t="s">
        <v>2218</v>
      </c>
      <c r="B23" s="428" t="s">
        <v>2219</v>
      </c>
      <c r="C23" t="s">
        <v>2220</v>
      </c>
      <c r="D23" s="17" t="s">
        <v>2151</v>
      </c>
      <c r="E23" s="442" t="s">
        <v>2222</v>
      </c>
      <c r="G23" s="14"/>
    </row>
    <row r="24" spans="1:13">
      <c r="A24" t="s">
        <v>2223</v>
      </c>
      <c r="B24" s="428" t="s">
        <v>2224</v>
      </c>
      <c r="C24" t="s">
        <v>2225</v>
      </c>
      <c r="D24" s="17" t="s">
        <v>2151</v>
      </c>
      <c r="E24" s="442" t="s">
        <v>2226</v>
      </c>
      <c r="F24" s="442"/>
      <c r="G24" s="14"/>
    </row>
    <row r="25" spans="1:13">
      <c r="A25" t="s">
        <v>2227</v>
      </c>
      <c r="B25" s="428" t="s">
        <v>2228</v>
      </c>
      <c r="C25" t="s">
        <v>2229</v>
      </c>
      <c r="D25" s="17" t="s">
        <v>2151</v>
      </c>
      <c r="E25" s="442" t="s">
        <v>2230</v>
      </c>
      <c r="F25" s="442"/>
      <c r="G25" s="14"/>
    </row>
    <row r="26" spans="1:13">
      <c r="A26" t="s">
        <v>2231</v>
      </c>
      <c r="B26" s="428" t="s">
        <v>2232</v>
      </c>
      <c r="C26" t="s">
        <v>2233</v>
      </c>
      <c r="D26" s="17" t="s">
        <v>2151</v>
      </c>
      <c r="E26" s="442" t="s">
        <v>2234</v>
      </c>
      <c r="F26" s="442"/>
      <c r="G26" s="14"/>
    </row>
    <row r="27" spans="1:13">
      <c r="A27" t="s">
        <v>2235</v>
      </c>
      <c r="B27" s="428" t="s">
        <v>2236</v>
      </c>
      <c r="C27" t="s">
        <v>2237</v>
      </c>
      <c r="D27" s="17">
        <v>25</v>
      </c>
      <c r="E27" s="442" t="s">
        <v>2238</v>
      </c>
      <c r="F27" s="442"/>
      <c r="G27" s="14"/>
    </row>
    <row r="28" spans="1:13">
      <c r="A28" t="s">
        <v>2239</v>
      </c>
      <c r="B28" s="428" t="s">
        <v>2086</v>
      </c>
      <c r="C28" t="s">
        <v>2240</v>
      </c>
      <c r="D28" s="17" t="s">
        <v>2151</v>
      </c>
      <c r="E28" s="442" t="s">
        <v>2241</v>
      </c>
      <c r="G28" s="14"/>
    </row>
    <row r="29" spans="1:13">
      <c r="A29" t="s">
        <v>2242</v>
      </c>
      <c r="B29" s="428" t="s">
        <v>154</v>
      </c>
      <c r="C29" t="s">
        <v>2243</v>
      </c>
      <c r="D29" s="17" t="s">
        <v>2151</v>
      </c>
      <c r="E29" s="442" t="s">
        <v>2244</v>
      </c>
      <c r="F29" s="442"/>
      <c r="G29" s="14"/>
    </row>
    <row r="30" spans="1:13">
      <c r="A30" t="s">
        <v>2245</v>
      </c>
      <c r="B30" s="428" t="s">
        <v>2246</v>
      </c>
      <c r="C30" t="s">
        <v>2247</v>
      </c>
      <c r="D30" s="17" t="s">
        <v>2151</v>
      </c>
      <c r="E30" s="442" t="s">
        <v>2248</v>
      </c>
      <c r="G30" s="14"/>
    </row>
    <row r="31" spans="1:13">
      <c r="A31" t="s">
        <v>2249</v>
      </c>
      <c r="B31" s="428" t="s">
        <v>2250</v>
      </c>
      <c r="C31" t="s">
        <v>2251</v>
      </c>
      <c r="D31" s="17" t="s">
        <v>2151</v>
      </c>
      <c r="E31" s="442" t="s">
        <v>2252</v>
      </c>
      <c r="G31" s="14"/>
    </row>
    <row r="32" spans="1:13">
      <c r="A32" t="s">
        <v>2253</v>
      </c>
      <c r="B32" s="428" t="s">
        <v>157</v>
      </c>
      <c r="C32" t="s">
        <v>2254</v>
      </c>
      <c r="D32" s="17" t="s">
        <v>2151</v>
      </c>
      <c r="E32" s="442" t="s">
        <v>2255</v>
      </c>
      <c r="F32" s="442"/>
      <c r="G32" s="14"/>
    </row>
    <row r="33" spans="1:13">
      <c r="A33" t="s">
        <v>2256</v>
      </c>
      <c r="B33" s="428" t="s">
        <v>2257</v>
      </c>
      <c r="C33" t="s">
        <v>2258</v>
      </c>
      <c r="D33" s="17" t="s">
        <v>2151</v>
      </c>
      <c r="E33" s="442" t="s">
        <v>2259</v>
      </c>
      <c r="G33" s="14"/>
    </row>
    <row r="34" spans="1:13">
      <c r="A34" t="s">
        <v>2260</v>
      </c>
      <c r="B34" s="428" t="s">
        <v>159</v>
      </c>
      <c r="C34" t="s">
        <v>2261</v>
      </c>
      <c r="D34" s="17" t="s">
        <v>2151</v>
      </c>
      <c r="E34" s="442" t="s">
        <v>2262</v>
      </c>
      <c r="G34" s="14"/>
    </row>
    <row r="35" spans="1:13">
      <c r="A35" t="s">
        <v>2263</v>
      </c>
      <c r="B35" s="428" t="s">
        <v>2094</v>
      </c>
      <c r="C35" t="s">
        <v>2264</v>
      </c>
      <c r="D35" s="17" t="s">
        <v>2151</v>
      </c>
      <c r="E35" s="442" t="s">
        <v>2265</v>
      </c>
      <c r="F35" s="442"/>
      <c r="G35" s="14"/>
    </row>
    <row r="36" spans="1:13">
      <c r="A36" t="s">
        <v>2266</v>
      </c>
      <c r="B36" s="428" t="s">
        <v>160</v>
      </c>
      <c r="C36" t="s">
        <v>2267</v>
      </c>
      <c r="D36" s="17">
        <v>25</v>
      </c>
      <c r="E36" s="442" t="s">
        <v>2268</v>
      </c>
      <c r="F36" s="442"/>
      <c r="G36" s="14"/>
    </row>
    <row r="37" spans="1:13">
      <c r="A37" t="s">
        <v>2269</v>
      </c>
      <c r="B37" s="428" t="s">
        <v>2270</v>
      </c>
      <c r="C37" t="s">
        <v>2271</v>
      </c>
      <c r="D37" s="17" t="s">
        <v>2151</v>
      </c>
      <c r="E37" s="442" t="s">
        <v>2272</v>
      </c>
      <c r="F37" s="442"/>
      <c r="G37" s="14"/>
    </row>
    <row r="38" spans="1:13">
      <c r="A38" t="s">
        <v>2273</v>
      </c>
      <c r="B38" s="428" t="s">
        <v>162</v>
      </c>
      <c r="C38" t="s">
        <v>2274</v>
      </c>
      <c r="D38" s="17" t="s">
        <v>2151</v>
      </c>
      <c r="E38" s="442" t="s">
        <v>2275</v>
      </c>
      <c r="F38" s="442"/>
      <c r="G38" s="14"/>
    </row>
    <row r="39" spans="1:13">
      <c r="A39" t="s">
        <v>2276</v>
      </c>
      <c r="B39" s="428" t="s">
        <v>163</v>
      </c>
      <c r="C39" t="s">
        <v>2277</v>
      </c>
      <c r="D39" s="17" t="s">
        <v>2151</v>
      </c>
      <c r="E39" s="442" t="s">
        <v>2278</v>
      </c>
      <c r="F39" s="442"/>
      <c r="G39" s="14"/>
    </row>
    <row r="40" spans="1:13">
      <c r="A40" t="s">
        <v>2279</v>
      </c>
      <c r="B40" s="428" t="s">
        <v>164</v>
      </c>
      <c r="C40" t="s">
        <v>2280</v>
      </c>
      <c r="D40" s="17">
        <v>25</v>
      </c>
      <c r="E40" s="442" t="s">
        <v>2281</v>
      </c>
      <c r="F40" s="442"/>
      <c r="G40" s="14"/>
      <c r="M40" s="536"/>
    </row>
    <row r="41" spans="1:13">
      <c r="A41" t="s">
        <v>2282</v>
      </c>
      <c r="B41" s="428" t="s">
        <v>2283</v>
      </c>
      <c r="C41" t="s">
        <v>2284</v>
      </c>
      <c r="D41" s="17" t="s">
        <v>2151</v>
      </c>
      <c r="E41" s="442" t="s">
        <v>2285</v>
      </c>
      <c r="F41" s="442"/>
      <c r="G41" s="14"/>
      <c r="M41" s="536"/>
    </row>
    <row r="42" spans="1:13">
      <c r="A42" t="s">
        <v>2286</v>
      </c>
      <c r="B42" s="428" t="s">
        <v>165</v>
      </c>
      <c r="C42" t="s">
        <v>2287</v>
      </c>
      <c r="D42" s="17" t="s">
        <v>2151</v>
      </c>
      <c r="E42" s="442" t="s">
        <v>2288</v>
      </c>
      <c r="G42" s="14"/>
      <c r="M42" s="536"/>
    </row>
    <row r="43" spans="1:13">
      <c r="A43" t="s">
        <v>2289</v>
      </c>
      <c r="B43" s="428" t="s">
        <v>2290</v>
      </c>
      <c r="C43" t="s">
        <v>2291</v>
      </c>
      <c r="D43" s="17" t="s">
        <v>2151</v>
      </c>
      <c r="E43" s="442" t="s">
        <v>2292</v>
      </c>
      <c r="G43" s="14"/>
      <c r="M43" s="536"/>
    </row>
    <row r="44" spans="1:13">
      <c r="A44" t="s">
        <v>2293</v>
      </c>
      <c r="B44" s="428" t="s">
        <v>166</v>
      </c>
      <c r="C44" t="s">
        <v>2294</v>
      </c>
      <c r="D44" s="17" t="s">
        <v>2151</v>
      </c>
      <c r="E44" s="442" t="s">
        <v>2295</v>
      </c>
      <c r="F44" s="442"/>
      <c r="G44" s="14"/>
      <c r="M44" s="536"/>
    </row>
    <row r="45" spans="1:13">
      <c r="A45" t="s">
        <v>2296</v>
      </c>
      <c r="B45" s="428" t="s">
        <v>2297</v>
      </c>
      <c r="C45" t="s">
        <v>2298</v>
      </c>
      <c r="D45" s="17" t="s">
        <v>2151</v>
      </c>
      <c r="E45" s="442" t="s">
        <v>2299</v>
      </c>
      <c r="F45" s="442"/>
      <c r="G45" s="14"/>
      <c r="M45" s="536"/>
    </row>
    <row r="46" spans="1:13">
      <c r="A46" t="s">
        <v>2300</v>
      </c>
      <c r="B46" s="428" t="s">
        <v>2301</v>
      </c>
      <c r="C46" t="s">
        <v>2302</v>
      </c>
      <c r="D46" s="17" t="s">
        <v>2151</v>
      </c>
      <c r="E46" s="442" t="s">
        <v>2303</v>
      </c>
      <c r="F46" s="442"/>
      <c r="G46" s="14"/>
    </row>
    <row r="47" spans="1:13">
      <c r="A47" t="s">
        <v>2304</v>
      </c>
      <c r="B47" s="428" t="s">
        <v>167</v>
      </c>
      <c r="C47" t="s">
        <v>2305</v>
      </c>
      <c r="D47" s="17" t="s">
        <v>2151</v>
      </c>
      <c r="E47" s="14" t="s">
        <v>2306</v>
      </c>
      <c r="F47" s="442"/>
      <c r="G47" s="442"/>
    </row>
    <row r="48" spans="1:13">
      <c r="A48" t="s">
        <v>2307</v>
      </c>
      <c r="B48" s="428" t="s">
        <v>2105</v>
      </c>
      <c r="C48" t="s">
        <v>2308</v>
      </c>
      <c r="D48" s="17" t="s">
        <v>2151</v>
      </c>
      <c r="E48" t="s">
        <v>2309</v>
      </c>
      <c r="F48" s="442"/>
      <c r="G48" s="14"/>
    </row>
    <row r="49" spans="1:13">
      <c r="A49" t="s">
        <v>2310</v>
      </c>
      <c r="B49" s="428" t="s">
        <v>2311</v>
      </c>
      <c r="C49" t="s">
        <v>2312</v>
      </c>
      <c r="D49" s="17" t="s">
        <v>2151</v>
      </c>
      <c r="E49" s="442" t="s">
        <v>2313</v>
      </c>
      <c r="F49" s="442"/>
      <c r="G49" s="14"/>
      <c r="M49" s="536"/>
    </row>
    <row r="50" spans="1:13">
      <c r="A50" t="s">
        <v>2314</v>
      </c>
      <c r="B50" s="428" t="s">
        <v>170</v>
      </c>
      <c r="C50" t="s">
        <v>2315</v>
      </c>
      <c r="D50" s="17" t="s">
        <v>2151</v>
      </c>
      <c r="E50" s="442" t="s">
        <v>2316</v>
      </c>
      <c r="F50" s="442"/>
      <c r="G50" s="14"/>
      <c r="M50" s="536"/>
    </row>
    <row r="51" spans="1:13" ht="12" customHeight="1">
      <c r="A51" t="s">
        <v>2317</v>
      </c>
      <c r="B51" s="428" t="s">
        <v>2318</v>
      </c>
      <c r="C51" t="s">
        <v>2319</v>
      </c>
      <c r="D51" s="17" t="s">
        <v>2151</v>
      </c>
      <c r="E51" s="442" t="s">
        <v>2320</v>
      </c>
      <c r="F51" s="442"/>
      <c r="G51" s="14"/>
      <c r="M51" s="536"/>
    </row>
    <row r="52" spans="1:13">
      <c r="A52" t="s">
        <v>2321</v>
      </c>
      <c r="B52" s="428" t="s">
        <v>2322</v>
      </c>
      <c r="C52" t="s">
        <v>2323</v>
      </c>
      <c r="D52" s="17">
        <v>25</v>
      </c>
      <c r="E52" s="442" t="s">
        <v>2324</v>
      </c>
      <c r="G52" s="14"/>
      <c r="M52" s="536"/>
    </row>
    <row r="53" spans="1:13">
      <c r="A53" t="s">
        <v>2325</v>
      </c>
      <c r="B53" s="428" t="s">
        <v>2326</v>
      </c>
      <c r="C53" t="s">
        <v>2327</v>
      </c>
      <c r="D53" s="17" t="s">
        <v>2151</v>
      </c>
      <c r="E53" s="442" t="s">
        <v>2328</v>
      </c>
      <c r="G53" s="14"/>
      <c r="M53" s="536"/>
    </row>
    <row r="54" spans="1:13">
      <c r="A54" t="s">
        <v>2329</v>
      </c>
      <c r="B54" s="428" t="s">
        <v>2330</v>
      </c>
      <c r="C54" t="s">
        <v>2331</v>
      </c>
      <c r="D54" s="17" t="s">
        <v>2151</v>
      </c>
      <c r="E54" s="442" t="s">
        <v>2332</v>
      </c>
      <c r="G54" s="14"/>
      <c r="M54" s="536"/>
    </row>
    <row r="55" spans="1:13">
      <c r="A55" t="s">
        <v>2333</v>
      </c>
      <c r="B55" s="428" t="s">
        <v>152</v>
      </c>
      <c r="C55" t="s">
        <v>2334</v>
      </c>
      <c r="D55" s="17" t="s">
        <v>2151</v>
      </c>
      <c r="E55" t="s">
        <v>2335</v>
      </c>
      <c r="G55" s="14"/>
    </row>
    <row r="56" spans="1:13">
      <c r="A56" t="s">
        <v>2336</v>
      </c>
      <c r="B56" s="428" t="s">
        <v>2228</v>
      </c>
      <c r="C56" t="s">
        <v>2337</v>
      </c>
      <c r="D56" s="17">
        <v>40</v>
      </c>
      <c r="E56" t="s">
        <v>2338</v>
      </c>
      <c r="G56" s="14"/>
    </row>
    <row r="57" spans="1:13">
      <c r="E57" s="14"/>
      <c r="F57" s="442"/>
      <c r="G57" s="14"/>
    </row>
    <row r="58" spans="1:13">
      <c r="E58" s="14"/>
      <c r="F58" s="442"/>
      <c r="G58" s="14"/>
    </row>
    <row r="59" spans="1:13">
      <c r="A59" t="s">
        <v>2151</v>
      </c>
      <c r="D59" s="17" t="s">
        <v>2151</v>
      </c>
      <c r="F59" s="442"/>
      <c r="G59" s="14"/>
    </row>
    <row r="60" spans="1:13">
      <c r="A60" t="s">
        <v>2151</v>
      </c>
      <c r="D60" s="17" t="s">
        <v>2151</v>
      </c>
      <c r="F60" s="442"/>
      <c r="G60" s="14"/>
    </row>
    <row r="61" spans="1:13">
      <c r="A61" t="s">
        <v>2339</v>
      </c>
      <c r="B61" s="428" t="s">
        <v>2340</v>
      </c>
      <c r="C61" t="s">
        <v>2341</v>
      </c>
      <c r="D61" s="17" t="s">
        <v>2151</v>
      </c>
      <c r="E61" t="s">
        <v>2342</v>
      </c>
      <c r="F61" s="442"/>
      <c r="G61" s="14"/>
    </row>
    <row r="62" spans="1:13">
      <c r="A62" t="s">
        <v>2343</v>
      </c>
      <c r="B62" s="428" t="s">
        <v>179</v>
      </c>
      <c r="C62" t="s">
        <v>2344</v>
      </c>
      <c r="D62" s="17" t="s">
        <v>2151</v>
      </c>
      <c r="E62" t="s">
        <v>2345</v>
      </c>
      <c r="F62" s="442"/>
      <c r="G62" s="14"/>
    </row>
    <row r="63" spans="1:13">
      <c r="A63" t="s">
        <v>2346</v>
      </c>
      <c r="B63" s="428" t="s">
        <v>2347</v>
      </c>
      <c r="C63" t="s">
        <v>2348</v>
      </c>
      <c r="D63" s="17" t="s">
        <v>2151</v>
      </c>
      <c r="E63" t="s">
        <v>2349</v>
      </c>
      <c r="F63" s="442"/>
      <c r="G63" s="14"/>
    </row>
    <row r="64" spans="1:13">
      <c r="A64" t="s">
        <v>2350</v>
      </c>
      <c r="B64" s="428" t="s">
        <v>2107</v>
      </c>
      <c r="C64" t="s">
        <v>2351</v>
      </c>
      <c r="D64" s="17" t="s">
        <v>2151</v>
      </c>
      <c r="E64" t="s">
        <v>2352</v>
      </c>
      <c r="G64" s="14"/>
    </row>
    <row r="65" spans="1:7">
      <c r="A65" t="s">
        <v>2353</v>
      </c>
      <c r="B65" s="428" t="s">
        <v>2354</v>
      </c>
      <c r="C65" t="s">
        <v>2355</v>
      </c>
      <c r="D65" s="17" t="s">
        <v>2151</v>
      </c>
      <c r="E65" t="s">
        <v>2356</v>
      </c>
      <c r="F65" s="442"/>
      <c r="G65" s="14"/>
    </row>
    <row r="66" spans="1:7">
      <c r="A66" t="s">
        <v>2357</v>
      </c>
      <c r="B66" s="428" t="s">
        <v>2358</v>
      </c>
      <c r="C66" t="s">
        <v>2359</v>
      </c>
      <c r="D66" s="17" t="s">
        <v>2151</v>
      </c>
      <c r="E66" t="s">
        <v>2360</v>
      </c>
      <c r="F66" s="442"/>
      <c r="G66" s="14"/>
    </row>
    <row r="67" spans="1:7">
      <c r="A67" t="s">
        <v>2361</v>
      </c>
      <c r="B67" s="428" t="s">
        <v>2362</v>
      </c>
      <c r="C67" t="s">
        <v>2363</v>
      </c>
      <c r="D67" s="17" t="s">
        <v>2151</v>
      </c>
      <c r="E67" t="s">
        <v>2364</v>
      </c>
      <c r="G67" s="14"/>
    </row>
    <row r="68" spans="1:7">
      <c r="A68" t="s">
        <v>2365</v>
      </c>
      <c r="B68" s="428" t="s">
        <v>182</v>
      </c>
      <c r="C68" t="s">
        <v>2366</v>
      </c>
      <c r="D68" s="17" t="s">
        <v>2151</v>
      </c>
      <c r="E68" t="s">
        <v>2367</v>
      </c>
      <c r="F68" s="442"/>
      <c r="G68" s="14"/>
    </row>
    <row r="69" spans="1:7">
      <c r="A69" t="s">
        <v>2368</v>
      </c>
      <c r="B69" s="428" t="s">
        <v>184</v>
      </c>
      <c r="C69" t="s">
        <v>2369</v>
      </c>
      <c r="D69" s="17" t="s">
        <v>2151</v>
      </c>
      <c r="E69" t="s">
        <v>2370</v>
      </c>
      <c r="F69" s="442"/>
      <c r="G69" s="14"/>
    </row>
    <row r="70" spans="1:7">
      <c r="A70" t="s">
        <v>2371</v>
      </c>
      <c r="B70" s="428" t="s">
        <v>185</v>
      </c>
      <c r="C70" t="s">
        <v>2372</v>
      </c>
      <c r="D70" s="17" t="s">
        <v>2151</v>
      </c>
      <c r="E70" t="s">
        <v>2373</v>
      </c>
      <c r="F70" s="442"/>
      <c r="G70" s="14"/>
    </row>
    <row r="71" spans="1:7">
      <c r="A71" t="s">
        <v>2374</v>
      </c>
      <c r="B71" s="428" t="s">
        <v>2375</v>
      </c>
      <c r="C71" t="s">
        <v>2376</v>
      </c>
      <c r="D71" s="17" t="s">
        <v>2151</v>
      </c>
      <c r="E71" t="s">
        <v>2377</v>
      </c>
      <c r="F71" s="442"/>
      <c r="G71" s="14"/>
    </row>
    <row r="72" spans="1:7">
      <c r="A72" t="s">
        <v>2378</v>
      </c>
      <c r="B72" s="428" t="s">
        <v>186</v>
      </c>
      <c r="C72" t="s">
        <v>2379</v>
      </c>
      <c r="D72" s="17" t="s">
        <v>2151</v>
      </c>
      <c r="E72" t="s">
        <v>2380</v>
      </c>
      <c r="G72" s="14"/>
    </row>
    <row r="73" spans="1:7">
      <c r="A73" t="s">
        <v>2381</v>
      </c>
      <c r="B73" s="428" t="s">
        <v>2382</v>
      </c>
      <c r="C73" t="s">
        <v>2383</v>
      </c>
      <c r="D73" s="17" t="s">
        <v>2151</v>
      </c>
      <c r="E73" t="s">
        <v>2384</v>
      </c>
      <c r="F73" s="442"/>
      <c r="G73" s="14"/>
    </row>
    <row r="74" spans="1:7">
      <c r="A74" t="s">
        <v>2385</v>
      </c>
      <c r="B74" s="428" t="s">
        <v>2386</v>
      </c>
      <c r="C74" t="s">
        <v>2387</v>
      </c>
      <c r="D74" s="17" t="s">
        <v>2151</v>
      </c>
      <c r="E74" t="s">
        <v>2388</v>
      </c>
      <c r="F74" s="442"/>
      <c r="G74" s="14"/>
    </row>
    <row r="75" spans="1:7">
      <c r="A75" t="s">
        <v>2389</v>
      </c>
      <c r="B75" s="428" t="s">
        <v>187</v>
      </c>
      <c r="C75" t="s">
        <v>2390</v>
      </c>
      <c r="D75" s="17" t="s">
        <v>2151</v>
      </c>
      <c r="E75" t="s">
        <v>2391</v>
      </c>
      <c r="F75" s="442"/>
      <c r="G75" s="14"/>
    </row>
    <row r="76" spans="1:7">
      <c r="A76" t="s">
        <v>2392</v>
      </c>
      <c r="B76" s="428" t="s">
        <v>2393</v>
      </c>
      <c r="C76" t="s">
        <v>2394</v>
      </c>
      <c r="D76" s="17">
        <v>25</v>
      </c>
      <c r="E76" t="s">
        <v>2395</v>
      </c>
      <c r="F76" s="442"/>
      <c r="G76" s="14"/>
    </row>
    <row r="77" spans="1:7">
      <c r="A77" t="s">
        <v>2396</v>
      </c>
      <c r="B77" s="428" t="s">
        <v>189</v>
      </c>
      <c r="C77" t="s">
        <v>2397</v>
      </c>
      <c r="D77" s="17">
        <v>25</v>
      </c>
      <c r="E77" t="s">
        <v>2398</v>
      </c>
      <c r="F77" s="442"/>
      <c r="G77" s="14"/>
    </row>
    <row r="78" spans="1:7">
      <c r="A78" t="s">
        <v>2399</v>
      </c>
      <c r="B78" s="428" t="s">
        <v>190</v>
      </c>
      <c r="C78" t="s">
        <v>2400</v>
      </c>
      <c r="D78" s="17" t="s">
        <v>2151</v>
      </c>
      <c r="E78" t="s">
        <v>2401</v>
      </c>
      <c r="F78" s="442"/>
      <c r="G78" s="14"/>
    </row>
    <row r="79" spans="1:7">
      <c r="F79" s="442"/>
      <c r="G79" s="14"/>
    </row>
    <row r="80" spans="1:7">
      <c r="D80" s="17" t="s">
        <v>2151</v>
      </c>
      <c r="F80" s="442"/>
      <c r="G80" s="14"/>
    </row>
    <row r="81" spans="1:7">
      <c r="D81" s="17" t="s">
        <v>2151</v>
      </c>
      <c r="F81" s="442"/>
      <c r="G81" s="14"/>
    </row>
    <row r="82" spans="1:7">
      <c r="A82" t="s">
        <v>2402</v>
      </c>
      <c r="B82" s="428" t="s">
        <v>2145</v>
      </c>
      <c r="C82" t="s">
        <v>2403</v>
      </c>
      <c r="D82" s="17" t="s">
        <v>2151</v>
      </c>
      <c r="E82" t="s">
        <v>2404</v>
      </c>
    </row>
    <row r="83" spans="1:7">
      <c r="A83" t="s">
        <v>2405</v>
      </c>
      <c r="B83" s="428" t="s">
        <v>2146</v>
      </c>
      <c r="C83" t="s">
        <v>2406</v>
      </c>
      <c r="D83" s="17" t="s">
        <v>2151</v>
      </c>
      <c r="E83" t="s">
        <v>2407</v>
      </c>
    </row>
    <row r="84" spans="1:7">
      <c r="A84" t="s">
        <v>2408</v>
      </c>
      <c r="B84" s="428" t="s">
        <v>2409</v>
      </c>
      <c r="C84" t="s">
        <v>2410</v>
      </c>
      <c r="D84" s="17" t="s">
        <v>2151</v>
      </c>
      <c r="E84" t="s">
        <v>2411</v>
      </c>
    </row>
    <row r="85" spans="1:7">
      <c r="A85" t="s">
        <v>2412</v>
      </c>
      <c r="B85" s="428" t="s">
        <v>227</v>
      </c>
      <c r="C85" t="s">
        <v>2413</v>
      </c>
      <c r="D85" s="17" t="s">
        <v>2151</v>
      </c>
      <c r="E85" t="s">
        <v>2414</v>
      </c>
    </row>
    <row r="86" spans="1:7">
      <c r="A86" t="s">
        <v>2415</v>
      </c>
      <c r="B86" s="428" t="s">
        <v>231</v>
      </c>
      <c r="C86" t="s">
        <v>2416</v>
      </c>
      <c r="D86" s="17" t="s">
        <v>2151</v>
      </c>
      <c r="E86" t="s">
        <v>2417</v>
      </c>
    </row>
    <row r="87" spans="1:7">
      <c r="A87" t="s">
        <v>2418</v>
      </c>
      <c r="B87" s="428" t="s">
        <v>233</v>
      </c>
      <c r="C87" t="s">
        <v>2419</v>
      </c>
      <c r="D87" s="17" t="s">
        <v>2151</v>
      </c>
      <c r="E87" t="s">
        <v>2420</v>
      </c>
    </row>
    <row r="88" spans="1:7">
      <c r="A88" t="s">
        <v>2421</v>
      </c>
      <c r="B88" s="428" t="s">
        <v>234</v>
      </c>
      <c r="C88" t="s">
        <v>2422</v>
      </c>
      <c r="D88" s="17" t="s">
        <v>2151</v>
      </c>
      <c r="E88" t="s">
        <v>2423</v>
      </c>
    </row>
    <row r="89" spans="1:7">
      <c r="A89" t="s">
        <v>2424</v>
      </c>
      <c r="B89" s="428" t="s">
        <v>236</v>
      </c>
      <c r="C89" t="s">
        <v>2425</v>
      </c>
      <c r="D89" s="17" t="s">
        <v>2151</v>
      </c>
      <c r="E89" t="s">
        <v>2426</v>
      </c>
    </row>
    <row r="90" spans="1:7">
      <c r="A90" t="s">
        <v>2427</v>
      </c>
      <c r="B90" s="428" t="s">
        <v>237</v>
      </c>
      <c r="C90" t="s">
        <v>2428</v>
      </c>
      <c r="D90" s="17" t="s">
        <v>2151</v>
      </c>
      <c r="E90" t="s">
        <v>2429</v>
      </c>
    </row>
    <row r="91" spans="1:7">
      <c r="A91" t="s">
        <v>2430</v>
      </c>
      <c r="B91" s="428" t="s">
        <v>238</v>
      </c>
      <c r="C91" t="s">
        <v>2431</v>
      </c>
      <c r="D91" s="17" t="s">
        <v>2151</v>
      </c>
      <c r="E91" t="s">
        <v>2432</v>
      </c>
    </row>
    <row r="92" spans="1:7">
      <c r="A92" t="s">
        <v>2433</v>
      </c>
      <c r="B92" s="428" t="s">
        <v>239</v>
      </c>
      <c r="C92" t="s">
        <v>2434</v>
      </c>
      <c r="D92" s="17" t="s">
        <v>2151</v>
      </c>
      <c r="E92" t="s">
        <v>2435</v>
      </c>
    </row>
    <row r="93" spans="1:7">
      <c r="A93" t="s">
        <v>2436</v>
      </c>
      <c r="B93" s="428" t="s">
        <v>240</v>
      </c>
      <c r="C93" t="s">
        <v>2437</v>
      </c>
      <c r="D93" s="17" t="s">
        <v>2151</v>
      </c>
      <c r="E93" t="s">
        <v>2438</v>
      </c>
    </row>
    <row r="94" spans="1:7">
      <c r="A94" t="s">
        <v>2439</v>
      </c>
      <c r="B94" s="428" t="s">
        <v>244</v>
      </c>
      <c r="C94" t="s">
        <v>2440</v>
      </c>
      <c r="D94" s="17" t="s">
        <v>2151</v>
      </c>
      <c r="E94" t="s">
        <v>2441</v>
      </c>
    </row>
    <row r="95" spans="1:7">
      <c r="A95" t="s">
        <v>2442</v>
      </c>
      <c r="B95" s="428" t="s">
        <v>242</v>
      </c>
      <c r="C95" t="s">
        <v>2443</v>
      </c>
      <c r="D95" s="17" t="s">
        <v>2151</v>
      </c>
      <c r="E95" t="s">
        <v>2444</v>
      </c>
    </row>
    <row r="96" spans="1:7">
      <c r="A96" t="s">
        <v>2445</v>
      </c>
      <c r="B96" s="428" t="s">
        <v>228</v>
      </c>
      <c r="C96" t="s">
        <v>2446</v>
      </c>
      <c r="D96" s="17" t="s">
        <v>2151</v>
      </c>
      <c r="E96" t="s">
        <v>2447</v>
      </c>
    </row>
    <row r="97" spans="1:5">
      <c r="A97" t="s">
        <v>2448</v>
      </c>
      <c r="B97" s="428" t="s">
        <v>229</v>
      </c>
      <c r="C97" t="s">
        <v>2449</v>
      </c>
      <c r="D97" s="17" t="s">
        <v>2151</v>
      </c>
      <c r="E97" t="s">
        <v>2450</v>
      </c>
    </row>
    <row r="98" spans="1:5">
      <c r="A98" t="s">
        <v>2451</v>
      </c>
      <c r="B98" s="428" t="s">
        <v>193</v>
      </c>
      <c r="C98" t="s">
        <v>2452</v>
      </c>
      <c r="D98" s="17" t="s">
        <v>2151</v>
      </c>
      <c r="E98" t="s">
        <v>2453</v>
      </c>
    </row>
    <row r="99" spans="1:5">
      <c r="A99" t="s">
        <v>2454</v>
      </c>
      <c r="B99" s="428" t="s">
        <v>196</v>
      </c>
      <c r="C99" t="s">
        <v>2455</v>
      </c>
      <c r="D99" s="17" t="s">
        <v>2151</v>
      </c>
      <c r="E99" t="s">
        <v>2456</v>
      </c>
    </row>
    <row r="100" spans="1:5">
      <c r="A100" t="s">
        <v>2454</v>
      </c>
      <c r="B100" s="428" t="s">
        <v>196</v>
      </c>
      <c r="C100" t="s">
        <v>2455</v>
      </c>
      <c r="D100" s="17" t="s">
        <v>2151</v>
      </c>
      <c r="E100" t="s">
        <v>2457</v>
      </c>
    </row>
    <row r="101" spans="1:5">
      <c r="A101" t="s">
        <v>2458</v>
      </c>
      <c r="B101" s="428" t="s">
        <v>203</v>
      </c>
      <c r="C101" t="s">
        <v>2459</v>
      </c>
      <c r="D101" s="17" t="s">
        <v>2151</v>
      </c>
      <c r="E101" t="s">
        <v>2460</v>
      </c>
    </row>
    <row r="102" spans="1:5">
      <c r="A102" t="s">
        <v>2461</v>
      </c>
      <c r="B102" s="428" t="s">
        <v>204</v>
      </c>
      <c r="C102" t="s">
        <v>2462</v>
      </c>
      <c r="D102" s="17" t="s">
        <v>2151</v>
      </c>
      <c r="E102" t="s">
        <v>2463</v>
      </c>
    </row>
    <row r="103" spans="1:5">
      <c r="A103" t="s">
        <v>2464</v>
      </c>
      <c r="B103" s="428" t="s">
        <v>205</v>
      </c>
      <c r="C103" t="s">
        <v>2465</v>
      </c>
      <c r="D103" s="17" t="s">
        <v>2151</v>
      </c>
      <c r="E103" t="s">
        <v>2466</v>
      </c>
    </row>
    <row r="104" spans="1:5">
      <c r="A104" t="s">
        <v>2467</v>
      </c>
      <c r="B104" s="428" t="s">
        <v>211</v>
      </c>
      <c r="C104" t="s">
        <v>2468</v>
      </c>
      <c r="D104" s="17" t="s">
        <v>2151</v>
      </c>
      <c r="E104" t="s">
        <v>2469</v>
      </c>
    </row>
    <row r="105" spans="1:5">
      <c r="A105" t="s">
        <v>2467</v>
      </c>
      <c r="B105" s="428" t="s">
        <v>211</v>
      </c>
      <c r="C105" t="s">
        <v>2468</v>
      </c>
      <c r="D105" s="17" t="s">
        <v>2151</v>
      </c>
      <c r="E105" t="s">
        <v>2470</v>
      </c>
    </row>
    <row r="106" spans="1:5">
      <c r="A106" t="s">
        <v>2471</v>
      </c>
      <c r="B106" s="428" t="s">
        <v>212</v>
      </c>
      <c r="C106" t="s">
        <v>2472</v>
      </c>
      <c r="D106" s="17" t="s">
        <v>2151</v>
      </c>
      <c r="E106" t="s">
        <v>2473</v>
      </c>
    </row>
    <row r="107" spans="1:5">
      <c r="A107" t="s">
        <v>2474</v>
      </c>
      <c r="B107" s="428" t="s">
        <v>213</v>
      </c>
      <c r="C107" t="s">
        <v>2475</v>
      </c>
      <c r="D107" s="17" t="s">
        <v>2151</v>
      </c>
      <c r="E107" t="s">
        <v>2476</v>
      </c>
    </row>
    <row r="108" spans="1:5">
      <c r="A108" t="s">
        <v>2477</v>
      </c>
      <c r="B108" s="428" t="s">
        <v>207</v>
      </c>
      <c r="C108" t="s">
        <v>2478</v>
      </c>
      <c r="D108" s="17" t="s">
        <v>2151</v>
      </c>
      <c r="E108" t="s">
        <v>2479</v>
      </c>
    </row>
    <row r="109" spans="1:5">
      <c r="A109" t="s">
        <v>2480</v>
      </c>
      <c r="B109" s="428" t="s">
        <v>206</v>
      </c>
      <c r="C109" t="s">
        <v>2481</v>
      </c>
      <c r="D109" s="17" t="s">
        <v>2151</v>
      </c>
      <c r="E109" t="s">
        <v>2482</v>
      </c>
    </row>
    <row r="110" spans="1:5">
      <c r="A110" t="s">
        <v>2483</v>
      </c>
    </row>
    <row r="111" spans="1:5">
      <c r="D111" s="17" t="s">
        <v>2151</v>
      </c>
    </row>
    <row r="112" spans="1:5">
      <c r="D112" s="17" t="s">
        <v>2151</v>
      </c>
    </row>
    <row r="113" spans="1:5">
      <c r="D113" s="17" t="s">
        <v>2151</v>
      </c>
    </row>
    <row r="114" spans="1:5">
      <c r="A114" t="s">
        <v>2484</v>
      </c>
      <c r="B114" s="428" t="s">
        <v>2485</v>
      </c>
      <c r="C114" t="s">
        <v>2486</v>
      </c>
      <c r="D114" s="17" t="s">
        <v>2151</v>
      </c>
      <c r="E114" t="s">
        <v>2487</v>
      </c>
    </row>
    <row r="115" spans="1:5">
      <c r="A115" t="s">
        <v>2488</v>
      </c>
      <c r="B115" s="428" t="s">
        <v>2489</v>
      </c>
      <c r="C115" t="s">
        <v>2490</v>
      </c>
      <c r="D115" s="17" t="s">
        <v>2151</v>
      </c>
      <c r="E115" t="s">
        <v>2491</v>
      </c>
    </row>
    <row r="116" spans="1:5">
      <c r="A116" t="s">
        <v>2492</v>
      </c>
      <c r="B116" s="428" t="s">
        <v>2493</v>
      </c>
      <c r="C116" t="s">
        <v>2494</v>
      </c>
      <c r="D116" s="17" t="s">
        <v>2151</v>
      </c>
      <c r="E116" t="s">
        <v>2495</v>
      </c>
    </row>
    <row r="117" spans="1:5">
      <c r="A117" t="s">
        <v>2496</v>
      </c>
      <c r="B117" s="428" t="s">
        <v>2497</v>
      </c>
      <c r="C117" t="s">
        <v>2498</v>
      </c>
      <c r="D117" s="17" t="s">
        <v>2151</v>
      </c>
      <c r="E117" t="s">
        <v>2499</v>
      </c>
    </row>
    <row r="118" spans="1:5">
      <c r="A118" t="s">
        <v>2500</v>
      </c>
      <c r="B118" s="428" t="s">
        <v>2501</v>
      </c>
      <c r="C118" t="s">
        <v>2502</v>
      </c>
      <c r="D118" s="17" t="s">
        <v>2151</v>
      </c>
      <c r="E118" t="s">
        <v>2503</v>
      </c>
    </row>
    <row r="119" spans="1:5">
      <c r="C119" t="s">
        <v>2504</v>
      </c>
      <c r="D119" s="17">
        <v>25</v>
      </c>
      <c r="E119" t="s">
        <v>2505</v>
      </c>
    </row>
    <row r="120" spans="1:5">
      <c r="A120" t="s">
        <v>2506</v>
      </c>
      <c r="B120" s="428" t="s">
        <v>2507</v>
      </c>
      <c r="C120" t="s">
        <v>2508</v>
      </c>
      <c r="D120" s="17" t="s">
        <v>2151</v>
      </c>
      <c r="E120" t="s">
        <v>2509</v>
      </c>
    </row>
    <row r="121" spans="1:5">
      <c r="A121" t="s">
        <v>2510</v>
      </c>
      <c r="B121" s="428" t="s">
        <v>2511</v>
      </c>
      <c r="C121" t="s">
        <v>2512</v>
      </c>
      <c r="D121" s="17" t="s">
        <v>2151</v>
      </c>
      <c r="E121" t="s">
        <v>2513</v>
      </c>
    </row>
    <row r="122" spans="1:5">
      <c r="A122" t="s">
        <v>2514</v>
      </c>
      <c r="B122" s="428" t="s">
        <v>2515</v>
      </c>
      <c r="C122" t="s">
        <v>2516</v>
      </c>
      <c r="D122" s="17" t="s">
        <v>2151</v>
      </c>
      <c r="E122" t="s">
        <v>2517</v>
      </c>
    </row>
    <row r="123" spans="1:5">
      <c r="A123" t="s">
        <v>2518</v>
      </c>
      <c r="B123" s="428" t="s">
        <v>2519</v>
      </c>
      <c r="C123" t="s">
        <v>2520</v>
      </c>
      <c r="D123" s="17" t="s">
        <v>2151</v>
      </c>
      <c r="E123" t="s">
        <v>2521</v>
      </c>
    </row>
    <row r="124" spans="1:5">
      <c r="C124" t="s">
        <v>2520</v>
      </c>
      <c r="E124" t="s">
        <v>2521</v>
      </c>
    </row>
    <row r="127" spans="1:5">
      <c r="A127" t="s">
        <v>2522</v>
      </c>
      <c r="B127" s="428" t="s">
        <v>2523</v>
      </c>
      <c r="C127" t="s">
        <v>2524</v>
      </c>
      <c r="D127" s="17" t="s">
        <v>2151</v>
      </c>
      <c r="E127" t="s">
        <v>2525</v>
      </c>
    </row>
    <row r="128" spans="1:5">
      <c r="A128" t="s">
        <v>2526</v>
      </c>
      <c r="B128" s="428" t="s">
        <v>2527</v>
      </c>
      <c r="C128" t="s">
        <v>2528</v>
      </c>
      <c r="D128" s="17" t="s">
        <v>2151</v>
      </c>
      <c r="E128" t="s">
        <v>2529</v>
      </c>
    </row>
    <row r="129" spans="1:5">
      <c r="A129" t="s">
        <v>2530</v>
      </c>
      <c r="B129" s="428" t="s">
        <v>249</v>
      </c>
      <c r="C129" t="s">
        <v>2531</v>
      </c>
      <c r="D129" s="17" t="s">
        <v>2151</v>
      </c>
      <c r="E129" t="s">
        <v>2532</v>
      </c>
    </row>
    <row r="130" spans="1:5">
      <c r="A130" t="s">
        <v>2533</v>
      </c>
      <c r="B130" s="428" t="s">
        <v>2534</v>
      </c>
      <c r="C130" t="s">
        <v>2535</v>
      </c>
      <c r="D130" s="17" t="s">
        <v>2151</v>
      </c>
      <c r="E130" t="s">
        <v>2536</v>
      </c>
    </row>
    <row r="131" spans="1:5">
      <c r="A131" t="s">
        <v>2537</v>
      </c>
      <c r="B131" s="428" t="s">
        <v>2538</v>
      </c>
      <c r="C131" t="s">
        <v>2539</v>
      </c>
      <c r="D131" s="17" t="s">
        <v>2151</v>
      </c>
      <c r="E131" t="s">
        <v>2540</v>
      </c>
    </row>
    <row r="135" spans="1:5">
      <c r="A135" t="s">
        <v>2541</v>
      </c>
      <c r="B135" s="428" t="s">
        <v>263</v>
      </c>
      <c r="C135" t="s">
        <v>2542</v>
      </c>
      <c r="D135" s="17">
        <v>50</v>
      </c>
      <c r="E135" t="s">
        <v>2543</v>
      </c>
    </row>
    <row r="136" spans="1:5">
      <c r="A136" t="s">
        <v>2544</v>
      </c>
      <c r="B136" s="428" t="s">
        <v>282</v>
      </c>
      <c r="C136" t="s">
        <v>2545</v>
      </c>
      <c r="D136" s="17">
        <v>50</v>
      </c>
      <c r="E136" t="s">
        <v>2546</v>
      </c>
    </row>
    <row r="137" spans="1:5">
      <c r="A137" t="s">
        <v>2547</v>
      </c>
      <c r="B137" s="428" t="s">
        <v>299</v>
      </c>
      <c r="C137" t="s">
        <v>2548</v>
      </c>
      <c r="D137" s="17">
        <v>50</v>
      </c>
      <c r="E137" t="s">
        <v>2549</v>
      </c>
    </row>
    <row r="138" spans="1:5">
      <c r="A138" t="s">
        <v>2550</v>
      </c>
      <c r="B138" s="428" t="s">
        <v>309</v>
      </c>
      <c r="C138" t="s">
        <v>2551</v>
      </c>
      <c r="D138" s="17">
        <v>50</v>
      </c>
      <c r="E138" t="s">
        <v>2552</v>
      </c>
    </row>
    <row r="139" spans="1:5">
      <c r="A139" t="s">
        <v>2553</v>
      </c>
      <c r="B139" s="428" t="s">
        <v>322</v>
      </c>
      <c r="C139" t="s">
        <v>2554</v>
      </c>
      <c r="D139" s="17">
        <v>50</v>
      </c>
      <c r="E139" t="s">
        <v>2555</v>
      </c>
    </row>
    <row r="140" spans="1:5">
      <c r="A140" t="s">
        <v>2556</v>
      </c>
      <c r="B140" s="428" t="s">
        <v>324</v>
      </c>
      <c r="C140" t="s">
        <v>2557</v>
      </c>
      <c r="D140" s="17">
        <v>50</v>
      </c>
      <c r="E140" t="s">
        <v>2558</v>
      </c>
    </row>
    <row r="141" spans="1:5">
      <c r="A141" t="s">
        <v>2559</v>
      </c>
      <c r="B141" s="428" t="s">
        <v>329</v>
      </c>
      <c r="C141" t="s">
        <v>2560</v>
      </c>
      <c r="D141" s="17">
        <v>50</v>
      </c>
      <c r="E141" t="s">
        <v>2561</v>
      </c>
    </row>
    <row r="142" spans="1:5">
      <c r="A142" t="s">
        <v>2562</v>
      </c>
      <c r="B142" s="428" t="s">
        <v>344</v>
      </c>
      <c r="C142" t="s">
        <v>2563</v>
      </c>
      <c r="D142" s="17">
        <v>50</v>
      </c>
      <c r="E142" t="s">
        <v>2564</v>
      </c>
    </row>
    <row r="143" spans="1:5">
      <c r="A143" t="s">
        <v>2565</v>
      </c>
      <c r="B143" s="428" t="s">
        <v>356</v>
      </c>
      <c r="C143" t="s">
        <v>2566</v>
      </c>
      <c r="D143" s="17">
        <v>50</v>
      </c>
      <c r="E143" t="s">
        <v>2567</v>
      </c>
    </row>
    <row r="144" spans="1:5">
      <c r="A144" t="s">
        <v>2568</v>
      </c>
      <c r="B144" s="428" t="s">
        <v>368</v>
      </c>
      <c r="C144" t="s">
        <v>2569</v>
      </c>
      <c r="D144" s="17">
        <v>50</v>
      </c>
      <c r="E144" t="s">
        <v>2570</v>
      </c>
    </row>
    <row r="145" spans="1:5">
      <c r="A145" t="s">
        <v>2571</v>
      </c>
      <c r="B145" s="428" t="s">
        <v>382</v>
      </c>
      <c r="C145" t="s">
        <v>2572</v>
      </c>
      <c r="D145" s="17">
        <v>50</v>
      </c>
      <c r="E145" t="s">
        <v>2573</v>
      </c>
    </row>
    <row r="146" spans="1:5">
      <c r="A146" t="s">
        <v>2574</v>
      </c>
      <c r="B146" s="428" t="s">
        <v>393</v>
      </c>
      <c r="C146" t="s">
        <v>2575</v>
      </c>
      <c r="D146" s="17">
        <v>50</v>
      </c>
      <c r="E146" t="s">
        <v>2576</v>
      </c>
    </row>
    <row r="147" spans="1:5">
      <c r="A147" t="s">
        <v>2577</v>
      </c>
      <c r="B147" s="428" t="s">
        <v>403</v>
      </c>
      <c r="C147" t="s">
        <v>2578</v>
      </c>
      <c r="D147" s="17">
        <v>50</v>
      </c>
      <c r="E147" t="s">
        <v>2579</v>
      </c>
    </row>
    <row r="148" spans="1:5">
      <c r="A148" t="s">
        <v>2580</v>
      </c>
      <c r="B148" s="428" t="s">
        <v>410</v>
      </c>
      <c r="C148" t="s">
        <v>2581</v>
      </c>
      <c r="D148" s="17">
        <v>50</v>
      </c>
      <c r="E148" t="s">
        <v>2582</v>
      </c>
    </row>
    <row r="149" spans="1:5">
      <c r="A149" t="s">
        <v>2583</v>
      </c>
      <c r="B149" s="428" t="s">
        <v>413</v>
      </c>
      <c r="C149" t="s">
        <v>2584</v>
      </c>
      <c r="D149" s="17">
        <v>50</v>
      </c>
      <c r="E149" t="s">
        <v>2585</v>
      </c>
    </row>
    <row r="150" spans="1:5">
      <c r="A150" t="s">
        <v>2586</v>
      </c>
      <c r="B150" s="428" t="s">
        <v>419</v>
      </c>
      <c r="C150" t="s">
        <v>2587</v>
      </c>
      <c r="D150" s="17">
        <v>50</v>
      </c>
      <c r="E150" t="s">
        <v>2588</v>
      </c>
    </row>
    <row r="151" spans="1:5">
      <c r="A151" t="s">
        <v>2589</v>
      </c>
      <c r="B151" s="428" t="s">
        <v>426</v>
      </c>
      <c r="C151" t="s">
        <v>2590</v>
      </c>
      <c r="D151" s="17">
        <v>50</v>
      </c>
      <c r="E151" t="s">
        <v>2591</v>
      </c>
    </row>
    <row r="152" spans="1:5">
      <c r="A152" t="s">
        <v>2483</v>
      </c>
    </row>
    <row r="153" spans="1:5">
      <c r="A153" t="s">
        <v>2483</v>
      </c>
    </row>
    <row r="154" spans="1:5">
      <c r="A154" t="s">
        <v>2483</v>
      </c>
      <c r="E154" t="s">
        <v>2592</v>
      </c>
    </row>
    <row r="155" spans="1:5">
      <c r="A155" t="s">
        <v>2483</v>
      </c>
      <c r="E155" t="s">
        <v>309</v>
      </c>
    </row>
    <row r="156" spans="1:5">
      <c r="A156" t="s">
        <v>2593</v>
      </c>
      <c r="B156" s="428" t="s">
        <v>301</v>
      </c>
      <c r="C156" t="s">
        <v>2548</v>
      </c>
      <c r="D156" s="17">
        <v>50</v>
      </c>
      <c r="E156" t="s">
        <v>2549</v>
      </c>
    </row>
    <row r="157" spans="1:5">
      <c r="A157" t="s">
        <v>2594</v>
      </c>
      <c r="B157" s="428" t="s">
        <v>266</v>
      </c>
      <c r="C157" t="s">
        <v>2542</v>
      </c>
      <c r="D157" s="17">
        <v>50</v>
      </c>
      <c r="E157" t="s">
        <v>2543</v>
      </c>
    </row>
    <row r="158" spans="1:5">
      <c r="A158" t="s">
        <v>2595</v>
      </c>
      <c r="B158" s="428" t="s">
        <v>285</v>
      </c>
      <c r="C158" t="s">
        <v>2545</v>
      </c>
      <c r="D158" s="17">
        <v>50</v>
      </c>
      <c r="E158" t="s">
        <v>2546</v>
      </c>
    </row>
    <row r="159" spans="1:5">
      <c r="A159" t="s">
        <v>2596</v>
      </c>
      <c r="B159" s="428" t="s">
        <v>308</v>
      </c>
      <c r="C159" t="s">
        <v>2551</v>
      </c>
      <c r="D159" s="17">
        <v>50</v>
      </c>
      <c r="E159" t="s">
        <v>2549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C2723-CCF8-489E-81C1-E420AC0B9F64}">
  <sheetPr codeName="Sheet13"/>
  <dimension ref="A2:O622"/>
  <sheetViews>
    <sheetView topLeftCell="A145" workbookViewId="0">
      <selection activeCell="D31" sqref="D31"/>
    </sheetView>
  </sheetViews>
  <sheetFormatPr defaultRowHeight="12.75"/>
  <cols>
    <col min="1" max="1" width="46.85546875" customWidth="1"/>
    <col min="3" max="3" width="9.140625" style="17"/>
    <col min="5" max="5" width="15.42578125" customWidth="1"/>
    <col min="7" max="7" width="27.28515625" customWidth="1"/>
    <col min="8" max="9" width="25" customWidth="1"/>
  </cols>
  <sheetData>
    <row r="2" spans="1:15">
      <c r="A2" s="807" t="s">
        <v>2597</v>
      </c>
      <c r="H2" s="14"/>
      <c r="K2" s="442"/>
    </row>
    <row r="3" spans="1:15">
      <c r="A3" s="807" t="s">
        <v>2598</v>
      </c>
      <c r="D3" s="14"/>
      <c r="K3" s="442"/>
    </row>
    <row r="4" spans="1:15">
      <c r="A4" s="807" t="s">
        <v>2599</v>
      </c>
      <c r="D4" s="14"/>
      <c r="H4" s="535"/>
      <c r="K4" s="442"/>
      <c r="O4" s="536"/>
    </row>
    <row r="5" spans="1:15">
      <c r="A5" s="807" t="s">
        <v>2600</v>
      </c>
      <c r="D5" s="14"/>
      <c r="H5" s="535"/>
      <c r="K5" s="442"/>
      <c r="O5" s="536"/>
    </row>
    <row r="6" spans="1:15">
      <c r="A6" s="807" t="s">
        <v>2601</v>
      </c>
      <c r="D6" s="14"/>
      <c r="H6" s="535"/>
      <c r="I6" s="535"/>
      <c r="K6" s="442"/>
      <c r="O6" s="536"/>
    </row>
    <row r="7" spans="1:15">
      <c r="A7" s="807" t="s">
        <v>2601</v>
      </c>
      <c r="D7" s="14"/>
      <c r="H7" s="535"/>
      <c r="I7" s="535"/>
      <c r="K7" s="442"/>
      <c r="O7" s="536"/>
    </row>
    <row r="8" spans="1:15">
      <c r="A8" s="807" t="s">
        <v>2602</v>
      </c>
      <c r="D8" s="14"/>
      <c r="H8" s="535"/>
      <c r="I8" s="535"/>
      <c r="K8" s="442"/>
      <c r="O8" s="536"/>
    </row>
    <row r="9" spans="1:15">
      <c r="A9" s="807" t="s">
        <v>2603</v>
      </c>
      <c r="C9" s="504"/>
      <c r="D9" s="14"/>
      <c r="H9" s="535"/>
      <c r="K9" s="442"/>
      <c r="O9" s="536"/>
    </row>
    <row r="10" spans="1:15">
      <c r="A10" s="807" t="s">
        <v>2604</v>
      </c>
      <c r="D10" s="14"/>
      <c r="H10" s="535"/>
      <c r="I10" s="535"/>
      <c r="K10" s="442"/>
      <c r="O10" s="536"/>
    </row>
    <row r="11" spans="1:15">
      <c r="A11" s="807" t="s">
        <v>2605</v>
      </c>
      <c r="D11" s="14"/>
      <c r="H11" s="535"/>
      <c r="I11" s="535"/>
      <c r="K11" s="442"/>
      <c r="M11" s="535"/>
      <c r="O11" s="536"/>
    </row>
    <row r="12" spans="1:15">
      <c r="A12" s="810" t="s">
        <v>2606</v>
      </c>
      <c r="C12" s="504"/>
      <c r="D12" s="14"/>
      <c r="H12" s="535"/>
      <c r="I12" s="535"/>
      <c r="K12" s="442"/>
      <c r="M12" s="535"/>
      <c r="N12" s="535"/>
      <c r="O12" s="536"/>
    </row>
    <row r="13" spans="1:15">
      <c r="A13" s="810" t="s">
        <v>2607</v>
      </c>
      <c r="C13" s="504"/>
      <c r="D13" s="14"/>
      <c r="H13" s="535"/>
      <c r="I13" s="535"/>
      <c r="K13" s="442"/>
      <c r="M13" s="535"/>
      <c r="O13" s="536"/>
    </row>
    <row r="14" spans="1:15">
      <c r="A14" s="810" t="s">
        <v>2608</v>
      </c>
      <c r="D14" s="14"/>
      <c r="H14" s="535"/>
      <c r="I14" s="535"/>
      <c r="K14" s="442"/>
      <c r="M14" s="535"/>
      <c r="N14" s="535"/>
      <c r="O14" s="536"/>
    </row>
    <row r="15" spans="1:15">
      <c r="A15" s="810" t="s">
        <v>2609</v>
      </c>
      <c r="D15" s="14"/>
      <c r="H15" s="535"/>
      <c r="I15" s="535"/>
      <c r="K15" s="442"/>
      <c r="M15" s="535"/>
      <c r="N15" s="535"/>
      <c r="O15" s="536"/>
    </row>
    <row r="16" spans="1:15">
      <c r="A16" s="575" t="s">
        <v>2610</v>
      </c>
      <c r="C16" s="504"/>
      <c r="D16" s="14"/>
      <c r="H16" s="535"/>
      <c r="I16" s="535"/>
      <c r="K16" s="442"/>
      <c r="M16" s="535"/>
      <c r="N16" s="535"/>
      <c r="O16" s="536"/>
    </row>
    <row r="17" spans="1:15">
      <c r="A17" s="575" t="s">
        <v>2611</v>
      </c>
      <c r="E17" s="503"/>
      <c r="K17" s="442"/>
      <c r="O17" s="536"/>
    </row>
    <row r="18" spans="1:15">
      <c r="A18" s="575" t="s">
        <v>2612</v>
      </c>
      <c r="K18" s="442"/>
      <c r="O18" s="536"/>
    </row>
    <row r="19" spans="1:15">
      <c r="A19" s="575" t="s">
        <v>2613</v>
      </c>
      <c r="E19" s="503"/>
      <c r="K19" s="442"/>
      <c r="O19" s="536"/>
    </row>
    <row r="20" spans="1:15">
      <c r="A20" s="575" t="s">
        <v>2614</v>
      </c>
      <c r="B20">
        <v>10004123110732</v>
      </c>
      <c r="C20" s="17" t="s">
        <v>393</v>
      </c>
      <c r="D20" s="14" t="s">
        <v>2099</v>
      </c>
      <c r="E20" t="s">
        <v>2615</v>
      </c>
      <c r="F20">
        <v>1510504600</v>
      </c>
      <c r="G20" t="s">
        <v>2616</v>
      </c>
      <c r="H20" s="535">
        <v>200</v>
      </c>
      <c r="I20">
        <v>200</v>
      </c>
      <c r="J20">
        <v>0</v>
      </c>
      <c r="K20" s="442">
        <v>10000</v>
      </c>
      <c r="L20">
        <v>21115521999250</v>
      </c>
      <c r="M20" t="s">
        <v>2099</v>
      </c>
      <c r="N20" t="s">
        <v>2617</v>
      </c>
      <c r="O20" s="536"/>
    </row>
    <row r="21" spans="1:15">
      <c r="A21" s="575" t="s">
        <v>2618</v>
      </c>
      <c r="B21">
        <v>10004123110731</v>
      </c>
      <c r="C21" s="17" t="s">
        <v>393</v>
      </c>
      <c r="D21" t="s">
        <v>2099</v>
      </c>
      <c r="E21" t="s">
        <v>2615</v>
      </c>
      <c r="F21">
        <v>1510515700</v>
      </c>
      <c r="G21" t="s">
        <v>2619</v>
      </c>
      <c r="H21">
        <v>489</v>
      </c>
      <c r="I21">
        <v>489</v>
      </c>
      <c r="J21">
        <v>0</v>
      </c>
      <c r="K21" s="442">
        <v>24450</v>
      </c>
      <c r="L21">
        <v>21115521999250</v>
      </c>
      <c r="M21" t="s">
        <v>2099</v>
      </c>
      <c r="N21" t="s">
        <v>2617</v>
      </c>
      <c r="O21" s="536"/>
    </row>
    <row r="22" spans="1:15">
      <c r="A22" s="575" t="s">
        <v>2620</v>
      </c>
      <c r="B22">
        <v>10004123110732</v>
      </c>
      <c r="C22" s="17" t="s">
        <v>393</v>
      </c>
      <c r="D22" t="s">
        <v>2099</v>
      </c>
      <c r="E22" s="503" t="s">
        <v>2615</v>
      </c>
      <c r="F22">
        <v>1510515700</v>
      </c>
      <c r="G22" t="s">
        <v>2619</v>
      </c>
      <c r="H22">
        <v>780</v>
      </c>
      <c r="I22">
        <v>780</v>
      </c>
      <c r="J22">
        <v>0</v>
      </c>
      <c r="K22" s="442">
        <v>39000</v>
      </c>
      <c r="L22">
        <v>21115521999250</v>
      </c>
      <c r="M22" t="s">
        <v>2099</v>
      </c>
      <c r="N22" t="s">
        <v>2617</v>
      </c>
      <c r="O22" s="536"/>
    </row>
    <row r="23" spans="1:15">
      <c r="A23" s="807" t="s">
        <v>2621</v>
      </c>
      <c r="C23" s="504"/>
      <c r="D23" s="14"/>
      <c r="H23" s="535"/>
      <c r="K23" s="442"/>
      <c r="M23" s="535"/>
      <c r="N23" s="535"/>
      <c r="O23" s="536"/>
    </row>
    <row r="24" spans="1:15">
      <c r="A24" s="807" t="s">
        <v>2622</v>
      </c>
      <c r="E24" s="503"/>
      <c r="I24">
        <f>SUM(I20:I23)</f>
        <v>1469</v>
      </c>
      <c r="O24" s="536"/>
    </row>
    <row r="25" spans="1:15">
      <c r="A25" s="807" t="s">
        <v>2623</v>
      </c>
      <c r="E25" s="503"/>
      <c r="O25" s="536"/>
    </row>
    <row r="26" spans="1:15">
      <c r="A26" s="807" t="s">
        <v>2624</v>
      </c>
      <c r="O26" s="536"/>
    </row>
    <row r="27" spans="1:15">
      <c r="A27" s="807" t="s">
        <v>2625</v>
      </c>
      <c r="O27" s="536"/>
    </row>
    <row r="28" spans="1:15">
      <c r="A28" s="807" t="s">
        <v>2626</v>
      </c>
      <c r="O28" s="536"/>
    </row>
    <row r="29" spans="1:15">
      <c r="A29" s="807" t="s">
        <v>2626</v>
      </c>
      <c r="I29">
        <f>1628-I24</f>
        <v>159</v>
      </c>
      <c r="O29" s="536"/>
    </row>
    <row r="30" spans="1:15">
      <c r="A30" s="807" t="s">
        <v>2627</v>
      </c>
      <c r="O30" s="536"/>
    </row>
    <row r="31" spans="1:15">
      <c r="A31" s="807" t="s">
        <v>2628</v>
      </c>
      <c r="O31" s="536"/>
    </row>
    <row r="32" spans="1:15">
      <c r="A32" s="807" t="s">
        <v>2629</v>
      </c>
      <c r="O32" s="536"/>
    </row>
    <row r="33" spans="1:15">
      <c r="A33" s="807" t="s">
        <v>2630</v>
      </c>
      <c r="O33" s="536"/>
    </row>
    <row r="34" spans="1:15">
      <c r="A34" s="807" t="s">
        <v>2631</v>
      </c>
      <c r="O34" s="536"/>
    </row>
    <row r="35" spans="1:15">
      <c r="A35" s="807" t="s">
        <v>2632</v>
      </c>
      <c r="O35" s="536"/>
    </row>
    <row r="36" spans="1:15">
      <c r="A36" s="807" t="s">
        <v>2633</v>
      </c>
    </row>
    <row r="37" spans="1:15">
      <c r="A37" s="807" t="s">
        <v>2634</v>
      </c>
    </row>
    <row r="38" spans="1:15">
      <c r="A38" s="807" t="s">
        <v>2635</v>
      </c>
    </row>
    <row r="39" spans="1:15">
      <c r="A39" s="807" t="s">
        <v>2636</v>
      </c>
    </row>
    <row r="40" spans="1:15">
      <c r="A40" s="807" t="s">
        <v>2637</v>
      </c>
    </row>
    <row r="41" spans="1:15">
      <c r="A41" s="807" t="s">
        <v>2638</v>
      </c>
    </row>
    <row r="42" spans="1:15">
      <c r="A42" s="807" t="s">
        <v>2639</v>
      </c>
    </row>
    <row r="43" spans="1:15">
      <c r="A43" s="807" t="s">
        <v>2640</v>
      </c>
    </row>
    <row r="44" spans="1:15">
      <c r="A44" s="807" t="s">
        <v>2640</v>
      </c>
    </row>
    <row r="45" spans="1:15">
      <c r="A45" s="809" t="s">
        <v>2641</v>
      </c>
    </row>
    <row r="46" spans="1:15">
      <c r="A46" s="809" t="s">
        <v>2642</v>
      </c>
    </row>
    <row r="47" spans="1:15">
      <c r="A47" s="807" t="s">
        <v>2643</v>
      </c>
    </row>
    <row r="48" spans="1:15">
      <c r="A48" s="807" t="s">
        <v>2643</v>
      </c>
    </row>
    <row r="49" spans="1:1">
      <c r="A49" s="807" t="s">
        <v>2644</v>
      </c>
    </row>
    <row r="50" spans="1:1">
      <c r="A50" s="807" t="s">
        <v>2645</v>
      </c>
    </row>
    <row r="51" spans="1:1">
      <c r="A51" s="807" t="s">
        <v>2646</v>
      </c>
    </row>
    <row r="52" spans="1:1">
      <c r="A52" s="807" t="s">
        <v>2646</v>
      </c>
    </row>
    <row r="53" spans="1:1">
      <c r="A53" s="807" t="s">
        <v>2647</v>
      </c>
    </row>
    <row r="54" spans="1:1">
      <c r="A54" s="807" t="s">
        <v>2648</v>
      </c>
    </row>
    <row r="55" spans="1:1">
      <c r="A55" s="807" t="s">
        <v>2649</v>
      </c>
    </row>
    <row r="56" spans="1:1">
      <c r="A56" s="807" t="s">
        <v>2650</v>
      </c>
    </row>
    <row r="57" spans="1:1">
      <c r="A57" s="807" t="s">
        <v>2651</v>
      </c>
    </row>
    <row r="58" spans="1:1">
      <c r="A58" s="807" t="s">
        <v>2651</v>
      </c>
    </row>
    <row r="59" spans="1:1">
      <c r="A59" s="807" t="s">
        <v>2652</v>
      </c>
    </row>
    <row r="60" spans="1:1">
      <c r="A60" s="807" t="s">
        <v>2652</v>
      </c>
    </row>
    <row r="61" spans="1:1">
      <c r="A61" s="807" t="s">
        <v>2653</v>
      </c>
    </row>
    <row r="62" spans="1:1">
      <c r="A62" s="807" t="s">
        <v>2654</v>
      </c>
    </row>
    <row r="63" spans="1:1">
      <c r="A63" s="807" t="s">
        <v>2655</v>
      </c>
    </row>
    <row r="64" spans="1:1">
      <c r="A64" s="807" t="s">
        <v>2656</v>
      </c>
    </row>
    <row r="65" spans="1:1">
      <c r="A65" s="807" t="s">
        <v>2657</v>
      </c>
    </row>
    <row r="66" spans="1:1">
      <c r="A66" s="807" t="s">
        <v>2657</v>
      </c>
    </row>
    <row r="67" spans="1:1">
      <c r="A67" s="807" t="s">
        <v>2658</v>
      </c>
    </row>
    <row r="68" spans="1:1">
      <c r="A68" s="807" t="s">
        <v>2659</v>
      </c>
    </row>
    <row r="69" spans="1:1">
      <c r="A69" s="807" t="s">
        <v>2659</v>
      </c>
    </row>
    <row r="70" spans="1:1">
      <c r="A70" s="807" t="s">
        <v>2660</v>
      </c>
    </row>
    <row r="71" spans="1:1">
      <c r="A71" s="807" t="s">
        <v>2660</v>
      </c>
    </row>
    <row r="72" spans="1:1">
      <c r="A72" s="807" t="s">
        <v>2661</v>
      </c>
    </row>
    <row r="73" spans="1:1">
      <c r="A73" s="807" t="s">
        <v>2662</v>
      </c>
    </row>
    <row r="74" spans="1:1">
      <c r="A74" s="807" t="s">
        <v>2663</v>
      </c>
    </row>
    <row r="75" spans="1:1">
      <c r="A75" s="807" t="s">
        <v>2664</v>
      </c>
    </row>
    <row r="76" spans="1:1">
      <c r="A76" s="807" t="s">
        <v>2665</v>
      </c>
    </row>
    <row r="77" spans="1:1">
      <c r="A77" s="807" t="s">
        <v>2666</v>
      </c>
    </row>
    <row r="78" spans="1:1">
      <c r="A78" s="807" t="s">
        <v>2667</v>
      </c>
    </row>
    <row r="79" spans="1:1">
      <c r="A79" s="807" t="s">
        <v>2668</v>
      </c>
    </row>
    <row r="80" spans="1:1">
      <c r="A80" s="807" t="s">
        <v>2669</v>
      </c>
    </row>
    <row r="81" spans="1:1">
      <c r="A81" s="807" t="s">
        <v>2670</v>
      </c>
    </row>
    <row r="82" spans="1:1">
      <c r="A82" s="807" t="s">
        <v>2671</v>
      </c>
    </row>
    <row r="83" spans="1:1">
      <c r="A83" s="807" t="s">
        <v>2672</v>
      </c>
    </row>
    <row r="84" spans="1:1">
      <c r="A84" s="807" t="s">
        <v>2673</v>
      </c>
    </row>
    <row r="85" spans="1:1">
      <c r="A85" s="807" t="s">
        <v>2673</v>
      </c>
    </row>
    <row r="86" spans="1:1">
      <c r="A86" s="807" t="s">
        <v>2674</v>
      </c>
    </row>
    <row r="87" spans="1:1">
      <c r="A87" s="807" t="s">
        <v>2675</v>
      </c>
    </row>
    <row r="88" spans="1:1">
      <c r="A88" s="807" t="s">
        <v>2676</v>
      </c>
    </row>
    <row r="89" spans="1:1">
      <c r="A89" s="807" t="s">
        <v>2677</v>
      </c>
    </row>
    <row r="90" spans="1:1">
      <c r="A90" s="807" t="s">
        <v>2678</v>
      </c>
    </row>
    <row r="91" spans="1:1">
      <c r="A91" s="807" t="s">
        <v>2679</v>
      </c>
    </row>
    <row r="92" spans="1:1">
      <c r="A92" s="807" t="s">
        <v>2680</v>
      </c>
    </row>
    <row r="93" spans="1:1">
      <c r="A93" s="807" t="s">
        <v>2681</v>
      </c>
    </row>
    <row r="94" spans="1:1">
      <c r="A94" s="807" t="s">
        <v>2682</v>
      </c>
    </row>
    <row r="95" spans="1:1">
      <c r="A95" s="807" t="s">
        <v>2683</v>
      </c>
    </row>
    <row r="96" spans="1:1">
      <c r="A96" s="807" t="s">
        <v>2683</v>
      </c>
    </row>
    <row r="97" spans="1:1">
      <c r="A97" s="807" t="s">
        <v>2684</v>
      </c>
    </row>
    <row r="98" spans="1:1">
      <c r="A98" s="807" t="s">
        <v>2684</v>
      </c>
    </row>
    <row r="99" spans="1:1">
      <c r="A99" s="807" t="s">
        <v>2685</v>
      </c>
    </row>
    <row r="100" spans="1:1">
      <c r="A100" s="807" t="s">
        <v>2685</v>
      </c>
    </row>
    <row r="101" spans="1:1">
      <c r="A101" s="807" t="s">
        <v>2686</v>
      </c>
    </row>
    <row r="102" spans="1:1">
      <c r="A102" s="807" t="s">
        <v>2687</v>
      </c>
    </row>
    <row r="103" spans="1:1">
      <c r="A103" s="807" t="s">
        <v>2687</v>
      </c>
    </row>
    <row r="104" spans="1:1">
      <c r="A104" s="807" t="s">
        <v>2688</v>
      </c>
    </row>
    <row r="105" spans="1:1">
      <c r="A105" s="807" t="s">
        <v>2689</v>
      </c>
    </row>
    <row r="106" spans="1:1">
      <c r="A106" s="807" t="s">
        <v>2690</v>
      </c>
    </row>
    <row r="107" spans="1:1">
      <c r="A107" s="807" t="s">
        <v>2690</v>
      </c>
    </row>
    <row r="108" spans="1:1">
      <c r="A108" s="807" t="s">
        <v>2691</v>
      </c>
    </row>
    <row r="109" spans="1:1">
      <c r="A109" s="807" t="s">
        <v>2692</v>
      </c>
    </row>
    <row r="110" spans="1:1">
      <c r="A110" s="807" t="s">
        <v>2692</v>
      </c>
    </row>
    <row r="111" spans="1:1">
      <c r="A111" s="807" t="s">
        <v>2693</v>
      </c>
    </row>
    <row r="112" spans="1:1">
      <c r="A112" s="807" t="s">
        <v>2694</v>
      </c>
    </row>
    <row r="113" spans="1:1">
      <c r="A113" s="807" t="s">
        <v>2695</v>
      </c>
    </row>
    <row r="114" spans="1:1">
      <c r="A114" s="807" t="s">
        <v>2696</v>
      </c>
    </row>
    <row r="115" spans="1:1">
      <c r="A115" s="807" t="s">
        <v>2697</v>
      </c>
    </row>
    <row r="116" spans="1:1">
      <c r="A116" s="807" t="s">
        <v>2698</v>
      </c>
    </row>
    <row r="117" spans="1:1">
      <c r="A117" s="807" t="s">
        <v>2699</v>
      </c>
    </row>
    <row r="118" spans="1:1">
      <c r="A118" s="807" t="s">
        <v>2700</v>
      </c>
    </row>
    <row r="119" spans="1:1">
      <c r="A119" s="807" t="s">
        <v>2701</v>
      </c>
    </row>
    <row r="120" spans="1:1">
      <c r="A120" s="807" t="s">
        <v>2702</v>
      </c>
    </row>
    <row r="121" spans="1:1">
      <c r="A121" s="807" t="s">
        <v>2703</v>
      </c>
    </row>
    <row r="122" spans="1:1">
      <c r="A122" s="807" t="s">
        <v>2704</v>
      </c>
    </row>
    <row r="123" spans="1:1">
      <c r="A123" s="807" t="s">
        <v>2705</v>
      </c>
    </row>
    <row r="124" spans="1:1">
      <c r="A124" s="807" t="s">
        <v>2706</v>
      </c>
    </row>
    <row r="125" spans="1:1">
      <c r="A125" s="807" t="s">
        <v>2707</v>
      </c>
    </row>
    <row r="126" spans="1:1">
      <c r="A126" s="807" t="s">
        <v>2708</v>
      </c>
    </row>
    <row r="127" spans="1:1">
      <c r="A127" s="807" t="s">
        <v>2709</v>
      </c>
    </row>
    <row r="128" spans="1:1">
      <c r="A128" s="807" t="s">
        <v>2710</v>
      </c>
    </row>
    <row r="129" spans="1:1">
      <c r="A129" s="807" t="s">
        <v>2711</v>
      </c>
    </row>
    <row r="130" spans="1:1">
      <c r="A130" s="807" t="s">
        <v>2712</v>
      </c>
    </row>
    <row r="131" spans="1:1">
      <c r="A131" s="807" t="s">
        <v>2713</v>
      </c>
    </row>
    <row r="132" spans="1:1">
      <c r="A132" s="808">
        <v>34098.85</v>
      </c>
    </row>
    <row r="133" spans="1:1">
      <c r="A133" s="808">
        <v>30201.4</v>
      </c>
    </row>
    <row r="134" spans="1:1">
      <c r="A134" s="808">
        <v>24096.400000000001</v>
      </c>
    </row>
    <row r="135" spans="1:1">
      <c r="A135" s="808">
        <v>24095.200000000001</v>
      </c>
    </row>
    <row r="136" spans="1:1">
      <c r="A136" s="808">
        <v>24094.400000000001</v>
      </c>
    </row>
    <row r="137" spans="1:1">
      <c r="A137" s="808">
        <v>24091.599999999999</v>
      </c>
    </row>
    <row r="138" spans="1:1">
      <c r="A138" s="808">
        <v>24091.599999999999</v>
      </c>
    </row>
    <row r="139" spans="1:1">
      <c r="A139" s="808">
        <v>24028.25</v>
      </c>
    </row>
    <row r="140" spans="1:1">
      <c r="A140" s="808">
        <v>23403.5</v>
      </c>
    </row>
    <row r="141" spans="1:1">
      <c r="A141" s="808">
        <v>20635.87</v>
      </c>
    </row>
    <row r="142" spans="1:1">
      <c r="A142" s="808">
        <v>20078</v>
      </c>
    </row>
    <row r="143" spans="1:1">
      <c r="A143" s="808">
        <v>19601</v>
      </c>
    </row>
    <row r="144" spans="1:1">
      <c r="A144" s="808">
        <v>19597.5</v>
      </c>
    </row>
    <row r="145" spans="1:1">
      <c r="A145" s="808">
        <v>19576.3</v>
      </c>
    </row>
    <row r="146" spans="1:1">
      <c r="A146" s="808">
        <v>19074.599999999999</v>
      </c>
    </row>
    <row r="147" spans="1:1">
      <c r="A147" s="808">
        <v>17420.490000000002</v>
      </c>
    </row>
    <row r="148" spans="1:1">
      <c r="A148" s="808">
        <v>17218.310000000001</v>
      </c>
    </row>
    <row r="149" spans="1:1">
      <c r="A149" s="808">
        <v>17218.310000000001</v>
      </c>
    </row>
    <row r="150" spans="1:1">
      <c r="A150" s="808">
        <v>17171.36</v>
      </c>
    </row>
    <row r="151" spans="1:1">
      <c r="A151" s="808">
        <v>17132.400000000001</v>
      </c>
    </row>
    <row r="152" spans="1:1">
      <c r="A152" s="808">
        <v>17099.599999999999</v>
      </c>
    </row>
    <row r="153" spans="1:1">
      <c r="A153" s="808">
        <v>17091.5</v>
      </c>
    </row>
    <row r="154" spans="1:1">
      <c r="A154" s="808">
        <v>17090.400000000001</v>
      </c>
    </row>
    <row r="155" spans="1:1">
      <c r="A155" s="808">
        <v>17086.8</v>
      </c>
    </row>
    <row r="156" spans="1:1">
      <c r="A156" s="808">
        <v>17081.599999999999</v>
      </c>
    </row>
    <row r="157" spans="1:1">
      <c r="A157" s="808">
        <v>17073.400000000001</v>
      </c>
    </row>
    <row r="158" spans="1:1">
      <c r="A158" s="808">
        <v>17071.2</v>
      </c>
    </row>
    <row r="159" spans="1:1">
      <c r="A159" s="808">
        <v>17071.2</v>
      </c>
    </row>
    <row r="160" spans="1:1">
      <c r="A160" s="808">
        <v>17071.2</v>
      </c>
    </row>
    <row r="161" spans="1:1">
      <c r="A161" s="808">
        <v>17070.84</v>
      </c>
    </row>
    <row r="162" spans="1:1">
      <c r="A162" s="808">
        <v>17070.2</v>
      </c>
    </row>
    <row r="163" spans="1:1">
      <c r="A163" s="808">
        <v>17070.2</v>
      </c>
    </row>
    <row r="164" spans="1:1">
      <c r="A164" s="808">
        <v>17069.2</v>
      </c>
    </row>
    <row r="165" spans="1:1">
      <c r="A165" s="808">
        <v>17068.8</v>
      </c>
    </row>
    <row r="166" spans="1:1">
      <c r="A166" s="808">
        <v>17067.8</v>
      </c>
    </row>
    <row r="167" spans="1:1">
      <c r="A167" s="808">
        <v>17067.8</v>
      </c>
    </row>
    <row r="168" spans="1:1">
      <c r="A168" s="808">
        <v>17017.63</v>
      </c>
    </row>
    <row r="169" spans="1:1">
      <c r="A169" s="808">
        <v>16920.66</v>
      </c>
    </row>
    <row r="170" spans="1:1">
      <c r="A170" s="808">
        <v>16917.29</v>
      </c>
    </row>
    <row r="171" spans="1:1">
      <c r="A171" s="808">
        <v>16917.29</v>
      </c>
    </row>
    <row r="172" spans="1:1">
      <c r="A172" s="808">
        <v>16867.98</v>
      </c>
    </row>
    <row r="173" spans="1:1">
      <c r="A173" s="808">
        <v>16820.3</v>
      </c>
    </row>
    <row r="174" spans="1:1">
      <c r="A174" s="808">
        <v>16811.72</v>
      </c>
    </row>
    <row r="175" spans="1:1">
      <c r="A175" s="808">
        <v>16716.61</v>
      </c>
    </row>
    <row r="176" spans="1:1">
      <c r="A176" s="808">
        <v>16716.240000000002</v>
      </c>
    </row>
    <row r="177" spans="1:1">
      <c r="A177" s="808">
        <v>16616.2</v>
      </c>
    </row>
    <row r="178" spans="1:1">
      <c r="A178" s="808">
        <v>16609</v>
      </c>
    </row>
    <row r="179" spans="1:1">
      <c r="A179" s="808">
        <v>16590.2</v>
      </c>
    </row>
    <row r="180" spans="1:1">
      <c r="A180" s="808">
        <v>16569.400000000001</v>
      </c>
    </row>
    <row r="181" spans="1:1">
      <c r="A181" s="808">
        <v>16566.099999999999</v>
      </c>
    </row>
    <row r="182" spans="1:1">
      <c r="A182" s="808">
        <v>16566.099999999999</v>
      </c>
    </row>
    <row r="183" spans="1:1">
      <c r="A183" s="808">
        <v>16566.099999999999</v>
      </c>
    </row>
    <row r="184" spans="1:1">
      <c r="A184" s="808">
        <v>16566.099999999999</v>
      </c>
    </row>
    <row r="185" spans="1:1">
      <c r="A185" s="808">
        <v>16525.3</v>
      </c>
    </row>
    <row r="186" spans="1:1">
      <c r="A186" s="808">
        <v>16462.939999999999</v>
      </c>
    </row>
    <row r="187" spans="1:1">
      <c r="A187" s="808">
        <v>16365.42</v>
      </c>
    </row>
    <row r="188" spans="1:1">
      <c r="A188" s="808">
        <v>16165.54</v>
      </c>
    </row>
    <row r="189" spans="1:1">
      <c r="A189" s="808">
        <v>16164.74</v>
      </c>
    </row>
    <row r="190" spans="1:1">
      <c r="A190" s="808">
        <v>16071.8</v>
      </c>
    </row>
    <row r="191" spans="1:1">
      <c r="A191" s="808">
        <v>16070.5</v>
      </c>
    </row>
    <row r="192" spans="1:1">
      <c r="A192" s="808">
        <v>16066.4</v>
      </c>
    </row>
    <row r="193" spans="1:1">
      <c r="A193" s="808">
        <v>16066</v>
      </c>
    </row>
    <row r="194" spans="1:1">
      <c r="A194" s="808">
        <v>16066</v>
      </c>
    </row>
    <row r="195" spans="1:1">
      <c r="A195" s="808">
        <v>16064.4</v>
      </c>
    </row>
    <row r="196" spans="1:1">
      <c r="A196" s="808">
        <v>16064.4</v>
      </c>
    </row>
    <row r="197" spans="1:1">
      <c r="A197" s="808">
        <v>16064.4</v>
      </c>
    </row>
    <row r="198" spans="1:1">
      <c r="A198" s="808">
        <v>15110</v>
      </c>
    </row>
    <row r="199" spans="1:1">
      <c r="A199" s="808">
        <v>14702.92</v>
      </c>
    </row>
    <row r="200" spans="1:1">
      <c r="A200" s="808">
        <v>14510.13</v>
      </c>
    </row>
    <row r="201" spans="1:1">
      <c r="A201" s="808">
        <v>14509.13</v>
      </c>
    </row>
    <row r="202" spans="1:1">
      <c r="A202" s="808">
        <v>10200.049999999999</v>
      </c>
    </row>
    <row r="203" spans="1:1">
      <c r="A203" s="808">
        <v>10074</v>
      </c>
    </row>
    <row r="204" spans="1:1">
      <c r="A204" s="808">
        <v>10044</v>
      </c>
    </row>
    <row r="205" spans="1:1">
      <c r="A205" s="808">
        <v>10044</v>
      </c>
    </row>
    <row r="206" spans="1:1">
      <c r="A206" s="808">
        <v>9542.2999999999993</v>
      </c>
    </row>
    <row r="207" spans="1:1">
      <c r="A207" s="808">
        <v>9368.25</v>
      </c>
    </row>
    <row r="208" spans="1:1">
      <c r="A208" s="808">
        <v>9067.6</v>
      </c>
    </row>
    <row r="209" spans="1:1">
      <c r="A209" s="808">
        <v>9066.75</v>
      </c>
    </row>
    <row r="210" spans="1:1">
      <c r="A210" s="808">
        <v>9064</v>
      </c>
    </row>
    <row r="211" spans="1:1">
      <c r="A211" s="808">
        <v>9041.2000000000007</v>
      </c>
    </row>
    <row r="212" spans="1:1">
      <c r="A212" s="808">
        <v>8791.5</v>
      </c>
    </row>
    <row r="213" spans="1:1">
      <c r="A213" s="808">
        <v>8566.4500000000007</v>
      </c>
    </row>
    <row r="214" spans="1:1">
      <c r="A214" s="808">
        <v>8550.7000000000007</v>
      </c>
    </row>
    <row r="215" spans="1:1">
      <c r="A215" s="808">
        <v>8539.6</v>
      </c>
    </row>
    <row r="216" spans="1:1">
      <c r="A216" s="808">
        <v>8438.56</v>
      </c>
    </row>
    <row r="217" spans="1:1">
      <c r="A217" s="808">
        <v>8438.56</v>
      </c>
    </row>
    <row r="218" spans="1:1">
      <c r="A218" s="808">
        <v>8339.0400000000009</v>
      </c>
    </row>
    <row r="219" spans="1:1">
      <c r="A219" s="808">
        <v>8313.6</v>
      </c>
    </row>
    <row r="220" spans="1:1">
      <c r="A220" s="808">
        <v>8187.2</v>
      </c>
    </row>
    <row r="221" spans="1:1">
      <c r="A221" s="808">
        <v>8111.31</v>
      </c>
    </row>
    <row r="222" spans="1:1">
      <c r="A222" s="808">
        <v>8061</v>
      </c>
    </row>
    <row r="223" spans="1:1">
      <c r="A223" s="808">
        <v>7987.03</v>
      </c>
    </row>
    <row r="224" spans="1:1">
      <c r="A224" s="808">
        <v>7938.44</v>
      </c>
    </row>
    <row r="225" spans="1:1">
      <c r="A225" s="808">
        <v>7935.2</v>
      </c>
    </row>
    <row r="226" spans="1:1">
      <c r="A226" s="808">
        <v>7885.38</v>
      </c>
    </row>
    <row r="227" spans="1:1">
      <c r="A227" s="808">
        <v>7808.61</v>
      </c>
    </row>
    <row r="228" spans="1:1">
      <c r="A228" s="808">
        <v>7808.6</v>
      </c>
    </row>
    <row r="229" spans="1:1">
      <c r="A229" s="808">
        <v>7707.96</v>
      </c>
    </row>
    <row r="230" spans="1:1">
      <c r="A230" s="808">
        <v>7684.25</v>
      </c>
    </row>
    <row r="231" spans="1:1">
      <c r="A231" s="808">
        <v>7558.3</v>
      </c>
    </row>
    <row r="232" spans="1:1">
      <c r="A232" s="808">
        <v>7557.75</v>
      </c>
    </row>
    <row r="233" spans="1:1">
      <c r="A233" s="808">
        <v>7557.25</v>
      </c>
    </row>
    <row r="234" spans="1:1">
      <c r="A234" s="808">
        <v>7557</v>
      </c>
    </row>
    <row r="235" spans="1:1">
      <c r="A235" s="808">
        <v>7556.92</v>
      </c>
    </row>
    <row r="236" spans="1:1">
      <c r="A236" s="808">
        <v>7535.5</v>
      </c>
    </row>
    <row r="237" spans="1:1">
      <c r="A237" s="808">
        <v>7535.5</v>
      </c>
    </row>
    <row r="238" spans="1:1">
      <c r="A238" s="808">
        <v>7432.2</v>
      </c>
    </row>
    <row r="239" spans="1:1">
      <c r="A239" s="808">
        <v>7432.05</v>
      </c>
    </row>
    <row r="240" spans="1:1">
      <c r="A240" s="808">
        <v>7286.1</v>
      </c>
    </row>
    <row r="241" spans="1:1">
      <c r="A241" s="808">
        <v>7286.1</v>
      </c>
    </row>
    <row r="242" spans="1:1">
      <c r="A242" s="808">
        <v>7180.8</v>
      </c>
    </row>
    <row r="243" spans="1:1">
      <c r="A243" s="808">
        <v>7061.18</v>
      </c>
    </row>
    <row r="244" spans="1:1">
      <c r="A244" s="808">
        <v>7054.6</v>
      </c>
    </row>
    <row r="245" spans="1:1">
      <c r="A245" s="808">
        <v>7054.45</v>
      </c>
    </row>
    <row r="246" spans="1:1">
      <c r="A246" s="808">
        <v>6805.05</v>
      </c>
    </row>
    <row r="247" spans="1:1">
      <c r="A247" s="808">
        <v>6300</v>
      </c>
    </row>
    <row r="248" spans="1:1">
      <c r="A248" s="808">
        <v>6049.45</v>
      </c>
    </row>
    <row r="249" spans="1:1">
      <c r="A249" s="808">
        <v>6048.4</v>
      </c>
    </row>
    <row r="250" spans="1:1">
      <c r="A250" s="808">
        <v>5419.35</v>
      </c>
    </row>
    <row r="251" spans="1:1">
      <c r="A251" s="808">
        <v>5042.8</v>
      </c>
    </row>
    <row r="252" spans="1:1">
      <c r="A252" s="808">
        <v>4815.66</v>
      </c>
    </row>
    <row r="253" spans="1:1">
      <c r="A253" s="808">
        <v>3784</v>
      </c>
    </row>
    <row r="254" spans="1:1">
      <c r="A254" s="808">
        <v>3709.04</v>
      </c>
    </row>
    <row r="255" spans="1:1">
      <c r="A255" s="808">
        <v>3481.83</v>
      </c>
    </row>
    <row r="256" spans="1:1">
      <c r="A256" s="808">
        <v>2450.8000000000002</v>
      </c>
    </row>
    <row r="257" spans="1:1">
      <c r="A257" s="808">
        <v>2325.0700000000002</v>
      </c>
    </row>
    <row r="258" spans="1:1">
      <c r="A258" s="808">
        <v>2274.1</v>
      </c>
    </row>
    <row r="259" spans="1:1">
      <c r="A259" s="808">
        <v>2022.7</v>
      </c>
    </row>
    <row r="270" spans="1:1">
      <c r="A270" s="807"/>
    </row>
    <row r="271" spans="1:1">
      <c r="A271" s="807"/>
    </row>
    <row r="272" spans="1:1">
      <c r="A272" s="807"/>
    </row>
    <row r="273" spans="1:1">
      <c r="A273" s="807"/>
    </row>
    <row r="274" spans="1:1">
      <c r="A274" s="807"/>
    </row>
    <row r="275" spans="1:1">
      <c r="A275" s="807"/>
    </row>
    <row r="276" spans="1:1">
      <c r="A276" s="807"/>
    </row>
    <row r="277" spans="1:1">
      <c r="A277" s="807"/>
    </row>
    <row r="278" spans="1:1">
      <c r="A278" s="807"/>
    </row>
    <row r="279" spans="1:1">
      <c r="A279" s="807"/>
    </row>
    <row r="280" spans="1:1">
      <c r="A280" s="807"/>
    </row>
    <row r="281" spans="1:1">
      <c r="A281" s="807"/>
    </row>
    <row r="282" spans="1:1">
      <c r="A282" s="807"/>
    </row>
    <row r="283" spans="1:1">
      <c r="A283" s="807"/>
    </row>
    <row r="284" spans="1:1">
      <c r="A284" s="807"/>
    </row>
    <row r="285" spans="1:1">
      <c r="A285" s="807"/>
    </row>
    <row r="286" spans="1:1">
      <c r="A286" s="807"/>
    </row>
    <row r="287" spans="1:1">
      <c r="A287" s="807"/>
    </row>
    <row r="288" spans="1:1">
      <c r="A288" s="807"/>
    </row>
    <row r="289" spans="1:1">
      <c r="A289" s="807"/>
    </row>
    <row r="290" spans="1:1">
      <c r="A290" s="807"/>
    </row>
    <row r="291" spans="1:1">
      <c r="A291" s="807"/>
    </row>
    <row r="292" spans="1:1">
      <c r="A292" s="807"/>
    </row>
    <row r="293" spans="1:1">
      <c r="A293" s="807"/>
    </row>
    <row r="294" spans="1:1">
      <c r="A294" s="807"/>
    </row>
    <row r="295" spans="1:1">
      <c r="A295" s="807"/>
    </row>
    <row r="296" spans="1:1">
      <c r="A296" s="807"/>
    </row>
    <row r="297" spans="1:1">
      <c r="A297" s="807"/>
    </row>
    <row r="298" spans="1:1">
      <c r="A298" s="807"/>
    </row>
    <row r="299" spans="1:1">
      <c r="A299" s="807"/>
    </row>
    <row r="300" spans="1:1">
      <c r="A300" s="807"/>
    </row>
    <row r="301" spans="1:1">
      <c r="A301" s="807"/>
    </row>
    <row r="302" spans="1:1">
      <c r="A302" s="807"/>
    </row>
    <row r="303" spans="1:1">
      <c r="A303" s="807"/>
    </row>
    <row r="304" spans="1:1">
      <c r="A304" s="807"/>
    </row>
    <row r="305" spans="1:1">
      <c r="A305" s="807"/>
    </row>
    <row r="306" spans="1:1">
      <c r="A306" s="807"/>
    </row>
    <row r="307" spans="1:1">
      <c r="A307" s="807"/>
    </row>
    <row r="308" spans="1:1">
      <c r="A308" s="807"/>
    </row>
    <row r="309" spans="1:1">
      <c r="A309" s="807"/>
    </row>
    <row r="310" spans="1:1">
      <c r="A310" s="807"/>
    </row>
    <row r="311" spans="1:1">
      <c r="A311" s="807"/>
    </row>
    <row r="312" spans="1:1">
      <c r="A312" s="807"/>
    </row>
    <row r="313" spans="1:1">
      <c r="A313" s="807"/>
    </row>
    <row r="314" spans="1:1">
      <c r="A314" s="807"/>
    </row>
    <row r="315" spans="1:1">
      <c r="A315" s="807"/>
    </row>
    <row r="316" spans="1:1">
      <c r="A316" s="807"/>
    </row>
    <row r="317" spans="1:1">
      <c r="A317" s="807"/>
    </row>
    <row r="318" spans="1:1">
      <c r="A318" s="807"/>
    </row>
    <row r="319" spans="1:1">
      <c r="A319" s="807"/>
    </row>
    <row r="320" spans="1:1">
      <c r="A320" s="807"/>
    </row>
    <row r="321" spans="1:1">
      <c r="A321" s="807"/>
    </row>
    <row r="322" spans="1:1">
      <c r="A322" s="807"/>
    </row>
    <row r="323" spans="1:1">
      <c r="A323" s="807"/>
    </row>
    <row r="324" spans="1:1">
      <c r="A324" s="807"/>
    </row>
    <row r="325" spans="1:1">
      <c r="A325" s="807"/>
    </row>
    <row r="326" spans="1:1">
      <c r="A326" s="807"/>
    </row>
    <row r="327" spans="1:1">
      <c r="A327" s="807"/>
    </row>
    <row r="328" spans="1:1">
      <c r="A328" s="807"/>
    </row>
    <row r="329" spans="1:1">
      <c r="A329" s="807"/>
    </row>
    <row r="330" spans="1:1">
      <c r="A330" s="807"/>
    </row>
    <row r="331" spans="1:1">
      <c r="A331" s="807"/>
    </row>
    <row r="332" spans="1:1">
      <c r="A332" s="807"/>
    </row>
    <row r="333" spans="1:1">
      <c r="A333" s="807"/>
    </row>
    <row r="334" spans="1:1">
      <c r="A334" s="807"/>
    </row>
    <row r="335" spans="1:1">
      <c r="A335" s="807"/>
    </row>
    <row r="336" spans="1:1">
      <c r="A336" s="807"/>
    </row>
    <row r="337" spans="1:1">
      <c r="A337" s="807"/>
    </row>
    <row r="338" spans="1:1">
      <c r="A338" s="807"/>
    </row>
    <row r="339" spans="1:1">
      <c r="A339" s="807"/>
    </row>
    <row r="340" spans="1:1">
      <c r="A340" s="807"/>
    </row>
    <row r="341" spans="1:1">
      <c r="A341" s="807"/>
    </row>
    <row r="342" spans="1:1">
      <c r="A342" s="807"/>
    </row>
    <row r="343" spans="1:1">
      <c r="A343" s="807"/>
    </row>
    <row r="344" spans="1:1">
      <c r="A344" s="807"/>
    </row>
    <row r="345" spans="1:1">
      <c r="A345" s="807"/>
    </row>
    <row r="346" spans="1:1">
      <c r="A346" s="807"/>
    </row>
    <row r="347" spans="1:1">
      <c r="A347" s="807"/>
    </row>
    <row r="348" spans="1:1">
      <c r="A348" s="807"/>
    </row>
    <row r="349" spans="1:1">
      <c r="A349" s="807"/>
    </row>
    <row r="350" spans="1:1">
      <c r="A350" s="807"/>
    </row>
    <row r="351" spans="1:1">
      <c r="A351" s="807"/>
    </row>
    <row r="352" spans="1:1">
      <c r="A352" s="807"/>
    </row>
    <row r="353" spans="1:1">
      <c r="A353" s="807"/>
    </row>
    <row r="354" spans="1:1">
      <c r="A354" s="807"/>
    </row>
    <row r="355" spans="1:1">
      <c r="A355" s="807"/>
    </row>
    <row r="356" spans="1:1">
      <c r="A356" s="807"/>
    </row>
    <row r="357" spans="1:1">
      <c r="A357" s="807"/>
    </row>
    <row r="358" spans="1:1">
      <c r="A358" s="807"/>
    </row>
    <row r="359" spans="1:1">
      <c r="A359" s="807"/>
    </row>
    <row r="360" spans="1:1">
      <c r="A360" s="807"/>
    </row>
    <row r="361" spans="1:1">
      <c r="A361" s="807"/>
    </row>
    <row r="362" spans="1:1">
      <c r="A362" s="807"/>
    </row>
    <row r="363" spans="1:1">
      <c r="A363" s="807"/>
    </row>
    <row r="364" spans="1:1">
      <c r="A364" s="807"/>
    </row>
    <row r="365" spans="1:1">
      <c r="A365" s="807"/>
    </row>
    <row r="366" spans="1:1">
      <c r="A366" s="807"/>
    </row>
    <row r="367" spans="1:1">
      <c r="A367" s="807"/>
    </row>
    <row r="368" spans="1:1">
      <c r="A368" s="807"/>
    </row>
    <row r="369" spans="1:1">
      <c r="A369" s="807"/>
    </row>
    <row r="370" spans="1:1">
      <c r="A370" s="807"/>
    </row>
    <row r="371" spans="1:1">
      <c r="A371" s="807"/>
    </row>
    <row r="372" spans="1:1">
      <c r="A372" s="807"/>
    </row>
    <row r="373" spans="1:1">
      <c r="A373" s="807"/>
    </row>
    <row r="374" spans="1:1">
      <c r="A374" s="807"/>
    </row>
    <row r="375" spans="1:1">
      <c r="A375" s="807"/>
    </row>
    <row r="376" spans="1:1">
      <c r="A376" s="807"/>
    </row>
    <row r="377" spans="1:1">
      <c r="A377" s="807"/>
    </row>
    <row r="378" spans="1:1">
      <c r="A378" s="807"/>
    </row>
    <row r="379" spans="1:1">
      <c r="A379" s="807"/>
    </row>
    <row r="380" spans="1:1">
      <c r="A380" s="807"/>
    </row>
    <row r="381" spans="1:1">
      <c r="A381" s="807"/>
    </row>
    <row r="382" spans="1:1">
      <c r="A382" s="807"/>
    </row>
    <row r="383" spans="1:1">
      <c r="A383" s="807"/>
    </row>
    <row r="384" spans="1:1">
      <c r="A384" s="807"/>
    </row>
    <row r="385" spans="1:1">
      <c r="A385" s="807"/>
    </row>
    <row r="386" spans="1:1">
      <c r="A386" s="807"/>
    </row>
    <row r="387" spans="1:1">
      <c r="A387" s="807"/>
    </row>
    <row r="388" spans="1:1">
      <c r="A388" s="807"/>
    </row>
    <row r="389" spans="1:1">
      <c r="A389" s="807"/>
    </row>
    <row r="390" spans="1:1">
      <c r="A390" s="807"/>
    </row>
    <row r="391" spans="1:1">
      <c r="A391" s="807"/>
    </row>
    <row r="392" spans="1:1">
      <c r="A392" s="807"/>
    </row>
    <row r="393" spans="1:1">
      <c r="A393" s="807"/>
    </row>
    <row r="394" spans="1:1">
      <c r="A394" s="807"/>
    </row>
    <row r="395" spans="1:1">
      <c r="A395" s="807"/>
    </row>
    <row r="396" spans="1:1">
      <c r="A396" s="807"/>
    </row>
    <row r="397" spans="1:1">
      <c r="A397" s="807"/>
    </row>
    <row r="398" spans="1:1">
      <c r="A398" s="807"/>
    </row>
    <row r="399" spans="1:1">
      <c r="A399" s="807"/>
    </row>
    <row r="400" spans="1:1">
      <c r="A400" s="807"/>
    </row>
    <row r="401" spans="1:1">
      <c r="A401" s="807"/>
    </row>
    <row r="402" spans="1:1">
      <c r="A402" s="807"/>
    </row>
    <row r="403" spans="1:1">
      <c r="A403" s="807"/>
    </row>
    <row r="404" spans="1:1">
      <c r="A404" s="807"/>
    </row>
    <row r="405" spans="1:1">
      <c r="A405" s="807"/>
    </row>
    <row r="406" spans="1:1">
      <c r="A406" s="807"/>
    </row>
    <row r="407" spans="1:1">
      <c r="A407" s="807"/>
    </row>
    <row r="408" spans="1:1">
      <c r="A408" s="807"/>
    </row>
    <row r="409" spans="1:1">
      <c r="A409" s="807"/>
    </row>
    <row r="410" spans="1:1">
      <c r="A410" s="807"/>
    </row>
    <row r="411" spans="1:1">
      <c r="A411" s="807"/>
    </row>
    <row r="412" spans="1:1">
      <c r="A412" s="807"/>
    </row>
    <row r="413" spans="1:1">
      <c r="A413" s="807"/>
    </row>
    <row r="414" spans="1:1">
      <c r="A414" s="807"/>
    </row>
    <row r="415" spans="1:1">
      <c r="A415" s="807"/>
    </row>
    <row r="416" spans="1:1">
      <c r="A416" s="807"/>
    </row>
    <row r="417" spans="1:1">
      <c r="A417" s="807"/>
    </row>
    <row r="418" spans="1:1">
      <c r="A418" s="807"/>
    </row>
    <row r="419" spans="1:1">
      <c r="A419" s="807"/>
    </row>
    <row r="420" spans="1:1">
      <c r="A420" s="807"/>
    </row>
    <row r="421" spans="1:1">
      <c r="A421" s="807"/>
    </row>
    <row r="422" spans="1:1">
      <c r="A422" s="807"/>
    </row>
    <row r="423" spans="1:1">
      <c r="A423" s="807"/>
    </row>
    <row r="424" spans="1:1">
      <c r="A424" s="807"/>
    </row>
    <row r="425" spans="1:1">
      <c r="A425" s="807"/>
    </row>
    <row r="426" spans="1:1">
      <c r="A426" s="807"/>
    </row>
    <row r="427" spans="1:1">
      <c r="A427" s="807"/>
    </row>
    <row r="428" spans="1:1">
      <c r="A428" s="807"/>
    </row>
    <row r="429" spans="1:1">
      <c r="A429" s="807"/>
    </row>
    <row r="430" spans="1:1">
      <c r="A430" s="807"/>
    </row>
    <row r="431" spans="1:1">
      <c r="A431" s="807"/>
    </row>
    <row r="432" spans="1:1">
      <c r="A432" s="807"/>
    </row>
    <row r="433" spans="1:1">
      <c r="A433" s="807"/>
    </row>
    <row r="434" spans="1:1">
      <c r="A434" s="807"/>
    </row>
    <row r="435" spans="1:1">
      <c r="A435" s="807"/>
    </row>
    <row r="436" spans="1:1">
      <c r="A436" s="807"/>
    </row>
    <row r="437" spans="1:1">
      <c r="A437" s="807"/>
    </row>
    <row r="438" spans="1:1">
      <c r="A438" s="807"/>
    </row>
    <row r="439" spans="1:1">
      <c r="A439" s="807"/>
    </row>
    <row r="440" spans="1:1">
      <c r="A440" s="807"/>
    </row>
    <row r="441" spans="1:1">
      <c r="A441" s="807"/>
    </row>
    <row r="442" spans="1:1">
      <c r="A442" s="807"/>
    </row>
    <row r="443" spans="1:1">
      <c r="A443" s="807"/>
    </row>
    <row r="444" spans="1:1">
      <c r="A444" s="807"/>
    </row>
    <row r="445" spans="1:1">
      <c r="A445" s="807"/>
    </row>
    <row r="446" spans="1:1">
      <c r="A446" s="807"/>
    </row>
    <row r="447" spans="1:1">
      <c r="A447" s="807"/>
    </row>
    <row r="448" spans="1:1">
      <c r="A448" s="807"/>
    </row>
    <row r="449" spans="1:1">
      <c r="A449" s="807"/>
    </row>
    <row r="450" spans="1:1">
      <c r="A450" s="807"/>
    </row>
    <row r="451" spans="1:1">
      <c r="A451" s="807"/>
    </row>
    <row r="452" spans="1:1">
      <c r="A452" s="807"/>
    </row>
    <row r="453" spans="1:1">
      <c r="A453" s="807"/>
    </row>
    <row r="454" spans="1:1">
      <c r="A454" s="807"/>
    </row>
    <row r="455" spans="1:1">
      <c r="A455" s="807"/>
    </row>
    <row r="456" spans="1:1">
      <c r="A456" s="807"/>
    </row>
    <row r="457" spans="1:1">
      <c r="A457" s="807"/>
    </row>
    <row r="458" spans="1:1">
      <c r="A458" s="807"/>
    </row>
    <row r="459" spans="1:1">
      <c r="A459" s="807"/>
    </row>
    <row r="460" spans="1:1">
      <c r="A460" s="807"/>
    </row>
    <row r="461" spans="1:1">
      <c r="A461" s="807"/>
    </row>
    <row r="462" spans="1:1">
      <c r="A462" s="807"/>
    </row>
    <row r="463" spans="1:1">
      <c r="A463" s="807"/>
    </row>
    <row r="464" spans="1:1">
      <c r="A464" s="807"/>
    </row>
    <row r="465" spans="1:1">
      <c r="A465" s="807"/>
    </row>
    <row r="466" spans="1:1">
      <c r="A466" s="807"/>
    </row>
    <row r="467" spans="1:1">
      <c r="A467" s="807"/>
    </row>
    <row r="468" spans="1:1">
      <c r="A468" s="807"/>
    </row>
    <row r="469" spans="1:1">
      <c r="A469" s="807"/>
    </row>
    <row r="470" spans="1:1">
      <c r="A470" s="807"/>
    </row>
    <row r="471" spans="1:1">
      <c r="A471" s="807"/>
    </row>
    <row r="472" spans="1:1">
      <c r="A472" s="807"/>
    </row>
    <row r="473" spans="1:1">
      <c r="A473" s="807"/>
    </row>
    <row r="474" spans="1:1">
      <c r="A474" s="807"/>
    </row>
    <row r="475" spans="1:1">
      <c r="A475" s="807"/>
    </row>
    <row r="476" spans="1:1">
      <c r="A476" s="807"/>
    </row>
    <row r="477" spans="1:1">
      <c r="A477" s="807"/>
    </row>
    <row r="478" spans="1:1">
      <c r="A478" s="807"/>
    </row>
    <row r="479" spans="1:1">
      <c r="A479" s="807"/>
    </row>
    <row r="480" spans="1:1">
      <c r="A480" s="807"/>
    </row>
    <row r="481" spans="1:1">
      <c r="A481" s="807"/>
    </row>
    <row r="482" spans="1:1">
      <c r="A482" s="807"/>
    </row>
    <row r="483" spans="1:1">
      <c r="A483" s="807"/>
    </row>
    <row r="484" spans="1:1">
      <c r="A484" s="807"/>
    </row>
    <row r="485" spans="1:1">
      <c r="A485" s="807"/>
    </row>
    <row r="486" spans="1:1">
      <c r="A486" s="807"/>
    </row>
    <row r="487" spans="1:1">
      <c r="A487" s="807"/>
    </row>
    <row r="488" spans="1:1">
      <c r="A488" s="807"/>
    </row>
    <row r="489" spans="1:1">
      <c r="A489" s="807"/>
    </row>
    <row r="490" spans="1:1">
      <c r="A490" s="807"/>
    </row>
    <row r="491" spans="1:1">
      <c r="A491" s="807"/>
    </row>
    <row r="492" spans="1:1">
      <c r="A492" s="807"/>
    </row>
    <row r="493" spans="1:1">
      <c r="A493" s="807"/>
    </row>
    <row r="494" spans="1:1">
      <c r="A494" s="807"/>
    </row>
    <row r="495" spans="1:1">
      <c r="A495" s="807"/>
    </row>
    <row r="496" spans="1:1">
      <c r="A496" s="807"/>
    </row>
    <row r="497" spans="1:1">
      <c r="A497" s="807"/>
    </row>
    <row r="498" spans="1:1">
      <c r="A498" s="807"/>
    </row>
    <row r="499" spans="1:1">
      <c r="A499" s="807"/>
    </row>
    <row r="500" spans="1:1">
      <c r="A500" s="807"/>
    </row>
    <row r="501" spans="1:1">
      <c r="A501" s="807"/>
    </row>
    <row r="502" spans="1:1">
      <c r="A502" s="807"/>
    </row>
    <row r="503" spans="1:1">
      <c r="A503" s="807"/>
    </row>
    <row r="504" spans="1:1">
      <c r="A504" s="807"/>
    </row>
    <row r="505" spans="1:1">
      <c r="A505" s="807"/>
    </row>
    <row r="506" spans="1:1">
      <c r="A506" s="807"/>
    </row>
    <row r="507" spans="1:1">
      <c r="A507" s="807"/>
    </row>
    <row r="508" spans="1:1">
      <c r="A508" s="807"/>
    </row>
    <row r="509" spans="1:1">
      <c r="A509" s="807"/>
    </row>
    <row r="510" spans="1:1">
      <c r="A510" s="807"/>
    </row>
    <row r="511" spans="1:1">
      <c r="A511" s="807"/>
    </row>
    <row r="512" spans="1:1">
      <c r="A512" s="807"/>
    </row>
    <row r="513" spans="1:1">
      <c r="A513" s="807"/>
    </row>
    <row r="514" spans="1:1">
      <c r="A514" s="807"/>
    </row>
    <row r="515" spans="1:1">
      <c r="A515" s="807"/>
    </row>
    <row r="516" spans="1:1">
      <c r="A516" s="807"/>
    </row>
    <row r="517" spans="1:1">
      <c r="A517" s="807"/>
    </row>
    <row r="518" spans="1:1">
      <c r="A518" s="807"/>
    </row>
    <row r="519" spans="1:1">
      <c r="A519" s="807"/>
    </row>
    <row r="520" spans="1:1">
      <c r="A520" s="807"/>
    </row>
    <row r="521" spans="1:1">
      <c r="A521" s="807"/>
    </row>
    <row r="522" spans="1:1">
      <c r="A522" s="807"/>
    </row>
    <row r="523" spans="1:1">
      <c r="A523" s="807"/>
    </row>
    <row r="524" spans="1:1">
      <c r="A524" s="807"/>
    </row>
    <row r="525" spans="1:1">
      <c r="A525" s="807"/>
    </row>
    <row r="526" spans="1:1">
      <c r="A526" s="807"/>
    </row>
    <row r="527" spans="1:1">
      <c r="A527" s="807"/>
    </row>
    <row r="528" spans="1:1">
      <c r="A528" s="807"/>
    </row>
    <row r="529" spans="1:1">
      <c r="A529" s="807"/>
    </row>
    <row r="530" spans="1:1">
      <c r="A530" s="807"/>
    </row>
    <row r="531" spans="1:1">
      <c r="A531" s="807"/>
    </row>
    <row r="532" spans="1:1">
      <c r="A532" s="807"/>
    </row>
    <row r="533" spans="1:1">
      <c r="A533" s="807"/>
    </row>
    <row r="534" spans="1:1">
      <c r="A534" s="807"/>
    </row>
    <row r="535" spans="1:1">
      <c r="A535" s="807"/>
    </row>
    <row r="536" spans="1:1">
      <c r="A536" s="807"/>
    </row>
    <row r="537" spans="1:1">
      <c r="A537" s="807"/>
    </row>
    <row r="538" spans="1:1">
      <c r="A538" s="807"/>
    </row>
    <row r="539" spans="1:1">
      <c r="A539" s="807"/>
    </row>
    <row r="540" spans="1:1">
      <c r="A540" s="807"/>
    </row>
    <row r="541" spans="1:1">
      <c r="A541" s="807"/>
    </row>
    <row r="542" spans="1:1">
      <c r="A542" s="807"/>
    </row>
    <row r="543" spans="1:1">
      <c r="A543" s="807"/>
    </row>
    <row r="544" spans="1:1">
      <c r="A544" s="807"/>
    </row>
    <row r="545" spans="1:1">
      <c r="A545" s="807"/>
    </row>
    <row r="546" spans="1:1">
      <c r="A546" s="807"/>
    </row>
    <row r="547" spans="1:1">
      <c r="A547" s="807"/>
    </row>
    <row r="548" spans="1:1">
      <c r="A548" s="807"/>
    </row>
    <row r="549" spans="1:1">
      <c r="A549" s="807"/>
    </row>
    <row r="550" spans="1:1">
      <c r="A550" s="807"/>
    </row>
    <row r="551" spans="1:1">
      <c r="A551" s="807"/>
    </row>
    <row r="552" spans="1:1">
      <c r="A552" s="807"/>
    </row>
    <row r="553" spans="1:1">
      <c r="A553" s="807"/>
    </row>
    <row r="554" spans="1:1">
      <c r="A554" s="807"/>
    </row>
    <row r="555" spans="1:1">
      <c r="A555" s="807"/>
    </row>
    <row r="556" spans="1:1">
      <c r="A556" s="807"/>
    </row>
    <row r="557" spans="1:1">
      <c r="A557" s="807"/>
    </row>
    <row r="558" spans="1:1">
      <c r="A558" s="807"/>
    </row>
    <row r="559" spans="1:1">
      <c r="A559" s="807"/>
    </row>
    <row r="560" spans="1:1">
      <c r="A560" s="807"/>
    </row>
    <row r="561" spans="1:1">
      <c r="A561" s="807"/>
    </row>
    <row r="562" spans="1:1">
      <c r="A562" s="807"/>
    </row>
    <row r="563" spans="1:1">
      <c r="A563" s="807"/>
    </row>
    <row r="564" spans="1:1">
      <c r="A564" s="807"/>
    </row>
    <row r="565" spans="1:1">
      <c r="A565" s="807"/>
    </row>
    <row r="566" spans="1:1">
      <c r="A566" s="807"/>
    </row>
    <row r="567" spans="1:1">
      <c r="A567" s="807"/>
    </row>
    <row r="568" spans="1:1">
      <c r="A568" s="807"/>
    </row>
    <row r="569" spans="1:1">
      <c r="A569" s="807"/>
    </row>
    <row r="570" spans="1:1">
      <c r="A570" s="807"/>
    </row>
    <row r="571" spans="1:1">
      <c r="A571" s="807"/>
    </row>
    <row r="572" spans="1:1">
      <c r="A572" s="807"/>
    </row>
    <row r="573" spans="1:1">
      <c r="A573" s="807"/>
    </row>
    <row r="574" spans="1:1">
      <c r="A574" s="807"/>
    </row>
    <row r="575" spans="1:1">
      <c r="A575" s="807"/>
    </row>
    <row r="576" spans="1:1">
      <c r="A576" s="807"/>
    </row>
    <row r="577" spans="1:1">
      <c r="A577" s="807"/>
    </row>
    <row r="578" spans="1:1">
      <c r="A578" s="807"/>
    </row>
    <row r="579" spans="1:1">
      <c r="A579" s="807"/>
    </row>
    <row r="580" spans="1:1">
      <c r="A580" s="807"/>
    </row>
    <row r="581" spans="1:1">
      <c r="A581" s="807"/>
    </row>
    <row r="582" spans="1:1">
      <c r="A582" s="807"/>
    </row>
    <row r="583" spans="1:1">
      <c r="A583" s="807"/>
    </row>
    <row r="584" spans="1:1">
      <c r="A584" s="807"/>
    </row>
    <row r="585" spans="1:1">
      <c r="A585" s="807"/>
    </row>
    <row r="586" spans="1:1">
      <c r="A586" s="807"/>
    </row>
    <row r="587" spans="1:1">
      <c r="A587" s="807"/>
    </row>
    <row r="588" spans="1:1">
      <c r="A588" s="807"/>
    </row>
    <row r="589" spans="1:1">
      <c r="A589" s="807"/>
    </row>
    <row r="590" spans="1:1">
      <c r="A590" s="807"/>
    </row>
    <row r="591" spans="1:1">
      <c r="A591" s="807"/>
    </row>
    <row r="592" spans="1:1">
      <c r="A592" s="807"/>
    </row>
    <row r="593" spans="1:1">
      <c r="A593" s="807"/>
    </row>
    <row r="594" spans="1:1">
      <c r="A594" s="807"/>
    </row>
    <row r="595" spans="1:1">
      <c r="A595" s="807"/>
    </row>
    <row r="596" spans="1:1">
      <c r="A596" s="807"/>
    </row>
    <row r="597" spans="1:1">
      <c r="A597" s="807"/>
    </row>
    <row r="598" spans="1:1">
      <c r="A598" s="807"/>
    </row>
    <row r="599" spans="1:1">
      <c r="A599" s="807"/>
    </row>
    <row r="600" spans="1:1">
      <c r="A600" s="807"/>
    </row>
    <row r="601" spans="1:1">
      <c r="A601" s="807"/>
    </row>
    <row r="602" spans="1:1">
      <c r="A602" s="807"/>
    </row>
    <row r="603" spans="1:1">
      <c r="A603" s="807"/>
    </row>
    <row r="604" spans="1:1">
      <c r="A604" s="807"/>
    </row>
    <row r="605" spans="1:1">
      <c r="A605" s="807"/>
    </row>
    <row r="606" spans="1:1">
      <c r="A606" s="807"/>
    </row>
    <row r="607" spans="1:1">
      <c r="A607" s="807"/>
    </row>
    <row r="608" spans="1:1">
      <c r="A608" s="807"/>
    </row>
    <row r="609" spans="1:1">
      <c r="A609" s="807"/>
    </row>
    <row r="610" spans="1:1">
      <c r="A610" s="807"/>
    </row>
    <row r="611" spans="1:1">
      <c r="A611" s="807"/>
    </row>
    <row r="612" spans="1:1">
      <c r="A612" s="807"/>
    </row>
    <row r="613" spans="1:1">
      <c r="A613" s="807"/>
    </row>
    <row r="614" spans="1:1">
      <c r="A614" s="807"/>
    </row>
    <row r="615" spans="1:1">
      <c r="A615" s="807"/>
    </row>
    <row r="616" spans="1:1">
      <c r="A616" s="807"/>
    </row>
    <row r="617" spans="1:1">
      <c r="A617" s="807"/>
    </row>
    <row r="618" spans="1:1">
      <c r="A618" s="807"/>
    </row>
    <row r="619" spans="1:1">
      <c r="A619" s="807"/>
    </row>
    <row r="620" spans="1:1">
      <c r="A620" s="807"/>
    </row>
    <row r="621" spans="1:1">
      <c r="A621" s="807"/>
    </row>
    <row r="622" spans="1:1">
      <c r="A622" s="807"/>
    </row>
  </sheetData>
  <sortState xmlns:xlrd2="http://schemas.microsoft.com/office/spreadsheetml/2017/richdata2" ref="A2:A622">
    <sortCondition descending="1" ref="A2:A622"/>
  </sortState>
  <pageMargins left="0.70866141732283472" right="0.70866141732283472" top="0.74803149606299213" bottom="0.74803149606299213" header="0.31496062992125984" footer="0.31496062992125984"/>
  <pageSetup scale="75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1b839d-b3e6-4e3b-8149-86f7427415fb">
      <Terms xmlns="http://schemas.microsoft.com/office/infopath/2007/PartnerControls"/>
    </lcf76f155ced4ddcb4097134ff3c332f>
    <TaxCatchAll xmlns="f1f01aa8-b574-4aa7-9e2c-1e1a5bcaf608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71B50330516B4E84A9D4416D1294DF" ma:contentTypeVersion="16" ma:contentTypeDescription="Create a new document." ma:contentTypeScope="" ma:versionID="9aae592519f1d39d74bc96200fb51ad8">
  <xsd:schema xmlns:xsd="http://www.w3.org/2001/XMLSchema" xmlns:xs="http://www.w3.org/2001/XMLSchema" xmlns:p="http://schemas.microsoft.com/office/2006/metadata/properties" xmlns:ns2="df1b839d-b3e6-4e3b-8149-86f7427415fb" xmlns:ns3="f1f01aa8-b574-4aa7-9e2c-1e1a5bcaf608" targetNamespace="http://schemas.microsoft.com/office/2006/metadata/properties" ma:root="true" ma:fieldsID="3fceceb3728b57de171f007feda6b466" ns2:_="" ns3:_="">
    <xsd:import namespace="df1b839d-b3e6-4e3b-8149-86f7427415fb"/>
    <xsd:import namespace="f1f01aa8-b574-4aa7-9e2c-1e1a5bcaf60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1b839d-b3e6-4e3b-8149-86f7427415f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389bdad1-6268-4848-8a56-935517a4fd1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f01aa8-b574-4aa7-9e2c-1e1a5bcaf60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419bb9cf-625c-4edc-a848-45d15a23cd84}" ma:internalName="TaxCatchAll" ma:showField="CatchAllData" ma:web="f1f01aa8-b574-4aa7-9e2c-1e1a5bcaf60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B0D09241-EBB5-49C6-BE7D-B88E3B4BEC81}"/>
</file>

<file path=customXml/itemProps2.xml><?xml version="1.0" encoding="utf-8"?>
<ds:datastoreItem xmlns:ds="http://schemas.openxmlformats.org/officeDocument/2006/customXml" ds:itemID="{453401F0-1302-410B-B72E-531641659F2A}"/>
</file>

<file path=customXml/itemProps3.xml><?xml version="1.0" encoding="utf-8"?>
<ds:datastoreItem xmlns:ds="http://schemas.openxmlformats.org/officeDocument/2006/customXml" ds:itemID="{8BD14EFF-70AF-4362-AE30-94CB90C430C9}"/>
</file>

<file path=customXml/itemProps4.xml><?xml version="1.0" encoding="utf-8"?>
<ds:datastoreItem xmlns:ds="http://schemas.openxmlformats.org/officeDocument/2006/customXml" ds:itemID="{167F7A21-A4A6-4A3A-8FC4-84BCD9AA430D}"/>
</file>

<file path=docMetadata/LabelInfo.xml><?xml version="1.0" encoding="utf-8"?>
<clbl:labelList xmlns:clbl="http://schemas.microsoft.com/office/2020/mipLabelMetadata">
  <clbl:label id="{0722b212-d16b-4e6f-ba84-752ae31d199c}" enabled="0" method="" siteId="{0722b212-d16b-4e6f-ba84-752ae31d199c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Nhung</dc:creator>
  <cp:keywords/>
  <dc:description/>
  <cp:lastModifiedBy>Phan Thi Len</cp:lastModifiedBy>
  <cp:revision/>
  <dcterms:created xsi:type="dcterms:W3CDTF">2001-10-04T00:49:58Z</dcterms:created>
  <dcterms:modified xsi:type="dcterms:W3CDTF">2026-05-13T07:35:07Z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Tran Dinh Thao Nguyen</vt:lpwstr>
  </property>
  <property fmtid="{D5CDD505-2E9C-101B-9397-08002B2CF9AE}" pid="3" name="_ExtendedDescription">
    <vt:lpwstr/>
  </property>
  <property fmtid="{D5CDD505-2E9C-101B-9397-08002B2CF9AE}" pid="4" name="display_urn:schemas-microsoft-com:office:office#Author">
    <vt:lpwstr>Tran Dinh Thao Nguyen</vt:lpwstr>
  </property>
  <property fmtid="{D5CDD505-2E9C-101B-9397-08002B2CF9AE}" pid="5" name="ComplianceAssetId">
    <vt:lpwstr/>
  </property>
  <property fmtid="{D5CDD505-2E9C-101B-9397-08002B2CF9AE}" pid="6" name="TriggerFlowInfo">
    <vt:lpwstr/>
  </property>
  <property fmtid="{D5CDD505-2E9C-101B-9397-08002B2CF9AE}" pid="7" name="ContentTypeId">
    <vt:lpwstr>0x0101007671B50330516B4E84A9D4416D1294DF</vt:lpwstr>
  </property>
  <property fmtid="{D5CDD505-2E9C-101B-9397-08002B2CF9AE}" pid="8" name="MediaServiceImageTags">
    <vt:lpwstr/>
  </property>
</Properties>
</file>