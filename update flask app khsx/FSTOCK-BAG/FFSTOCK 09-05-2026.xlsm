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pvn-my.sharepoint.com/personal/thaonguyen_cp_com_vn/Documents/Nguyên FG/BAO CAO NGAY/FFSTOCK/FFSTOCK 2026/FFSTOCK THÁNG 05-2026/"/>
    </mc:Choice>
  </mc:AlternateContent>
  <xr:revisionPtr revIDLastSave="67" documentId="13_ncr:1_{58811FDB-91A5-4228-86D5-43084FDAAE51}" xr6:coauthVersionLast="47" xr6:coauthVersionMax="47" xr10:uidLastSave="{26FD6AEF-A5EE-499E-8C18-36D6621DBF34}"/>
  <bookViews>
    <workbookView xWindow="-120" yWindow="-120" windowWidth="19440" windowHeight="14880" tabRatio="826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6" i="630" l="1"/>
  <c r="C306" i="630"/>
  <c r="C300" i="630"/>
  <c r="C296" i="630"/>
  <c r="D304" i="630"/>
  <c r="D300" i="630"/>
  <c r="D298" i="630"/>
  <c r="D296" i="630"/>
  <c r="F306" i="630"/>
  <c r="AF27" i="812"/>
  <c r="AC238" i="785"/>
  <c r="AQ331" i="785" l="1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119" i="630" l="1"/>
  <c r="H37" i="785"/>
  <c r="H35" i="785"/>
  <c r="H38" i="785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F59" i="812"/>
  <c r="F63" i="812" s="1"/>
  <c r="F103" i="630"/>
  <c r="F152" i="785"/>
  <c r="F105" i="630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M12" i="812" l="1"/>
  <c r="M41" i="812"/>
  <c r="O128" i="630"/>
  <c r="P128" i="630" s="1"/>
  <c r="M330" i="785"/>
  <c r="N330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I30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P170" i="785"/>
  <c r="S250" i="785"/>
  <c r="S220" i="785"/>
  <c r="S255" i="785"/>
  <c r="S240" i="785"/>
  <c r="F154" i="785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<sst xmlns="http://schemas.openxmlformats.org/spreadsheetml/2006/main" count="6890" uniqueCount="2760">
  <si>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</si>
  <si>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</si>
  <si>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</si>
  <si>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</si>
  <si>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</si>
  <si>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</si>
  <si>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</si>
  <si>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</si>
  <si>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</si>
  <si>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</si>
  <si>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</si>
  <si>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</si>
  <si>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</si>
  <si>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</si>
  <si>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</si>
  <si>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</si>
  <si>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</si>
  <si>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</si>
  <si>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</si>
  <si>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</si>
  <si>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</si>
  <si>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</si>
  <si>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</si>
  <si>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</si>
  <si>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</si>
  <si>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</si>
  <si>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</si>
  <si>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</si>
  <si>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</si>
  <si>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</si>
  <si>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</si>
  <si>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</si>
  <si>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</si>
  <si>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</si>
  <si>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</si>
  <si>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</si>
  <si>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</si>
  <si>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</si>
  <si>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</si>
  <si>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</si>
  <si>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</si>
  <si>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</si>
  <si>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</si>
  <si>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</si>
  <si>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</si>
  <si>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</si>
  <si>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</si>
  <si>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</si>
  <si>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</si>
  <si>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</si>
  <si>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</si>
  <si>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</si>
  <si>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</si>
  <si>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</si>
  <si>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</si>
  <si>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</si>
  <si>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</si>
  <si>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</si>
  <si>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</si>
  <si>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</si>
  <si>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</si>
  <si>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</si>
  <si>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</si>
  <si>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</si>
  <si>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</si>
  <si>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</si>
  <si>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</si>
  <si>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</si>
  <si>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</si>
  <si>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</si>
  <si>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</si>
  <si>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</si>
  <si>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</si>
  <si>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</si>
  <si>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</si>
  <si>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</si>
  <si>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</si>
  <si>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</si>
  <si>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</si>
  <si>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</si>
  <si>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</si>
  <si>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</si>
  <si>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</si>
  <si>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</si>
  <si>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</si>
  <si>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</si>
  <si>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</si>
  <si>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</si>
  <si>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</si>
  <si>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</si>
  <si>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</si>
  <si>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</si>
  <si>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</si>
  <si>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</si>
  <si>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</si>
  <si>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</si>
  <si>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</si>
  <si>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</si>
  <si>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</si>
  <si>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</si>
  <si>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</si>
  <si>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</si>
  <si>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</si>
  <si>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</si>
  <si>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</si>
  <si>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</si>
  <si>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</si>
  <si>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</si>
  <si>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</si>
  <si>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</si>
  <si>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</si>
  <si>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</si>
  <si>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</si>
  <si>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</si>
  <si>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</si>
  <si>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</si>
  <si>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</si>
  <si>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</si>
  <si>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</si>
  <si>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</si>
  <si>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</si>
  <si>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</si>
  <si>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</si>
  <si>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</si>
  <si>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</si>
  <si>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</si>
  <si>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</si>
  <si>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</si>
  <si>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</si>
  <si>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</si>
  <si>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</si>
  <si>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</si>
  <si>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</si>
  <si>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</si>
  <si>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</si>
  <si>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</si>
  <si>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</si>
  <si>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</si>
  <si>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</si>
  <si>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</si>
  <si>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</si>
  <si>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</si>
  <si>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</si>
  <si>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</si>
  <si>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</si>
  <si>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</si>
  <si>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</si>
  <si>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</si>
  <si>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</si>
  <si>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</si>
  <si>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</si>
  <si>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</si>
  <si>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</si>
  <si>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</si>
  <si>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</si>
  <si>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</si>
  <si>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</si>
  <si>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</si>
  <si>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</si>
  <si>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</si>
  <si>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</si>
  <si>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</si>
  <si>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</si>
  <si>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</si>
  <si>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</si>
  <si>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</si>
  <si>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</si>
  <si>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</si>
  <si>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</si>
  <si>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</si>
  <si>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</si>
  <si>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</si>
  <si>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</si>
  <si>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</si>
  <si>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</si>
  <si>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</si>
  <si>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</si>
  <si>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</si>
  <si>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</si>
  <si>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</si>
  <si>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</si>
  <si>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</si>
  <si>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</si>
  <si>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</si>
  <si>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</si>
  <si>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</si>
  <si>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</si>
  <si>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</si>
  <si>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</si>
  <si>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</si>
  <si>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</si>
  <si>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</si>
  <si>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</si>
  <si>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</si>
  <si>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</si>
  <si>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</si>
  <si>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</si>
  <si>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</si>
  <si>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</si>
  <si>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</si>
  <si>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</si>
  <si>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</si>
  <si>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</si>
  <si>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</si>
  <si>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</si>
  <si>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</si>
  <si>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</si>
  <si>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</si>
  <si>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</si>
  <si>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</si>
  <si>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</si>
  <si>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</si>
  <si>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</si>
  <si>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</si>
  <si>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</si>
  <si>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</si>
  <si>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</si>
  <si>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</si>
  <si>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</si>
  <si>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</si>
  <si>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</si>
  <si>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</si>
  <si>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</si>
  <si>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</si>
  <si>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</si>
  <si>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</si>
  <si>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</si>
  <si>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</si>
  <si>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</si>
  <si>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</si>
  <si>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</si>
  <si>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</si>
  <si>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</si>
  <si>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</si>
  <si>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</si>
  <si>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</si>
  <si>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</si>
  <si>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</si>
  <si>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</si>
  <si>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</si>
  <si>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</si>
  <si>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</si>
  <si>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</si>
  <si>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</si>
  <si>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</si>
  <si>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</si>
  <si>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</si>
  <si>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</si>
  <si>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</si>
  <si>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</si>
  <si>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</si>
  <si>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</si>
  <si>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</si>
  <si>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</si>
  <si>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</si>
  <si>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</si>
  <si>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</si>
  <si>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</si>
  <si>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</si>
  <si>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</si>
  <si>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</si>
  <si>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</si>
  <si>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</si>
  <si>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</si>
  <si>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</si>
  <si>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</si>
  <si>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</si>
  <si>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</si>
  <si>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</si>
  <si>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</si>
  <si>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</si>
  <si>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</si>
  <si>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</si>
  <si>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</si>
  <si>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</si>
  <si>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</si>
  <si>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</si>
  <si>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</si>
  <si>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</si>
  <si>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</si>
  <si>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</si>
  <si>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</si>
  <si>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</si>
  <si>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</si>
  <si>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</si>
  <si>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</si>
  <si>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</si>
  <si>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</si>
  <si>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</si>
  <si>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</si>
  <si>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</si>
  <si>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</si>
  <si>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</si>
  <si>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</si>
  <si>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</si>
  <si>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</si>
  <si>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</si>
  <si>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</si>
  <si>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</si>
  <si>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</si>
  <si>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</si>
  <si>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</si>
  <si>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</si>
  <si>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</si>
  <si>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</si>
  <si>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</si>
  <si>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</si>
  <si>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</si>
  <si>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</si>
  <si>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</si>
  <si>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</si>
  <si>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</si>
  <si>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</si>
  <si>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</si>
  <si>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</si>
  <si>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</si>
  <si>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</si>
  <si>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</si>
  <si>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</si>
  <si>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</si>
  <si>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</si>
  <si>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</si>
  <si>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</si>
  <si>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</si>
  <si>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</si>
  <si>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</si>
  <si>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</si>
  <si>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</si>
  <si>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</si>
  <si>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</si>
  <si>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</si>
  <si>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</si>
  <si>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</si>
  <si>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</si>
  <si>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</si>
  <si>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</si>
  <si>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</si>
  <si>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</si>
  <si>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</si>
  <si>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</si>
  <si>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</si>
  <si>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</si>
  <si>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</si>
  <si>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</si>
  <si>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</si>
  <si>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</si>
  <si>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</si>
  <si>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</si>
  <si>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</si>
  <si>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</si>
  <si>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</si>
  <si>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</si>
  <si>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</si>
  <si>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</si>
  <si>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</si>
  <si>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</si>
  <si>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</si>
  <si>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</si>
  <si>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</si>
  <si>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</si>
  <si>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</si>
  <si>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</si>
  <si>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</si>
  <si>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</si>
  <si>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</si>
  <si>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</si>
  <si>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</si>
  <si>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</si>
  <si>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</si>
  <si>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</si>
  <si>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</si>
  <si>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</si>
  <si>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</si>
  <si>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</si>
  <si>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</si>
  <si>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</si>
  <si>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</si>
  <si>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</si>
  <si>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</si>
  <si>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</si>
  <si>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</si>
  <si>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</si>
  <si>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</si>
  <si>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</si>
  <si>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</si>
  <si>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</si>
  <si>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</si>
  <si>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</si>
  <si>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</si>
  <si>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</si>
  <si>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</si>
  <si>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</si>
  <si>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</si>
  <si>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</si>
  <si>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</si>
  <si>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</si>
  <si>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</si>
  <si>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</si>
  <si>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</si>
  <si>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</si>
  <si>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</si>
  <si>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</si>
  <si>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</si>
  <si>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</si>
  <si>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</si>
  <si>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</si>
  <si>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</si>
  <si>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</si>
  <si>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</si>
  <si>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</si>
  <si>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</si>
  <si>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</si>
  <si>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</si>
  <si>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</si>
  <si>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</si>
  <si>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</si>
  <si>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</si>
  <si>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</si>
  <si>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</si>
  <si>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</si>
  <si>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</si>
  <si>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</si>
  <si>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</si>
  <si>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</si>
  <si>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</si>
  <si>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</si>
  <si>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</si>
  <si>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</si>
  <si>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</si>
  <si>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</si>
  <si>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</si>
  <si>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</si>
  <si>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</si>
  <si>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</si>
  <si>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</si>
  <si>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</si>
  <si>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</si>
  <si>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</si>
  <si>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</si>
  <si>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</si>
  <si>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</si>
  <si>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</si>
  <si>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</si>
  <si>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</si>
  <si>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</si>
  <si>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</si>
  <si>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</si>
  <si>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</si>
  <si>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</si>
  <si>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</si>
  <si>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</si>
  <si>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</si>
  <si>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</si>
  <si>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</si>
  <si>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</si>
  <si>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</si>
  <si>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</si>
  <si>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</si>
  <si>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</si>
  <si>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</si>
  <si>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</si>
  <si>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</si>
  <si>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</si>
  <si>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</si>
  <si>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</si>
  <si>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</si>
  <si>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</si>
  <si>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</si>
  <si>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</si>
  <si>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</si>
  <si>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</si>
  <si>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</si>
  <si>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</si>
  <si>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</si>
  <si>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</si>
  <si>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</si>
  <si>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09/05/2026</t>
  </si>
  <si>
    <t>SALES (BÁN HÀNG) đến ngày 09/05/2026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</si>
  <si>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</si>
  <si>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</si>
  <si>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</si>
  <si>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</si>
  <si>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</si>
  <si>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</si>
  <si>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</si>
  <si>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</si>
  <si>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</si>
  <si>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</si>
  <si>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</si>
  <si>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</si>
  <si>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</si>
  <si>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</si>
  <si>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</si>
  <si>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</si>
  <si>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</si>
  <si>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</si>
  <si>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</si>
  <si>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</si>
  <si>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</si>
  <si>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</si>
  <si>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</si>
  <si>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</si>
  <si>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</si>
  <si>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</si>
  <si>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</si>
  <si>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</si>
  <si>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</si>
  <si>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</si>
  <si>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</si>
  <si>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</si>
  <si>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</si>
  <si>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</si>
  <si>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</si>
  <si>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</si>
  <si>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</si>
  <si>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</si>
  <si>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</si>
  <si>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</si>
  <si>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</si>
  <si>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</si>
  <si>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</si>
  <si>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</si>
  <si>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</si>
  <si>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</si>
  <si>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</si>
  <si>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</si>
  <si>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</si>
  <si>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</si>
  <si>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</si>
  <si>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</si>
  <si>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</si>
  <si>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</si>
  <si>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</si>
  <si>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</si>
  <si>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</si>
  <si>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</si>
  <si>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</si>
  <si>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</si>
  <si>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</si>
  <si>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</si>
  <si>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</si>
  <si>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</si>
  <si>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</si>
  <si>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</si>
  <si>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</si>
  <si>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</si>
  <si>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</si>
  <si>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</si>
  <si>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</si>
  <si>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</si>
  <si>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</si>
  <si>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</si>
  <si>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</si>
  <si>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</si>
  <si>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</si>
  <si>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</si>
  <si>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</si>
  <si>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</si>
  <si>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</si>
  <si>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</si>
  <si>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</si>
  <si>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</si>
  <si>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</si>
  <si>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</si>
  <si>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</si>
  <si>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</si>
  <si>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</si>
  <si>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</si>
  <si>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</si>
  <si>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</si>
  <si>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</si>
  <si>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</si>
  <si>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</si>
  <si>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</si>
  <si>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</si>
  <si>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</si>
  <si>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</si>
  <si>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</si>
  <si>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</si>
  <si>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</si>
  <si>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</si>
  <si>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</si>
  <si>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</si>
  <si>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</si>
  <si>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</si>
  <si>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</si>
  <si>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</si>
  <si>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</si>
  <si>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</si>
  <si>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</si>
  <si>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</si>
  <si>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</si>
  <si>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</si>
  <si>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</si>
  <si>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</si>
  <si>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</si>
  <si>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</si>
  <si>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</si>
  <si>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</si>
  <si>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</si>
  <si>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</si>
  <si>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</si>
  <si>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</si>
  <si>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</si>
  <si>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</si>
  <si>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</si>
  <si>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</si>
  <si>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</si>
  <si>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</si>
  <si>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</si>
  <si>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</si>
  <si>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</si>
  <si>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</si>
  <si>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</si>
  <si>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</si>
  <si>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</si>
  <si>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</si>
  <si>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</si>
  <si>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</si>
  <si>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</si>
  <si>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</si>
  <si>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</si>
  <si>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</si>
  <si>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</si>
  <si>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</si>
  <si>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</si>
  <si>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</si>
  <si>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</si>
  <si>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</si>
  <si>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</si>
  <si>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</si>
  <si>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</si>
  <si>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</si>
  <si>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</si>
  <si>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</si>
  <si>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</si>
  <si>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</si>
  <si>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</si>
  <si>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</si>
  <si>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</si>
  <si>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</si>
  <si>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</si>
  <si>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</si>
  <si>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</si>
  <si>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</si>
  <si>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</si>
  <si>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</si>
  <si>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</si>
  <si>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</si>
  <si>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</si>
  <si>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</si>
  <si>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</si>
  <si>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</si>
  <si>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</si>
  <si>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</si>
  <si>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</si>
  <si>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</si>
  <si>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</si>
  <si>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</si>
  <si>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</si>
  <si>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</si>
  <si>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</si>
  <si>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</si>
  <si>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</si>
  <si>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</si>
  <si>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</si>
  <si>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</si>
  <si>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</si>
  <si>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</si>
  <si>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</si>
  <si>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</si>
  <si>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</si>
  <si>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</si>
  <si>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</si>
  <si>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</si>
  <si>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</si>
  <si>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</si>
  <si>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</si>
  <si>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</si>
  <si>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</si>
  <si>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</si>
  <si>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</si>
  <si>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</si>
  <si>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</si>
  <si>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</si>
  <si>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</si>
  <si>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</si>
  <si>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</si>
  <si>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</si>
  <si>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</si>
  <si>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</si>
  <si>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</si>
  <si>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</si>
  <si>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</si>
  <si>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</si>
  <si>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</si>
  <si>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</si>
  <si>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</si>
  <si>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</si>
  <si>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</si>
  <si>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</si>
  <si>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</si>
  <si>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</si>
  <si>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</si>
  <si>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</si>
  <si>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</si>
  <si>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</si>
  <si>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</si>
  <si>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</si>
  <si>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</si>
  <si>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</si>
  <si>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</si>
  <si>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</si>
  <si>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</si>
  <si>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</si>
  <si>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</si>
  <si>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</si>
  <si>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</si>
  <si>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</si>
  <si>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</si>
  <si>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</si>
  <si>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</si>
  <si>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</si>
  <si>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</si>
  <si>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</si>
  <si>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</si>
  <si>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</si>
  <si>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</si>
  <si>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</si>
  <si>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</si>
  <si>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</si>
  <si>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</si>
  <si>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</si>
  <si>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</si>
  <si>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</si>
  <si>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</si>
  <si>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</si>
  <si>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</si>
  <si>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</si>
  <si>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</si>
  <si>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</si>
  <si>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</si>
  <si>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</si>
  <si>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</si>
  <si>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</si>
  <si>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</si>
  <si>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</si>
  <si>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</si>
  <si>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</si>
  <si>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</si>
  <si>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</si>
  <si>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</si>
  <si>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</si>
  <si>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</si>
  <si>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</si>
  <si>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</si>
  <si>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</si>
  <si>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</si>
  <si>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</si>
  <si>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</si>
  <si>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</si>
  <si>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</si>
  <si>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</si>
  <si>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</si>
  <si>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</si>
  <si>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</si>
  <si>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</si>
  <si>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</si>
  <si>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</si>
  <si>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</si>
  <si>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</si>
  <si>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</si>
  <si>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</si>
  <si>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</si>
  <si>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</si>
  <si>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</si>
  <si>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</si>
  <si>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</si>
  <si>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</si>
  <si>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</si>
  <si>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</si>
  <si>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</si>
  <si>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</si>
  <si>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</si>
  <si>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</si>
  <si>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</si>
  <si>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</si>
  <si>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</si>
  <si>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</si>
  <si>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</si>
  <si>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</si>
  <si>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</si>
  <si>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</si>
  <si>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</si>
  <si>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</si>
  <si>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</si>
  <si>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</si>
  <si>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</si>
  <si>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</si>
  <si>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</si>
  <si>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</si>
  <si>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</si>
  <si>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</si>
  <si>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</si>
  <si>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</si>
  <si>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</si>
  <si>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</si>
  <si>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</si>
  <si>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</si>
  <si>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</si>
  <si>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</si>
  <si>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</si>
  <si>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</si>
  <si>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</si>
  <si>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</si>
  <si>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</si>
  <si>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</si>
  <si>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</si>
  <si>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</si>
  <si>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</si>
  <si>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</si>
  <si>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</si>
  <si>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</si>
  <si>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</si>
  <si>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</si>
  <si>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</si>
  <si>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</si>
  <si>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</si>
  <si>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</si>
  <si>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</si>
  <si>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</si>
  <si>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</si>
  <si>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</si>
  <si>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</si>
  <si>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</si>
  <si>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</si>
  <si>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</si>
  <si>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</si>
  <si>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</si>
  <si>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</si>
  <si>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</si>
  <si>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</si>
  <si>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</si>
  <si>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</si>
  <si>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</si>
  <si>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</si>
  <si>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</si>
  <si>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</si>
  <si>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</si>
  <si>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</si>
  <si>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</si>
  <si>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</si>
  <si>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</si>
  <si>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</si>
  <si>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</si>
  <si>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</si>
  <si>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</si>
  <si>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</si>
  <si>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</si>
  <si>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</si>
  <si>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</si>
  <si>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</si>
  <si>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</si>
  <si>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</si>
  <si>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</si>
  <si>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</si>
  <si>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</si>
  <si>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</si>
  <si>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</si>
  <si>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</si>
  <si>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</si>
  <si>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</si>
  <si>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</si>
  <si>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</si>
  <si>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</si>
  <si>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</si>
  <si>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</si>
  <si>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</si>
  <si>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</si>
  <si>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</si>
  <si>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</si>
  <si>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</si>
  <si>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</si>
  <si>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</si>
  <si>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</si>
  <si>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</si>
  <si>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</si>
  <si>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</si>
  <si>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</si>
  <si>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</si>
  <si>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</si>
  <si>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</si>
  <si>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</si>
  <si>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</si>
  <si>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</si>
  <si>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</si>
  <si>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</si>
  <si>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</si>
  <si>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</si>
  <si>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</si>
  <si>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</si>
  <si>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</si>
  <si>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</si>
  <si>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</si>
  <si>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</si>
  <si>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</si>
  <si>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</si>
  <si>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</si>
  <si>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</si>
  <si>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</si>
  <si>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</si>
  <si>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</si>
  <si>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</si>
  <si>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</si>
  <si>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</si>
  <si>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</si>
  <si>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</si>
  <si>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</si>
  <si>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</si>
  <si>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</si>
  <si>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</si>
  <si>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</si>
  <si>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</si>
  <si>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</si>
  <si>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</si>
  <si>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</si>
  <si>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</si>
  <si>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</si>
  <si>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</si>
  <si>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</si>
  <si>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</si>
  <si>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</si>
  <si>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</si>
  <si>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</si>
  <si>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</si>
  <si>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</si>
  <si>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</si>
  <si>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</si>
  <si>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</si>
  <si>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</si>
  <si>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</si>
  <si>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</si>
  <si>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</si>
  <si>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</si>
  <si>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</si>
  <si>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</si>
  <si>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</si>
  <si>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</si>
  <si>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</si>
  <si>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</si>
  <si>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</si>
  <si>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</si>
  <si>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</si>
  <si>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</si>
  <si>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</si>
  <si>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</si>
  <si>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</si>
  <si>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</si>
  <si>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</si>
  <si>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</si>
  <si>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</si>
  <si>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</si>
  <si>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</si>
  <si>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</si>
  <si>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</si>
  <si>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</si>
  <si>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</si>
  <si>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</si>
  <si>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</si>
  <si>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</si>
  <si>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</si>
  <si>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</si>
  <si>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</si>
  <si>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</si>
  <si>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</si>
  <si>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</si>
  <si>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</si>
  <si>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</si>
  <si>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</si>
  <si>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</si>
  <si>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</si>
  <si>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</si>
  <si>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</si>
  <si>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</si>
  <si>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</si>
  <si>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</si>
  <si>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</si>
  <si>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</si>
  <si>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</si>
  <si>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</si>
  <si>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</si>
  <si>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</si>
  <si>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</si>
  <si>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</si>
  <si>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</si>
  <si>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</si>
  <si>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</si>
  <si>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</si>
  <si>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</si>
  <si>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</si>
  <si>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</si>
  <si>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</si>
  <si>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</si>
  <si>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</si>
  <si>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</si>
  <si>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</si>
  <si>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</si>
  <si>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</si>
  <si>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</si>
  <si>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</si>
  <si>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</si>
  <si>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</si>
  <si>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</si>
  <si>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</si>
  <si>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</si>
  <si>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</si>
  <si>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</si>
  <si>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</si>
  <si>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</si>
  <si>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</si>
  <si>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</si>
  <si>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</si>
  <si>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</si>
  <si>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</si>
  <si>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</si>
  <si>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</si>
  <si>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</si>
  <si>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</si>
  <si>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</si>
  <si>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</si>
  <si>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</si>
  <si>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</si>
  <si>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</si>
  <si>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</si>
  <si>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</si>
  <si>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</si>
  <si>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</si>
  <si>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</si>
  <si>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</si>
  <si>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</si>
  <si>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</si>
  <si>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</si>
  <si>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</si>
  <si>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</si>
  <si>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</si>
  <si>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</si>
  <si>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</si>
  <si>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</si>
  <si>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</si>
  <si>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</si>
  <si>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</si>
  <si>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</si>
  <si>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</si>
  <si>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</si>
  <si>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</si>
  <si>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</si>
  <si>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</si>
  <si>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</si>
  <si>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</si>
  <si>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</si>
  <si>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</si>
  <si>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</si>
  <si>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</si>
  <si>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</si>
  <si>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</si>
  <si>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</si>
  <si>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</si>
  <si>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</si>
  <si>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</si>
  <si>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</si>
  <si>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</si>
  <si>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</si>
  <si>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</si>
  <si>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</si>
  <si>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</si>
  <si>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</si>
  <si>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</si>
  <si>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</si>
  <si>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</si>
  <si>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</si>
  <si>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</si>
  <si>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</si>
  <si>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</si>
  <si>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</si>
  <si>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</si>
  <si>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</si>
  <si>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</si>
  <si>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</si>
  <si>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</si>
  <si>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</si>
  <si>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</si>
  <si>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</si>
  <si>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</si>
  <si>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</si>
  <si>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</si>
  <si>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</si>
  <si>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</si>
  <si>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</si>
  <si>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</si>
  <si>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</si>
  <si>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</si>
  <si>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</si>
  <si>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</si>
  <si>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</si>
  <si>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</si>
  <si>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</si>
  <si>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</si>
  <si>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</si>
  <si>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</si>
  <si>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</si>
  <si>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</si>
  <si>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</si>
  <si>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</si>
  <si>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</si>
  <si>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</si>
  <si>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</si>
  <si>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</si>
  <si>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</si>
  <si>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</si>
  <si>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</si>
  <si>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</si>
  <si>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</si>
  <si>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</si>
  <si>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</si>
  <si>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</si>
  <si>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</si>
  <si>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</si>
  <si>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</si>
  <si>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</si>
  <si>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</si>
  <si>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</si>
  <si>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</si>
  <si>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</si>
  <si>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</si>
  <si>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</si>
  <si>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</si>
  <si>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</si>
  <si>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</si>
  <si>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</si>
  <si>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</si>
  <si>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</si>
  <si>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</si>
  <si>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</si>
  <si>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</si>
  <si>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</si>
  <si>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</si>
  <si>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</si>
  <si>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</si>
  <si>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</si>
  <si>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</si>
  <si>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</si>
  <si>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</si>
  <si>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</si>
  <si>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</si>
  <si>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</si>
  <si>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</si>
  <si>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</si>
  <si>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</si>
  <si>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</si>
  <si>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</si>
  <si>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</si>
  <si>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</si>
  <si>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</si>
  <si>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</si>
  <si>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</si>
  <si>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</si>
  <si>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</si>
  <si>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</si>
  <si>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</si>
  <si>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</si>
  <si>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</si>
  <si>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</si>
  <si>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</si>
  <si>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</si>
  <si>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</si>
  <si>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</si>
  <si>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</si>
  <si>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</si>
  <si>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</si>
  <si>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</si>
  <si>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</si>
  <si>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</si>
  <si>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</si>
  <si>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</si>
  <si>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</si>
  <si>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</si>
  <si>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</si>
  <si>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</si>
  <si>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</si>
  <si>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</si>
  <si>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</si>
  <si>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</si>
  <si>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</si>
  <si>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</si>
  <si>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</si>
  <si>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</si>
  <si>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</si>
  <si>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</si>
  <si>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</si>
  <si>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</si>
  <si>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</si>
  <si>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</si>
  <si>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</si>
  <si>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</si>
  <si>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</si>
  <si>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</si>
  <si>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</si>
  <si>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</si>
  <si>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</si>
  <si>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</si>
  <si>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</si>
  <si>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</si>
  <si>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</si>
  <si>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</si>
  <si>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</si>
  <si>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</si>
  <si>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</si>
  <si>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</si>
  <si>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</si>
  <si>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</si>
  <si>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</si>
  <si>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</si>
  <si>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</si>
  <si>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</si>
  <si>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</si>
  <si>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</si>
  <si>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</si>
  <si>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</si>
  <si>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</si>
  <si>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</si>
  <si>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</si>
  <si>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</si>
  <si>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</si>
  <si>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</si>
  <si>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</si>
  <si>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</si>
  <si>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</si>
  <si>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</si>
  <si>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</si>
  <si>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</si>
  <si>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</si>
  <si>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</si>
  <si>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</si>
  <si>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</si>
  <si>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</si>
  <si>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</si>
  <si>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</si>
  <si>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</si>
  <si>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</si>
  <si>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</si>
  <si>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</si>
  <si>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</si>
  <si>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</si>
  <si>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</si>
  <si>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</si>
  <si>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</si>
  <si>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</si>
  <si>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</si>
  <si>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</si>
  <si>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</si>
  <si>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</si>
  <si>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</si>
  <si>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</si>
  <si>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</si>
  <si>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</si>
  <si>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</si>
  <si>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</si>
  <si>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</si>
  <si>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</si>
  <si>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</si>
  <si>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</si>
  <si>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</si>
  <si>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</si>
  <si>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</si>
  <si>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</si>
  <si>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</si>
  <si>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</si>
  <si>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</si>
  <si>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</si>
  <si>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</si>
  <si>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</si>
  <si>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</si>
  <si>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</si>
  <si>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</si>
  <si>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</si>
  <si>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</si>
  <si>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</si>
  <si>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</si>
  <si>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</si>
  <si>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</si>
  <si>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</si>
  <si>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</si>
  <si>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</si>
  <si>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</si>
  <si>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</si>
  <si>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</si>
  <si>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</si>
  <si>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</si>
  <si>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</si>
  <si>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</si>
  <si>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</si>
  <si>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</si>
  <si>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</si>
  <si>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</si>
  <si>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</si>
  <si>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</si>
  <si>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</si>
  <si>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</si>
  <si>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</si>
  <si>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</si>
  <si>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</si>
  <si>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</si>
  <si>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</si>
  <si>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</si>
  <si>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</si>
  <si>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</si>
  <si>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</si>
  <si>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</si>
  <si>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</si>
  <si>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</si>
  <si>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</si>
  <si>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</si>
  <si>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</si>
  <si>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</si>
  <si>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</si>
  <si>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</si>
  <si>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</si>
  <si>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</si>
  <si>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</si>
  <si>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</si>
  <si>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</si>
  <si>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</si>
  <si>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</si>
  <si>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</si>
  <si>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</si>
  <si>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</si>
  <si>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</si>
  <si>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</si>
  <si>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</si>
  <si>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</si>
  <si>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</si>
  <si>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</si>
  <si>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</si>
  <si>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</si>
  <si>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</si>
  <si>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</si>
  <si>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</si>
  <si>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</si>
  <si>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</si>
  <si>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</si>
  <si>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</si>
  <si>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</si>
  <si>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</si>
  <si>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</si>
  <si>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</si>
  <si>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</si>
  <si>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</si>
  <si>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</si>
  <si>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</si>
  <si>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</si>
  <si>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</si>
  <si>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</si>
  <si>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</si>
  <si>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</si>
  <si>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</si>
  <si>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</si>
  <si>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</si>
  <si>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</si>
  <si>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</si>
  <si>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</si>
  <si>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</si>
  <si>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</si>
  <si>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</si>
  <si>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</si>
  <si>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</si>
  <si>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</si>
  <si>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</si>
  <si>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</si>
  <si>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</si>
  <si>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</si>
  <si>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</si>
  <si>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</si>
  <si>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</si>
  <si>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</si>
  <si>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</si>
  <si>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</si>
  <si>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</si>
  <si>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</si>
  <si>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</si>
  <si>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</si>
  <si>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</si>
  <si>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</si>
  <si>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</si>
  <si>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</si>
  <si>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</si>
  <si>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</si>
  <si>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</si>
  <si>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</si>
  <si>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</si>
  <si>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</si>
  <si>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</si>
  <si>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</si>
  <si>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</si>
  <si>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</si>
  <si>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</si>
  <si>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</si>
  <si>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</si>
  <si>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</si>
  <si>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</si>
  <si>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</si>
  <si>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</si>
  <si>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</si>
  <si>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</si>
  <si>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</si>
  <si>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</si>
  <si>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</si>
  <si>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</si>
  <si>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</si>
  <si>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</si>
  <si>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</si>
  <si>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</si>
  <si>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</si>
  <si>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</si>
  <si>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</si>
  <si>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</si>
  <si>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</si>
  <si>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</si>
  <si>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</si>
  <si>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</si>
  <si>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</si>
  <si>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</si>
  <si>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</si>
  <si>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</si>
  <si>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</si>
  <si>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</si>
  <si>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</si>
  <si>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</si>
  <si>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</si>
  <si>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</si>
  <si>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</si>
  <si>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</si>
  <si>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</si>
  <si>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</si>
  <si>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</si>
  <si>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</si>
  <si>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</si>
  <si>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</si>
  <si>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</si>
  <si>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</si>
  <si>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</si>
  <si>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</si>
  <si>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</si>
  <si>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</si>
  <si>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</si>
  <si>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</si>
  <si>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</si>
  <si>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</si>
  <si>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</si>
  <si>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</si>
  <si>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</si>
  <si>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</si>
  <si>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</si>
  <si>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</si>
  <si>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</si>
  <si>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</si>
  <si>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</si>
  <si>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</si>
  <si>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</si>
  <si>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</si>
  <si>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</si>
  <si>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</si>
  <si>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</si>
  <si>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</si>
  <si>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</si>
  <si>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</si>
  <si>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</si>
  <si>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</si>
  <si>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</si>
  <si>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</si>
  <si>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</si>
  <si>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</si>
  <si>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</si>
  <si>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</si>
  <si>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</si>
  <si>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</si>
  <si>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</si>
  <si>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</si>
  <si>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</si>
  <si>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</si>
  <si>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</si>
  <si>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</si>
  <si>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</si>
  <si>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</si>
  <si>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</si>
  <si>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</si>
  <si>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</si>
  <si>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</si>
  <si>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</si>
  <si>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</si>
  <si>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</si>
  <si>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</si>
  <si>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</si>
  <si>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</si>
  <si>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</si>
  <si>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</si>
  <si>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</si>
  <si>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</si>
  <si>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</si>
  <si>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</si>
  <si>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</si>
  <si>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</si>
  <si>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</si>
  <si>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</si>
  <si>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</si>
  <si>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</si>
  <si>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</si>
  <si>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</si>
  <si>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</si>
  <si>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</si>
  <si>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</si>
  <si>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</si>
  <si>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</si>
  <si>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</si>
  <si>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</si>
  <si>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</si>
  <si>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</si>
  <si>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</si>
  <si>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</si>
  <si>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</si>
  <si>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</si>
  <si>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</si>
  <si>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</si>
  <si>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</si>
  <si>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</si>
  <si>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</si>
  <si>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</si>
  <si>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</si>
  <si>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</si>
  <si>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</si>
  <si>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</si>
  <si>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</si>
  <si>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</si>
  <si>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</si>
  <si>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</si>
  <si>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</si>
  <si>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</si>
  <si>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</si>
  <si>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</si>
  <si>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</si>
  <si>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</si>
  <si>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</si>
  <si>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</si>
  <si>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</si>
  <si>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</si>
  <si>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</si>
  <si>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</si>
  <si>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</si>
  <si>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</si>
  <si>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</si>
  <si>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</si>
  <si>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</si>
  <si>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</si>
  <si>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</si>
  <si>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</si>
  <si>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</si>
  <si>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</si>
  <si>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</si>
  <si>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</si>
  <si>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</si>
  <si>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</si>
  <si>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</si>
  <si>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</si>
  <si>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</si>
  <si>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</si>
  <si>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</si>
  <si>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</si>
  <si>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</si>
  <si>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</si>
  <si>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</si>
  <si>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</si>
  <si>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</si>
  <si>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</si>
  <si>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</si>
  <si>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</si>
  <si>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</si>
  <si>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</si>
  <si>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</si>
  <si>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</si>
  <si>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</si>
  <si>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</si>
  <si>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</si>
  <si>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</si>
  <si>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</si>
  <si>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</si>
  <si>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</si>
  <si>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</si>
  <si>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</si>
  <si>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</si>
  <si>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</si>
  <si>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</si>
  <si>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</si>
  <si>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</si>
  <si>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</si>
  <si>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</si>
  <si>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</si>
  <si>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</si>
  <si>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</si>
  <si>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</si>
  <si>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</si>
  <si>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</si>
  <si>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</si>
  <si>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</si>
  <si>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</si>
  <si>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</si>
  <si>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</si>
  <si>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</si>
  <si>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</si>
  <si>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</si>
  <si>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</si>
  <si>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</si>
  <si>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</si>
  <si>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</si>
  <si>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</si>
  <si>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</si>
  <si>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</si>
  <si>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</si>
  <si>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</si>
  <si>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</si>
  <si>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</si>
  <si>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</si>
  <si>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</si>
  <si>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</si>
  <si>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</si>
  <si>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</si>
  <si>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</si>
  <si>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</si>
  <si>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</si>
  <si>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</si>
  <si>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</si>
  <si>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</si>
  <si>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</si>
  <si>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</si>
  <si>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</si>
  <si>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</si>
  <si>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</si>
  <si>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</si>
  <si>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</si>
  <si>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</si>
  <si>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</si>
  <si>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</si>
  <si>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</si>
  <si>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</si>
  <si>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</si>
  <si>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</si>
  <si>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</si>
  <si>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</si>
  <si>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</si>
  <si>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</si>
  <si>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</si>
  <si>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</si>
  <si>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</si>
  <si>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</si>
  <si>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</si>
  <si>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</si>
  <si>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</si>
  <si>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</si>
  <si>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</si>
  <si>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</si>
  <si>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</si>
  <si>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</si>
  <si>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</si>
  <si>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</si>
  <si>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</si>
  <si>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</si>
  <si>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</si>
  <si>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</si>
  <si>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</si>
  <si>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</si>
  <si>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</si>
  <si>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</si>
  <si>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</si>
  <si>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</si>
  <si>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</si>
  <si>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</si>
  <si>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</si>
  <si>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</si>
  <si>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</si>
  <si>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</si>
  <si>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</si>
  <si>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</si>
  <si>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</si>
  <si>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</si>
  <si>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</si>
  <si>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</si>
  <si>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</si>
  <si>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</si>
  <si>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</si>
  <si>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</si>
  <si>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</si>
  <si>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</si>
  <si>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</si>
  <si>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</si>
  <si>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</si>
  <si>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</si>
  <si>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</si>
  <si>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</si>
  <si>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</si>
  <si>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</si>
  <si>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</si>
  <si>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</si>
  <si>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</si>
  <si>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</si>
  <si>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</si>
  <si>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</si>
  <si>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</si>
  <si>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</si>
  <si>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</si>
  <si>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</si>
  <si>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</si>
  <si>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</si>
  <si>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</si>
  <si>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</si>
  <si>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</si>
  <si>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</si>
  <si>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</si>
  <si>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</si>
  <si>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</si>
  <si>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</si>
  <si>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</si>
  <si>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</si>
  <si>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</si>
  <si>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</si>
  <si>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</si>
  <si>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</si>
  <si>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</si>
  <si>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</si>
  <si>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</si>
  <si>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</si>
  <si>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</si>
  <si>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</si>
  <si>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</si>
  <si>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</si>
  <si>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</si>
  <si>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</si>
  <si>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</si>
  <si>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</si>
  <si>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</si>
  <si>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</si>
  <si>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</si>
  <si>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</si>
  <si>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</si>
  <si>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</si>
  <si>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</si>
  <si>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</si>
  <si>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</si>
  <si>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</si>
  <si>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</si>
  <si>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</si>
  <si>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</si>
  <si>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</si>
  <si>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</si>
  <si>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</si>
  <si>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</si>
  <si>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</si>
  <si>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</si>
  <si>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</si>
  <si>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</si>
  <si>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</si>
  <si>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</si>
  <si>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</si>
  <si>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</si>
  <si>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</si>
  <si>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</si>
  <si>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</si>
  <si>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</si>
  <si>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</si>
  <si>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</si>
  <si>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</si>
  <si>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</si>
  <si>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</si>
  <si>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</si>
  <si>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</si>
  <si>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</si>
  <si>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</si>
  <si>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</si>
  <si>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</si>
  <si>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</si>
  <si>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</si>
  <si>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</si>
  <si>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</si>
  <si>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</si>
  <si>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</si>
  <si>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</si>
  <si>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</si>
  <si>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</si>
  <si>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</si>
  <si>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</si>
  <si>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</si>
  <si>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</si>
  <si>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</si>
  <si>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</si>
  <si>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</si>
  <si>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</si>
  <si>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</si>
  <si>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</si>
  <si>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</si>
  <si>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</si>
  <si>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</si>
  <si>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</si>
  <si>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</si>
  <si>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</si>
  <si>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</si>
  <si>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</si>
  <si>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</si>
  <si>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</si>
  <si>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</si>
  <si>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</si>
  <si>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</si>
  <si>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</si>
  <si>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</si>
  <si>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</si>
  <si>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</si>
  <si>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</si>
  <si>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</si>
  <si>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</si>
  <si>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</si>
  <si>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</si>
  <si>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</si>
  <si>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</si>
  <si>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</si>
  <si>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</si>
  <si>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</si>
  <si>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</si>
  <si>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</si>
  <si>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</si>
  <si>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</si>
  <si>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</si>
  <si>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</si>
  <si>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</si>
  <si>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</si>
  <si>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</si>
  <si>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</si>
  <si>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</si>
  <si>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</si>
  <si>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</si>
  <si>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</si>
  <si>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</si>
  <si>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</si>
  <si>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</si>
  <si>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</si>
  <si>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</si>
  <si>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</si>
  <si>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</si>
  <si>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</si>
  <si>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</si>
  <si>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</si>
  <si>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</si>
  <si>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</si>
  <si>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</si>
  <si>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</si>
  <si>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</si>
  <si>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</si>
  <si>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</si>
  <si>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</si>
  <si>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</si>
  <si>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</si>
  <si>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</si>
  <si>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</si>
  <si>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</si>
  <si>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</si>
  <si>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</si>
  <si>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</si>
  <si>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</si>
  <si>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</si>
  <si>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</si>
  <si>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</si>
  <si>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</si>
  <si>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</si>
  <si>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</si>
  <si>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</si>
  <si>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</si>
  <si>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</si>
  <si>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</si>
  <si>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</si>
  <si>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</si>
  <si>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</si>
  <si>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</si>
  <si>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</si>
  <si>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</si>
  <si>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</si>
  <si>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</si>
  <si>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</si>
  <si>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</si>
  <si>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</si>
  <si>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</si>
  <si>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</si>
  <si>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</si>
  <si>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</si>
  <si>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</si>
  <si>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</si>
  <si>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</si>
  <si>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</si>
  <si>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</si>
  <si>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</si>
  <si>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</si>
  <si>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</si>
  <si>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</si>
  <si>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</si>
  <si>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</si>
  <si>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</si>
  <si>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</si>
  <si>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</si>
  <si>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</si>
  <si>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</si>
  <si>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</si>
  <si>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</si>
  <si>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</si>
  <si>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</si>
  <si>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</si>
  <si>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</si>
  <si>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</si>
  <si>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</si>
  <si>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</si>
  <si>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</si>
  <si>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</si>
  <si>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</si>
  <si>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</si>
  <si>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</si>
  <si>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</si>
  <si>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</si>
  <si>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</si>
  <si>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</si>
  <si>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</si>
  <si>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</si>
  <si>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</si>
  <si>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</si>
  <si>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</si>
  <si>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</si>
  <si>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</si>
  <si>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</si>
  <si>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</si>
  <si>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</si>
  <si>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</si>
  <si>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</si>
  <si>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</si>
  <si>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</si>
  <si>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</si>
  <si>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</si>
  <si>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</si>
  <si>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</si>
  <si>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</si>
  <si>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</si>
  <si>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</si>
  <si>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</si>
  <si>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</si>
  <si>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</si>
  <si>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</si>
  <si>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</si>
  <si>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</si>
  <si>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</si>
  <si>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</si>
  <si>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</si>
  <si>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</si>
  <si>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</si>
  <si>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</si>
  <si>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</si>
  <si>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</si>
  <si>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</si>
  <si>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</si>
  <si>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</si>
  <si>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</si>
  <si>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</si>
  <si>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</si>
  <si>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</si>
  <si>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</si>
  <si>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</si>
  <si>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</si>
  <si>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</si>
  <si>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</si>
  <si>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</si>
  <si>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</si>
  <si>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</si>
  <si>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</si>
  <si>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</si>
  <si>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</si>
  <si>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</si>
  <si>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</si>
  <si>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</si>
  <si>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</si>
  <si>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</si>
  <si>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</si>
  <si>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</si>
  <si>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</si>
  <si>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</si>
  <si>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</si>
  <si>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</si>
  <si>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</si>
  <si>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</si>
  <si>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</si>
  <si>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</si>
  <si>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</si>
  <si>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</si>
  <si>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</si>
  <si>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</si>
  <si>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</si>
  <si>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</si>
  <si>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</si>
  <si>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</si>
  <si>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</si>
  <si>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</si>
  <si>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</si>
  <si>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</si>
  <si>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</si>
  <si>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</si>
  <si>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</si>
  <si>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</si>
  <si>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</si>
  <si>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</si>
  <si>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</si>
  <si>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</si>
  <si>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</si>
  <si>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</si>
  <si>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</si>
  <si>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</si>
  <si>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</si>
  <si>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</si>
  <si>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</si>
  <si>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</si>
  <si>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</si>
  <si>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</si>
  <si>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</si>
  <si>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</si>
  <si>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</si>
  <si>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</si>
  <si>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</si>
  <si>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</si>
  <si>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</si>
  <si>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</si>
  <si>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</si>
  <si>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</si>
  <si>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</si>
  <si>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</si>
  <si>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</si>
  <si>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</si>
  <si>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</si>
  <si>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</si>
  <si>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</si>
  <si>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</si>
  <si>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</si>
  <si>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</si>
  <si>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</si>
  <si>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</si>
  <si>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</si>
  <si>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</si>
  <si>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</si>
  <si>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</si>
  <si>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</si>
  <si>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</si>
  <si>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</si>
  <si>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</si>
  <si>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</si>
  <si>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</si>
  <si>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</si>
  <si>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</si>
  <si>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</si>
  <si>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</si>
  <si>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</si>
  <si>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</si>
  <si>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</si>
  <si>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</si>
  <si>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TA#  550P  (10KG)</t>
  </si>
  <si>
    <t>TA#  550PF  (10KG)</t>
  </si>
  <si>
    <t>TA# 301 (25Kg)</t>
  </si>
  <si>
    <t>TA# 302 (25Kg)</t>
  </si>
  <si>
    <t>TA# 510 (25Kg)</t>
  </si>
  <si>
    <t>TA# 510M (25Kg)</t>
  </si>
  <si>
    <t>P92</t>
  </si>
  <si>
    <t>TA# 511 (25Kg)</t>
  </si>
  <si>
    <t>TA# 511B (25Kg)</t>
  </si>
  <si>
    <t>TA# 511M (25Kg)</t>
  </si>
  <si>
    <t>TA# 513F (50KG)</t>
  </si>
  <si>
    <t>TA# 524 (25Kg)</t>
  </si>
  <si>
    <t>TA# 540F (50Kg)</t>
  </si>
  <si>
    <t>TA# 540F (SILO)</t>
  </si>
  <si>
    <t>TA# 548 (25Kg)</t>
  </si>
  <si>
    <t>TA# 548F(50Kg)</t>
  </si>
  <si>
    <t>TA# 549 (25Kg)</t>
  </si>
  <si>
    <t>TA# 549F (50Kg)</t>
  </si>
  <si>
    <t>TA# 550S (25kg)</t>
  </si>
  <si>
    <t>S31</t>
  </si>
  <si>
    <t>S25</t>
  </si>
  <si>
    <t>TA# 551 (25kg)</t>
  </si>
  <si>
    <t>S54</t>
  </si>
  <si>
    <t>S13</t>
  </si>
  <si>
    <t>TA# 552 (25Kg)</t>
  </si>
  <si>
    <t>TA# 552E(25Kg)</t>
  </si>
  <si>
    <t>TA# 552F(50KG)</t>
  </si>
  <si>
    <t>TA# 552M (25Kg)</t>
  </si>
  <si>
    <t>TA# 552S (25Kg)</t>
  </si>
  <si>
    <t>TA# 552SF (50KG)</t>
  </si>
  <si>
    <t>TA# 552SF (SILO)</t>
  </si>
  <si>
    <t>TA# 553 (25Kg)</t>
  </si>
  <si>
    <t>TA# 553MF (50KG)</t>
  </si>
  <si>
    <t>TA# 553S (25KG)</t>
  </si>
  <si>
    <t>TA# 562PF (50Kg)</t>
  </si>
  <si>
    <t>TA# 566 (F) (Silo)</t>
  </si>
  <si>
    <t>TA# 566(25Kg)</t>
  </si>
  <si>
    <t>TA# 567 (25Kg)</t>
  </si>
  <si>
    <t>TA# 567S (25Kg)</t>
  </si>
  <si>
    <t>TA# 567SF_SILO</t>
  </si>
  <si>
    <t>TA# 584(25Kgs)</t>
  </si>
  <si>
    <t>TA# 595 (25Kgs)</t>
  </si>
  <si>
    <t>TA# 884(25Kgs)</t>
  </si>
  <si>
    <t>TA# 885S (25Kg)</t>
  </si>
  <si>
    <t>TA# 952 (25Kg)</t>
  </si>
  <si>
    <t>TA# 952S (25Kg)</t>
  </si>
  <si>
    <t>TA# 966 (25Kg)</t>
  </si>
  <si>
    <t>TA# 967S (25kg)</t>
  </si>
  <si>
    <t>TA# 984(25Kgs)</t>
  </si>
  <si>
    <t>TA# VT12 (25Kg)</t>
  </si>
  <si>
    <t>Brand Code</t>
  </si>
  <si>
    <t>Size</t>
  </si>
  <si>
    <t>Product Name</t>
  </si>
  <si>
    <t>Medicine</t>
  </si>
  <si>
    <t>Lot. No.</t>
  </si>
  <si>
    <t>Quantity</t>
  </si>
  <si>
    <t>Weight</t>
  </si>
  <si>
    <t>384</t>
  </si>
  <si>
    <t>Thøc ¨n ch¨n nu«i #  384(25KGS)</t>
  </si>
  <si>
    <t>Thøc ¨n ch¨n nu«i # 510S (25KG)</t>
  </si>
  <si>
    <t>Thøc ¨n ch¨n nu«i # 521SPro (25KG)</t>
  </si>
  <si>
    <t>Thøc ¨n ch¨n nu«i #  540F (50KG)</t>
  </si>
  <si>
    <t>Thøc ¨n ch¨n nu«i #  550S (25KG)</t>
  </si>
  <si>
    <t>Thøc ¨n ch¨n nu«i #  550S(F)50KG</t>
  </si>
  <si>
    <t>551</t>
  </si>
  <si>
    <t>Thøc ¨n ch¨n nu«i #  551 (25KG)</t>
  </si>
  <si>
    <t>Thøc ¨n ch¨n nu«i #  551 (5*5=25KG)</t>
  </si>
  <si>
    <t>552</t>
  </si>
  <si>
    <t>Thøc ¨n ch¨n nu«i #  552 (25KG)</t>
  </si>
  <si>
    <t>Thøc ¨n ch¨n nu«i #  552F(50KG)</t>
  </si>
  <si>
    <t>Thøc ¨n ch¨n nu«i# 552 (F)_50KG (Thuèc)</t>
  </si>
  <si>
    <t>S90</t>
  </si>
  <si>
    <t>Thøc ¨n ch¨n nu«i #  552S (25KG)</t>
  </si>
  <si>
    <t>Thøc ¨n ch¨n nu«i #  552SF (50KG)</t>
  </si>
  <si>
    <t>Thøc ¨n ch¨n nu«i #  553MF (50KG)</t>
  </si>
  <si>
    <t>Thøc ¨n ch¨n nu«i #  553S (25KG)</t>
  </si>
  <si>
    <t>Thøc ¨n ch¨n nu«i #  567S (25KG)</t>
  </si>
  <si>
    <t>Thøc ¨n ch¨n nu«i #  567SF (50KG)</t>
  </si>
  <si>
    <t>584</t>
  </si>
  <si>
    <t>Thøc ¨n ch¨n nu«i #  584(25KGS)</t>
  </si>
  <si>
    <t>595</t>
  </si>
  <si>
    <t>Thøc ¨n ch¨n nu«i #  595 (25KGS)</t>
  </si>
  <si>
    <t>884</t>
  </si>
  <si>
    <t>Thøc ¨n ch¨n nu«i #  884(25KGS)</t>
  </si>
  <si>
    <t>952</t>
  </si>
  <si>
    <t>Thøc ¨n ch¨n nu«i #  952 (25KG)</t>
  </si>
  <si>
    <t>984</t>
  </si>
  <si>
    <t>Thøc ¨n ch¨n nu«i #  984(25KGS)</t>
  </si>
  <si>
    <t>Thøc ¨n ch¨n nu«i # GT11S (25Kg)</t>
  </si>
  <si>
    <t>Thøc ¨n ch¨n nu«i #  HT12 (25KG)</t>
  </si>
  <si>
    <t>Thøc ¨n ch¨n nu«i #  HT12S(25KG)</t>
  </si>
  <si>
    <t>6949</t>
  </si>
  <si>
    <t>Thøc ¨n ch¨n nu«i # 6949 (25KG)</t>
  </si>
  <si>
    <t>Grand Total</t>
  </si>
  <si>
    <t>Feed cu qua tuoi tru kho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</si>
  <si>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</si>
  <si>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</si>
  <si>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</si>
  <si>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</si>
  <si>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</si>
  <si>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</si>
  <si>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</si>
  <si>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</si>
  <si>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</si>
  <si>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</si>
  <si>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</si>
  <si>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</si>
  <si>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</si>
  <si>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</si>
  <si>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</si>
  <si>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</si>
  <si>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</si>
  <si>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</si>
  <si>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</si>
  <si>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</si>
  <si>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</si>
  <si>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</si>
  <si>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</si>
  <si>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</si>
  <si>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</si>
  <si>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</si>
  <si>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</si>
  <si>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</si>
  <si>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</si>
  <si>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</si>
  <si>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</si>
  <si>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</si>
  <si>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</si>
  <si>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</si>
  <si>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301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</si>
  <si>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</si>
  <si>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</si>
  <si>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</si>
  <si>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</si>
  <si>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</si>
  <si>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</si>
  <si>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</si>
  <si>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</si>
  <si>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</si>
  <si>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</si>
  <si>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</si>
  <si>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</si>
  <si>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</si>
  <si>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</si>
  <si>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</si>
  <si>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</si>
  <si>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</si>
  <si>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</si>
  <si>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</si>
  <si>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</si>
  <si>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</si>
  <si>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</si>
  <si>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</si>
  <si>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</si>
  <si>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</si>
  <si>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</si>
  <si>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</si>
  <si>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</si>
  <si>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</si>
  <si>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</si>
  <si>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</si>
  <si>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</si>
  <si>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</si>
  <si>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</si>
  <si>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</si>
  <si>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</si>
  <si>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</si>
  <si>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</si>
  <si>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</si>
  <si>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</si>
  <si>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</si>
  <si>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</si>
  <si>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</si>
  <si>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</si>
  <si>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</si>
  <si>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</si>
  <si>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</si>
  <si>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</si>
  <si>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</si>
  <si>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</si>
  <si>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</si>
  <si>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</si>
  <si>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</si>
  <si>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</si>
  <si>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</si>
  <si>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</si>
  <si>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</si>
  <si>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</si>
  <si>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</si>
  <si>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</si>
  <si>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</si>
  <si>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</si>
  <si>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</si>
  <si>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</si>
  <si>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</si>
  <si>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</si>
  <si>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</si>
  <si>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</si>
  <si>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</si>
  <si>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524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</si>
  <si>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</si>
  <si>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</si>
  <si>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</si>
  <si>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</si>
  <si>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</si>
  <si>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</si>
  <si>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</si>
  <si>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</si>
  <si>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544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</si>
  <si>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</si>
  <si>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</si>
  <si>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</si>
  <si>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</si>
  <si>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</si>
  <si>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</si>
  <si>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</si>
  <si>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548</t>
  </si>
  <si>
    <t>1290D205480025</t>
  </si>
  <si>
    <t>BagO25- 548- 52x87-93-B-000-H</t>
  </si>
  <si>
    <t>54925</t>
  </si>
  <si>
    <t>549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</si>
  <si>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</si>
  <si>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</si>
  <si>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</si>
  <si>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</si>
  <si>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</si>
  <si>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</si>
  <si>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</si>
  <si>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</si>
  <si>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</si>
  <si>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</si>
  <si>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</si>
  <si>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</si>
  <si>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</si>
  <si>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</si>
  <si>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</si>
  <si>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</si>
  <si>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</si>
  <si>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</si>
  <si>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</si>
  <si>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</si>
  <si>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</si>
  <si>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</si>
  <si>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</si>
  <si>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</si>
  <si>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</si>
  <si>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</si>
  <si>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</si>
  <si>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</si>
  <si>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</si>
  <si>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</si>
  <si>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</si>
  <si>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</si>
  <si>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</si>
  <si>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</si>
  <si>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</si>
  <si>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</si>
  <si>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</si>
  <si>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</si>
  <si>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</si>
  <si>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</si>
  <si>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</si>
  <si>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</si>
  <si>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</si>
  <si>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</si>
  <si>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</si>
  <si>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</si>
  <si>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</si>
  <si>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</si>
  <si>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</si>
  <si>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553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</si>
  <si>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</si>
  <si>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</si>
  <si>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</si>
  <si>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</si>
  <si>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</si>
  <si>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</si>
  <si>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</si>
  <si>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</si>
  <si>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</si>
  <si>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</si>
  <si>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</si>
  <si>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</si>
  <si>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</si>
  <si>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</si>
  <si>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</si>
  <si>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</si>
  <si>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</si>
  <si>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566</t>
  </si>
  <si>
    <t>1290D205660025</t>
  </si>
  <si>
    <t>BagO25- 566- 52x87-93-B-000-H</t>
  </si>
  <si>
    <t>56725</t>
  </si>
  <si>
    <t>567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</si>
  <si>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</si>
  <si>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</si>
  <si>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</si>
  <si>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</si>
  <si>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</si>
  <si>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</si>
  <si>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</si>
  <si>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</si>
  <si>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</si>
  <si>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</si>
  <si>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</si>
  <si>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</si>
  <si>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</si>
  <si>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</si>
  <si>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</si>
  <si>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</si>
  <si>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</si>
  <si>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</si>
  <si>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</si>
  <si>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</si>
  <si>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</si>
  <si>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</si>
  <si>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</si>
  <si>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</si>
  <si>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</si>
  <si>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</si>
  <si>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</si>
  <si>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</si>
  <si>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</si>
  <si>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</si>
  <si>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</si>
  <si>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</si>
  <si>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</si>
  <si>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</si>
  <si>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</si>
  <si>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</si>
  <si>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949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</si>
  <si>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</si>
  <si>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</si>
  <si>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</si>
  <si>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</si>
  <si>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</si>
  <si>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</si>
  <si>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</si>
  <si>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</si>
  <si>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</si>
  <si>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</si>
  <si>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</si>
  <si>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</si>
  <si>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</si>
  <si>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</si>
  <si>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</si>
  <si>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</si>
  <si>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</si>
  <si>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</si>
  <si>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</si>
  <si>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</si>
  <si>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</si>
  <si>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</si>
  <si>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</si>
  <si>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953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</si>
  <si>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</si>
  <si>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</si>
  <si>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</si>
  <si>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</si>
  <si>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</si>
  <si>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</si>
  <si>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966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</si>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</sst>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5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  <font>
      <sz val="10"/>
      <color indexed="8"/>
      <name val="ARIAL"/>
      <charset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202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3" fontId="124" fillId="0" borderId="0" xfId="0" applyNumberFormat="1" applyFont="1" applyAlignment="1">
      <alignment vertical="top"/>
    </xf>
    <xf numFmtId="4" fontId="124" fillId="0" borderId="0" xfId="0" applyNumberFormat="1" applyFont="1" applyAlignment="1">
      <alignment vertical="top"/>
    </xf>
    <xf numFmtId="172" fontId="124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left" vertical="top" wrapText="1"/>
    </xf>
    <xf numFmtId="41" fontId="10" fillId="0" borderId="9" xfId="0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0" fontId="15" fillId="0" borderId="65" xfId="0" applyFont="1" applyBorder="1" applyAlignment="1">
      <alignment horizontal="left" vertical="top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" fillId="0" borderId="54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35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15" fillId="0" borderId="26" xfId="0" applyNumberFormat="1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15" xfId="0" applyNumberFormat="1" applyFont="1" applyBorder="1" applyAlignment="1">
      <alignment horizontal="right" vertical="center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47" xfId="0" applyNumberFormat="1" applyFont="1" applyBorder="1" applyAlignment="1">
      <alignment horizontal="left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3" fontId="36" fillId="0" borderId="0" xfId="0" applyNumberFormat="1" applyFont="1" applyAlignment="1">
      <alignment horizontal="left" vertical="top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59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170" fontId="36" fillId="0" borderId="65" xfId="0" applyNumberFormat="1" applyFont="1" applyBorder="1" applyAlignment="1">
      <alignment horizontal="left" vertical="top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0" fontId="15" fillId="0" borderId="15" xfId="0" applyFont="1" applyBorder="1" applyAlignment="1">
      <alignment horizontal="center" vertical="center" wrapText="1"/>
    </xf>
    <xf numFmtId="0" fontId="36" fillId="0" borderId="6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3" fontId="35" fillId="0" borderId="4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41" fontId="15" fillId="0" borderId="37" xfId="0" applyNumberFormat="1" applyFont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zoomScale="80" zoomScaleNormal="80" workbookViewId="0">
      <pane xSplit="5" topLeftCell="F1" activePane="topRight" state="frozen"/>
      <selection pane="topRight" activeCell="AE27" sqref="AE27:AF27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117" t="s">
        <v>13</v>
      </c>
      <c r="B2" s="1117"/>
      <c r="C2" s="1117"/>
      <c r="D2" s="1117"/>
      <c r="E2" s="1117"/>
      <c r="F2" s="1117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117" t="s">
        <v>14</v>
      </c>
      <c r="B3" s="1117"/>
      <c r="C3" s="1117"/>
      <c r="D3" s="1117"/>
      <c r="E3" s="1117"/>
      <c r="F3" s="1117"/>
      <c r="G3" s="291"/>
      <c r="J3" s="63"/>
      <c r="K3" s="63"/>
      <c r="M3" s="466"/>
      <c r="N3" s="718" t="s">
        <v>15</v>
      </c>
      <c r="O3" s="1127">
        <f>+BRAN!O3</f>
        <v>46151</v>
      </c>
      <c r="P3" s="1127"/>
      <c r="Q3" s="1127"/>
      <c r="R3" s="1127"/>
      <c r="S3" s="1127"/>
      <c r="T3" s="1127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13" t="s">
        <v>22</v>
      </c>
      <c r="B9" s="904" t="s">
        <v>23</v>
      </c>
      <c r="C9" s="904" t="s">
        <v>24</v>
      </c>
      <c r="D9" s="910" t="s">
        <v>25</v>
      </c>
      <c r="E9" s="61" t="s">
        <v>26</v>
      </c>
      <c r="F9" s="907" t="s">
        <v>27</v>
      </c>
      <c r="G9" s="908"/>
      <c r="H9" s="909"/>
      <c r="I9" s="907" t="s">
        <v>28</v>
      </c>
      <c r="J9" s="908"/>
      <c r="K9" s="908"/>
      <c r="L9" s="908"/>
      <c r="M9" s="907" t="s">
        <v>29</v>
      </c>
      <c r="N9" s="909"/>
      <c r="O9" s="183" t="s">
        <v>30</v>
      </c>
      <c r="P9" s="183"/>
      <c r="Q9" s="183"/>
      <c r="R9" s="183" t="s">
        <v>31</v>
      </c>
      <c r="S9" s="910" t="s">
        <v>32</v>
      </c>
      <c r="T9" s="922" t="s">
        <v>33</v>
      </c>
      <c r="U9" s="1095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14"/>
      <c r="B10" s="905"/>
      <c r="C10" s="905"/>
      <c r="D10" s="911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07" t="s">
        <v>40</v>
      </c>
      <c r="J10" s="908"/>
      <c r="K10" s="512" t="s">
        <v>41</v>
      </c>
      <c r="L10" s="681" t="s">
        <v>42</v>
      </c>
      <c r="M10" s="907" t="s">
        <v>43</v>
      </c>
      <c r="N10" s="909"/>
      <c r="O10" s="683" t="s">
        <v>44</v>
      </c>
      <c r="P10" s="184"/>
      <c r="Q10" s="184"/>
      <c r="R10" s="683" t="s">
        <v>45</v>
      </c>
      <c r="S10" s="911"/>
      <c r="T10" s="923"/>
      <c r="U10" s="1096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15"/>
      <c r="B11" s="906"/>
      <c r="C11" s="906"/>
      <c r="D11" s="912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12"/>
      <c r="T11" s="924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60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61">
        <f>E12+F12+H12-I12-L12+G12-K12</f>
        <v>0</v>
      </c>
      <c r="N12" s="652">
        <f>M12*25</f>
        <v>0</v>
      </c>
      <c r="O12" s="1162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>
        <v>0</v>
      </c>
      <c r="AC12" s="646">
        <v>0</v>
      </c>
      <c r="AD12" s="645">
        <v>0</v>
      </c>
      <c r="AE12" s="646">
        <v>0</v>
      </c>
      <c r="AF12" s="645">
        <v>0</v>
      </c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60">
        <v>25</v>
      </c>
      <c r="E13" s="561">
        <v>112</v>
      </c>
      <c r="F13" s="100">
        <f>SUMIF(pro!$A:$A,$V:$V,pro!$N:$N)</f>
        <v>615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61">
        <f>E13+F13+H13-I13-L13+G13-K13</f>
        <v>727</v>
      </c>
      <c r="N13" s="652">
        <f>M13*25</f>
        <v>18175</v>
      </c>
      <c r="O13" s="1162">
        <f>SUM(X13:BB13)</f>
        <v>3750</v>
      </c>
      <c r="P13" s="804"/>
      <c r="Q13" s="804"/>
      <c r="R13" s="100">
        <f>O13/INTGRATE!$N$293</f>
        <v>468.75</v>
      </c>
      <c r="S13" s="665">
        <f t="shared" si="0"/>
        <v>38.773333333333333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>
        <v>0</v>
      </c>
      <c r="AC13" s="646">
        <v>3750</v>
      </c>
      <c r="AD13" s="645">
        <v>0</v>
      </c>
      <c r="AE13" s="646">
        <v>0</v>
      </c>
      <c r="AF13" s="645">
        <v>0</v>
      </c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60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61">
        <f>E14+F14+H14-I14-L14+G14-K14</f>
        <v>0</v>
      </c>
      <c r="N14" s="652">
        <f>M14*25</f>
        <v>0</v>
      </c>
      <c r="O14" s="1162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>
        <v>0</v>
      </c>
      <c r="AC14" s="646">
        <v>0</v>
      </c>
      <c r="AD14" s="645">
        <v>0</v>
      </c>
      <c r="AE14" s="646">
        <v>0</v>
      </c>
      <c r="AF14" s="645">
        <v>0</v>
      </c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435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222</v>
      </c>
      <c r="J15" s="351">
        <f>SUMIF(data!$D:$D,$B15&amp;$D15,data!$K:$K)</f>
        <v>5550</v>
      </c>
      <c r="K15" s="100">
        <f>SUMIF(AJOUT!$A:$A,'PRO-NASA'!$V:$V,AJOUT!$L:$L)</f>
        <v>0</v>
      </c>
      <c r="L15" s="100">
        <f>SUMIF(CBOUT!$A:$A,'PRO-NASA'!$V:$V,CBOUT!$G:$G)</f>
        <v>0</v>
      </c>
      <c r="M15" s="1161">
        <f t="shared" ref="M15:M23" si="3">E15+F15+H15-I15-L15+G15-K15</f>
        <v>213</v>
      </c>
      <c r="N15" s="652">
        <f>M15*D15</f>
        <v>5325</v>
      </c>
      <c r="O15" s="1162">
        <f t="shared" ref="O15:O26" si="4">SUM(X15:BB15)</f>
        <v>43775</v>
      </c>
      <c r="P15" s="804"/>
      <c r="Q15" s="804"/>
      <c r="R15" s="100">
        <f>O15/INTGRATE!$N$293</f>
        <v>5471.875</v>
      </c>
      <c r="S15" s="665">
        <f t="shared" ref="S15:S26" si="5">IF(R15=0,0,N15/R15)</f>
        <v>0.97315819531696168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43775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61">
        <f t="shared" si="3"/>
        <v>0</v>
      </c>
      <c r="N16" s="652">
        <f>+M16*25</f>
        <v>0</v>
      </c>
      <c r="O16" s="1162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61">
        <f>E17+F17+H17-I17-L17+G17-K17</f>
        <v>0</v>
      </c>
      <c r="N17" s="652">
        <f>+M17*25</f>
        <v>0</v>
      </c>
      <c r="O17" s="1162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0</v>
      </c>
      <c r="K18" s="100">
        <v>0</v>
      </c>
      <c r="L18" s="100">
        <f>SUMIF(CBOUT!$A:$A,'PRO-NASA'!$V:$V,CBOUT!$G:$G)</f>
        <v>0</v>
      </c>
      <c r="M18" s="1161">
        <v>0</v>
      </c>
      <c r="N18" s="652">
        <f>+M18*25</f>
        <v>0</v>
      </c>
      <c r="O18" s="1162">
        <f>SUM(X18:BB18)</f>
        <v>24180</v>
      </c>
      <c r="P18" s="804"/>
      <c r="Q18" s="804"/>
      <c r="R18" s="100">
        <f>O18/INTGRATE!$N$293</f>
        <v>3022.5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24180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474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200</v>
      </c>
      <c r="J19" s="351">
        <f>SUMIF(data!$D:$D,$B19&amp;$D19,data!$K:$K)</f>
        <v>5000</v>
      </c>
      <c r="K19" s="100">
        <f>SUMIF(AJOUT!$A:$A,'PRO-NASA'!$V:$V,AJOUT!$L:$L)</f>
        <v>0</v>
      </c>
      <c r="L19" s="100">
        <f>SUMIF(CBOUT!$A:$A,'PRO-NASA'!$V:$V,CBOUT!$G:$G)</f>
        <v>0</v>
      </c>
      <c r="M19" s="1161">
        <f t="shared" si="3"/>
        <v>274</v>
      </c>
      <c r="N19" s="652">
        <f>M19*D19</f>
        <v>6850</v>
      </c>
      <c r="O19" s="1162">
        <f t="shared" si="4"/>
        <v>28175</v>
      </c>
      <c r="P19" s="804"/>
      <c r="Q19" s="804"/>
      <c r="R19" s="100">
        <f>O19/INTGRATE!$N$293</f>
        <v>3521.875</v>
      </c>
      <c r="S19" s="665">
        <f t="shared" si="5"/>
        <v>1.9449866903283053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28175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61"/>
      <c r="N20" s="652"/>
      <c r="O20" s="1162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61">
        <f>E21+F21+H21-I21-L21+G21-K21</f>
        <v>0</v>
      </c>
      <c r="N21" s="652">
        <f>M21*D21</f>
        <v>0</v>
      </c>
      <c r="O21" s="1162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61">
        <f t="shared" si="3"/>
        <v>0</v>
      </c>
      <c r="N22" s="652">
        <f>M22*D22</f>
        <v>0</v>
      </c>
      <c r="O22" s="1162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153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143</v>
      </c>
      <c r="J23" s="351">
        <f>SUMIF(data!$D:$D,$B23&amp;$D23,data!$K:$K)</f>
        <v>3575</v>
      </c>
      <c r="K23" s="100">
        <f>SUMIF(AJOUT!$A:$A,'PRO-NASA'!$V:$V,AJOUT!$L:$L)</f>
        <v>0</v>
      </c>
      <c r="L23" s="100">
        <f>SUMIF(CBOUT!$A:$A,'PRO-NASA'!$V:$V,CBOUT!$G:$G)</f>
        <v>0</v>
      </c>
      <c r="M23" s="1161">
        <f t="shared" si="3"/>
        <v>10</v>
      </c>
      <c r="N23" s="652">
        <f>M23*D23</f>
        <v>250</v>
      </c>
      <c r="O23" s="1162">
        <f t="shared" si="4"/>
        <v>24050</v>
      </c>
      <c r="P23" s="804"/>
      <c r="Q23" s="804"/>
      <c r="R23" s="100">
        <f>O23/INTGRATE!$N$293</f>
        <v>3006.25</v>
      </c>
      <c r="S23" s="665">
        <f t="shared" si="5"/>
        <v>8.3160083160083165E-2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24050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61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2156</v>
      </c>
      <c r="F25" s="100">
        <f>SUMIF(pro!$A:$A,$V:$V,pro!$N:$N)</f>
        <v>0</v>
      </c>
      <c r="G25" s="100"/>
      <c r="H25" s="100">
        <f>SUMIF(CBIN!$A:$A,'PRO-NASA'!$V:$V,CBIN!$G:$G)</f>
        <v>0</v>
      </c>
      <c r="I25" s="100">
        <f>SUMIF(data!$D:$D,$B25&amp;$D25,data!$J:$J)</f>
        <v>105</v>
      </c>
      <c r="J25" s="351">
        <f>SUMIF(data!$D:$D,$B25&amp;$D25,data!$K:$K)</f>
        <v>2625</v>
      </c>
      <c r="K25" s="100">
        <f>SUMIF(AJOUT!$A:$A,'PRO-NASA'!$V:$V,AJOUT!$L:$L)</f>
        <v>0</v>
      </c>
      <c r="L25" s="100">
        <f>SUMIF(CBOUT!$A:$A,'PRO-NASA'!$V:$V,CBOUT!$G:$G)</f>
        <v>0</v>
      </c>
      <c r="M25" s="1161">
        <f>E25+F25+H25-I25-L25+G25-K25</f>
        <v>2051</v>
      </c>
      <c r="N25" s="652">
        <f>M25*D25</f>
        <v>51275</v>
      </c>
      <c r="O25" s="1162">
        <f t="shared" si="4"/>
        <v>41200</v>
      </c>
      <c r="P25" s="804"/>
      <c r="Q25" s="804"/>
      <c r="R25" s="100">
        <f>O25/INTGRATE!$N$293</f>
        <v>5150</v>
      </c>
      <c r="S25" s="665">
        <f t="shared" si="5"/>
        <v>9.9563106796116507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41200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61">
        <f>E26+F26+H26-I26-L26+G26-K26</f>
        <v>0</v>
      </c>
      <c r="N26" s="652">
        <f>M26*D26</f>
        <v>0</v>
      </c>
      <c r="O26" s="1162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23" t="s">
        <v>69</v>
      </c>
      <c r="B27" s="1124"/>
      <c r="C27" s="1124"/>
      <c r="D27" s="1125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100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18250</v>
      </c>
      <c r="AC27" s="557">
        <f t="shared" si="7"/>
        <v>22825</v>
      </c>
      <c r="AD27" s="557">
        <f t="shared" si="7"/>
        <v>16750</v>
      </c>
      <c r="AE27" s="557">
        <f t="shared" si="7"/>
        <v>8025</v>
      </c>
      <c r="AF27" s="557">
        <f t="shared" si="7"/>
        <v>16750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161380</v>
      </c>
      <c r="BF27" s="437"/>
    </row>
    <row r="28" spans="1:58" s="63" customFormat="1" ht="15" customHeight="1">
      <c r="A28" s="1123" t="s">
        <v>70</v>
      </c>
      <c r="B28" s="1124"/>
      <c r="C28" s="1124"/>
      <c r="D28" s="1125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101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23" t="s">
        <v>71</v>
      </c>
      <c r="B29" s="1124"/>
      <c r="C29" s="1124"/>
      <c r="D29" s="1125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101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23" t="s">
        <v>72</v>
      </c>
      <c r="B30" s="1124"/>
      <c r="C30" s="1124"/>
      <c r="D30" s="1125"/>
      <c r="E30" s="64">
        <f>SUM(E12:E26)</f>
        <v>3330</v>
      </c>
      <c r="F30" s="64">
        <f t="shared" ref="F30:R30" si="9">SUM(F12:F26)</f>
        <v>615</v>
      </c>
      <c r="G30" s="64">
        <f t="shared" si="9"/>
        <v>0</v>
      </c>
      <c r="H30" s="64">
        <f t="shared" si="9"/>
        <v>0</v>
      </c>
      <c r="I30" s="64">
        <f t="shared" si="9"/>
        <v>670</v>
      </c>
      <c r="J30" s="64">
        <f t="shared" si="9"/>
        <v>16750</v>
      </c>
      <c r="K30" s="64">
        <f t="shared" si="9"/>
        <v>0</v>
      </c>
      <c r="L30" s="64">
        <f t="shared" si="9"/>
        <v>0</v>
      </c>
      <c r="M30" s="64">
        <f t="shared" si="9"/>
        <v>3275</v>
      </c>
      <c r="N30" s="64">
        <f t="shared" si="9"/>
        <v>81875</v>
      </c>
      <c r="O30" s="64">
        <f t="shared" si="9"/>
        <v>165130</v>
      </c>
      <c r="P30" s="64">
        <f t="shared" si="9"/>
        <v>0</v>
      </c>
      <c r="Q30" s="64">
        <f t="shared" si="9"/>
        <v>0</v>
      </c>
      <c r="R30" s="64">
        <f t="shared" si="9"/>
        <v>20641.25</v>
      </c>
      <c r="S30" s="64">
        <f>SUM(S15:S26)</f>
        <v>12.957615648417001</v>
      </c>
      <c r="T30" s="1101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23" t="s">
        <v>73</v>
      </c>
      <c r="B31" s="1124"/>
      <c r="C31" s="1124"/>
      <c r="D31" s="1125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101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1045" t="s">
        <v>74</v>
      </c>
      <c r="B32" s="1046"/>
      <c r="C32" s="1046"/>
      <c r="D32" s="1047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101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14" t="s">
        <v>75</v>
      </c>
      <c r="B33" s="1115"/>
      <c r="C33" s="1115"/>
      <c r="D33" s="1116"/>
      <c r="E33" s="127">
        <f>SUM(E27:E31)</f>
        <v>3330</v>
      </c>
      <c r="F33" s="127">
        <f>SUM(F27:F31)-F32</f>
        <v>615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670</v>
      </c>
      <c r="J33" s="127">
        <f t="shared" si="12"/>
        <v>16750</v>
      </c>
      <c r="K33" s="127">
        <f t="shared" si="12"/>
        <v>0</v>
      </c>
      <c r="L33" s="127">
        <f t="shared" si="12"/>
        <v>0</v>
      </c>
      <c r="M33" s="127">
        <f t="shared" si="12"/>
        <v>3275</v>
      </c>
      <c r="N33" s="127">
        <f>+SUM(N28:N31)</f>
        <v>81875</v>
      </c>
      <c r="O33" s="1107">
        <f>SUM(O15:O26)</f>
        <v>161380</v>
      </c>
      <c r="P33" s="186"/>
      <c r="Q33" s="186"/>
      <c r="R33" s="1109">
        <f>SUM(R15:R26)</f>
        <v>20172.5</v>
      </c>
      <c r="S33" s="1118" t="s">
        <v>76</v>
      </c>
      <c r="T33" s="1101"/>
      <c r="U33" s="1163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120" t="s">
        <v>77</v>
      </c>
      <c r="B34" s="1121"/>
      <c r="C34" s="1121"/>
      <c r="D34" s="1122"/>
      <c r="E34" s="121">
        <f>E28*10+E29*25+E30*25+E31*40+E32</f>
        <v>83250</v>
      </c>
      <c r="F34" s="121">
        <f t="shared" ref="F34:M34" si="13">F28*10+F29*25+F30*25+F31*40+F32</f>
        <v>15375</v>
      </c>
      <c r="G34" s="121">
        <f t="shared" si="13"/>
        <v>0</v>
      </c>
      <c r="H34" s="121">
        <f t="shared" si="13"/>
        <v>0</v>
      </c>
      <c r="I34" s="121">
        <f t="shared" si="13"/>
        <v>16750</v>
      </c>
      <c r="J34" s="121">
        <f>+J33</f>
        <v>16750</v>
      </c>
      <c r="K34" s="121">
        <f t="shared" si="13"/>
        <v>0</v>
      </c>
      <c r="L34" s="121">
        <f t="shared" si="13"/>
        <v>0</v>
      </c>
      <c r="M34" s="121">
        <f t="shared" si="13"/>
        <v>81875</v>
      </c>
      <c r="N34" s="121">
        <f>+N33</f>
        <v>81875</v>
      </c>
      <c r="O34" s="1108"/>
      <c r="P34" s="187"/>
      <c r="Q34" s="187"/>
      <c r="R34" s="1110"/>
      <c r="S34" s="1119"/>
      <c r="T34" s="1126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13" t="s">
        <v>22</v>
      </c>
      <c r="B38" s="904" t="s">
        <v>23</v>
      </c>
      <c r="C38" s="904" t="s">
        <v>24</v>
      </c>
      <c r="D38" s="910" t="s">
        <v>25</v>
      </c>
      <c r="E38" s="61" t="s">
        <v>26</v>
      </c>
      <c r="F38" s="907" t="s">
        <v>27</v>
      </c>
      <c r="G38" s="908"/>
      <c r="H38" s="909"/>
      <c r="I38" s="907" t="s">
        <v>28</v>
      </c>
      <c r="J38" s="908"/>
      <c r="K38" s="908"/>
      <c r="L38" s="908"/>
      <c r="M38" s="907" t="s">
        <v>29</v>
      </c>
      <c r="N38" s="909"/>
      <c r="O38" s="183" t="s">
        <v>30</v>
      </c>
      <c r="P38" s="183"/>
      <c r="Q38" s="183"/>
      <c r="R38" s="183" t="s">
        <v>31</v>
      </c>
      <c r="S38" s="910" t="s">
        <v>32</v>
      </c>
      <c r="T38" s="922" t="s">
        <v>33</v>
      </c>
      <c r="U38" s="1095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14"/>
      <c r="B39" s="905"/>
      <c r="C39" s="905"/>
      <c r="D39" s="911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07" t="s">
        <v>40</v>
      </c>
      <c r="J39" s="908"/>
      <c r="K39" s="512" t="s">
        <v>41</v>
      </c>
      <c r="L39" s="681" t="s">
        <v>42</v>
      </c>
      <c r="M39" s="907" t="s">
        <v>43</v>
      </c>
      <c r="N39" s="909"/>
      <c r="O39" s="683" t="s">
        <v>44</v>
      </c>
      <c r="P39" s="184"/>
      <c r="Q39" s="184"/>
      <c r="R39" s="683" t="s">
        <v>45</v>
      </c>
      <c r="S39" s="911"/>
      <c r="T39" s="923"/>
      <c r="U39" s="1096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15"/>
      <c r="B40" s="906"/>
      <c r="C40" s="906"/>
      <c r="D40" s="912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12"/>
      <c r="T40" s="924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4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>
        <v>0</v>
      </c>
      <c r="AC41" s="100">
        <v>0</v>
      </c>
      <c r="AD41" s="351">
        <v>0</v>
      </c>
      <c r="AE41" s="100">
        <v>0</v>
      </c>
      <c r="AF41" s="100">
        <v>0</v>
      </c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4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>
        <v>0</v>
      </c>
      <c r="AC42" s="100">
        <v>0</v>
      </c>
      <c r="AD42" s="351">
        <v>0</v>
      </c>
      <c r="AE42" s="100">
        <v>0</v>
      </c>
      <c r="AF42" s="100">
        <v>0</v>
      </c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4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>
        <v>0</v>
      </c>
      <c r="AC43" s="100">
        <v>0</v>
      </c>
      <c r="AD43" s="351">
        <v>0</v>
      </c>
      <c r="AE43" s="100">
        <v>0</v>
      </c>
      <c r="AF43" s="100">
        <v>0</v>
      </c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909</v>
      </c>
      <c r="F44" s="100">
        <f>SUMIF(pro!$A:$A,$V:$V,pro!$N:$N)</f>
        <v>0</v>
      </c>
      <c r="G44" s="351"/>
      <c r="H44" s="100"/>
      <c r="I44" s="351">
        <f>SUMIF(data!$D:$D,$B44&amp;$D44,data!$J:$J)</f>
        <v>250</v>
      </c>
      <c r="J44" s="351">
        <f>SUMIF(data!$D:$D,$B44&amp;$D44,data!$K:$K)</f>
        <v>6250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659</v>
      </c>
      <c r="N44" s="351">
        <f t="shared" ref="N44:N57" si="17">M44*D44</f>
        <v>16475</v>
      </c>
      <c r="O44" s="1164">
        <f t="shared" ref="O44:O57" si="18">SUM(X44:BB44)</f>
        <v>13450</v>
      </c>
      <c r="P44" s="665"/>
      <c r="Q44" s="665"/>
      <c r="R44" s="804">
        <f>O44/INTGRATE!$N$293</f>
        <v>1681.25</v>
      </c>
      <c r="S44" s="665">
        <f t="shared" ref="S44:S57" si="19">IF(R44=0,0,N44/R44)</f>
        <v>9.7992565055762082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>
        <v>0</v>
      </c>
      <c r="AC44" s="100">
        <v>3475</v>
      </c>
      <c r="AD44" s="351">
        <v>0</v>
      </c>
      <c r="AE44" s="100">
        <v>0</v>
      </c>
      <c r="AF44" s="100">
        <v>6250</v>
      </c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13450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4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>
        <v>0</v>
      </c>
      <c r="AC45" s="100">
        <v>0</v>
      </c>
      <c r="AD45" s="351">
        <v>0</v>
      </c>
      <c r="AE45" s="100">
        <v>0</v>
      </c>
      <c r="AF45" s="100">
        <v>0</v>
      </c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4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>
        <v>0</v>
      </c>
      <c r="AC46" s="100">
        <v>0</v>
      </c>
      <c r="AD46" s="351">
        <v>0</v>
      </c>
      <c r="AE46" s="100">
        <v>0</v>
      </c>
      <c r="AF46" s="100">
        <v>0</v>
      </c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58</v>
      </c>
      <c r="F47" s="100">
        <f>SUMIF(pro!$A:$A,$V:$V,pro!$N:$N)</f>
        <v>679</v>
      </c>
      <c r="G47" s="351"/>
      <c r="H47" s="100"/>
      <c r="I47" s="351">
        <f>SUMIF(data!$D:$D,$B47&amp;$D47,data!$J:$J)</f>
        <v>5</v>
      </c>
      <c r="J47" s="351">
        <f>SUMIF(data!$D:$D,$B47&amp;$D47,data!$K:$K)</f>
        <v>125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732</v>
      </c>
      <c r="N47" s="351">
        <f t="shared" si="17"/>
        <v>18300</v>
      </c>
      <c r="O47" s="1164">
        <f t="shared" si="18"/>
        <v>11425</v>
      </c>
      <c r="P47" s="665"/>
      <c r="Q47" s="665"/>
      <c r="R47" s="804">
        <f>O47/INTGRATE!$N$293</f>
        <v>1428.125</v>
      </c>
      <c r="S47" s="665">
        <f t="shared" si="19"/>
        <v>12.814004376367615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>
        <v>7125</v>
      </c>
      <c r="AC47" s="100">
        <v>0</v>
      </c>
      <c r="AD47" s="1165">
        <v>0</v>
      </c>
      <c r="AE47" s="100">
        <v>0</v>
      </c>
      <c r="AF47" s="100">
        <v>125</v>
      </c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11425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709</v>
      </c>
      <c r="F48" s="100">
        <f>SUMIF(pro!$A:$A,$V:$V,pro!$N:$N)</f>
        <v>0</v>
      </c>
      <c r="G48" s="351"/>
      <c r="H48" s="100"/>
      <c r="I48" s="351">
        <f>SUMIF(data!$D:$D,$B48&amp;$D48,data!$J:$J)</f>
        <v>110</v>
      </c>
      <c r="J48" s="351">
        <f>SUMIF(data!$D:$D,$B48&amp;$D48,data!$K:$K)</f>
        <v>2750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599</v>
      </c>
      <c r="N48" s="351">
        <f t="shared" ref="N48:N50" si="21">M48*D48</f>
        <v>14975</v>
      </c>
      <c r="O48" s="1164">
        <f t="shared" ref="O48:O50" si="22">SUM(X48:BB48)</f>
        <v>12175</v>
      </c>
      <c r="P48" s="665"/>
      <c r="Q48" s="665"/>
      <c r="R48" s="804">
        <f>O48/INTGRATE!$N$293</f>
        <v>1521.875</v>
      </c>
      <c r="S48" s="665">
        <f t="shared" ref="S48:S50" si="23">IF(R48=0,0,N48/R48)</f>
        <v>9.8398357289527727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>
        <v>1175</v>
      </c>
      <c r="AC48" s="100">
        <v>3350</v>
      </c>
      <c r="AD48" s="1165">
        <v>1875</v>
      </c>
      <c r="AE48" s="100">
        <v>250</v>
      </c>
      <c r="AF48" s="100">
        <v>2750</v>
      </c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12175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4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>
        <v>0</v>
      </c>
      <c r="AC49" s="100">
        <v>0</v>
      </c>
      <c r="AD49" s="1165">
        <v>0</v>
      </c>
      <c r="AE49" s="100">
        <v>0</v>
      </c>
      <c r="AF49" s="100">
        <v>0</v>
      </c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575</v>
      </c>
      <c r="F50" s="100">
        <f>SUMIF(pro!$A:$A,$V:$V,pro!$N:$N)</f>
        <v>0</v>
      </c>
      <c r="G50" s="351"/>
      <c r="H50" s="100"/>
      <c r="I50" s="351">
        <f>SUMIF(data!$D:$D,$B50&amp;$D50,data!$J:$J)</f>
        <v>20</v>
      </c>
      <c r="J50" s="351">
        <f>SUMIF(data!$D:$D,$B50&amp;$D50,data!$K:$K)</f>
        <v>500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555</v>
      </c>
      <c r="N50" s="351">
        <f t="shared" si="21"/>
        <v>13875</v>
      </c>
      <c r="O50" s="1164">
        <f t="shared" si="22"/>
        <v>12250</v>
      </c>
      <c r="P50" s="665"/>
      <c r="Q50" s="665"/>
      <c r="R50" s="804">
        <f>O50/INTGRATE!$N$293</f>
        <v>1531.25</v>
      </c>
      <c r="S50" s="665">
        <f t="shared" si="23"/>
        <v>9.0612244897959187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>
        <v>875</v>
      </c>
      <c r="AC50" s="100">
        <v>4000</v>
      </c>
      <c r="AD50" s="1165">
        <v>1000</v>
      </c>
      <c r="AE50" s="100">
        <v>1000</v>
      </c>
      <c r="AF50" s="100">
        <v>500</v>
      </c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12250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387</v>
      </c>
      <c r="F51" s="100">
        <f>SUMIF(pro!$A:$A,$V:$V,pro!$N:$N)</f>
        <v>0</v>
      </c>
      <c r="G51" s="351"/>
      <c r="H51" s="100"/>
      <c r="I51" s="351">
        <f>SUMIF(data!$D:$D,$B51&amp;$D51,data!$J:$J)</f>
        <v>0</v>
      </c>
      <c r="J51" s="351">
        <f>SUMIF(data!$D:$D,$B51&amp;$D51,data!$K:$K)</f>
        <v>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387</v>
      </c>
      <c r="N51" s="351">
        <f t="shared" si="17"/>
        <v>9675</v>
      </c>
      <c r="O51" s="1164">
        <f t="shared" si="18"/>
        <v>8675</v>
      </c>
      <c r="P51" s="665"/>
      <c r="Q51" s="665"/>
      <c r="R51" s="804">
        <f>O51/INTGRATE!$N$293</f>
        <v>1084.375</v>
      </c>
      <c r="S51" s="665">
        <f t="shared" si="19"/>
        <v>8.9221902017291068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>
        <v>200</v>
      </c>
      <c r="AC51" s="100">
        <v>1000</v>
      </c>
      <c r="AD51" s="1165">
        <v>4600</v>
      </c>
      <c r="AE51" s="100">
        <v>1000</v>
      </c>
      <c r="AF51" s="100">
        <v>0</v>
      </c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8675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4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>
        <v>0</v>
      </c>
      <c r="AC52" s="100">
        <v>0</v>
      </c>
      <c r="AD52" s="351">
        <v>0</v>
      </c>
      <c r="AE52" s="100">
        <v>0</v>
      </c>
      <c r="AF52" s="100">
        <v>0</v>
      </c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684</v>
      </c>
      <c r="F53" s="100">
        <f>SUMIF(pro!$A:$A,$V:$V,pro!$N:$N)</f>
        <v>0</v>
      </c>
      <c r="G53" s="351"/>
      <c r="H53" s="100"/>
      <c r="I53" s="351">
        <f>SUMIF(data!$D:$D,$B53&amp;$D53,data!$J:$J)</f>
        <v>70</v>
      </c>
      <c r="J53" s="351">
        <f>SUMIF(data!$D:$D,$B53&amp;$D53,data!$K:$K)</f>
        <v>1750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614</v>
      </c>
      <c r="N53" s="351">
        <f t="shared" si="17"/>
        <v>15350</v>
      </c>
      <c r="O53" s="1164">
        <f t="shared" si="18"/>
        <v>10675</v>
      </c>
      <c r="P53" s="665"/>
      <c r="Q53" s="665"/>
      <c r="R53" s="804">
        <f>O53/INTGRATE!$N$293</f>
        <v>1334.375</v>
      </c>
      <c r="S53" s="665">
        <f t="shared" si="19"/>
        <v>11.503512880562061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>
        <v>0</v>
      </c>
      <c r="AC53" s="100">
        <v>250</v>
      </c>
      <c r="AD53" s="351">
        <v>750</v>
      </c>
      <c r="AE53" s="100">
        <v>0</v>
      </c>
      <c r="AF53" s="100">
        <v>1750</v>
      </c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10675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157</v>
      </c>
      <c r="F54" s="100">
        <f>SUMIF(pro!$A:$A,$V:$V,pro!$N:$N)</f>
        <v>0</v>
      </c>
      <c r="G54" s="351"/>
      <c r="H54" s="100"/>
      <c r="I54" s="351">
        <f>SUMIF(data!$D:$D,$B54&amp;$D54,data!$J:$J)</f>
        <v>5</v>
      </c>
      <c r="J54" s="351">
        <f>SUMIF(data!$D:$D,$B54&amp;$D54,data!$K:$K)</f>
        <v>125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152</v>
      </c>
      <c r="N54" s="351">
        <f>M54*D54</f>
        <v>3800</v>
      </c>
      <c r="O54" s="1164">
        <f>SUM(X54:BB54)</f>
        <v>875</v>
      </c>
      <c r="P54" s="665"/>
      <c r="Q54" s="665"/>
      <c r="R54" s="804">
        <f>O54/INTGRATE!$N$293</f>
        <v>109.375</v>
      </c>
      <c r="S54" s="665">
        <f>IF(R54=0,0,N54/R54)</f>
        <v>34.74285714285714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>
        <v>0</v>
      </c>
      <c r="AC54" s="100">
        <v>250</v>
      </c>
      <c r="AD54" s="351">
        <v>500</v>
      </c>
      <c r="AE54" s="100">
        <v>0</v>
      </c>
      <c r="AF54" s="100">
        <v>125</v>
      </c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875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4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>
        <v>0</v>
      </c>
      <c r="AC55" s="100">
        <v>0</v>
      </c>
      <c r="AD55" s="351">
        <v>0</v>
      </c>
      <c r="AE55" s="100">
        <v>0</v>
      </c>
      <c r="AF55" s="100">
        <v>0</v>
      </c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592</v>
      </c>
      <c r="F56" s="100">
        <f>SUMIF(pro!$A:$A,$V:$V,pro!$N:$N)</f>
        <v>0</v>
      </c>
      <c r="G56" s="351"/>
      <c r="H56" s="100"/>
      <c r="I56" s="351">
        <f>SUMIF(data!$D:$D,$B56&amp;$D56,data!$J:$J)</f>
        <v>53</v>
      </c>
      <c r="J56" s="351">
        <f>SUMIF(data!$D:$D,$B56&amp;$D56,data!$K:$K)</f>
        <v>1325</v>
      </c>
      <c r="K56" s="100">
        <f>SUMIF(AJOUT!$A:$A,'PRO-NASA'!$V:$V,AJOUT!$L:$L)</f>
        <v>0</v>
      </c>
      <c r="L56" s="100">
        <v>0</v>
      </c>
      <c r="M56" s="650">
        <f t="shared" si="16"/>
        <v>539</v>
      </c>
      <c r="N56" s="351">
        <f t="shared" si="17"/>
        <v>13475</v>
      </c>
      <c r="O56" s="1164">
        <f t="shared" si="18"/>
        <v>12450</v>
      </c>
      <c r="P56" s="665"/>
      <c r="Q56" s="665"/>
      <c r="R56" s="804">
        <f>O56/INTGRATE!$N$293</f>
        <v>1556.25</v>
      </c>
      <c r="S56" s="665">
        <f t="shared" si="19"/>
        <v>8.6586345381526097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>
        <v>1750</v>
      </c>
      <c r="AC56" s="100">
        <v>1750</v>
      </c>
      <c r="AD56" s="351">
        <v>5500</v>
      </c>
      <c r="AE56" s="100">
        <v>250</v>
      </c>
      <c r="AF56" s="100">
        <v>1325</v>
      </c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12450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90</v>
      </c>
      <c r="F57" s="100">
        <f>SUMIF(pro!$A:$A,$V:$V,pro!$N:$N)</f>
        <v>0</v>
      </c>
      <c r="G57" s="351"/>
      <c r="H57" s="100"/>
      <c r="I57" s="351">
        <f>SUMIF(data!$D:$D,$B57&amp;$D57,data!$J:$J)</f>
        <v>5</v>
      </c>
      <c r="J57" s="351">
        <f>SUMIF(data!$D:$D,$B57&amp;$D57,data!$K:$K)</f>
        <v>125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85</v>
      </c>
      <c r="N57" s="351">
        <f t="shared" si="17"/>
        <v>2125</v>
      </c>
      <c r="O57" s="1164">
        <f t="shared" si="18"/>
        <v>3375</v>
      </c>
      <c r="P57" s="665"/>
      <c r="Q57" s="665"/>
      <c r="R57" s="804">
        <f>O57/INTGRATE!$N$293</f>
        <v>421.875</v>
      </c>
      <c r="S57" s="665">
        <f t="shared" si="19"/>
        <v>5.0370370370370372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>
        <v>0</v>
      </c>
      <c r="AC57" s="157">
        <v>625</v>
      </c>
      <c r="AD57" s="1165">
        <v>0</v>
      </c>
      <c r="AE57" s="157">
        <v>500</v>
      </c>
      <c r="AF57" s="157">
        <v>125</v>
      </c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5"/>
      <c r="AX57" s="157"/>
      <c r="AY57" s="157"/>
      <c r="AZ57" s="157"/>
      <c r="BA57" s="157"/>
      <c r="BB57" s="157"/>
      <c r="BC57" s="668">
        <f t="shared" si="15"/>
        <v>3375</v>
      </c>
    </row>
    <row r="58" spans="1:149" s="59" customFormat="1" ht="15" customHeight="1">
      <c r="A58" s="1097" t="s">
        <v>71</v>
      </c>
      <c r="B58" s="1098"/>
      <c r="C58" s="1098"/>
      <c r="D58" s="1099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11125</v>
      </c>
      <c r="AC58" s="670">
        <f t="shared" si="28"/>
        <v>14700</v>
      </c>
      <c r="AD58" s="670">
        <f t="shared" si="28"/>
        <v>14225</v>
      </c>
      <c r="AE58" s="670">
        <f t="shared" si="28"/>
        <v>3000</v>
      </c>
      <c r="AF58" s="670">
        <f t="shared" si="28"/>
        <v>12950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85350</v>
      </c>
      <c r="BF58" s="439"/>
    </row>
    <row r="59" spans="1:149" s="59" customFormat="1" ht="15" customHeight="1">
      <c r="A59" s="1097" t="s">
        <v>72</v>
      </c>
      <c r="B59" s="1098"/>
      <c r="C59" s="1098"/>
      <c r="D59" s="1099"/>
      <c r="E59" s="113">
        <f t="shared" ref="E59:S59" si="29">SUM(E41:E57)</f>
        <v>4172</v>
      </c>
      <c r="F59" s="113">
        <f t="shared" si="29"/>
        <v>679</v>
      </c>
      <c r="G59" s="113">
        <f t="shared" si="29"/>
        <v>0</v>
      </c>
      <c r="H59" s="113">
        <f t="shared" si="29"/>
        <v>0</v>
      </c>
      <c r="I59" s="113">
        <f t="shared" si="29"/>
        <v>518</v>
      </c>
      <c r="J59" s="113">
        <f t="shared" si="29"/>
        <v>12950</v>
      </c>
      <c r="K59" s="113">
        <f t="shared" si="29"/>
        <v>0</v>
      </c>
      <c r="L59" s="113">
        <f t="shared" si="29"/>
        <v>0</v>
      </c>
      <c r="M59" s="113">
        <f t="shared" si="29"/>
        <v>4333</v>
      </c>
      <c r="N59" s="113">
        <f t="shared" si="29"/>
        <v>108325</v>
      </c>
      <c r="O59" s="113">
        <f t="shared" si="29"/>
        <v>85350</v>
      </c>
      <c r="P59" s="113">
        <f t="shared" si="29"/>
        <v>0</v>
      </c>
      <c r="Q59" s="113">
        <f t="shared" si="29"/>
        <v>0</v>
      </c>
      <c r="R59" s="113">
        <f t="shared" si="29"/>
        <v>10668.75</v>
      </c>
      <c r="S59" s="113">
        <f t="shared" si="29"/>
        <v>110.37855290103047</v>
      </c>
      <c r="T59" s="1100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097" t="s">
        <v>73</v>
      </c>
      <c r="B60" s="1098"/>
      <c r="C60" s="1098"/>
      <c r="D60" s="1099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101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1045" t="s">
        <v>74</v>
      </c>
      <c r="B61" s="1046"/>
      <c r="C61" s="1046"/>
      <c r="D61" s="1047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101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04" t="s">
        <v>75</v>
      </c>
      <c r="B62" s="1105"/>
      <c r="C62" s="1105"/>
      <c r="D62" s="1106"/>
      <c r="E62" s="73">
        <f>SUM(E58:E60)</f>
        <v>4172</v>
      </c>
      <c r="F62" s="73">
        <f>SUM(F58:F60)-F61</f>
        <v>679</v>
      </c>
      <c r="G62" s="73">
        <f>SUM(G58:G60)</f>
        <v>0</v>
      </c>
      <c r="H62" s="73">
        <f t="shared" ref="H62:N62" si="30">SUM(H58:H60)</f>
        <v>0</v>
      </c>
      <c r="I62" s="73">
        <f>SUM(I58:I60)</f>
        <v>518</v>
      </c>
      <c r="J62" s="73">
        <f t="shared" si="30"/>
        <v>12950</v>
      </c>
      <c r="K62" s="73">
        <f>SUM(K58:K60)</f>
        <v>0</v>
      </c>
      <c r="L62" s="73">
        <f t="shared" si="30"/>
        <v>0</v>
      </c>
      <c r="M62" s="478">
        <f t="shared" si="30"/>
        <v>4333</v>
      </c>
      <c r="N62" s="73">
        <f t="shared" si="30"/>
        <v>108325</v>
      </c>
      <c r="O62" s="1107">
        <f>SUM(O43:O57)</f>
        <v>85350</v>
      </c>
      <c r="P62" s="186"/>
      <c r="Q62" s="186"/>
      <c r="R62" s="1109">
        <f>SUM(R43:R57)</f>
        <v>10668.75</v>
      </c>
      <c r="S62" s="1109" t="s">
        <v>83</v>
      </c>
      <c r="T62" s="1102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11" t="s">
        <v>77</v>
      </c>
      <c r="B63" s="1112"/>
      <c r="C63" s="1112"/>
      <c r="D63" s="1113"/>
      <c r="E63" s="70">
        <f>SUM(E58:E59)*25+E60*40</f>
        <v>104300</v>
      </c>
      <c r="F63" s="70">
        <f t="shared" ref="F63:M63" si="31">SUM(F58:F59)*25+F60*40</f>
        <v>16975</v>
      </c>
      <c r="G63" s="70">
        <f>SUM(G58:G59)*25+G60*40</f>
        <v>0</v>
      </c>
      <c r="H63" s="70">
        <f t="shared" si="31"/>
        <v>0</v>
      </c>
      <c r="I63" s="70">
        <f>SUM(I58:I59)*25+I60*40</f>
        <v>12950</v>
      </c>
      <c r="J63" s="70">
        <f>SUM(J58:J59)+J60</f>
        <v>12950</v>
      </c>
      <c r="K63" s="70">
        <f>+K62*25</f>
        <v>0</v>
      </c>
      <c r="L63" s="70">
        <f t="shared" si="31"/>
        <v>0</v>
      </c>
      <c r="M63" s="480">
        <f t="shared" si="31"/>
        <v>108325</v>
      </c>
      <c r="N63" s="70">
        <f>SUM(N58:N59)+N60</f>
        <v>108325</v>
      </c>
      <c r="O63" s="1108"/>
      <c r="P63" s="187"/>
      <c r="Q63" s="187"/>
      <c r="R63" s="1110"/>
      <c r="S63" s="1110"/>
      <c r="T63" s="1103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A9:A11"/>
    <mergeCell ref="B9:B11"/>
    <mergeCell ref="C9:C11"/>
    <mergeCell ref="D9:D11"/>
    <mergeCell ref="U9:U10"/>
    <mergeCell ref="I10:J10"/>
    <mergeCell ref="I9:L9"/>
    <mergeCell ref="M9:N9"/>
    <mergeCell ref="M10:N10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33:D33"/>
    <mergeCell ref="O33:O34"/>
    <mergeCell ref="A38:A40"/>
    <mergeCell ref="B38:B40"/>
    <mergeCell ref="C38:C40"/>
    <mergeCell ref="D38:D40"/>
    <mergeCell ref="F38:H38"/>
    <mergeCell ref="M38:N38"/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319" activePane="bottomRight" state="frozen"/>
      <selection pane="bottomRight" activeCell="AF314" sqref="AF314:AF330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117" t="s">
        <v>13</v>
      </c>
      <c r="B2" s="1117"/>
      <c r="C2" s="1117"/>
      <c r="D2" s="1117"/>
      <c r="E2" s="1117"/>
      <c r="F2" s="1117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117" t="s">
        <v>14</v>
      </c>
      <c r="B3" s="1117"/>
      <c r="C3" s="1117"/>
      <c r="D3" s="1117"/>
      <c r="E3" s="1117"/>
      <c r="F3" s="1117"/>
      <c r="G3" s="291"/>
      <c r="J3" s="63"/>
      <c r="K3" s="63"/>
      <c r="M3" s="466"/>
      <c r="N3" s="718" t="s">
        <v>15</v>
      </c>
      <c r="O3" s="1127">
        <v>46151</v>
      </c>
      <c r="P3" s="1127"/>
      <c r="Q3" s="1127"/>
      <c r="R3" s="1127"/>
      <c r="S3" s="1127"/>
      <c r="T3" s="1127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13" t="s">
        <v>22</v>
      </c>
      <c r="B10" s="904" t="s">
        <v>23</v>
      </c>
      <c r="C10" s="904" t="s">
        <v>24</v>
      </c>
      <c r="D10" s="910" t="s">
        <v>25</v>
      </c>
      <c r="E10" s="61" t="s">
        <v>26</v>
      </c>
      <c r="F10" s="907" t="s">
        <v>27</v>
      </c>
      <c r="G10" s="908"/>
      <c r="H10" s="909"/>
      <c r="I10" s="907" t="s">
        <v>28</v>
      </c>
      <c r="J10" s="908"/>
      <c r="K10" s="908"/>
      <c r="L10" s="908"/>
      <c r="M10" s="907" t="s">
        <v>29</v>
      </c>
      <c r="N10" s="909"/>
      <c r="O10" s="183" t="s">
        <v>30</v>
      </c>
      <c r="P10" s="183"/>
      <c r="Q10" s="183"/>
      <c r="R10" s="183" t="s">
        <v>31</v>
      </c>
      <c r="S10" s="910" t="s">
        <v>32</v>
      </c>
      <c r="T10" s="922" t="s">
        <v>33</v>
      </c>
      <c r="U10" s="1095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14"/>
      <c r="B11" s="905"/>
      <c r="C11" s="905"/>
      <c r="D11" s="911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07" t="s">
        <v>40</v>
      </c>
      <c r="J11" s="908"/>
      <c r="K11" s="512" t="s">
        <v>41</v>
      </c>
      <c r="L11" s="681" t="s">
        <v>42</v>
      </c>
      <c r="M11" s="925" t="s">
        <v>43</v>
      </c>
      <c r="N11" s="1130"/>
      <c r="O11" s="683" t="s">
        <v>44</v>
      </c>
      <c r="P11" s="184"/>
      <c r="Q11" s="184"/>
      <c r="R11" s="683" t="s">
        <v>45</v>
      </c>
      <c r="S11" s="911"/>
      <c r="T11" s="923"/>
      <c r="U11" s="1096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15"/>
      <c r="B12" s="906"/>
      <c r="C12" s="906"/>
      <c r="D12" s="912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12"/>
      <c r="T12" s="924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61">
        <f>E13+F13+H13-I13-L13+G13-K13</f>
        <v>0</v>
      </c>
      <c r="N13" s="652">
        <f>M13*25</f>
        <v>0</v>
      </c>
      <c r="O13" s="1162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61">
        <f>E14+F14+H14-I14-L14+G14-K14</f>
        <v>0</v>
      </c>
      <c r="N14" s="652">
        <f>M14*25</f>
        <v>0</v>
      </c>
      <c r="O14" s="1162">
        <f>SUM(X14:BB14)</f>
        <v>0</v>
      </c>
      <c r="P14" s="804">
        <f>SUM(N16,N26:N41)</f>
        <v>75210</v>
      </c>
      <c r="Q14" s="804">
        <f>SUM(O16,O26:O41)</f>
        <v>61295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61">
        <f t="shared" ref="M15:M34" si="5">E15+F15+H15-I15-L15+G15-K15</f>
        <v>0</v>
      </c>
      <c r="N15" s="652">
        <f t="shared" ref="N15:N85" si="6">M15*25</f>
        <v>0</v>
      </c>
      <c r="O15" s="1162">
        <f t="shared" ref="O15:O85" si="7">SUM(X15:BB15)</f>
        <v>0</v>
      </c>
      <c r="P15" s="804">
        <f>SUM(N18:N20,N55,N57:N58,N81:N81,N88:N95,N56,N82,N54)</f>
        <v>165050</v>
      </c>
      <c r="Q15" s="804">
        <f>SUM(O18:O20,O55,O57:O58,O81:O81,O88:O95,O56,O82,O54)</f>
        <v>423665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454925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61">
        <f t="shared" si="5"/>
        <v>0</v>
      </c>
      <c r="N16" s="652">
        <f t="shared" si="6"/>
        <v>0</v>
      </c>
      <c r="O16" s="1162">
        <f t="shared" si="7"/>
        <v>0</v>
      </c>
      <c r="P16" s="804">
        <f>SUM(N13:N149)-P13-P14-P15-P17-P18-P19</f>
        <v>370375</v>
      </c>
      <c r="Q16" s="804">
        <f>SUM(O13:O149)-Q13-Q14-Q15-Q17-Q18-Q19</f>
        <v>1142620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6">
        <f>+SUM(BC13:BC14)+SUM(BC23:BC24)+SUM(BC39:BC39)+SUM(BC109:BC131)+SUM(BC177:BC183)+SUM(BC255:BC264)+SUM(BC295:BC297)+SUM(BC323:BC325)-BC117-BC122-BC123-BC179-BC181-BC261-BC260-BC125-BC124</f>
        <v>1191190</v>
      </c>
      <c r="BG16" s="38"/>
      <c r="BH16" s="436" t="s">
        <v>93</v>
      </c>
      <c r="BI16" s="1166">
        <f>+BF15+BF16+BF17</f>
        <v>2181730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61">
        <f t="shared" si="5"/>
        <v>0</v>
      </c>
      <c r="N17" s="652">
        <f t="shared" si="6"/>
        <v>0</v>
      </c>
      <c r="O17" s="1162">
        <f t="shared" si="7"/>
        <v>0</v>
      </c>
      <c r="P17" s="804">
        <f>+N17+SUM(N43:N46,N113:N125,N97:N102)-N114+SUM(N103:N108)</f>
        <v>275375</v>
      </c>
      <c r="Q17" s="804">
        <f>+O17+SUM(O43:O46,O113:O125,O97:O102)-O114+SUM(O103:O108)</f>
        <v>726410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6">
        <f>+BC15+BC25+SUM(BC132:BC143)+SUM(BC184:BC186)+SUM(BC265:BC273)+SUM(BC298:BC299)</f>
        <v>535615</v>
      </c>
      <c r="BG17" s="38"/>
      <c r="BH17" s="436" t="s">
        <v>95</v>
      </c>
      <c r="BI17" s="1167"/>
      <c r="BJ17" s="1167"/>
      <c r="BK17" s="1167"/>
      <c r="BL17" s="1167"/>
      <c r="BM17" s="1167"/>
      <c r="BN17" s="1167"/>
      <c r="BO17" s="1167"/>
      <c r="BP17" s="1167"/>
      <c r="BQ17" s="1167"/>
      <c r="BR17" s="1167"/>
      <c r="BS17" s="1167"/>
      <c r="BT17" s="1167"/>
      <c r="BU17" s="1167"/>
      <c r="BV17" s="1167"/>
      <c r="BW17" s="1167"/>
      <c r="BX17" s="1167"/>
      <c r="BY17" s="1167"/>
      <c r="BZ17" s="1167"/>
      <c r="CA17" s="1167"/>
      <c r="CB17" s="1167"/>
      <c r="CC17" s="1167"/>
      <c r="CD17" s="1167"/>
      <c r="CE17" s="1167"/>
      <c r="CF17" s="1167"/>
      <c r="CG17" s="1167"/>
      <c r="CH17" s="1167"/>
      <c r="CI17" s="1167"/>
      <c r="CJ17" s="1167"/>
      <c r="CK17" s="1167"/>
      <c r="CL17" s="1167"/>
      <c r="CM17" s="1167"/>
      <c r="CN17" s="1167"/>
      <c r="CO17" s="1167"/>
      <c r="CP17" s="1167"/>
      <c r="CQ17" s="1167"/>
      <c r="CR17" s="1167"/>
      <c r="CS17" s="1167"/>
      <c r="CT17" s="1167"/>
      <c r="CU17" s="1167"/>
      <c r="CV17" s="1167"/>
      <c r="CW17" s="1167"/>
      <c r="CX17" s="1167"/>
      <c r="CY17" s="1167"/>
      <c r="CZ17" s="1167"/>
      <c r="DA17" s="1167"/>
      <c r="DB17" s="1167"/>
      <c r="DC17" s="1167"/>
      <c r="DD17" s="1167"/>
      <c r="DE17" s="1167"/>
      <c r="DF17" s="1167"/>
      <c r="DG17" s="1167"/>
      <c r="DH17" s="1167"/>
      <c r="DI17" s="1167"/>
      <c r="DJ17" s="1167"/>
      <c r="DK17" s="1167"/>
      <c r="DL17" s="1167"/>
      <c r="DM17" s="1167"/>
      <c r="DN17" s="1167"/>
      <c r="DO17" s="1167"/>
      <c r="DP17" s="1167"/>
      <c r="DQ17" s="1167"/>
      <c r="DR17" s="1167"/>
      <c r="DS17" s="1167"/>
      <c r="DT17" s="1167"/>
      <c r="DU17" s="1167"/>
      <c r="DV17" s="1167"/>
      <c r="DW17" s="1167"/>
      <c r="DX17" s="1167"/>
      <c r="DY17" s="1167"/>
      <c r="DZ17" s="1167"/>
      <c r="EA17" s="1167"/>
      <c r="EB17" s="1167"/>
      <c r="EC17" s="1167"/>
      <c r="ED17" s="1167"/>
      <c r="EE17" s="1167"/>
      <c r="EF17" s="1167"/>
      <c r="EG17" s="1167"/>
      <c r="EH17" s="1167"/>
      <c r="EI17" s="1167"/>
      <c r="EJ17" s="1167"/>
      <c r="EK17" s="1167"/>
      <c r="EL17" s="1167"/>
      <c r="EM17" s="1167"/>
      <c r="EN17" s="1167"/>
      <c r="EO17" s="1167"/>
      <c r="EP17" s="1167"/>
      <c r="EQ17" s="1167"/>
      <c r="ER17" s="1167"/>
      <c r="ES17" s="1167"/>
      <c r="ET17" s="1167"/>
      <c r="EU17" s="1167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61">
        <f>E18+F18+H18-I18-L18+G18-K18</f>
        <v>0</v>
      </c>
      <c r="N18" s="652">
        <f t="shared" si="6"/>
        <v>0</v>
      </c>
      <c r="O18" s="1162">
        <f t="shared" si="7"/>
        <v>0</v>
      </c>
      <c r="P18" s="804">
        <f>+SUM(N63:N74,N59:N60,N47:N52)</f>
        <v>40875</v>
      </c>
      <c r="Q18" s="804">
        <f>+SUM(O63:O74,O59:O60,O47:O52)</f>
        <v>171750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6">
        <f>BC226+BC225+BC50+BC219+BC220+BC49+BC46+BC53+BC45+BC231+BC229+BC42+BC47++BC48+BC51++BC52+BC55+BC56+BC60+BC168+BC316+BC169+BC221+BC228+BC223+BC217+BC222+BC218+BC227+BC224+BC54+BC230</f>
        <v>525970</v>
      </c>
      <c r="BG18" s="38"/>
      <c r="BH18" s="436" t="s">
        <v>97</v>
      </c>
      <c r="BI18" s="1167"/>
      <c r="BJ18" s="1167"/>
      <c r="BK18" s="1167"/>
      <c r="BL18" s="1167"/>
      <c r="BM18" s="1167"/>
      <c r="BN18" s="1167"/>
      <c r="BO18" s="1167"/>
      <c r="BP18" s="1167"/>
      <c r="BQ18" s="1167"/>
      <c r="BR18" s="1167"/>
      <c r="BS18" s="1167"/>
      <c r="BT18" s="1167"/>
      <c r="BU18" s="1167"/>
      <c r="BV18" s="1167"/>
      <c r="BW18" s="1167"/>
      <c r="BX18" s="1167"/>
      <c r="BY18" s="1167"/>
      <c r="BZ18" s="1167"/>
      <c r="CA18" s="1167"/>
      <c r="CB18" s="1167"/>
      <c r="CC18" s="1167"/>
      <c r="CD18" s="1167"/>
      <c r="CE18" s="1167"/>
      <c r="CF18" s="1167"/>
      <c r="CG18" s="1167"/>
      <c r="CH18" s="1167"/>
      <c r="CI18" s="1167"/>
      <c r="CJ18" s="1167"/>
      <c r="CK18" s="1167"/>
      <c r="CL18" s="1167"/>
      <c r="CM18" s="1167"/>
      <c r="CN18" s="1167"/>
      <c r="CO18" s="1167"/>
      <c r="CP18" s="1167"/>
      <c r="CQ18" s="1167"/>
      <c r="CR18" s="1167"/>
      <c r="CS18" s="1167"/>
      <c r="CT18" s="1167"/>
      <c r="CU18" s="1167"/>
      <c r="CV18" s="1167"/>
      <c r="CW18" s="1167"/>
      <c r="CX18" s="1167"/>
      <c r="CY18" s="1167"/>
      <c r="CZ18" s="1167"/>
      <c r="DA18" s="1167"/>
      <c r="DB18" s="1167"/>
      <c r="DC18" s="1167"/>
      <c r="DD18" s="1167"/>
      <c r="DE18" s="1167"/>
      <c r="DF18" s="1167"/>
      <c r="DG18" s="1167"/>
      <c r="DH18" s="1167"/>
      <c r="DI18" s="1167"/>
      <c r="DJ18" s="1167"/>
      <c r="DK18" s="1167"/>
      <c r="DL18" s="1167"/>
      <c r="DM18" s="1167"/>
      <c r="DN18" s="1167"/>
      <c r="DO18" s="1167"/>
      <c r="DP18" s="1167"/>
      <c r="DQ18" s="1167"/>
      <c r="DR18" s="1167"/>
      <c r="DS18" s="1167"/>
      <c r="DT18" s="1167"/>
      <c r="DU18" s="1167"/>
      <c r="DV18" s="1167"/>
      <c r="DW18" s="1167"/>
      <c r="DX18" s="1167"/>
      <c r="DY18" s="1167"/>
      <c r="DZ18" s="1167"/>
      <c r="EA18" s="1167"/>
      <c r="EB18" s="1167"/>
      <c r="EC18" s="1167"/>
      <c r="ED18" s="1167"/>
      <c r="EE18" s="1167"/>
      <c r="EF18" s="1167"/>
      <c r="EG18" s="1167"/>
      <c r="EH18" s="1167"/>
      <c r="EI18" s="1167"/>
      <c r="EJ18" s="1167"/>
      <c r="EK18" s="1167"/>
      <c r="EL18" s="1167"/>
      <c r="EM18" s="1167"/>
      <c r="EN18" s="1167"/>
      <c r="EO18" s="1167"/>
      <c r="EP18" s="1167"/>
      <c r="EQ18" s="1167"/>
      <c r="ER18" s="1167"/>
      <c r="ES18" s="1167"/>
      <c r="ET18" s="1167"/>
      <c r="EU18" s="1167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61">
        <f>E19+F19+H19-I19-L19+G19-K19</f>
        <v>0</v>
      </c>
      <c r="N19" s="652">
        <f t="shared" si="6"/>
        <v>0</v>
      </c>
      <c r="O19" s="1162">
        <f t="shared" si="7"/>
        <v>0</v>
      </c>
      <c r="P19" s="804">
        <f>+N42+N51+N52+N61+N62</f>
        <v>62175</v>
      </c>
      <c r="Q19" s="804">
        <f>+O42+O51+O52+O61+O62</f>
        <v>230645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6"/>
      <c r="BG19" s="38"/>
      <c r="BH19" s="436"/>
      <c r="BI19" s="1167"/>
      <c r="BJ19" s="1167"/>
      <c r="BK19" s="1167"/>
      <c r="BL19" s="1167"/>
      <c r="BM19" s="1167"/>
      <c r="BN19" s="1167"/>
      <c r="BO19" s="1167"/>
      <c r="BP19" s="1167"/>
      <c r="BQ19" s="1167"/>
      <c r="BR19" s="1167"/>
      <c r="BS19" s="1167"/>
      <c r="BT19" s="1167"/>
      <c r="BU19" s="1167"/>
      <c r="BV19" s="1167"/>
      <c r="BW19" s="1167"/>
      <c r="BX19" s="1167"/>
      <c r="BY19" s="1167"/>
      <c r="BZ19" s="1167"/>
      <c r="CA19" s="1167"/>
      <c r="CB19" s="1167"/>
      <c r="CC19" s="1167"/>
      <c r="CD19" s="1167"/>
      <c r="CE19" s="1167"/>
      <c r="CF19" s="1167"/>
      <c r="CG19" s="1167"/>
      <c r="CH19" s="1167"/>
      <c r="CI19" s="1167"/>
      <c r="CJ19" s="1167"/>
      <c r="CK19" s="1167"/>
      <c r="CL19" s="1167"/>
      <c r="CM19" s="1167"/>
      <c r="CN19" s="1167"/>
      <c r="CO19" s="1167"/>
      <c r="CP19" s="1167"/>
      <c r="CQ19" s="1167"/>
      <c r="CR19" s="1167"/>
      <c r="CS19" s="1167"/>
      <c r="CT19" s="1167"/>
      <c r="CU19" s="1167"/>
      <c r="CV19" s="1167"/>
      <c r="CW19" s="1167"/>
      <c r="CX19" s="1167"/>
      <c r="CY19" s="1167"/>
      <c r="CZ19" s="1167"/>
      <c r="DA19" s="1167"/>
      <c r="DB19" s="1167"/>
      <c r="DC19" s="1167"/>
      <c r="DD19" s="1167"/>
      <c r="DE19" s="1167"/>
      <c r="DF19" s="1167"/>
      <c r="DG19" s="1167"/>
      <c r="DH19" s="1167"/>
      <c r="DI19" s="1167"/>
      <c r="DJ19" s="1167"/>
      <c r="DK19" s="1167"/>
      <c r="DL19" s="1167"/>
      <c r="DM19" s="1167"/>
      <c r="DN19" s="1167"/>
      <c r="DO19" s="1167"/>
      <c r="DP19" s="1167"/>
      <c r="DQ19" s="1167"/>
      <c r="DR19" s="1167"/>
      <c r="DS19" s="1167"/>
      <c r="DT19" s="1167"/>
      <c r="DU19" s="1167"/>
      <c r="DV19" s="1167"/>
      <c r="DW19" s="1167"/>
      <c r="DX19" s="1167"/>
      <c r="DY19" s="1167"/>
      <c r="DZ19" s="1167"/>
      <c r="EA19" s="1167"/>
      <c r="EB19" s="1167"/>
      <c r="EC19" s="1167"/>
      <c r="ED19" s="1167"/>
      <c r="EE19" s="1167"/>
      <c r="EF19" s="1167"/>
      <c r="EG19" s="1167"/>
      <c r="EH19" s="1167"/>
      <c r="EI19" s="1167"/>
      <c r="EJ19" s="1167"/>
      <c r="EK19" s="1167"/>
      <c r="EL19" s="1167"/>
      <c r="EM19" s="1167"/>
      <c r="EN19" s="1167"/>
      <c r="EO19" s="1167"/>
      <c r="EP19" s="1167"/>
      <c r="EQ19" s="1167"/>
      <c r="ER19" s="1167"/>
      <c r="ES19" s="1167"/>
      <c r="ET19" s="1167"/>
      <c r="EU19" s="1167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0</v>
      </c>
      <c r="F20" s="100">
        <f>SUMIF(pro!$A:$A,$V:$V,pro!$N:$N)</f>
        <v>40</v>
      </c>
      <c r="G20" s="100"/>
      <c r="H20" s="100">
        <f>SUMIF(CBIN!$A:$A,BRAN!$V:$V,CBIN!$G:$G)</f>
        <v>0</v>
      </c>
      <c r="I20" s="100">
        <f>SUMIF(data!$D:$D,$B20&amp;$D20,data!$J:$J)</f>
        <v>0</v>
      </c>
      <c r="J20" s="100">
        <f>SUMIF(data!$D:$D,$B20&amp;$D20,data!$K:$K)</f>
        <v>0</v>
      </c>
      <c r="K20" s="100">
        <f>SUMIF(AJOUT!$A:$A,BRAN!$V:$V,AJOUT!$L:$L)</f>
        <v>0</v>
      </c>
      <c r="L20" s="100">
        <f>SUMIF(CBOUT!$A:$A,BRAN!$V:$V,CBOUT!$G:$G)</f>
        <v>0</v>
      </c>
      <c r="M20" s="1161">
        <f>E20+F20+H20-I20-L20+G20-K20</f>
        <v>40</v>
      </c>
      <c r="N20" s="652">
        <f t="shared" si="6"/>
        <v>1000</v>
      </c>
      <c r="O20" s="1162">
        <f t="shared" si="7"/>
        <v>2950</v>
      </c>
      <c r="P20" s="804"/>
      <c r="Q20" s="804"/>
      <c r="R20" s="100">
        <f>O20/INTGRATE!$N$293</f>
        <v>368.75</v>
      </c>
      <c r="S20" s="665">
        <f t="shared" si="0"/>
        <v>2.7118644067796609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2950</v>
      </c>
      <c r="BD20" s="786">
        <f t="shared" si="9"/>
        <v>4</v>
      </c>
      <c r="BE20" s="786">
        <f t="shared" si="10"/>
        <v>737.5</v>
      </c>
      <c r="BF20" s="1166">
        <f>BC70+BC213+BC215+BC318+BC212+BC214+BC71+BC207+BC65+BC66+BC292+BC30+BC33+BC63+BC64+BC67+BC72+BC73+BC74+BC34+BC35+BC68+BC206+BC32+BC216+BC314+BC317+BC315+BC210+BC208+BC69+BC290+BC211+BC293+BC31+BC291+BC209</f>
        <v>200025</v>
      </c>
      <c r="BG20" s="38" t="s">
        <v>100</v>
      </c>
      <c r="BH20" s="436" t="s">
        <v>101</v>
      </c>
      <c r="BI20" s="1166">
        <f>+BF18+BF20+BF21</f>
        <v>784345</v>
      </c>
      <c r="BJ20" s="1167"/>
      <c r="BK20" s="1167"/>
      <c r="BL20" s="1167"/>
      <c r="BM20" s="1167"/>
      <c r="BN20" s="1167"/>
      <c r="BO20" s="1167"/>
      <c r="BP20" s="1167"/>
      <c r="BQ20" s="1167"/>
      <c r="BR20" s="1167"/>
      <c r="BS20" s="1167"/>
      <c r="BT20" s="1167"/>
      <c r="BU20" s="1167"/>
      <c r="BV20" s="1167"/>
      <c r="BW20" s="1167"/>
      <c r="BX20" s="1167"/>
      <c r="BY20" s="1167"/>
      <c r="BZ20" s="1167"/>
      <c r="CA20" s="1167"/>
      <c r="CB20" s="1167"/>
      <c r="CC20" s="1167"/>
      <c r="CD20" s="1167"/>
      <c r="CE20" s="1167"/>
      <c r="CF20" s="1167"/>
      <c r="CG20" s="1167"/>
      <c r="CH20" s="1167"/>
      <c r="CI20" s="1167"/>
      <c r="CJ20" s="1167"/>
      <c r="CK20" s="1167"/>
      <c r="CL20" s="1167"/>
      <c r="CM20" s="1167"/>
      <c r="CN20" s="1167"/>
      <c r="CO20" s="1167"/>
      <c r="CP20" s="1167"/>
      <c r="CQ20" s="1167"/>
      <c r="CR20" s="1167"/>
      <c r="CS20" s="1167"/>
      <c r="CT20" s="1167"/>
      <c r="CU20" s="1167"/>
      <c r="CV20" s="1167"/>
      <c r="CW20" s="1167"/>
      <c r="CX20" s="1167"/>
      <c r="CY20" s="1167"/>
      <c r="CZ20" s="1167"/>
      <c r="DA20" s="1167"/>
      <c r="DB20" s="1167"/>
      <c r="DC20" s="1167"/>
      <c r="DD20" s="1167"/>
      <c r="DE20" s="1167"/>
      <c r="DF20" s="1167"/>
      <c r="DG20" s="1167"/>
      <c r="DH20" s="1167"/>
      <c r="DI20" s="1167"/>
      <c r="DJ20" s="1167"/>
      <c r="DK20" s="1167"/>
      <c r="DL20" s="1167"/>
      <c r="DM20" s="1167"/>
      <c r="DN20" s="1167"/>
      <c r="DO20" s="1167"/>
      <c r="DP20" s="1167"/>
      <c r="DQ20" s="1167"/>
      <c r="DR20" s="1167"/>
      <c r="DS20" s="1167"/>
      <c r="DT20" s="1167"/>
      <c r="DU20" s="1167"/>
      <c r="DV20" s="1167"/>
      <c r="DW20" s="1167"/>
      <c r="DX20" s="1167"/>
      <c r="DY20" s="1167"/>
      <c r="DZ20" s="1167"/>
      <c r="EA20" s="1167"/>
      <c r="EB20" s="1167"/>
      <c r="EC20" s="1167"/>
      <c r="ED20" s="1167"/>
      <c r="EE20" s="1167"/>
      <c r="EF20" s="1167"/>
      <c r="EG20" s="1167"/>
      <c r="EH20" s="1167"/>
      <c r="EI20" s="1167"/>
      <c r="EJ20" s="1167"/>
      <c r="EK20" s="1167"/>
      <c r="EL20" s="1167"/>
      <c r="EM20" s="1167"/>
      <c r="EN20" s="1167"/>
      <c r="EO20" s="1167"/>
      <c r="EP20" s="1167"/>
      <c r="EQ20" s="1167"/>
      <c r="ER20" s="1167"/>
      <c r="ES20" s="1167"/>
      <c r="ET20" s="1167"/>
      <c r="EU20" s="1167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8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61">
        <f>E21+F21+H21-I21-L21+G21-K21</f>
        <v>0</v>
      </c>
      <c r="N21" s="652">
        <f t="shared" si="6"/>
        <v>0</v>
      </c>
      <c r="O21" s="1162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9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6">
        <f>+BC17+BC43+BC44+BC57+BC58+BC59</f>
        <v>58350</v>
      </c>
      <c r="BG21" s="38" t="s">
        <v>103</v>
      </c>
      <c r="BH21" s="436" t="s">
        <v>104</v>
      </c>
      <c r="BI21" s="436"/>
      <c r="BJ21" s="1170"/>
      <c r="BK21" s="1170"/>
      <c r="BL21" s="1170"/>
      <c r="BM21" s="1170"/>
      <c r="BN21" s="1170"/>
      <c r="BO21" s="1170"/>
      <c r="BP21" s="1170"/>
      <c r="BQ21" s="1170"/>
      <c r="BR21" s="1170"/>
      <c r="BS21" s="1170"/>
      <c r="BT21" s="1170"/>
      <c r="BU21" s="1170"/>
      <c r="BV21" s="1170"/>
      <c r="BW21" s="1170"/>
      <c r="BX21" s="1170"/>
      <c r="BY21" s="1170"/>
      <c r="BZ21" s="1170"/>
      <c r="CA21" s="1170"/>
      <c r="CB21" s="1170"/>
      <c r="CC21" s="1170"/>
      <c r="CD21" s="1170"/>
      <c r="CE21" s="1170"/>
      <c r="CF21" s="1170"/>
      <c r="CG21" s="1170"/>
      <c r="CH21" s="1170"/>
      <c r="CI21" s="1170"/>
      <c r="CJ21" s="1170"/>
      <c r="CK21" s="1170"/>
      <c r="CL21" s="1170"/>
      <c r="CM21" s="1170"/>
      <c r="CN21" s="1170"/>
      <c r="CO21" s="1170"/>
      <c r="CP21" s="1170"/>
      <c r="CQ21" s="1170"/>
      <c r="CR21" s="1170"/>
      <c r="CS21" s="1170"/>
      <c r="CT21" s="1170"/>
      <c r="CU21" s="1170"/>
      <c r="CV21" s="1170"/>
      <c r="CW21" s="1170"/>
      <c r="CX21" s="1170"/>
      <c r="CY21" s="1170"/>
      <c r="CZ21" s="1170"/>
      <c r="DA21" s="1170"/>
      <c r="DB21" s="1170"/>
      <c r="DC21" s="1170"/>
      <c r="DD21" s="1170"/>
      <c r="DE21" s="1170"/>
      <c r="DF21" s="1170"/>
      <c r="DG21" s="1170"/>
      <c r="DH21" s="1170"/>
      <c r="DI21" s="1170"/>
      <c r="DJ21" s="1170"/>
      <c r="DK21" s="1170"/>
      <c r="DL21" s="1170"/>
      <c r="DM21" s="1170"/>
      <c r="DN21" s="1170"/>
      <c r="DO21" s="1170"/>
      <c r="DP21" s="1170"/>
      <c r="DQ21" s="1170"/>
      <c r="DR21" s="1170"/>
      <c r="DS21" s="1170"/>
      <c r="DT21" s="1170"/>
      <c r="DU21" s="1170"/>
      <c r="DV21" s="1170"/>
      <c r="DW21" s="1170"/>
      <c r="DX21" s="1170"/>
      <c r="DY21" s="1170"/>
      <c r="DZ21" s="1170"/>
      <c r="EA21" s="1170"/>
      <c r="EB21" s="1170"/>
      <c r="EC21" s="1170"/>
      <c r="ED21" s="1170"/>
      <c r="EE21" s="1170"/>
      <c r="EF21" s="1170"/>
      <c r="EG21" s="1170"/>
      <c r="EH21" s="1170"/>
      <c r="EI21" s="1170"/>
      <c r="EJ21" s="1170"/>
      <c r="EK21" s="1170"/>
      <c r="EL21" s="1170"/>
      <c r="EM21" s="1170"/>
      <c r="EN21" s="1170"/>
      <c r="EO21" s="1170"/>
      <c r="EP21" s="1170"/>
      <c r="EQ21" s="1170"/>
      <c r="ER21" s="1170"/>
      <c r="ES21" s="1170"/>
      <c r="ET21" s="1170"/>
      <c r="EU21" s="1170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8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61">
        <f t="shared" si="5"/>
        <v>0</v>
      </c>
      <c r="N22" s="652">
        <f t="shared" si="6"/>
        <v>0</v>
      </c>
      <c r="O22" s="1162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9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71">
        <f>+BC75+BC81+BC86+BC245+BC249+BC82+BC83+BC171+BC84+BC85+BC172+BC170+BC319+BC320+BC247+BC246+BC248</f>
        <v>260375</v>
      </c>
      <c r="BG22" s="598"/>
      <c r="BH22" s="599" t="s">
        <v>108</v>
      </c>
      <c r="BI22" s="85">
        <f>+BF22+BF23+BF27+BF29</f>
        <v>292975</v>
      </c>
      <c r="BJ22" s="1170"/>
      <c r="BK22" s="1170"/>
      <c r="BL22" s="1170"/>
      <c r="BM22" s="1170"/>
      <c r="BN22" s="1170"/>
      <c r="BO22" s="1170"/>
      <c r="BP22" s="1170"/>
      <c r="BQ22" s="1170"/>
      <c r="BR22" s="1170"/>
      <c r="BS22" s="1170"/>
      <c r="BT22" s="1170"/>
      <c r="BU22" s="1170"/>
      <c r="BV22" s="1170"/>
      <c r="BW22" s="1170"/>
      <c r="BX22" s="1170"/>
      <c r="BY22" s="1170"/>
      <c r="BZ22" s="1170"/>
      <c r="CA22" s="1170"/>
      <c r="CB22" s="1170"/>
      <c r="CC22" s="1170"/>
      <c r="CD22" s="1170"/>
      <c r="CE22" s="1170"/>
      <c r="CF22" s="1170"/>
      <c r="CG22" s="1170"/>
      <c r="CH22" s="1170"/>
      <c r="CI22" s="1170"/>
      <c r="CJ22" s="1170"/>
      <c r="CK22" s="1170"/>
      <c r="CL22" s="1170"/>
      <c r="CM22" s="1170"/>
      <c r="CN22" s="1170"/>
      <c r="CO22" s="1170"/>
      <c r="CP22" s="1170"/>
      <c r="CQ22" s="1170"/>
      <c r="CR22" s="1170"/>
      <c r="CS22" s="1170"/>
      <c r="CT22" s="1170"/>
      <c r="CU22" s="1170"/>
      <c r="CV22" s="1170"/>
      <c r="CW22" s="1170"/>
      <c r="CX22" s="1170"/>
      <c r="CY22" s="1170"/>
      <c r="CZ22" s="1170"/>
      <c r="DA22" s="1170"/>
      <c r="DB22" s="1170"/>
      <c r="DC22" s="1170"/>
      <c r="DD22" s="1170"/>
      <c r="DE22" s="1170"/>
      <c r="DF22" s="1170"/>
      <c r="DG22" s="1170"/>
      <c r="DH22" s="1170"/>
      <c r="DI22" s="1170"/>
      <c r="DJ22" s="1170"/>
      <c r="DK22" s="1170"/>
      <c r="DL22" s="1170"/>
      <c r="DM22" s="1170"/>
      <c r="DN22" s="1170"/>
      <c r="DO22" s="1170"/>
      <c r="DP22" s="1170"/>
      <c r="DQ22" s="1170"/>
      <c r="DR22" s="1170"/>
      <c r="DS22" s="1170"/>
      <c r="DT22" s="1170"/>
      <c r="DU22" s="1170"/>
      <c r="DV22" s="1170"/>
      <c r="DW22" s="1170"/>
      <c r="DX22" s="1170"/>
      <c r="DY22" s="1170"/>
      <c r="DZ22" s="1170"/>
      <c r="EA22" s="1170"/>
      <c r="EB22" s="1170"/>
      <c r="EC22" s="1170"/>
      <c r="ED22" s="1170"/>
      <c r="EE22" s="1170"/>
      <c r="EF22" s="1170"/>
      <c r="EG22" s="1170"/>
      <c r="EH22" s="1170"/>
      <c r="EI22" s="1170"/>
      <c r="EJ22" s="1170"/>
      <c r="EK22" s="1170"/>
      <c r="EL22" s="1170"/>
      <c r="EM22" s="1170"/>
      <c r="EN22" s="1170"/>
      <c r="EO22" s="1170"/>
      <c r="EP22" s="1170"/>
      <c r="EQ22" s="1170"/>
      <c r="ER22" s="1170"/>
      <c r="ES22" s="1170"/>
      <c r="ET22" s="1170"/>
      <c r="EU22" s="1170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61">
        <f t="shared" si="5"/>
        <v>0</v>
      </c>
      <c r="N23" s="652">
        <f t="shared" si="6"/>
        <v>0</v>
      </c>
      <c r="O23" s="1162">
        <f t="shared" si="7"/>
        <v>0</v>
      </c>
      <c r="P23" s="804">
        <f>P15+P168+P216+P295+P319</f>
        <v>176050</v>
      </c>
      <c r="Q23" s="804">
        <f>Q15+Q168+Q216+Q295+Q319</f>
        <v>453790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61">
        <f t="shared" si="5"/>
        <v>0</v>
      </c>
      <c r="N24" s="652">
        <f t="shared" si="6"/>
        <v>0</v>
      </c>
      <c r="O24" s="1162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92420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61">
        <f t="shared" si="5"/>
        <v>0</v>
      </c>
      <c r="N25" s="652">
        <f t="shared" si="6"/>
        <v>0</v>
      </c>
      <c r="O25" s="1162">
        <f t="shared" si="7"/>
        <v>0</v>
      </c>
      <c r="P25" s="804">
        <f>+P17+P170+P232+P296+P323</f>
        <v>309500</v>
      </c>
      <c r="Q25" s="804">
        <f>+Q17+Q170+Q232+Q296+Q323</f>
        <v>891585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262545</v>
      </c>
      <c r="BH25" s="436" t="s">
        <v>116</v>
      </c>
      <c r="BI25" s="85">
        <f>+BF24+BF25+BF26-BF32</f>
        <v>335920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1017</v>
      </c>
      <c r="F26" s="100">
        <f>SUMIF(pro!$A:$A,$V:$V,pro!$N:$N)</f>
        <v>0</v>
      </c>
      <c r="G26" s="100"/>
      <c r="H26" s="100">
        <f>SUMIF(CBIN!$A:$A,BRAN!$V:$V,CBIN!$G:$G)</f>
        <v>0</v>
      </c>
      <c r="I26" s="100">
        <f>SUMIF(data!$D:$D,$B26&amp;$D26,data!$J:$J)</f>
        <v>100</v>
      </c>
      <c r="J26" s="100">
        <f>SUMIF(data!$D:$D,$B26&amp;$D26,data!$K:$K)</f>
        <v>2500</v>
      </c>
      <c r="K26" s="100">
        <f>SUMIF(AJOUT!$A:$A,BRAN!$V:$V,AJOUT!$L:$L)</f>
        <v>0</v>
      </c>
      <c r="L26" s="100">
        <f>SUMIF(CBOUT!$A:$A,BRAN!$V:$V,CBOUT!$G:$G)</f>
        <v>0</v>
      </c>
      <c r="M26" s="1161">
        <f t="shared" si="5"/>
        <v>917</v>
      </c>
      <c r="N26" s="652">
        <f t="shared" si="6"/>
        <v>22925</v>
      </c>
      <c r="O26" s="1162">
        <f t="shared" si="7"/>
        <v>31275</v>
      </c>
      <c r="P26" s="804"/>
      <c r="Q26" s="804"/>
      <c r="R26" s="100">
        <f>O26/INTGRATE!$N$293</f>
        <v>3909.375</v>
      </c>
      <c r="S26" s="665">
        <f t="shared" si="0"/>
        <v>5.8641087130295766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31275</v>
      </c>
      <c r="BD26" s="786">
        <f t="shared" si="9"/>
        <v>7</v>
      </c>
      <c r="BE26" s="786">
        <f t="shared" si="10"/>
        <v>4467.8571428571431</v>
      </c>
      <c r="BF26" s="85">
        <f>+BC190+BC191+BC330</f>
        <v>7725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61">
        <f t="shared" si="5"/>
        <v>0</v>
      </c>
      <c r="N27" s="652">
        <f t="shared" si="6"/>
        <v>0</v>
      </c>
      <c r="O27" s="1162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32600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61">
        <f t="shared" ref="M28" si="11">E28+F28+H28-I28-L28+G28-K28</f>
        <v>0</v>
      </c>
      <c r="N28" s="652">
        <f t="shared" ref="N28" si="12">M28*25</f>
        <v>0</v>
      </c>
      <c r="O28" s="1162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324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52</v>
      </c>
      <c r="J29" s="100">
        <f>SUMIF(data!$D:$D,$B29&amp;$D29,data!$K:$K)</f>
        <v>1300</v>
      </c>
      <c r="K29" s="100">
        <f>SUMIF(AJOUT!$A:$A,BRAN!$V:$V,AJOUT!$L:$L)</f>
        <v>0</v>
      </c>
      <c r="L29" s="100">
        <f>SUMIF(CBOUT!$A:$A,BRAN!$V:$V,CBOUT!$G:$G)</f>
        <v>0</v>
      </c>
      <c r="M29" s="1161">
        <f t="shared" si="5"/>
        <v>272</v>
      </c>
      <c r="N29" s="652">
        <f t="shared" si="6"/>
        <v>6800</v>
      </c>
      <c r="O29" s="1162">
        <f t="shared" si="7"/>
        <v>12125</v>
      </c>
      <c r="P29" s="804"/>
      <c r="Q29" s="804"/>
      <c r="R29" s="100">
        <f>O29/INTGRATE!$N$293</f>
        <v>1515.625</v>
      </c>
      <c r="S29" s="665">
        <f t="shared" si="0"/>
        <v>4.4865979381443299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12125</v>
      </c>
      <c r="BD29" s="786">
        <f t="shared" si="9"/>
        <v>6</v>
      </c>
      <c r="BE29" s="786">
        <f t="shared" si="10"/>
        <v>2020.8333333333333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61">
        <f t="shared" si="5"/>
        <v>0</v>
      </c>
      <c r="N30" s="652">
        <f t="shared" si="6"/>
        <v>0</v>
      </c>
      <c r="O30" s="1162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489860</v>
      </c>
      <c r="BG30" s="38"/>
      <c r="BH30" s="436" t="s">
        <v>121</v>
      </c>
      <c r="BI30" s="85">
        <f>+BI16-BF30</f>
        <v>1691870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61"/>
      <c r="N31" s="652">
        <f t="shared" si="6"/>
        <v>0</v>
      </c>
      <c r="O31" s="1162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61">
        <f>E32+F32+H32-I32-L32+G32-K32</f>
        <v>0</v>
      </c>
      <c r="N32" s="652">
        <f t="shared" si="6"/>
        <v>0</v>
      </c>
      <c r="O32" s="1162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26770</v>
      </c>
      <c r="BG32" s="38"/>
      <c r="BH32" s="436" t="s">
        <v>122</v>
      </c>
      <c r="BI32" s="85">
        <f>BF24-BF32</f>
        <v>65650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61">
        <f t="shared" si="5"/>
        <v>0</v>
      </c>
      <c r="N33" s="652">
        <f t="shared" si="6"/>
        <v>0</v>
      </c>
      <c r="O33" s="1162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41970</v>
      </c>
      <c r="BG33" s="38"/>
      <c r="BH33" s="436" t="s">
        <v>123</v>
      </c>
      <c r="BI33" s="85">
        <f>+BI20-BF33</f>
        <v>742375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61">
        <f t="shared" si="5"/>
        <v>0</v>
      </c>
      <c r="N34" s="652">
        <f t="shared" si="6"/>
        <v>0</v>
      </c>
      <c r="O34" s="1162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292975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62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83970</v>
      </c>
      <c r="BG35" s="38"/>
      <c r="BH35" s="436" t="s">
        <v>126</v>
      </c>
      <c r="BI35" s="85">
        <f>+BF25-BF35</f>
        <v>178575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1</v>
      </c>
      <c r="F36" s="100">
        <f>SUMIF(pro!$A:$A,$V:$V,pro!$N:$N)</f>
        <v>0</v>
      </c>
      <c r="G36" s="100"/>
      <c r="H36" s="100">
        <v>120</v>
      </c>
      <c r="I36" s="100">
        <f>SUMIF(data!$D:$D,$B36&amp;$D36,data!$J:$J)</f>
        <v>5</v>
      </c>
      <c r="J36" s="100">
        <f>SUMIF(data!$D:$D,$B36&amp;$D36,data!$K:$K)</f>
        <v>50</v>
      </c>
      <c r="K36" s="100">
        <f>SUMIF(AJOUT!$A:$A,BRAN!$V:$V,AJOUT!$L:$L)</f>
        <v>0</v>
      </c>
      <c r="L36" s="100">
        <f>SUMIF(CBOUT!$A:$A,BRAN!$V:$V,CBOUT!$G:$G)</f>
        <v>0</v>
      </c>
      <c r="M36" s="1161">
        <f t="shared" ref="M36:M63" si="18">E36+F36+H36-I36-L36+G36-K36</f>
        <v>116</v>
      </c>
      <c r="N36" s="652">
        <f>+M36*D36</f>
        <v>1160</v>
      </c>
      <c r="O36" s="1162">
        <f t="shared" si="7"/>
        <v>1120</v>
      </c>
      <c r="P36" s="804"/>
      <c r="Q36" s="804"/>
      <c r="R36" s="100">
        <f>O36/INTGRATE!$N$293</f>
        <v>140</v>
      </c>
      <c r="S36" s="665">
        <f t="shared" si="0"/>
        <v>8.2857142857142865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1120</v>
      </c>
      <c r="BD36" s="786">
        <f t="shared" si="9"/>
        <v>4</v>
      </c>
      <c r="BE36" s="786">
        <f t="shared" si="10"/>
        <v>280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61">
        <f t="shared" si="18"/>
        <v>0</v>
      </c>
      <c r="N37" s="652">
        <f t="shared" si="6"/>
        <v>0</v>
      </c>
      <c r="O37" s="1162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3621740</v>
      </c>
      <c r="BI37" s="85">
        <f>+BH37-BJ37</f>
        <v>2979170</v>
      </c>
      <c r="BJ37" s="85">
        <f>BF34+BF33+BF32+BF30+BF35</f>
        <v>642570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61">
        <f t="shared" si="18"/>
        <v>0</v>
      </c>
      <c r="N38" s="652">
        <f t="shared" si="6"/>
        <v>0</v>
      </c>
      <c r="O38" s="1162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253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0</v>
      </c>
      <c r="J39" s="100">
        <f>SUMIF(data!$D:$D,$B39&amp;$D39,data!$K:$K)</f>
        <v>0</v>
      </c>
      <c r="K39" s="100">
        <f>SUMIF(AJOUT!$A:$A,BRAN!$V:$V,AJOUT!$L:$L)</f>
        <v>0</v>
      </c>
      <c r="L39" s="100">
        <f>SUMIF(CBOUT!$A:$A,BRAN!$V:$V,CBOUT!$G:$G)</f>
        <v>0</v>
      </c>
      <c r="M39" s="1161">
        <f t="shared" si="18"/>
        <v>253</v>
      </c>
      <c r="N39" s="652">
        <f t="shared" si="6"/>
        <v>6325</v>
      </c>
      <c r="O39" s="1162">
        <f t="shared" si="7"/>
        <v>2150</v>
      </c>
      <c r="P39" s="804"/>
      <c r="Q39" s="804"/>
      <c r="R39" s="100">
        <f>O39/INTGRATE!$N$293</f>
        <v>268.75</v>
      </c>
      <c r="S39" s="665">
        <f t="shared" si="0"/>
        <v>23.534883720930232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2150</v>
      </c>
      <c r="BD39" s="786">
        <f t="shared" si="9"/>
        <v>4</v>
      </c>
      <c r="BE39" s="786">
        <f t="shared" si="10"/>
        <v>537.5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72">
        <v>25</v>
      </c>
      <c r="E40" s="100">
        <v>710</v>
      </c>
      <c r="F40" s="100">
        <f>SUMIF(pro!$A:$A,$V:$V,pro!$N:$N)</f>
        <v>496</v>
      </c>
      <c r="G40" s="100"/>
      <c r="H40" s="100">
        <f>SUMIF(CBIN!$A:$A,BRAN!$V:$V,CBIN!$G:$G)</f>
        <v>0</v>
      </c>
      <c r="I40" s="100">
        <f>SUMIF(data!$D:$D,$B40&amp;$D40,data!$J:$J)</f>
        <v>0</v>
      </c>
      <c r="J40" s="100">
        <f>SUMIF(data!$D:$D,$B40&amp;$D40,data!$K:$K)</f>
        <v>0</v>
      </c>
      <c r="K40" s="100">
        <f>SUMIF(AJOUT!$A:$A,BRAN!$V:$V,AJOUT!$L:$L)</f>
        <v>0</v>
      </c>
      <c r="L40" s="100">
        <f>SUMIF(CBOUT!$A:$A,BRAN!$V:$V,CBOUT!$G:$G)</f>
        <v>0</v>
      </c>
      <c r="M40" s="1161">
        <f t="shared" si="18"/>
        <v>1206</v>
      </c>
      <c r="N40" s="652">
        <f t="shared" si="6"/>
        <v>30150</v>
      </c>
      <c r="O40" s="1162">
        <f t="shared" si="7"/>
        <v>14625</v>
      </c>
      <c r="P40" s="804"/>
      <c r="Q40" s="804"/>
      <c r="R40" s="100">
        <f>O40/INTGRATE!$N$293</f>
        <v>1828.125</v>
      </c>
      <c r="S40" s="665">
        <f t="shared" si="0"/>
        <v>16.492307692307691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14625</v>
      </c>
      <c r="BD40" s="786">
        <f t="shared" si="9"/>
        <v>5</v>
      </c>
      <c r="BE40" s="786">
        <f t="shared" si="10"/>
        <v>2925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72">
        <v>25</v>
      </c>
      <c r="E41" s="100">
        <v>314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61">
        <f t="shared" si="18"/>
        <v>314</v>
      </c>
      <c r="N41" s="652">
        <f t="shared" si="6"/>
        <v>7850</v>
      </c>
      <c r="O41" s="1162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2797</v>
      </c>
      <c r="F42" s="100">
        <f>SUMIF(pro!$A:$A,$V:$V,pro!$N:$N)</f>
        <v>0</v>
      </c>
      <c r="G42" s="100"/>
      <c r="H42" s="100">
        <f>SUMIF(CBIN!$A:$A,BRAN!$V:$V,CBIN!$G:$G)</f>
        <v>0</v>
      </c>
      <c r="I42" s="100">
        <f>SUMIF(data!$D:$D,$B42&amp;$D42,data!$J:$J)</f>
        <v>436</v>
      </c>
      <c r="J42" s="100">
        <f>SUMIF(data!$D:$D,$B42&amp;$D42,data!$K:$K)</f>
        <v>10900</v>
      </c>
      <c r="K42" s="100">
        <f>SUMIF(AJOUT!$A:$A,BRAN!$V:$V,AJOUT!$L:$L)</f>
        <v>0</v>
      </c>
      <c r="L42" s="100">
        <f>SUMIF(CBOUT!$A:$A,BRAN!$V:$V,CBOUT!$G:$G)</f>
        <v>0</v>
      </c>
      <c r="M42" s="1161">
        <f t="shared" si="18"/>
        <v>2361</v>
      </c>
      <c r="N42" s="652">
        <f t="shared" si="6"/>
        <v>59025</v>
      </c>
      <c r="O42" s="1162">
        <f t="shared" si="7"/>
        <v>181625</v>
      </c>
      <c r="P42" s="804"/>
      <c r="Q42" s="804"/>
      <c r="R42" s="100">
        <f>O42/INTGRATE!$N$293</f>
        <v>22703.125</v>
      </c>
      <c r="S42" s="665">
        <f t="shared" si="0"/>
        <v>2.5998623537508605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181625</v>
      </c>
      <c r="BD42" s="786">
        <f t="shared" si="9"/>
        <v>8</v>
      </c>
      <c r="BE42" s="786">
        <f t="shared" si="10"/>
        <v>22703.125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61">
        <f t="shared" si="18"/>
        <v>0</v>
      </c>
      <c r="N43" s="652">
        <f t="shared" si="6"/>
        <v>0</v>
      </c>
      <c r="O43" s="1162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530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30</v>
      </c>
      <c r="J44" s="100">
        <f>SUMIF(data!$D:$D,$B44&amp;$D44,data!$K:$K)</f>
        <v>750</v>
      </c>
      <c r="K44" s="100">
        <f>SUMIF(AJOUT!$A:$A,BRAN!$V:$V,AJOUT!$L:$L)</f>
        <v>0</v>
      </c>
      <c r="L44" s="100">
        <f>SUMIF(CBOUT!$A:$A,BRAN!$V:$V,CBOUT!$G:$G)</f>
        <v>0</v>
      </c>
      <c r="M44" s="1161">
        <f t="shared" si="18"/>
        <v>500</v>
      </c>
      <c r="N44" s="652">
        <f t="shared" si="6"/>
        <v>12500</v>
      </c>
      <c r="O44" s="1162">
        <f t="shared" si="7"/>
        <v>18375</v>
      </c>
      <c r="P44" s="804"/>
      <c r="Q44" s="804"/>
      <c r="R44" s="100">
        <f>O44/INTGRATE!$N$293</f>
        <v>2296.875</v>
      </c>
      <c r="S44" s="665">
        <f t="shared" si="0"/>
        <v>5.4421768707482991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18375</v>
      </c>
      <c r="BD44" s="786">
        <f t="shared" si="9"/>
        <v>8</v>
      </c>
      <c r="BE44" s="786">
        <f t="shared" si="10"/>
        <v>2296.875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0</v>
      </c>
      <c r="F45" s="100">
        <f>SUMIF(pro!$A:$A,$V:$V,pro!$N:$N)</f>
        <v>587</v>
      </c>
      <c r="G45" s="100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100">
        <f>SUMIF(AJOUT!$A:$A,BRAN!$V:$V,AJOUT!$L:$L)</f>
        <v>0</v>
      </c>
      <c r="L45" s="100">
        <f>SUMIF(CBOUT!$A:$A,BRAN!$V:$V,CBOUT!$G:$G)</f>
        <v>0</v>
      </c>
      <c r="M45" s="1161">
        <f t="shared" si="18"/>
        <v>587</v>
      </c>
      <c r="N45" s="652">
        <f t="shared" si="6"/>
        <v>14675</v>
      </c>
      <c r="O45" s="1162">
        <f t="shared" si="7"/>
        <v>8725</v>
      </c>
      <c r="P45" s="804"/>
      <c r="Q45" s="804"/>
      <c r="R45" s="100">
        <f>O45/INTGRATE!$N$293</f>
        <v>1090.625</v>
      </c>
      <c r="S45" s="665">
        <f t="shared" si="0"/>
        <v>13.455587392550143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8725</v>
      </c>
      <c r="BD45" s="786">
        <f t="shared" si="9"/>
        <v>2</v>
      </c>
      <c r="BE45" s="786">
        <f t="shared" si="10"/>
        <v>4362.5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61"/>
      <c r="N46" s="652"/>
      <c r="O46" s="1162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150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30</v>
      </c>
      <c r="J47" s="100">
        <f>SUMIF(data!$D:$D,$B47&amp;$D47,data!$K:$K)</f>
        <v>750</v>
      </c>
      <c r="K47" s="100">
        <f>SUMIF(AJOUT!$A:$A,BRAN!$V:$V,AJOUT!$L:$L)</f>
        <v>0</v>
      </c>
      <c r="L47" s="100">
        <f>SUMIF(CBOUT!$A:$A,BRAN!$V:$V,CBOUT!$G:$G)</f>
        <v>0</v>
      </c>
      <c r="M47" s="1161">
        <f t="shared" si="18"/>
        <v>120</v>
      </c>
      <c r="N47" s="652">
        <f t="shared" si="6"/>
        <v>3000</v>
      </c>
      <c r="O47" s="1162">
        <f t="shared" si="7"/>
        <v>20325</v>
      </c>
      <c r="P47" s="804"/>
      <c r="Q47" s="804"/>
      <c r="R47" s="100">
        <f>O47/INTGRATE!$N$293</f>
        <v>2540.625</v>
      </c>
      <c r="S47" s="665">
        <f t="shared" si="0"/>
        <v>1.1808118081180812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20325</v>
      </c>
      <c r="BD47" s="786">
        <f t="shared" si="9"/>
        <v>7</v>
      </c>
      <c r="BE47" s="786">
        <f t="shared" si="10"/>
        <v>2903.5714285714284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62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528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240</v>
      </c>
      <c r="J49" s="100">
        <f>SUMIF(data!$D:$D,$B49&amp;$D49,data!$K:$K)</f>
        <v>6000</v>
      </c>
      <c r="K49" s="100">
        <f>SUMIF(AJOUT!$A:$A,BRAN!$V:$V,AJOUT!$L:$L)</f>
        <v>0</v>
      </c>
      <c r="L49" s="100">
        <f>SUMIF(CBOUT!$A:$A,BRAN!$V:$V,CBOUT!$G:$G)</f>
        <v>0</v>
      </c>
      <c r="M49" s="1161">
        <f>E49+F49+H49-I49-L49+G49-K49</f>
        <v>288</v>
      </c>
      <c r="N49" s="652">
        <f>M49*25</f>
        <v>7200</v>
      </c>
      <c r="O49" s="1162">
        <f>SUM(X49:BB49)</f>
        <v>18000</v>
      </c>
      <c r="P49" s="804"/>
      <c r="Q49" s="804"/>
      <c r="R49" s="100">
        <f>O49/INTGRATE!$N$293</f>
        <v>2250</v>
      </c>
      <c r="S49" s="665">
        <f t="shared" si="0"/>
        <v>3.2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18000</v>
      </c>
      <c r="BD49" s="786">
        <f t="shared" si="9"/>
        <v>3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61">
        <v>0</v>
      </c>
      <c r="N50" s="652">
        <f>M50*25</f>
        <v>0</v>
      </c>
      <c r="O50" s="1162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61">
        <f t="shared" si="18"/>
        <v>0</v>
      </c>
      <c r="N51" s="652">
        <f t="shared" si="6"/>
        <v>0</v>
      </c>
      <c r="O51" s="1162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62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62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295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286</v>
      </c>
      <c r="J54" s="100">
        <f>SUMIF(data!$D:$D,$B54&amp;$D54,data!$K:$K)</f>
        <v>7150</v>
      </c>
      <c r="K54" s="100">
        <f>SUMIF(AJOUT!$A:$A,BRAN!$V:$V,AJOUT!$L:$L)</f>
        <v>0</v>
      </c>
      <c r="L54" s="100">
        <f>SUMIF(CBOUT!$A:$A,BRAN!$V:$V,CBOUT!$G:$G)</f>
        <v>0</v>
      </c>
      <c r="M54" s="1161">
        <f>E54+F54+H54-I54-L54+G54-K54</f>
        <v>9</v>
      </c>
      <c r="N54" s="652">
        <f t="shared" si="6"/>
        <v>225</v>
      </c>
      <c r="O54" s="1162">
        <f t="shared" si="7"/>
        <v>46875</v>
      </c>
      <c r="P54" s="804"/>
      <c r="Q54" s="804"/>
      <c r="R54" s="100">
        <f>O54/INTGRATE!$N$293</f>
        <v>5859.375</v>
      </c>
      <c r="S54" s="665">
        <f t="shared" si="19"/>
        <v>3.8399999999999997E-2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46875</v>
      </c>
      <c r="BD54" s="786">
        <f t="shared" si="9"/>
        <v>5</v>
      </c>
      <c r="BE54" s="786">
        <f t="shared" si="10"/>
        <v>9375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3" t="s">
        <v>55</v>
      </c>
      <c r="D55" s="169">
        <v>25</v>
      </c>
      <c r="E55" s="100">
        <v>5087</v>
      </c>
      <c r="F55" s="100">
        <f>SUMIF(pro!$A:$A,$V:$V,pro!$N:$N)</f>
        <v>0</v>
      </c>
      <c r="G55" s="100"/>
      <c r="H55" s="100">
        <f>SUMIF(CBIN!$A:$A,BRAN!$V:$V,CBIN!$G:$G)</f>
        <v>0</v>
      </c>
      <c r="I55" s="100">
        <f>SUMIF(data!$D:$D,$B55&amp;$D55,data!$J:$J)</f>
        <v>531</v>
      </c>
      <c r="J55" s="100">
        <f>SUMIF(data!$D:$D,$B55&amp;$D55,data!$K:$K)</f>
        <v>13275</v>
      </c>
      <c r="K55" s="100">
        <f>SUMIF(AJOUT!$A:$A,BRAN!$V:$V,AJOUT!$L:$L)</f>
        <v>0</v>
      </c>
      <c r="L55" s="100">
        <f>SUMIF(CBOUT!$A:$A,BRAN!$V:$V,CBOUT!$G:$G)</f>
        <v>0</v>
      </c>
      <c r="M55" s="1161">
        <f t="shared" si="18"/>
        <v>4556</v>
      </c>
      <c r="N55" s="652">
        <f t="shared" si="6"/>
        <v>113900</v>
      </c>
      <c r="O55" s="1162">
        <f t="shared" si="7"/>
        <v>169875</v>
      </c>
      <c r="P55" s="804"/>
      <c r="Q55" s="804"/>
      <c r="R55" s="100">
        <f>O55/INTGRATE!$N$293</f>
        <v>21234.375</v>
      </c>
      <c r="S55" s="665">
        <f t="shared" si="19"/>
        <v>5.3639440765268578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169875</v>
      </c>
      <c r="BD55" s="786">
        <f t="shared" si="9"/>
        <v>8</v>
      </c>
      <c r="BE55" s="786">
        <f t="shared" si="10"/>
        <v>21234.375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61">
        <f t="shared" si="18"/>
        <v>0</v>
      </c>
      <c r="N56" s="652">
        <f t="shared" si="6"/>
        <v>0</v>
      </c>
      <c r="O56" s="1162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0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100">
        <f>SUMIF(AJOUT!$A:$A,BRAN!$V:$V,AJOUT!$L:$L)</f>
        <v>0</v>
      </c>
      <c r="L57" s="100">
        <f>SUMIF(CBOUT!$A:$A,BRAN!$V:$V,CBOUT!$G:$G)</f>
        <v>0</v>
      </c>
      <c r="M57" s="1161">
        <f t="shared" si="18"/>
        <v>0</v>
      </c>
      <c r="N57" s="652">
        <f t="shared" si="6"/>
        <v>0</v>
      </c>
      <c r="O57" s="1162">
        <f t="shared" si="7"/>
        <v>8900</v>
      </c>
      <c r="P57" s="804"/>
      <c r="Q57" s="804"/>
      <c r="R57" s="100">
        <f>O57/INTGRATE!$N$293</f>
        <v>1112.5</v>
      </c>
      <c r="S57" s="665">
        <f t="shared" si="19"/>
        <v>0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>
        <v>2500</v>
      </c>
      <c r="AB57" s="100">
        <v>2625</v>
      </c>
      <c r="AC57" s="100">
        <v>975</v>
      </c>
      <c r="AD57" s="100">
        <v>1125</v>
      </c>
      <c r="AE57" s="100">
        <v>50</v>
      </c>
      <c r="AF57" s="100">
        <v>0</v>
      </c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8900</v>
      </c>
      <c r="BD57" s="786">
        <f t="shared" si="9"/>
        <v>7</v>
      </c>
      <c r="BE57" s="786">
        <f t="shared" si="10"/>
        <v>1271.4285714285713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3" t="s">
        <v>55</v>
      </c>
      <c r="D58" s="169">
        <v>25</v>
      </c>
      <c r="E58" s="100">
        <v>1553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81</v>
      </c>
      <c r="J58" s="100">
        <f>SUMIF(data!$D:$D,$B58&amp;$D58,data!$K:$K)</f>
        <v>2025</v>
      </c>
      <c r="K58" s="100">
        <f>SUMIF(AJOUT!$A:$A,BRAN!$V:$V,AJOUT!$L:$L)</f>
        <v>0</v>
      </c>
      <c r="L58" s="100">
        <f>SUMIF(CBOUT!$A:$A,BRAN!$V:$V,CBOUT!$G:$G)</f>
        <v>0</v>
      </c>
      <c r="M58" s="1161">
        <f t="shared" si="18"/>
        <v>1472</v>
      </c>
      <c r="N58" s="652">
        <f t="shared" si="6"/>
        <v>36800</v>
      </c>
      <c r="O58" s="1162">
        <f t="shared" si="7"/>
        <v>31075</v>
      </c>
      <c r="P58" s="804"/>
      <c r="Q58" s="804"/>
      <c r="R58" s="100">
        <f>O58/INTGRATE!$N$293</f>
        <v>3884.375</v>
      </c>
      <c r="S58" s="665">
        <f t="shared" si="19"/>
        <v>9.4738535800482708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>
        <v>7100</v>
      </c>
      <c r="AB58" s="100">
        <v>1000</v>
      </c>
      <c r="AC58" s="100">
        <v>5950</v>
      </c>
      <c r="AD58" s="100">
        <v>7425</v>
      </c>
      <c r="AE58" s="100">
        <v>3850</v>
      </c>
      <c r="AF58" s="100">
        <v>2025</v>
      </c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31075</v>
      </c>
      <c r="BD58" s="786">
        <f t="shared" si="9"/>
        <v>8</v>
      </c>
      <c r="BE58" s="786">
        <f t="shared" si="10"/>
        <v>3884.375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61">
        <f t="shared" si="18"/>
        <v>0</v>
      </c>
      <c r="N59" s="652">
        <f t="shared" si="6"/>
        <v>0</v>
      </c>
      <c r="O59" s="1162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61">
        <f t="shared" si="18"/>
        <v>0</v>
      </c>
      <c r="N60" s="652">
        <f t="shared" si="6"/>
        <v>0</v>
      </c>
      <c r="O60" s="1162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126</v>
      </c>
      <c r="F61" s="100">
        <f>SUMIF(pro!$A:$A,$V:$V,pro!$N:$N)</f>
        <v>0</v>
      </c>
      <c r="G61" s="100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100">
        <f>SUMIF(AJOUT!$A:$A,BRAN!$V:$V,AJOUT!$L:$L)</f>
        <v>0</v>
      </c>
      <c r="L61" s="100">
        <f>SUMIF(CBOUT!$A:$A,BRAN!$V:$V,CBOUT!$G:$G)</f>
        <v>0</v>
      </c>
      <c r="M61" s="1161">
        <f t="shared" si="18"/>
        <v>126</v>
      </c>
      <c r="N61" s="652">
        <f t="shared" si="6"/>
        <v>3150</v>
      </c>
      <c r="O61" s="1162">
        <f t="shared" si="7"/>
        <v>22250</v>
      </c>
      <c r="P61" s="804"/>
      <c r="Q61" s="804"/>
      <c r="R61" s="100">
        <f>O61/INTGRATE!$N$293</f>
        <v>2781.25</v>
      </c>
      <c r="S61" s="665">
        <f>IF(R61=0,0,N61/R61)</f>
        <v>1.1325842696629214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>
        <v>1875</v>
      </c>
      <c r="AB61" s="100">
        <v>0</v>
      </c>
      <c r="AC61" s="100">
        <v>5000</v>
      </c>
      <c r="AD61" s="100">
        <v>3125</v>
      </c>
      <c r="AE61" s="100">
        <v>12250</v>
      </c>
      <c r="AF61" s="100">
        <v>0</v>
      </c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22250</v>
      </c>
      <c r="BD61" s="786">
        <f t="shared" si="9"/>
        <v>4</v>
      </c>
      <c r="BE61" s="786">
        <f t="shared" si="10"/>
        <v>5562.5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100"/>
      <c r="L62" s="100"/>
      <c r="M62" s="1161"/>
      <c r="N62" s="652"/>
      <c r="O62" s="1162">
        <f>SUM(X62:BB62)</f>
        <v>26770</v>
      </c>
      <c r="P62" s="804"/>
      <c r="Q62" s="804"/>
      <c r="R62" s="100">
        <f>O62/INTGRATE!$N$293</f>
        <v>3346.25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>
        <v>0</v>
      </c>
      <c r="AB62" s="100">
        <v>0</v>
      </c>
      <c r="AC62" s="100">
        <v>0</v>
      </c>
      <c r="AD62" s="100">
        <v>12810</v>
      </c>
      <c r="AE62" s="100">
        <v>0</v>
      </c>
      <c r="AF62" s="100">
        <v>0</v>
      </c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26770</v>
      </c>
      <c r="BD62" s="786">
        <f t="shared" si="9"/>
        <v>2</v>
      </c>
      <c r="BE62" s="786">
        <f t="shared" si="10"/>
        <v>13385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60">
        <v>25</v>
      </c>
      <c r="E63" s="100">
        <v>0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61">
        <f t="shared" si="18"/>
        <v>0</v>
      </c>
      <c r="N63" s="652">
        <f t="shared" si="6"/>
        <v>0</v>
      </c>
      <c r="O63" s="1162">
        <f t="shared" si="7"/>
        <v>2775</v>
      </c>
      <c r="P63" s="804"/>
      <c r="Q63" s="804"/>
      <c r="R63" s="100">
        <f>O63/INTGRATE!$N$293</f>
        <v>346.875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>
        <v>0</v>
      </c>
      <c r="AB63" s="100">
        <v>0</v>
      </c>
      <c r="AC63" s="100">
        <v>2775</v>
      </c>
      <c r="AD63" s="100">
        <v>0</v>
      </c>
      <c r="AE63" s="100">
        <v>0</v>
      </c>
      <c r="AF63" s="100">
        <v>0</v>
      </c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2775</v>
      </c>
      <c r="BD63" s="786">
        <f t="shared" si="9"/>
        <v>1</v>
      </c>
      <c r="BE63" s="786">
        <f t="shared" si="10"/>
        <v>2775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60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61">
        <f>E64+F64+H64-I64-L64+G64-K64</f>
        <v>0</v>
      </c>
      <c r="N64" s="652">
        <f t="shared" si="6"/>
        <v>0</v>
      </c>
      <c r="O64" s="1162">
        <f t="shared" si="7"/>
        <v>0</v>
      </c>
      <c r="P64" s="1174"/>
      <c r="Q64" s="1174"/>
      <c r="R64" s="1175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>
        <v>0</v>
      </c>
      <c r="AC64" s="100">
        <v>0</v>
      </c>
      <c r="AD64" s="100">
        <v>0</v>
      </c>
      <c r="AE64" s="100">
        <v>0</v>
      </c>
      <c r="AF64" s="100">
        <v>0</v>
      </c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60">
        <v>25</v>
      </c>
      <c r="E65" s="91">
        <v>112</v>
      </c>
      <c r="F65" s="100">
        <f>SUMIF(pro!$A:$A,$V:$V,pro!$N:$N)</f>
        <v>615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61">
        <f>E65+F65+H65-I65-L65+G65-K65</f>
        <v>727</v>
      </c>
      <c r="N65" s="652">
        <f t="shared" si="6"/>
        <v>18175</v>
      </c>
      <c r="O65" s="1162">
        <f t="shared" si="7"/>
        <v>3750</v>
      </c>
      <c r="P65" s="1174"/>
      <c r="Q65" s="1174"/>
      <c r="R65" s="1175">
        <f>O65/INTGRATE!$N$293</f>
        <v>468.75</v>
      </c>
      <c r="S65" s="665">
        <f>IF(R65=0,0,N65/R65)</f>
        <v>38.773333333333333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>
        <v>0</v>
      </c>
      <c r="AB65" s="100">
        <v>0</v>
      </c>
      <c r="AC65" s="100">
        <v>3750</v>
      </c>
      <c r="AD65" s="100">
        <v>0</v>
      </c>
      <c r="AE65" s="100">
        <v>0</v>
      </c>
      <c r="AF65" s="100">
        <v>0</v>
      </c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3750</v>
      </c>
      <c r="BD65" s="786">
        <f t="shared" si="9"/>
        <v>1</v>
      </c>
      <c r="BE65" s="786">
        <f t="shared" si="10"/>
        <v>3750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60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61">
        <f>E66+F66+H66-I66-L66+G66-K66</f>
        <v>0</v>
      </c>
      <c r="N66" s="652">
        <f t="shared" si="6"/>
        <v>0</v>
      </c>
      <c r="O66" s="1162">
        <f t="shared" si="7"/>
        <v>0</v>
      </c>
      <c r="P66" s="1174"/>
      <c r="Q66" s="1174"/>
      <c r="R66" s="1175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>
        <v>0</v>
      </c>
      <c r="AB66" s="100">
        <v>0</v>
      </c>
      <c r="AC66" s="100">
        <v>0</v>
      </c>
      <c r="AD66" s="100">
        <v>0</v>
      </c>
      <c r="AE66" s="100">
        <v>0</v>
      </c>
      <c r="AF66" s="100">
        <v>0</v>
      </c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60" t="s">
        <v>66</v>
      </c>
      <c r="E67" s="1175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61">
        <f>E67+F67+H67-I67-L67+G67-K67</f>
        <v>0</v>
      </c>
      <c r="N67" s="652">
        <f t="shared" si="6"/>
        <v>0</v>
      </c>
      <c r="O67" s="1162">
        <f t="shared" si="7"/>
        <v>0</v>
      </c>
      <c r="P67" s="1174"/>
      <c r="Q67" s="1174"/>
      <c r="R67" s="1175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60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61">
        <f t="shared" ref="M68:M83" si="21">E68+F68+H68-I68-L68+G68-K68</f>
        <v>0</v>
      </c>
      <c r="N68" s="652">
        <f t="shared" si="6"/>
        <v>0</v>
      </c>
      <c r="O68" s="1162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60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61">
        <f t="shared" si="21"/>
        <v>0</v>
      </c>
      <c r="N69" s="652">
        <f t="shared" si="6"/>
        <v>0</v>
      </c>
      <c r="O69" s="1162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60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61"/>
      <c r="N70" s="652"/>
      <c r="O70" s="1162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60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61">
        <f>E71+F71+H71-I71-L71+G71-K71</f>
        <v>0</v>
      </c>
      <c r="N71" s="652">
        <f t="shared" si="6"/>
        <v>0</v>
      </c>
      <c r="O71" s="1162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60">
        <v>25</v>
      </c>
      <c r="E72" s="100">
        <v>1487</v>
      </c>
      <c r="F72" s="100">
        <f>SUMIF(pro!$A:$A,$V:$V,pro!$N:$N)</f>
        <v>0</v>
      </c>
      <c r="G72" s="100"/>
      <c r="H72" s="100">
        <f>SUMIF(CBIN!$A:$A,BRAN!$V:$V,CBIN!$G:$G)</f>
        <v>0</v>
      </c>
      <c r="I72" s="100">
        <f>SUMIF(data!$D:$D,$B72&amp;$D72,data!$J:$J)</f>
        <v>987</v>
      </c>
      <c r="J72" s="100">
        <f>SUMIF(data!$D:$D,$B72&amp;$D72,data!$K:$K)</f>
        <v>24675</v>
      </c>
      <c r="K72" s="100">
        <f>SUMIF(AJOUT!$A:$A,BRAN!$V:$V,AJOUT!$L:$L)</f>
        <v>0</v>
      </c>
      <c r="L72" s="100">
        <f>SUMIF(CBOUT!$A:$A,BRAN!$V:$V,CBOUT!$G:$G)</f>
        <v>0</v>
      </c>
      <c r="M72" s="1161">
        <f t="shared" si="21"/>
        <v>500</v>
      </c>
      <c r="N72" s="652">
        <f t="shared" si="6"/>
        <v>12500</v>
      </c>
      <c r="O72" s="1162">
        <f t="shared" si="7"/>
        <v>126900</v>
      </c>
      <c r="P72" s="804"/>
      <c r="Q72" s="804"/>
      <c r="R72" s="100">
        <f>O72/INTGRATE!$N$293</f>
        <v>15862.5</v>
      </c>
      <c r="S72" s="665">
        <f t="shared" si="19"/>
        <v>0.78802206461780933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>
        <v>24175</v>
      </c>
      <c r="AB72" s="100">
        <v>4775</v>
      </c>
      <c r="AC72" s="100">
        <v>29325</v>
      </c>
      <c r="AD72" s="100">
        <v>8250</v>
      </c>
      <c r="AE72" s="100">
        <v>12725</v>
      </c>
      <c r="AF72" s="100">
        <v>24675</v>
      </c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126900</v>
      </c>
      <c r="BD72" s="786">
        <f t="shared" si="9"/>
        <v>8</v>
      </c>
      <c r="BE72" s="786">
        <f t="shared" si="10"/>
        <v>15862.5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60" t="s">
        <v>66</v>
      </c>
      <c r="E73" s="1175">
        <v>0</v>
      </c>
      <c r="F73" s="425">
        <f>J73</f>
        <v>0</v>
      </c>
      <c r="G73" s="1175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61">
        <f t="shared" si="21"/>
        <v>0</v>
      </c>
      <c r="N73" s="652">
        <f t="shared" si="6"/>
        <v>0</v>
      </c>
      <c r="O73" s="1162">
        <f t="shared" si="7"/>
        <v>0</v>
      </c>
      <c r="P73" s="1174"/>
      <c r="Q73" s="1174"/>
      <c r="R73" s="1175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>
        <v>0</v>
      </c>
      <c r="AB73" s="100">
        <v>0</v>
      </c>
      <c r="AC73" s="100">
        <v>0</v>
      </c>
      <c r="AD73" s="100">
        <v>0</v>
      </c>
      <c r="AE73" s="100">
        <v>0</v>
      </c>
      <c r="AF73" s="100">
        <v>0</v>
      </c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60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61">
        <f t="shared" si="21"/>
        <v>0</v>
      </c>
      <c r="N74" s="652">
        <f t="shared" si="6"/>
        <v>0</v>
      </c>
      <c r="O74" s="1162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396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100">
        <f>SUMIF(AJOUT!$A:$A,BRAN!$V:$V,AJOUT!$L:$L)</f>
        <v>0</v>
      </c>
      <c r="L75" s="100">
        <f>SUMIF(CBOUT!$A:$A,BRAN!$V:$V,CBOUT!$G:$G)</f>
        <v>0</v>
      </c>
      <c r="M75" s="1161">
        <f t="shared" si="21"/>
        <v>396</v>
      </c>
      <c r="N75" s="652">
        <f t="shared" si="6"/>
        <v>9900</v>
      </c>
      <c r="O75" s="1162">
        <f t="shared" si="7"/>
        <v>8875</v>
      </c>
      <c r="P75" s="804"/>
      <c r="Q75" s="804"/>
      <c r="R75" s="100">
        <f>O75/INTGRATE!$N$293</f>
        <v>1109.375</v>
      </c>
      <c r="S75" s="665">
        <f t="shared" si="19"/>
        <v>8.9239436619718315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>
        <v>0</v>
      </c>
      <c r="AB75" s="100">
        <v>0</v>
      </c>
      <c r="AC75" s="100">
        <v>0</v>
      </c>
      <c r="AD75" s="100">
        <v>1500</v>
      </c>
      <c r="AE75" s="100">
        <v>0</v>
      </c>
      <c r="AF75" s="100">
        <v>0</v>
      </c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8875</v>
      </c>
      <c r="BD75" s="786">
        <f t="shared" si="9"/>
        <v>2</v>
      </c>
      <c r="BE75" s="786">
        <f t="shared" si="10"/>
        <v>4437.5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61">
        <f t="shared" si="21"/>
        <v>0</v>
      </c>
      <c r="N76" s="652">
        <f t="shared" si="6"/>
        <v>0</v>
      </c>
      <c r="O76" s="1162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785</v>
      </c>
      <c r="F77" s="100">
        <f>SUMIF(pro!$A:$A,$V:$V,pro!$N:$N)</f>
        <v>0</v>
      </c>
      <c r="G77" s="100"/>
      <c r="H77" s="100">
        <f>SUMIF(CBIN!$A:$A,BRAN!$V:$V,CBIN!$G:$G)</f>
        <v>0</v>
      </c>
      <c r="I77" s="100">
        <f>SUMIF(data!$D:$D,$B77&amp;$D77,data!$J:$J)</f>
        <v>377</v>
      </c>
      <c r="J77" s="100">
        <f>SUMIF(data!$D:$D,$B77&amp;$D77,data!$K:$K)</f>
        <v>9425</v>
      </c>
      <c r="K77" s="100">
        <f>SUMIF(AJOUT!$A:$A,BRAN!$V:$V,AJOUT!$L:$L)</f>
        <v>0</v>
      </c>
      <c r="L77" s="100">
        <f>SUMIF(CBOUT!$A:$A,BRAN!$V:$V,CBOUT!$G:$G)</f>
        <v>0</v>
      </c>
      <c r="M77" s="1161">
        <f t="shared" si="21"/>
        <v>408</v>
      </c>
      <c r="N77" s="652">
        <f t="shared" si="6"/>
        <v>10200</v>
      </c>
      <c r="O77" s="1162">
        <f t="shared" si="7"/>
        <v>27850</v>
      </c>
      <c r="P77" s="804"/>
      <c r="Q77" s="804"/>
      <c r="R77" s="100">
        <f>O77/INTGRATE!$N$293</f>
        <v>3481.25</v>
      </c>
      <c r="S77" s="665">
        <f t="shared" si="19"/>
        <v>2.9299820466786355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>
        <v>1225</v>
      </c>
      <c r="AB77" s="100">
        <v>625</v>
      </c>
      <c r="AC77" s="100">
        <v>525</v>
      </c>
      <c r="AD77" s="100">
        <v>9500</v>
      </c>
      <c r="AE77" s="100">
        <v>0</v>
      </c>
      <c r="AF77" s="100">
        <v>9425</v>
      </c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27850</v>
      </c>
      <c r="BD77" s="786">
        <f t="shared" si="9"/>
        <v>7</v>
      </c>
      <c r="BE77" s="786">
        <f t="shared" si="10"/>
        <v>3978.5714285714284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61">
        <f t="shared" si="21"/>
        <v>0</v>
      </c>
      <c r="N78" s="652">
        <f>+M78*D78</f>
        <v>0</v>
      </c>
      <c r="O78" s="1162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61">
        <f t="shared" si="21"/>
        <v>0</v>
      </c>
      <c r="N79" s="652">
        <f t="shared" si="6"/>
        <v>0</v>
      </c>
      <c r="O79" s="1162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61">
        <f t="shared" si="21"/>
        <v>0</v>
      </c>
      <c r="N80" s="652">
        <f t="shared" si="6"/>
        <v>0</v>
      </c>
      <c r="O80" s="1162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6" t="s">
        <v>55</v>
      </c>
      <c r="D81" s="97">
        <v>25</v>
      </c>
      <c r="E81" s="100">
        <v>161</v>
      </c>
      <c r="F81" s="100">
        <f>SUMIF(pro!$A:$A,$V:$V,pro!$N:$N)</f>
        <v>0</v>
      </c>
      <c r="G81" s="100"/>
      <c r="H81" s="100">
        <f>SUMIF(CBIN!$A:$A,BRAN!$V:$V,CBIN!$G:$G)</f>
        <v>0</v>
      </c>
      <c r="I81" s="100">
        <f>SUMIF(data!$D:$D,$B81&amp;$D81,data!$J:$J)</f>
        <v>8</v>
      </c>
      <c r="J81" s="100">
        <f>SUMIF(data!$D:$D,$B81&amp;$D81,data!$K:$K)</f>
        <v>200</v>
      </c>
      <c r="K81" s="100">
        <f>SUMIF(AJOUT!$A:$A,BRAN!$V:$V,AJOUT!$L:$L)</f>
        <v>0</v>
      </c>
      <c r="L81" s="100">
        <f>SUMIF(CBOUT!$A:$A,BRAN!$V:$V,CBOUT!$G:$G)</f>
        <v>0</v>
      </c>
      <c r="M81" s="1161">
        <f t="shared" si="21"/>
        <v>153</v>
      </c>
      <c r="N81" s="652">
        <f t="shared" si="6"/>
        <v>3825</v>
      </c>
      <c r="O81" s="1162">
        <f t="shared" si="7"/>
        <v>16450</v>
      </c>
      <c r="P81" s="804"/>
      <c r="Q81" s="804"/>
      <c r="R81" s="100">
        <f>O81/INTGRATE!$N$293</f>
        <v>2056.25</v>
      </c>
      <c r="S81" s="665">
        <f t="shared" si="19"/>
        <v>1.8601823708206686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>
        <v>500</v>
      </c>
      <c r="AB81" s="100">
        <v>4900</v>
      </c>
      <c r="AC81" s="100">
        <v>250</v>
      </c>
      <c r="AD81" s="100">
        <v>3875</v>
      </c>
      <c r="AE81" s="100">
        <v>3725</v>
      </c>
      <c r="AF81" s="100">
        <v>200</v>
      </c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16450</v>
      </c>
      <c r="BD81" s="786">
        <f t="shared" si="9"/>
        <v>7</v>
      </c>
      <c r="BE81" s="786">
        <f t="shared" si="10"/>
        <v>2350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6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61">
        <f t="shared" si="21"/>
        <v>0</v>
      </c>
      <c r="N82" s="652">
        <f t="shared" si="6"/>
        <v>0</v>
      </c>
      <c r="O82" s="1162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61">
        <f t="shared" si="21"/>
        <v>0</v>
      </c>
      <c r="N83" s="652">
        <f t="shared" si="6"/>
        <v>0</v>
      </c>
      <c r="O83" s="1162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62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62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540</v>
      </c>
      <c r="F86" s="100">
        <f>SUMIF(pro!$A:$A,$V:$V,pro!$N:$N)</f>
        <v>0</v>
      </c>
      <c r="G86" s="100"/>
      <c r="H86" s="100">
        <f>SUMIF(CBIN!$A:$A,BRAN!$V:$V,CBIN!$G:$G)</f>
        <v>0</v>
      </c>
      <c r="I86" s="100">
        <f>SUMIF(data!$D:$D,$B86&amp;$D86,data!$J:$J)</f>
        <v>545</v>
      </c>
      <c r="J86" s="100">
        <f>SUMIF(data!$D:$D,$B86&amp;$D86,data!$K:$K)</f>
        <v>13625</v>
      </c>
      <c r="K86" s="561">
        <f>SUMIF(AJOUT!$A:$A,BRAN!$V:$V,AJOUT!$L:$L)</f>
        <v>0</v>
      </c>
      <c r="L86" s="561">
        <f>SUMIF(CBOUT!$A:$A,BRAN!$V:$V,CBOUT!$G:$G)</f>
        <v>0</v>
      </c>
      <c r="M86" s="1161">
        <f>E86+F86+H86-I86-L86+G86-K86</f>
        <v>-5</v>
      </c>
      <c r="N86" s="652">
        <f t="shared" ref="N86:N149" si="26">M86*25</f>
        <v>-125</v>
      </c>
      <c r="O86" s="1162">
        <f t="shared" ref="O86:O149" si="27">SUM(X86:BB86)</f>
        <v>59075</v>
      </c>
      <c r="P86" s="804"/>
      <c r="Q86" s="804"/>
      <c r="R86" s="100">
        <f>O86/INTGRATE!$N$293</f>
        <v>7384.375</v>
      </c>
      <c r="S86" s="665">
        <f t="shared" si="19"/>
        <v>-1.6927634363097757E-2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>
        <v>1050</v>
      </c>
      <c r="AB86" s="100">
        <v>11125</v>
      </c>
      <c r="AC86" s="100">
        <v>300</v>
      </c>
      <c r="AD86" s="100">
        <v>8500</v>
      </c>
      <c r="AE86" s="100">
        <v>8700</v>
      </c>
      <c r="AF86" s="100">
        <v>13625</v>
      </c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59075</v>
      </c>
      <c r="BD86" s="786">
        <f t="shared" si="24"/>
        <v>8</v>
      </c>
      <c r="BE86" s="786">
        <f t="shared" si="25"/>
        <v>7384.375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61">
        <f>E87+F87+H87-I87-L87+G87-K87</f>
        <v>0</v>
      </c>
      <c r="N87" s="652">
        <f t="shared" si="26"/>
        <v>0</v>
      </c>
      <c r="O87" s="1162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>
        <v>0</v>
      </c>
      <c r="AB87" s="100">
        <v>0</v>
      </c>
      <c r="AC87" s="100">
        <v>0</v>
      </c>
      <c r="AD87" s="100">
        <v>0</v>
      </c>
      <c r="AE87" s="100">
        <v>0</v>
      </c>
      <c r="AF87" s="100">
        <v>0</v>
      </c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61">
        <f>E88+F88+H88-I88-L88+G88-K88</f>
        <v>0</v>
      </c>
      <c r="N88" s="652">
        <f t="shared" si="26"/>
        <v>0</v>
      </c>
      <c r="O88" s="1162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62">
        <f t="shared" si="27"/>
        <v>41920</v>
      </c>
      <c r="P89" s="427"/>
      <c r="Q89" s="427"/>
      <c r="R89" s="425">
        <f>O89/INTGRATE!$N$293</f>
        <v>5240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>
        <v>13800</v>
      </c>
      <c r="AB89" s="100">
        <v>0</v>
      </c>
      <c r="AC89" s="100">
        <v>0</v>
      </c>
      <c r="AD89" s="100">
        <v>0</v>
      </c>
      <c r="AE89" s="100">
        <v>14170</v>
      </c>
      <c r="AF89" s="100">
        <v>0</v>
      </c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41920</v>
      </c>
      <c r="BD89" s="786">
        <f t="shared" si="24"/>
        <v>3</v>
      </c>
      <c r="BE89" s="786">
        <f t="shared" si="25"/>
        <v>13973.333333333334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9</v>
      </c>
      <c r="F90" s="100">
        <f>SUMIF(pro!$A:$A,$V:$V,pro!$N:$N)</f>
        <v>187</v>
      </c>
      <c r="G90" s="100"/>
      <c r="H90" s="100">
        <f>SUMIF(CBIN!$A:$A,BRAN!$V:$V,CBIN!$G:$G)</f>
        <v>0</v>
      </c>
      <c r="I90" s="100">
        <f>SUMIF(data!$D:$D,$B90&amp;$D90,data!$J:$J)</f>
        <v>38</v>
      </c>
      <c r="J90" s="100">
        <f>SUMIF(data!$D:$D,$B90&amp;$D90,data!$K:$K)</f>
        <v>950</v>
      </c>
      <c r="K90" s="100">
        <f>SUMIF(AJOUT!$A:$A,BRAN!$V:$V,AJOUT!$L:$L)</f>
        <v>0</v>
      </c>
      <c r="L90" s="100">
        <f>SUMIF(CBOUT!$A:$A,BRAN!$V:$V,CBOUT!$G:$G)</f>
        <v>0</v>
      </c>
      <c r="M90" s="1161">
        <f>E90+F90+H90-I90-L90+G90-K90</f>
        <v>158</v>
      </c>
      <c r="N90" s="652">
        <f t="shared" si="26"/>
        <v>3950</v>
      </c>
      <c r="O90" s="1162">
        <f t="shared" si="27"/>
        <v>15800</v>
      </c>
      <c r="P90" s="804"/>
      <c r="Q90" s="804"/>
      <c r="R90" s="100">
        <f>O90/INTGRATE!$N$293</f>
        <v>1975</v>
      </c>
      <c r="S90" s="665">
        <f t="shared" si="19"/>
        <v>2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>
        <v>2550</v>
      </c>
      <c r="AB90" s="100">
        <v>2325</v>
      </c>
      <c r="AC90" s="100">
        <v>3625</v>
      </c>
      <c r="AD90" s="100">
        <v>750</v>
      </c>
      <c r="AE90" s="100">
        <v>2175</v>
      </c>
      <c r="AF90" s="100">
        <v>950</v>
      </c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15800</v>
      </c>
      <c r="BD90" s="786">
        <f t="shared" si="24"/>
        <v>8</v>
      </c>
      <c r="BE90" s="786">
        <f t="shared" si="25"/>
        <v>1975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1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100">
        <f>SUMIF(AJOUT!$A:$A,BRAN!$V:$V,AJOUT!$L:$L)</f>
        <v>0</v>
      </c>
      <c r="L91" s="100">
        <f>SUMIF(CBOUT!$A:$A,BRAN!$V:$V,CBOUT!$G:$G)</f>
        <v>0</v>
      </c>
      <c r="M91" s="1161">
        <f>E91+F91+H91-I91-L91+G91-K91</f>
        <v>1</v>
      </c>
      <c r="N91" s="652">
        <f t="shared" si="26"/>
        <v>25</v>
      </c>
      <c r="O91" s="1162">
        <f t="shared" si="27"/>
        <v>14925</v>
      </c>
      <c r="P91" s="804"/>
      <c r="Q91" s="804"/>
      <c r="R91" s="100">
        <f>O91/INTGRATE!$N$293</f>
        <v>1865.625</v>
      </c>
      <c r="S91" s="665">
        <f>IF(R91=0,0,N91/R91)</f>
        <v>1.340033500837521E-2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>
        <v>0</v>
      </c>
      <c r="AB91" s="100">
        <v>0</v>
      </c>
      <c r="AC91" s="100">
        <v>14925</v>
      </c>
      <c r="AD91" s="100">
        <v>0</v>
      </c>
      <c r="AE91" s="100">
        <v>0</v>
      </c>
      <c r="AF91" s="100">
        <v>0</v>
      </c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14925</v>
      </c>
      <c r="BD91" s="786">
        <f t="shared" si="24"/>
        <v>1</v>
      </c>
      <c r="BE91" s="786">
        <f t="shared" si="25"/>
        <v>14925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61"/>
      <c r="N92" s="652"/>
      <c r="O92" s="1162">
        <f t="shared" ref="O92:O93" si="28">SUM(X92:BB92)</f>
        <v>6940</v>
      </c>
      <c r="P92" s="804"/>
      <c r="Q92" s="804"/>
      <c r="R92" s="100">
        <f>O92/INTGRATE!$N$293</f>
        <v>867.5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>
        <v>0</v>
      </c>
      <c r="AC92" s="100">
        <v>6940</v>
      </c>
      <c r="AD92" s="100">
        <v>0</v>
      </c>
      <c r="AE92" s="100">
        <v>0</v>
      </c>
      <c r="AF92" s="100">
        <v>0</v>
      </c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6940</v>
      </c>
      <c r="BD92" s="786">
        <f t="shared" si="24"/>
        <v>1</v>
      </c>
      <c r="BE92" s="786">
        <f t="shared" si="25"/>
        <v>6940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435</v>
      </c>
      <c r="F93" s="100">
        <f>SUMIF(pro!$A:$A,$V:$V,pro!$N:$N)</f>
        <v>0</v>
      </c>
      <c r="G93" s="100"/>
      <c r="H93" s="100">
        <f>SUMIF(CBIN!$A:$A,BRAN!$V:$V,CBIN!$G:$G)</f>
        <v>0</v>
      </c>
      <c r="I93" s="100">
        <f>SUMIF(data!$D:$D,$B93&amp;$D93,data!$J:$J)</f>
        <v>222</v>
      </c>
      <c r="J93" s="100">
        <f>SUMIF(data!$D:$D,$B93&amp;$D93,data!$K:$K)</f>
        <v>5550</v>
      </c>
      <c r="K93" s="100">
        <f>SUMIF(AJOUT!$A:$A,BRAN!$V:$V,AJOUT!$L:$L)</f>
        <v>0</v>
      </c>
      <c r="L93" s="100">
        <f>SUMIF(CBOUT!$A:$A,BRAN!$V:$V,CBOUT!$G:$G)</f>
        <v>0</v>
      </c>
      <c r="M93" s="1161">
        <f t="shared" ref="M93:M104" si="30">E93+F93+H93-I93-L93+G93-K93</f>
        <v>213</v>
      </c>
      <c r="N93" s="652">
        <f t="shared" si="26"/>
        <v>5325</v>
      </c>
      <c r="O93" s="1162">
        <f t="shared" si="28"/>
        <v>43775</v>
      </c>
      <c r="P93" s="804"/>
      <c r="Q93" s="804"/>
      <c r="R93" s="100">
        <f>O93/INTGRATE!$N$293</f>
        <v>5471.875</v>
      </c>
      <c r="S93" s="665">
        <f t="shared" si="29"/>
        <v>0.97315819531696168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>
        <v>4325</v>
      </c>
      <c r="AB93" s="100">
        <v>125</v>
      </c>
      <c r="AC93" s="100">
        <v>4000</v>
      </c>
      <c r="AD93" s="100">
        <v>9750</v>
      </c>
      <c r="AE93" s="100">
        <v>2025</v>
      </c>
      <c r="AF93" s="100">
        <v>5550</v>
      </c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43775</v>
      </c>
      <c r="BD93" s="786">
        <f t="shared" si="24"/>
        <v>8</v>
      </c>
      <c r="BE93" s="786">
        <f t="shared" si="25"/>
        <v>5471.875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100">
        <f>SUMIF(AJOUT!$A:$A,BRAN!$V:$V,AJOUT!$L:$L)</f>
        <v>0</v>
      </c>
      <c r="L94" s="100">
        <f>SUMIF(CBOUT!$A:$A,BRAN!$V:$V,CBOUT!$G:$G)</f>
        <v>0</v>
      </c>
      <c r="M94" s="1161">
        <v>0</v>
      </c>
      <c r="N94" s="652">
        <f t="shared" si="26"/>
        <v>0</v>
      </c>
      <c r="O94" s="1162">
        <f t="shared" si="27"/>
        <v>24180</v>
      </c>
      <c r="P94" s="804"/>
      <c r="Q94" s="804"/>
      <c r="R94" s="100">
        <f>O94/INTGRATE!$N$293</f>
        <v>3022.5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>
        <v>18180</v>
      </c>
      <c r="AB94" s="100">
        <v>0</v>
      </c>
      <c r="AC94" s="100">
        <v>0</v>
      </c>
      <c r="AD94" s="100">
        <v>0</v>
      </c>
      <c r="AE94" s="100">
        <v>0</v>
      </c>
      <c r="AF94" s="100">
        <v>0</v>
      </c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24180</v>
      </c>
      <c r="BD94" s="786">
        <f t="shared" si="24"/>
        <v>2</v>
      </c>
      <c r="BE94" s="786">
        <f t="shared" si="25"/>
        <v>12090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61">
        <f t="shared" si="30"/>
        <v>0</v>
      </c>
      <c r="N95" s="652">
        <f t="shared" si="26"/>
        <v>0</v>
      </c>
      <c r="O95" s="1162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61"/>
      <c r="N96" s="652">
        <f t="shared" ref="N96:N97" si="31">M96*25</f>
        <v>0</v>
      </c>
      <c r="O96" s="1162">
        <f t="shared" ref="O96:O97" si="32">SUM(X96:BB96)</f>
        <v>6030</v>
      </c>
      <c r="P96" s="663"/>
      <c r="Q96" s="663"/>
      <c r="R96" s="561">
        <f>O96/INTGRATE!$N$293</f>
        <v>753.75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6030</v>
      </c>
      <c r="AF96" s="100">
        <v>0</v>
      </c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6030</v>
      </c>
      <c r="BD96" s="786">
        <f t="shared" si="24"/>
        <v>1</v>
      </c>
      <c r="BE96" s="786">
        <f t="shared" si="25"/>
        <v>6030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0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61">
        <f t="shared" si="30"/>
        <v>0</v>
      </c>
      <c r="N97" s="652">
        <f t="shared" si="31"/>
        <v>0</v>
      </c>
      <c r="O97" s="1162">
        <f t="shared" si="32"/>
        <v>12475</v>
      </c>
      <c r="P97" s="663"/>
      <c r="Q97" s="663"/>
      <c r="R97" s="561">
        <f>O97/INTGRATE!$N$293</f>
        <v>1559.375</v>
      </c>
      <c r="S97" s="665">
        <f t="shared" si="33"/>
        <v>0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>
        <v>5000</v>
      </c>
      <c r="AB97" s="100">
        <v>0</v>
      </c>
      <c r="AC97" s="100">
        <v>7475</v>
      </c>
      <c r="AD97" s="100">
        <v>0</v>
      </c>
      <c r="AE97" s="100">
        <v>0</v>
      </c>
      <c r="AF97" s="100">
        <v>0</v>
      </c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12475</v>
      </c>
      <c r="BD97" s="786">
        <f t="shared" si="24"/>
        <v>2</v>
      </c>
      <c r="BE97" s="786">
        <f t="shared" si="25"/>
        <v>6237.5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61"/>
      <c r="N98" s="652">
        <f t="shared" si="26"/>
        <v>0</v>
      </c>
      <c r="O98" s="1162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61">
        <f>E99+F99+H99-I99-L99+G99-K99</f>
        <v>0</v>
      </c>
      <c r="N99" s="652">
        <f t="shared" si="26"/>
        <v>0</v>
      </c>
      <c r="O99" s="1162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61">
        <f>E100+F100+H100-I100-L100+G100-K100</f>
        <v>0</v>
      </c>
      <c r="N100" s="652">
        <f>M100*25</f>
        <v>0</v>
      </c>
      <c r="O100" s="1162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62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0</v>
      </c>
      <c r="K102" s="100">
        <f>SUMIF(AJOUT!$A:$A,BRAN!$V:$V,AJOUT!$L:$L)</f>
        <v>0</v>
      </c>
      <c r="L102" s="100">
        <f>SUMIF(CBOUT!$A:$A,BRAN!$V:$V,CBOUT!$G:$G)</f>
        <v>0</v>
      </c>
      <c r="M102" s="1161">
        <v>0</v>
      </c>
      <c r="N102" s="652">
        <f t="shared" si="26"/>
        <v>0</v>
      </c>
      <c r="O102" s="1162">
        <f t="shared" si="27"/>
        <v>26520</v>
      </c>
      <c r="P102" s="427"/>
      <c r="Q102" s="427"/>
      <c r="R102" s="425">
        <f>O102/INTGRATE!$N$293</f>
        <v>3315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>
        <v>4900</v>
      </c>
      <c r="AB102" s="100">
        <v>8420</v>
      </c>
      <c r="AC102" s="100">
        <v>4920</v>
      </c>
      <c r="AD102" s="100">
        <v>0</v>
      </c>
      <c r="AE102" s="100">
        <v>0</v>
      </c>
      <c r="AF102" s="100">
        <v>0</v>
      </c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26520</v>
      </c>
      <c r="BD102" s="786">
        <f t="shared" si="24"/>
        <v>4</v>
      </c>
      <c r="BE102" s="786">
        <f t="shared" si="25"/>
        <v>6630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877</v>
      </c>
      <c r="F103" s="100">
        <f>SUMIF(pro!$A:$A,$V:$V,pro!$N:$N)</f>
        <v>427</v>
      </c>
      <c r="G103" s="100"/>
      <c r="H103" s="100">
        <f>SUMIF(CBIN!$A:$A,BRAN!$V:$V,CBIN!$G:$G)</f>
        <v>0</v>
      </c>
      <c r="I103" s="100">
        <f>SUMIF(data!$D:$D,$B103&amp;$D103,data!$J:$J)</f>
        <v>155</v>
      </c>
      <c r="J103" s="100">
        <f>SUMIF(data!$D:$D,$B103&amp;$D103,data!$K:$K)</f>
        <v>3875</v>
      </c>
      <c r="K103" s="100">
        <f>SUMIF(AJOUT!$A:$A,BRAN!$V:$V,AJOUT!$L:$L)</f>
        <v>0</v>
      </c>
      <c r="L103" s="100">
        <f>SUMIF(CBOUT!$A:$A,BRAN!$V:$V,CBOUT!$G:$G)</f>
        <v>0</v>
      </c>
      <c r="M103" s="1161">
        <f t="shared" si="30"/>
        <v>1149</v>
      </c>
      <c r="N103" s="652">
        <f t="shared" si="26"/>
        <v>28725</v>
      </c>
      <c r="O103" s="1162">
        <f t="shared" si="27"/>
        <v>71250</v>
      </c>
      <c r="P103" s="804"/>
      <c r="Q103" s="804"/>
      <c r="R103" s="100">
        <f>O103/INTGRATE!$N$293</f>
        <v>8906.25</v>
      </c>
      <c r="S103" s="665">
        <f t="shared" si="19"/>
        <v>3.2252631578947368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>
        <v>5800</v>
      </c>
      <c r="AB103" s="100">
        <v>12350</v>
      </c>
      <c r="AC103" s="100">
        <v>7625</v>
      </c>
      <c r="AD103" s="100">
        <v>9600</v>
      </c>
      <c r="AE103" s="100">
        <v>8600</v>
      </c>
      <c r="AF103" s="100">
        <v>3875</v>
      </c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71250</v>
      </c>
      <c r="BD103" s="786">
        <f t="shared" si="24"/>
        <v>8</v>
      </c>
      <c r="BE103" s="786">
        <f t="shared" si="25"/>
        <v>8906.25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474</v>
      </c>
      <c r="F104" s="100">
        <f>SUMIF(pro!$A:$A,$V:$V,pro!$N:$N)</f>
        <v>0</v>
      </c>
      <c r="G104" s="100"/>
      <c r="H104" s="100">
        <f>SUMIF(CBIN!$A:$A,BRAN!$V:$V,CBIN!$G:$G)</f>
        <v>0</v>
      </c>
      <c r="I104" s="100">
        <f>SUMIF(data!$D:$D,$B104&amp;$D104,data!$J:$J)</f>
        <v>200</v>
      </c>
      <c r="J104" s="100">
        <f>SUMIF(data!$D:$D,$B104&amp;$D104,data!$K:$K)</f>
        <v>5000</v>
      </c>
      <c r="K104" s="100">
        <f>SUMIF(AJOUT!$A:$A,BRAN!$V:$V,AJOUT!$L:$L)</f>
        <v>0</v>
      </c>
      <c r="L104" s="100">
        <f>SUMIF(CBOUT!$A:$A,BRAN!$V:$V,CBOUT!$G:$G)</f>
        <v>0</v>
      </c>
      <c r="M104" s="1161">
        <f t="shared" si="30"/>
        <v>274</v>
      </c>
      <c r="N104" s="652">
        <f t="shared" si="26"/>
        <v>6850</v>
      </c>
      <c r="O104" s="1162">
        <f t="shared" si="27"/>
        <v>28175</v>
      </c>
      <c r="P104" s="804"/>
      <c r="Q104" s="804"/>
      <c r="R104" s="100">
        <f>O104/INTGRATE!$N$293</f>
        <v>3521.875</v>
      </c>
      <c r="S104" s="665">
        <f t="shared" si="19"/>
        <v>1.9449866903283053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>
        <v>3850</v>
      </c>
      <c r="AB104" s="100">
        <v>3075</v>
      </c>
      <c r="AC104" s="100">
        <v>9875</v>
      </c>
      <c r="AD104" s="100">
        <v>2250</v>
      </c>
      <c r="AE104" s="100">
        <v>3875</v>
      </c>
      <c r="AF104" s="100">
        <v>5000</v>
      </c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28175</v>
      </c>
      <c r="BD104" s="786">
        <f t="shared" si="24"/>
        <v>7</v>
      </c>
      <c r="BE104" s="786">
        <f t="shared" si="25"/>
        <v>4025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62">
        <f t="shared" si="27"/>
        <v>12640</v>
      </c>
      <c r="P105" s="804"/>
      <c r="Q105" s="804"/>
      <c r="R105" s="100">
        <f>O105/INTGRATE!$N$293</f>
        <v>1580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>
        <v>0</v>
      </c>
      <c r="AB105" s="100">
        <v>12640</v>
      </c>
      <c r="AC105" s="100">
        <v>0</v>
      </c>
      <c r="AD105" s="100">
        <v>0</v>
      </c>
      <c r="AE105" s="100">
        <v>0</v>
      </c>
      <c r="AF105" s="100">
        <v>0</v>
      </c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12640</v>
      </c>
      <c r="BD105" s="786">
        <f t="shared" si="24"/>
        <v>1</v>
      </c>
      <c r="BE105" s="786">
        <f t="shared" si="25"/>
        <v>12640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61">
        <f>E106+F106+H106-I106-L106+G106-K106</f>
        <v>0</v>
      </c>
      <c r="N106" s="652">
        <f t="shared" ref="N106" si="35">M106*25</f>
        <v>0</v>
      </c>
      <c r="O106" s="1162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62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159</v>
      </c>
      <c r="F108" s="100">
        <f>SUMIF(pro!$A:$A,$V:$V,pro!$N:$N)</f>
        <v>0</v>
      </c>
      <c r="G108" s="100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100">
        <f>SUMIF(AJOUT!$A:$A,BRAN!$V:$V,AJOUT!$L:$L)</f>
        <v>0</v>
      </c>
      <c r="L108" s="100">
        <f>SUMIF(CBOUT!$A:$A,BRAN!$V:$V,CBOUT!$G:$G)</f>
        <v>0</v>
      </c>
      <c r="M108" s="1161">
        <f>E108+F108+H108-I108-L108+G108-K108</f>
        <v>159</v>
      </c>
      <c r="N108" s="652">
        <f t="shared" si="26"/>
        <v>3975</v>
      </c>
      <c r="O108" s="1162">
        <f t="shared" si="27"/>
        <v>10550</v>
      </c>
      <c r="P108" s="804"/>
      <c r="Q108" s="804"/>
      <c r="R108" s="100">
        <f>O108/INTGRATE!$N$293</f>
        <v>1318.75</v>
      </c>
      <c r="S108" s="665">
        <f t="shared" si="38"/>
        <v>3.014218009478673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>
        <v>500</v>
      </c>
      <c r="AB108" s="100">
        <v>3200</v>
      </c>
      <c r="AC108" s="100">
        <v>0</v>
      </c>
      <c r="AD108" s="100">
        <v>3175</v>
      </c>
      <c r="AE108" s="100">
        <v>0</v>
      </c>
      <c r="AF108" s="100">
        <v>0</v>
      </c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10550</v>
      </c>
      <c r="BD108" s="786">
        <f t="shared" si="24"/>
        <v>4</v>
      </c>
      <c r="BE108" s="786">
        <f t="shared" si="25"/>
        <v>2637.5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3069</v>
      </c>
      <c r="F109" s="100">
        <f>SUMIF(pro!$A:$A,$V:$V,pro!$N:$N)</f>
        <v>1320</v>
      </c>
      <c r="G109" s="100"/>
      <c r="H109" s="100">
        <f>SUMIF(CBIN!$A:$A,BRAN!$V:$V,CBIN!$G:$G)</f>
        <v>0</v>
      </c>
      <c r="I109" s="100">
        <f>SUMIF(data!$D:$D,$B109&amp;$D109,data!$J:$J)</f>
        <v>325</v>
      </c>
      <c r="J109" s="100">
        <f>SUMIF(data!$D:$D,$B109&amp;$D109,data!$K:$K)</f>
        <v>8125</v>
      </c>
      <c r="K109" s="100">
        <f>SUMIF(AJOUT!$A:$A,BRAN!$V:$V,AJOUT!$L:$L)</f>
        <v>0</v>
      </c>
      <c r="L109" s="100">
        <f>SUMIF(CBOUT!$A:$A,BRAN!$V:$V,CBOUT!$G:$G)</f>
        <v>0</v>
      </c>
      <c r="M109" s="1161">
        <f>E109+F109+H109-I109-L109+G109-K109</f>
        <v>4064</v>
      </c>
      <c r="N109" s="652">
        <f t="shared" si="26"/>
        <v>101600</v>
      </c>
      <c r="O109" s="1162">
        <f t="shared" si="27"/>
        <v>188525</v>
      </c>
      <c r="P109" s="804"/>
      <c r="Q109" s="804"/>
      <c r="R109" s="100">
        <f>O109/INTGRATE!$N$293</f>
        <v>23565.625</v>
      </c>
      <c r="S109" s="665">
        <f t="shared" si="38"/>
        <v>4.3113645405118683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>
        <v>20900</v>
      </c>
      <c r="AB109" s="100">
        <v>35475</v>
      </c>
      <c r="AC109" s="100">
        <v>27000</v>
      </c>
      <c r="AD109" s="100">
        <v>24700</v>
      </c>
      <c r="AE109" s="100">
        <v>15175</v>
      </c>
      <c r="AF109" s="100">
        <v>8125</v>
      </c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188525</v>
      </c>
      <c r="BD109" s="786">
        <f t="shared" si="24"/>
        <v>8</v>
      </c>
      <c r="BE109" s="786">
        <f t="shared" si="25"/>
        <v>23565.625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61"/>
      <c r="N110" s="652">
        <f t="shared" si="26"/>
        <v>0</v>
      </c>
      <c r="O110" s="1162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>
        <v>0</v>
      </c>
      <c r="AB110" s="100">
        <v>0</v>
      </c>
      <c r="AC110" s="100">
        <v>0</v>
      </c>
      <c r="AD110" s="100">
        <v>0</v>
      </c>
      <c r="AE110" s="100">
        <v>0</v>
      </c>
      <c r="AF110" s="100">
        <v>0</v>
      </c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153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143</v>
      </c>
      <c r="J111" s="100">
        <f>SUMIF(data!$D:$D,$B111&amp;$D111,data!$K:$K)</f>
        <v>3575</v>
      </c>
      <c r="K111" s="100">
        <f>SUMIF(AJOUT!$A:$A,BRAN!$V:$V,AJOUT!$L:$L)</f>
        <v>0</v>
      </c>
      <c r="L111" s="100">
        <f>SUMIF(CBOUT!$A:$A,BRAN!$V:$V,CBOUT!$G:$G)</f>
        <v>0</v>
      </c>
      <c r="M111" s="1161">
        <f>E111+F111+H111-I111-L111+G111-K111</f>
        <v>10</v>
      </c>
      <c r="N111" s="652">
        <f t="shared" si="26"/>
        <v>250</v>
      </c>
      <c r="O111" s="1162">
        <f t="shared" si="27"/>
        <v>24050</v>
      </c>
      <c r="P111" s="804"/>
      <c r="Q111" s="804"/>
      <c r="R111" s="100">
        <f>O111/INTGRATE!$N$293</f>
        <v>3006.25</v>
      </c>
      <c r="S111" s="665">
        <f>IF(R111=0,0,N111/R111)</f>
        <v>8.3160083160083165E-2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>
        <v>725</v>
      </c>
      <c r="AB111" s="100">
        <v>8375</v>
      </c>
      <c r="AC111" s="100">
        <v>2375</v>
      </c>
      <c r="AD111" s="100">
        <v>750</v>
      </c>
      <c r="AE111" s="100">
        <v>750</v>
      </c>
      <c r="AF111" s="100">
        <v>3575</v>
      </c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24050</v>
      </c>
      <c r="BD111" s="786">
        <f t="shared" si="24"/>
        <v>7</v>
      </c>
      <c r="BE111" s="786">
        <f t="shared" si="25"/>
        <v>3435.7142857142858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62">
        <f t="shared" si="27"/>
        <v>42880</v>
      </c>
      <c r="P112" s="427"/>
      <c r="Q112" s="427"/>
      <c r="R112" s="425">
        <f>O112/INTGRATE!$N$293</f>
        <v>5360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>
        <v>18660</v>
      </c>
      <c r="AB112" s="100">
        <v>10050</v>
      </c>
      <c r="AC112" s="100">
        <v>0</v>
      </c>
      <c r="AD112" s="100">
        <v>0</v>
      </c>
      <c r="AE112" s="100">
        <v>14170</v>
      </c>
      <c r="AF112" s="100">
        <v>0</v>
      </c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42880</v>
      </c>
      <c r="BD112" s="786">
        <f t="shared" si="24"/>
        <v>3</v>
      </c>
      <c r="BE112" s="786">
        <f t="shared" si="25"/>
        <v>14293.333333333334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31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5</v>
      </c>
      <c r="J113" s="100">
        <f>SUMIF(data!$D:$D,$B113&amp;$D113,data!$K:$K)</f>
        <v>125</v>
      </c>
      <c r="K113" s="100">
        <f>SUMIF(AJOUT!$A:$A,BRAN!$V:$V,AJOUT!$L:$L)</f>
        <v>0</v>
      </c>
      <c r="L113" s="100">
        <f>SUMIF(CBOUT!$A:$A,BRAN!$V:$V,CBOUT!$G:$G)</f>
        <v>0</v>
      </c>
      <c r="M113" s="1161">
        <f>E113+F113+H113-I113-L113+G113-K113</f>
        <v>26</v>
      </c>
      <c r="N113" s="652">
        <f t="shared" si="26"/>
        <v>650</v>
      </c>
      <c r="O113" s="1162">
        <f t="shared" si="27"/>
        <v>9375</v>
      </c>
      <c r="P113" s="804"/>
      <c r="Q113" s="804"/>
      <c r="R113" s="100">
        <f>O113/INTGRATE!$N$293</f>
        <v>1171.875</v>
      </c>
      <c r="S113" s="665">
        <f>IF(R113=0,0,N113/R113)</f>
        <v>0.55466666666666664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>
        <v>250</v>
      </c>
      <c r="AB113" s="100">
        <v>625</v>
      </c>
      <c r="AC113" s="100">
        <v>0</v>
      </c>
      <c r="AD113" s="100">
        <v>5000</v>
      </c>
      <c r="AE113" s="100">
        <v>1375</v>
      </c>
      <c r="AF113" s="100">
        <v>125</v>
      </c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9375</v>
      </c>
      <c r="BD113" s="786">
        <f t="shared" si="24"/>
        <v>7</v>
      </c>
      <c r="BE113" s="786">
        <f t="shared" si="25"/>
        <v>1339.2857142857142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61"/>
      <c r="N114" s="652">
        <f t="shared" si="26"/>
        <v>0</v>
      </c>
      <c r="O114" s="1162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61"/>
      <c r="N115" s="652"/>
      <c r="O115" s="1162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1327</v>
      </c>
      <c r="F116" s="100">
        <f>SUMIF(pro!$A:$A,$V:$V,pro!$N:$N)</f>
        <v>0</v>
      </c>
      <c r="G116" s="100"/>
      <c r="H116" s="100">
        <f>SUMIF(CBIN!$A:$A,BRAN!$V:$V,CBIN!$G:$G)</f>
        <v>0</v>
      </c>
      <c r="I116" s="100">
        <f>SUMIF(data!$D:$D,$B116&amp;$D116,data!$J:$J)</f>
        <v>140</v>
      </c>
      <c r="J116" s="100">
        <f>SUMIF(data!$D:$D,$B116&amp;$D116,data!$K:$K)</f>
        <v>3500</v>
      </c>
      <c r="K116" s="100">
        <f>SUMIF(AJOUT!$A:$A,BRAN!$V:$V,AJOUT!$L:$L)</f>
        <v>0</v>
      </c>
      <c r="L116" s="100">
        <f>SUMIF(CBOUT!$A:$A,BRAN!$V:$V,CBOUT!$G:$G)</f>
        <v>0</v>
      </c>
      <c r="M116" s="1161">
        <f>E116+F116+H116-I116-L116+G116-K116</f>
        <v>1187</v>
      </c>
      <c r="N116" s="652">
        <f t="shared" si="26"/>
        <v>29675</v>
      </c>
      <c r="O116" s="1162">
        <f t="shared" si="27"/>
        <v>98550</v>
      </c>
      <c r="P116" s="804"/>
      <c r="Q116" s="804"/>
      <c r="R116" s="100">
        <f>O116/INTGRATE!$N$293</f>
        <v>12318.75</v>
      </c>
      <c r="S116" s="665">
        <f t="shared" si="38"/>
        <v>2.4089294774226282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>
        <v>31025</v>
      </c>
      <c r="AB116" s="100">
        <v>18400</v>
      </c>
      <c r="AC116" s="100">
        <v>9225</v>
      </c>
      <c r="AD116" s="100">
        <v>11900</v>
      </c>
      <c r="AE116" s="100">
        <v>3000</v>
      </c>
      <c r="AF116" s="100">
        <v>3500</v>
      </c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98550</v>
      </c>
      <c r="BD116" s="786">
        <f t="shared" si="24"/>
        <v>8</v>
      </c>
      <c r="BE116" s="786">
        <f t="shared" si="25"/>
        <v>12318.75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320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70</v>
      </c>
      <c r="J117" s="100">
        <f>SUMIF(data!$D:$D,$B117&amp;$D117,data!$K:$K)</f>
        <v>1750</v>
      </c>
      <c r="K117" s="100">
        <f>SUMIF(AJOUT!$A:$A,BRAN!$V:$V,AJOUT!$L:$L)</f>
        <v>0</v>
      </c>
      <c r="L117" s="100">
        <f>SUMIF(CBOUT!$A:$A,BRAN!$V:$V,CBOUT!$G:$G)</f>
        <v>0</v>
      </c>
      <c r="M117" s="1161">
        <f>E117+F117+H117-I117-L117+G117-K117</f>
        <v>250</v>
      </c>
      <c r="N117" s="652">
        <f t="shared" si="26"/>
        <v>6250</v>
      </c>
      <c r="O117" s="1162">
        <f t="shared" si="27"/>
        <v>5500</v>
      </c>
      <c r="P117" s="804"/>
      <c r="Q117" s="804"/>
      <c r="R117" s="100">
        <f>O117/INTGRATE!$N$293</f>
        <v>687.5</v>
      </c>
      <c r="S117" s="665">
        <f t="shared" si="38"/>
        <v>9.0909090909090917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>
        <v>0</v>
      </c>
      <c r="AB117" s="100">
        <v>0</v>
      </c>
      <c r="AC117" s="100">
        <v>750</v>
      </c>
      <c r="AD117" s="100">
        <v>1500</v>
      </c>
      <c r="AE117" s="100">
        <v>0</v>
      </c>
      <c r="AF117" s="100">
        <v>1750</v>
      </c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5500</v>
      </c>
      <c r="BD117" s="786">
        <f t="shared" si="24"/>
        <v>4</v>
      </c>
      <c r="BE117" s="786">
        <f t="shared" si="25"/>
        <v>1375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62">
        <f t="shared" si="27"/>
        <v>83100</v>
      </c>
      <c r="P118" s="427"/>
      <c r="Q118" s="427"/>
      <c r="R118" s="425">
        <f>O118/INTGRATE!$N$293</f>
        <v>10387.5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>
        <v>0</v>
      </c>
      <c r="AB118" s="100">
        <v>23550</v>
      </c>
      <c r="AC118" s="100">
        <v>0</v>
      </c>
      <c r="AD118" s="100">
        <v>18600</v>
      </c>
      <c r="AE118" s="100">
        <v>0</v>
      </c>
      <c r="AF118" s="100">
        <v>0</v>
      </c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83100</v>
      </c>
      <c r="BD118" s="786">
        <f t="shared" si="24"/>
        <v>4</v>
      </c>
      <c r="BE118" s="786">
        <f t="shared" si="25"/>
        <v>20775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5172</v>
      </c>
      <c r="F119" s="100">
        <f>SUMIF(pro!$A:$A,$V:$V,pro!$N:$N)</f>
        <v>104</v>
      </c>
      <c r="G119" s="100"/>
      <c r="H119" s="100">
        <f>SUMIF(CBIN!$A:$A,BRAN!$V:$V,CBIN!$G:$G)</f>
        <v>0</v>
      </c>
      <c r="I119" s="100">
        <f>SUMIF(data!$D:$D,$B119&amp;$D119,data!$J:$J)</f>
        <v>788</v>
      </c>
      <c r="J119" s="100">
        <f>SUMIF(data!$D:$D,$B119&amp;$D119,data!$K:$K)</f>
        <v>19700</v>
      </c>
      <c r="K119" s="100">
        <f>SUMIF(AJOUT!$A:$A,BRAN!$V:$V,AJOUT!$L:$L)</f>
        <v>0</v>
      </c>
      <c r="L119" s="100">
        <f>SUMIF(CBOUT!$A:$A,BRAN!$V:$V,CBOUT!$G:$G)</f>
        <v>0</v>
      </c>
      <c r="M119" s="1161">
        <f>E119+F119+H119-I119-L119+G119-K119</f>
        <v>4488</v>
      </c>
      <c r="N119" s="652">
        <f t="shared" si="26"/>
        <v>112200</v>
      </c>
      <c r="O119" s="1162">
        <f t="shared" si="27"/>
        <v>230750</v>
      </c>
      <c r="P119" s="804"/>
      <c r="Q119" s="804"/>
      <c r="R119" s="100">
        <f>O119/INTGRATE!$N$293</f>
        <v>28843.75</v>
      </c>
      <c r="S119" s="665">
        <f t="shared" si="38"/>
        <v>3.8899241603466956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>
        <v>60000</v>
      </c>
      <c r="AB119" s="100">
        <v>24950</v>
      </c>
      <c r="AC119" s="100">
        <v>26050</v>
      </c>
      <c r="AD119" s="100">
        <v>13875</v>
      </c>
      <c r="AE119" s="100">
        <v>33775</v>
      </c>
      <c r="AF119" s="100">
        <v>19700</v>
      </c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230750</v>
      </c>
      <c r="BD119" s="786">
        <f t="shared" si="24"/>
        <v>8</v>
      </c>
      <c r="BE119" s="786">
        <f t="shared" si="25"/>
        <v>28843.75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62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2156</v>
      </c>
      <c r="F121" s="100">
        <f>SUMIF(pro!$A:$A,$V:$V,pro!$N:$N)</f>
        <v>0</v>
      </c>
      <c r="G121" s="100"/>
      <c r="H121" s="100">
        <f>SUMIF(CBIN!$A:$A,BRAN!$V:$V,CBIN!$G:$G)</f>
        <v>0</v>
      </c>
      <c r="I121" s="100">
        <f>SUMIF(data!$D:$D,$B121&amp;$D121,data!$J:$J)</f>
        <v>105</v>
      </c>
      <c r="J121" s="100">
        <f>SUMIF(data!$D:$D,$B121&amp;$D121,data!$K:$K)</f>
        <v>2625</v>
      </c>
      <c r="K121" s="100">
        <f>SUMIF(AJOUT!$A:$A,BRAN!$V:$V,AJOUT!$L:$L)</f>
        <v>0</v>
      </c>
      <c r="L121" s="100">
        <f>SUMIF(CBOUT!$A:$A,BRAN!$V:$V,CBOUT!$G:$G)</f>
        <v>0</v>
      </c>
      <c r="M121" s="1161">
        <f>E121+F121+H121-I121-L121+G121-K121</f>
        <v>2051</v>
      </c>
      <c r="N121" s="652">
        <f t="shared" si="26"/>
        <v>51275</v>
      </c>
      <c r="O121" s="1162">
        <f t="shared" si="27"/>
        <v>41200</v>
      </c>
      <c r="P121" s="804"/>
      <c r="Q121" s="804"/>
      <c r="R121" s="100">
        <f>O121/INTGRATE!$N$293</f>
        <v>5150</v>
      </c>
      <c r="S121" s="665">
        <f t="shared" si="38"/>
        <v>9.9563106796116507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>
        <v>13950</v>
      </c>
      <c r="AB121" s="100">
        <v>6675</v>
      </c>
      <c r="AC121" s="100">
        <v>2825</v>
      </c>
      <c r="AD121" s="100">
        <v>4000</v>
      </c>
      <c r="AE121" s="100">
        <v>1375</v>
      </c>
      <c r="AF121" s="100">
        <v>2625</v>
      </c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41200</v>
      </c>
      <c r="BD121" s="786">
        <f t="shared" si="24"/>
        <v>7</v>
      </c>
      <c r="BE121" s="786">
        <f t="shared" si="25"/>
        <v>5885.7142857142853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993</v>
      </c>
      <c r="F122" s="100">
        <f>SUMIF(pro!$A:$A,$V:$V,pro!$N:$N)</f>
        <v>0</v>
      </c>
      <c r="G122" s="100"/>
      <c r="H122" s="100">
        <f>SUMIF(CBIN!$A:$A,BRAN!$V:$V,CBIN!$G:$G)</f>
        <v>0</v>
      </c>
      <c r="I122" s="100">
        <f>SUMIF(data!$D:$D,$B122&amp;$D122,data!$J:$J)</f>
        <v>649</v>
      </c>
      <c r="J122" s="100">
        <f>SUMIF(data!$D:$D,$B122&amp;$D122,data!$K:$K)</f>
        <v>16225</v>
      </c>
      <c r="K122" s="100">
        <f>SUMIF(AJOUT!$A:$A,BRAN!$V:$V,AJOUT!$L:$L)</f>
        <v>0</v>
      </c>
      <c r="L122" s="100">
        <f>SUMIF(CBOUT!$A:$A,BRAN!$V:$V,CBOUT!$G:$G)</f>
        <v>0</v>
      </c>
      <c r="M122" s="1161">
        <f>E122+F122+H122-I122-L122+G122-K122</f>
        <v>344</v>
      </c>
      <c r="N122" s="652">
        <f t="shared" si="26"/>
        <v>8600</v>
      </c>
      <c r="O122" s="1162">
        <f t="shared" si="27"/>
        <v>69225</v>
      </c>
      <c r="P122" s="804"/>
      <c r="Q122" s="804"/>
      <c r="R122" s="100">
        <f>O122/INTGRATE!$N$293</f>
        <v>8653.125</v>
      </c>
      <c r="S122" s="665">
        <f t="shared" si="38"/>
        <v>0.99386059949440231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>
        <v>9500</v>
      </c>
      <c r="AB122" s="100">
        <v>7825</v>
      </c>
      <c r="AC122" s="100">
        <v>12750</v>
      </c>
      <c r="AD122" s="100">
        <v>10350</v>
      </c>
      <c r="AE122" s="100">
        <v>6125</v>
      </c>
      <c r="AF122" s="100">
        <v>16225</v>
      </c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69225</v>
      </c>
      <c r="BD122" s="786">
        <f t="shared" si="24"/>
        <v>8</v>
      </c>
      <c r="BE122" s="786">
        <f t="shared" si="25"/>
        <v>8653.125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61">
        <v>0</v>
      </c>
      <c r="N123" s="652">
        <f t="shared" si="26"/>
        <v>0</v>
      </c>
      <c r="O123" s="1162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61">
        <v>0</v>
      </c>
      <c r="N124" s="652">
        <f t="shared" si="26"/>
        <v>0</v>
      </c>
      <c r="O124" s="1162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61">
        <v>0</v>
      </c>
      <c r="N125" s="652">
        <f t="shared" si="26"/>
        <v>0</v>
      </c>
      <c r="O125" s="1162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859</v>
      </c>
      <c r="F126" s="100">
        <f>SUMIF(pro!$A:$A,$V:$V,pro!$N:$N)</f>
        <v>0</v>
      </c>
      <c r="G126" s="100"/>
      <c r="H126" s="100">
        <f>SUMIF(CBIN!$A:$A,BRAN!$V:$V,CBIN!$G:$G)</f>
        <v>0</v>
      </c>
      <c r="I126" s="100">
        <f>SUMIF(data!$D:$D,$B126&amp;$D126,data!$J:$J)</f>
        <v>232</v>
      </c>
      <c r="J126" s="100">
        <f>SUMIF(data!$D:$D,$B126&amp;$D126,data!$K:$K)</f>
        <v>5800</v>
      </c>
      <c r="K126" s="100">
        <f>SUMIF(AJOUT!$A:$A,BRAN!$V:$V,AJOUT!$L:$L)</f>
        <v>0</v>
      </c>
      <c r="L126" s="100">
        <f>SUMIF(CBOUT!$A:$A,BRAN!$V:$V,CBOUT!$G:$G)</f>
        <v>0</v>
      </c>
      <c r="M126" s="1161">
        <f>E126+F126+H126-I126-L126+G126-K126</f>
        <v>627</v>
      </c>
      <c r="N126" s="652">
        <f t="shared" si="26"/>
        <v>15675</v>
      </c>
      <c r="O126" s="1162">
        <f t="shared" si="27"/>
        <v>62975</v>
      </c>
      <c r="P126" s="804"/>
      <c r="Q126" s="804"/>
      <c r="R126" s="100">
        <f>O126/INTGRATE!$N$293</f>
        <v>7871.875</v>
      </c>
      <c r="S126" s="665">
        <f t="shared" si="38"/>
        <v>1.9912663755458515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>
        <v>2025</v>
      </c>
      <c r="AB126" s="100">
        <v>13675</v>
      </c>
      <c r="AC126" s="100">
        <v>8825</v>
      </c>
      <c r="AD126" s="100">
        <v>5125</v>
      </c>
      <c r="AE126" s="100">
        <v>9025</v>
      </c>
      <c r="AF126" s="100">
        <v>5800</v>
      </c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62975</v>
      </c>
      <c r="BD126" s="786">
        <f t="shared" si="24"/>
        <v>8</v>
      </c>
      <c r="BE126" s="786">
        <f t="shared" si="25"/>
        <v>7871.875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62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>
        <v>0</v>
      </c>
      <c r="AB127" s="100">
        <v>0</v>
      </c>
      <c r="AC127" s="100">
        <v>0</v>
      </c>
      <c r="AD127" s="100">
        <v>0</v>
      </c>
      <c r="AE127" s="100">
        <v>0</v>
      </c>
      <c r="AF127" s="100">
        <v>0</v>
      </c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62">
        <f t="shared" si="27"/>
        <v>109810</v>
      </c>
      <c r="P128" s="427"/>
      <c r="Q128" s="427"/>
      <c r="R128" s="425">
        <f>O128/INTGRATE!$N$293</f>
        <v>13726.25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>
        <v>27210</v>
      </c>
      <c r="AB128" s="100">
        <v>9860</v>
      </c>
      <c r="AC128" s="100">
        <v>34900</v>
      </c>
      <c r="AD128" s="100">
        <v>0</v>
      </c>
      <c r="AE128" s="100">
        <v>17940</v>
      </c>
      <c r="AF128" s="100">
        <v>0</v>
      </c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109810</v>
      </c>
      <c r="BD128" s="786">
        <f t="shared" si="24"/>
        <v>6</v>
      </c>
      <c r="BE128" s="786">
        <f t="shared" si="25"/>
        <v>18301.666666666668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61">
        <f>E129+F129+H129-I129-L129+G129-K129</f>
        <v>0</v>
      </c>
      <c r="N129" s="652">
        <f t="shared" si="26"/>
        <v>0</v>
      </c>
      <c r="O129" s="1162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>
        <v>0</v>
      </c>
      <c r="AB129" s="100">
        <v>0</v>
      </c>
      <c r="AC129" s="100">
        <v>0</v>
      </c>
      <c r="AD129" s="100">
        <v>0</v>
      </c>
      <c r="AE129" s="100">
        <v>0</v>
      </c>
      <c r="AF129" s="100">
        <v>0</v>
      </c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61"/>
      <c r="N130" s="652">
        <f t="shared" si="26"/>
        <v>0</v>
      </c>
      <c r="O130" s="1162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267</v>
      </c>
      <c r="F131" s="100">
        <f>SUMIF(pro!$A:$A,$V:$V,pro!$N:$N)</f>
        <v>1081</v>
      </c>
      <c r="G131" s="100"/>
      <c r="H131" s="100">
        <f>SUMIF(CBIN!$A:$A,BRAN!$V:$V,CBIN!$G:$G)</f>
        <v>0</v>
      </c>
      <c r="I131" s="100">
        <f>SUMIF(data!$D:$D,$B131&amp;$D131,data!$J:$J)</f>
        <v>565</v>
      </c>
      <c r="J131" s="100">
        <f>SUMIF(data!$D:$D,$B131&amp;$D131,data!$K:$K)</f>
        <v>14125</v>
      </c>
      <c r="K131" s="100">
        <f>SUMIF(AJOUT!$A:$A,BRAN!$V:$V,AJOUT!$L:$L)</f>
        <v>0</v>
      </c>
      <c r="L131" s="100">
        <f>SUMIF(CBOUT!$A:$A,BRAN!$V:$V,CBOUT!$G:$G)</f>
        <v>0</v>
      </c>
      <c r="M131" s="1161">
        <f>E131+F131+H131-I131-L131+G131-K131</f>
        <v>783</v>
      </c>
      <c r="N131" s="652">
        <f t="shared" si="26"/>
        <v>19575</v>
      </c>
      <c r="O131" s="1162">
        <f t="shared" si="27"/>
        <v>112225</v>
      </c>
      <c r="P131" s="804"/>
      <c r="Q131" s="804"/>
      <c r="R131" s="100">
        <f>O131/INTGRATE!$N$293</f>
        <v>14028.125</v>
      </c>
      <c r="S131" s="665">
        <f t="shared" si="38"/>
        <v>1.3954110046781021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>
        <v>10050</v>
      </c>
      <c r="AB131" s="100">
        <v>19975</v>
      </c>
      <c r="AC131" s="100">
        <v>10925</v>
      </c>
      <c r="AD131" s="100">
        <v>5500</v>
      </c>
      <c r="AE131" s="100">
        <v>31650</v>
      </c>
      <c r="AF131" s="100">
        <v>14125</v>
      </c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112225</v>
      </c>
      <c r="BD131" s="786">
        <f t="shared" si="24"/>
        <v>7</v>
      </c>
      <c r="BE131" s="786">
        <f t="shared" si="25"/>
        <v>16032.142857142857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957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100">
        <f>SUMIF(AJOUT!$A:$A,BRAN!$V:$V,AJOUT!$L:$L)</f>
        <v>0</v>
      </c>
      <c r="L132" s="100">
        <f>SUMIF(CBOUT!$A:$A,BRAN!$V:$V,CBOUT!$G:$G)</f>
        <v>0</v>
      </c>
      <c r="M132" s="1161">
        <f>E132+F132+H132-I132-L132+G132-K132</f>
        <v>957</v>
      </c>
      <c r="N132" s="652">
        <f t="shared" si="26"/>
        <v>23925</v>
      </c>
      <c r="O132" s="1162">
        <f t="shared" si="27"/>
        <v>25025</v>
      </c>
      <c r="P132" s="100"/>
      <c r="Q132" s="100"/>
      <c r="R132" s="100">
        <f>O132/INTGRATE!$N$293</f>
        <v>3128.125</v>
      </c>
      <c r="S132" s="665">
        <f t="shared" si="38"/>
        <v>7.6483516483516487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>
        <v>0</v>
      </c>
      <c r="AB132" s="100">
        <v>24400</v>
      </c>
      <c r="AC132" s="100">
        <v>0</v>
      </c>
      <c r="AD132" s="100">
        <v>625</v>
      </c>
      <c r="AE132" s="100">
        <v>0</v>
      </c>
      <c r="AF132" s="100">
        <v>0</v>
      </c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25025</v>
      </c>
      <c r="BD132" s="786">
        <f t="shared" si="24"/>
        <v>2</v>
      </c>
      <c r="BE132" s="786">
        <f t="shared" si="25"/>
        <v>12512.5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312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0</v>
      </c>
      <c r="J133" s="100">
        <f>SUMIF(data!$D:$D,$B133&amp;$D133,data!$K:$K)</f>
        <v>0</v>
      </c>
      <c r="K133" s="100">
        <f>SUMIF(AJOUT!$A:$A,BRAN!$V:$V,AJOUT!$L:$L)</f>
        <v>0</v>
      </c>
      <c r="L133" s="100">
        <f>SUMIF(CBOUT!$A:$A,BRAN!$V:$V,CBOUT!$G:$G)</f>
        <v>0</v>
      </c>
      <c r="M133" s="1161">
        <f>E133+F133+H133-I133-L133+G133-K133</f>
        <v>312</v>
      </c>
      <c r="N133" s="652">
        <f t="shared" si="26"/>
        <v>7800</v>
      </c>
      <c r="O133" s="1162">
        <f t="shared" si="27"/>
        <v>6575</v>
      </c>
      <c r="P133" s="100"/>
      <c r="Q133" s="100"/>
      <c r="R133" s="100">
        <f>O133/INTGRATE!$N$293</f>
        <v>821.875</v>
      </c>
      <c r="S133" s="665">
        <f t="shared" si="38"/>
        <v>9.4904942965779462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>
        <v>4150</v>
      </c>
      <c r="AB133" s="100">
        <v>125</v>
      </c>
      <c r="AC133" s="100">
        <v>0</v>
      </c>
      <c r="AD133" s="100">
        <v>750</v>
      </c>
      <c r="AE133" s="100">
        <v>500</v>
      </c>
      <c r="AF133" s="100">
        <v>0</v>
      </c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6575</v>
      </c>
      <c r="BD133" s="786">
        <f t="shared" si="24"/>
        <v>6</v>
      </c>
      <c r="BE133" s="786">
        <f t="shared" si="25"/>
        <v>1095.8333333333333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62">
        <f t="shared" si="27"/>
        <v>12040</v>
      </c>
      <c r="P134" s="425"/>
      <c r="Q134" s="425"/>
      <c r="R134" s="425">
        <f>O134/INTGRATE!$N$293</f>
        <v>1505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>
        <v>0</v>
      </c>
      <c r="AB134" s="100">
        <v>0</v>
      </c>
      <c r="AC134" s="100">
        <v>12040</v>
      </c>
      <c r="AD134" s="100">
        <v>0</v>
      </c>
      <c r="AE134" s="100">
        <v>0</v>
      </c>
      <c r="AF134" s="100">
        <v>0</v>
      </c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12040</v>
      </c>
      <c r="BD134" s="786">
        <f t="shared" si="24"/>
        <v>1</v>
      </c>
      <c r="BE134" s="786">
        <f t="shared" si="25"/>
        <v>12040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62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>
        <v>0</v>
      </c>
      <c r="AB135" s="100">
        <v>0</v>
      </c>
      <c r="AC135" s="100">
        <v>0</v>
      </c>
      <c r="AD135" s="100">
        <v>0</v>
      </c>
      <c r="AE135" s="100">
        <v>0</v>
      </c>
      <c r="AF135" s="100">
        <v>0</v>
      </c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62">
        <f t="shared" si="27"/>
        <v>36390</v>
      </c>
      <c r="P136" s="425"/>
      <c r="Q136" s="425"/>
      <c r="R136" s="425">
        <f>O136/INTGRATE!$N$293</f>
        <v>4548.75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>
        <v>5630</v>
      </c>
      <c r="AB136" s="100">
        <v>0</v>
      </c>
      <c r="AC136" s="100">
        <v>0</v>
      </c>
      <c r="AD136" s="100">
        <v>0</v>
      </c>
      <c r="AE136" s="100">
        <v>13930</v>
      </c>
      <c r="AF136" s="100">
        <v>0</v>
      </c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36390</v>
      </c>
      <c r="BD136" s="786">
        <f t="shared" si="24"/>
        <v>3</v>
      </c>
      <c r="BE136" s="786">
        <f t="shared" si="25"/>
        <v>12130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2446</v>
      </c>
      <c r="F137" s="100">
        <f>SUMIF(pro!$A:$A,$V:$V,pro!$N:$N)</f>
        <v>0</v>
      </c>
      <c r="G137" s="100"/>
      <c r="H137" s="100">
        <f>SUMIF(CBIN!$A:$A,BRAN!$V:$V,CBIN!$G:$G)</f>
        <v>0</v>
      </c>
      <c r="I137" s="100">
        <f>SUMIF(data!$D:$D,$B137&amp;$D137,data!$J:$J)</f>
        <v>234</v>
      </c>
      <c r="J137" s="100">
        <f>SUMIF(data!$D:$D,$B137&amp;$D137,data!$K:$K)</f>
        <v>5850</v>
      </c>
      <c r="K137" s="100">
        <f>SUMIF(AJOUT!$A:$A,BRAN!$V:$V,AJOUT!$L:$L)</f>
        <v>0</v>
      </c>
      <c r="L137" s="100">
        <f>SUMIF(CBOUT!$A:$A,BRAN!$V:$V,CBOUT!$G:$G)</f>
        <v>0</v>
      </c>
      <c r="M137" s="1161">
        <f>E137+F137+H137-I137-L137+G137-K137</f>
        <v>2212</v>
      </c>
      <c r="N137" s="652">
        <f t="shared" si="26"/>
        <v>55300</v>
      </c>
      <c r="O137" s="1162">
        <f t="shared" si="27"/>
        <v>150225</v>
      </c>
      <c r="P137" s="100"/>
      <c r="Q137" s="100"/>
      <c r="R137" s="100">
        <f>O137/INTGRATE!$N$293</f>
        <v>18778.125</v>
      </c>
      <c r="S137" s="665">
        <f t="shared" si="38"/>
        <v>2.9449159593942418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>
        <v>32725</v>
      </c>
      <c r="AB137" s="100">
        <v>19850</v>
      </c>
      <c r="AC137" s="100">
        <v>15700</v>
      </c>
      <c r="AD137" s="100">
        <v>17425</v>
      </c>
      <c r="AE137" s="100">
        <v>23925</v>
      </c>
      <c r="AF137" s="100">
        <v>5850</v>
      </c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150225</v>
      </c>
      <c r="BD137" s="786">
        <f t="shared" si="24"/>
        <v>8</v>
      </c>
      <c r="BE137" s="786">
        <f t="shared" si="25"/>
        <v>18778.125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61">
        <f>E138+F138+H138-I138-L138+G138-K138</f>
        <v>0</v>
      </c>
      <c r="N138" s="652">
        <f t="shared" si="26"/>
        <v>0</v>
      </c>
      <c r="O138" s="1162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61"/>
      <c r="N139" s="652">
        <f t="shared" si="26"/>
        <v>0</v>
      </c>
      <c r="O139" s="1162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486</v>
      </c>
      <c r="F140" s="100">
        <f>SUMIF(pro!$A:$A,$V:$V,pro!$N:$N)</f>
        <v>0</v>
      </c>
      <c r="G140" s="100"/>
      <c r="H140" s="100">
        <f>SUMIF(CBIN!$A:$A,BRAN!$V:$V,CBIN!$G:$G)</f>
        <v>0</v>
      </c>
      <c r="I140" s="100">
        <f>SUMIF(data!$D:$D,$B140&amp;$D140,data!$J:$J)</f>
        <v>190</v>
      </c>
      <c r="J140" s="100">
        <f>SUMIF(data!$D:$D,$B140&amp;$D140,data!$K:$K)</f>
        <v>4750</v>
      </c>
      <c r="K140" s="100">
        <f>SUMIF(AJOUT!$A:$A,BRAN!$V:$V,AJOUT!$L:$L)</f>
        <v>0</v>
      </c>
      <c r="L140" s="100">
        <f>SUMIF(CBOUT!$A:$A,BRAN!$V:$V,CBOUT!$G:$G)</f>
        <v>0</v>
      </c>
      <c r="M140" s="1161">
        <f>E140+F140+H140-I140-L140+G140-K140</f>
        <v>296</v>
      </c>
      <c r="N140" s="652">
        <f t="shared" si="26"/>
        <v>7400</v>
      </c>
      <c r="O140" s="1162">
        <f t="shared" si="27"/>
        <v>37475</v>
      </c>
      <c r="P140" s="100"/>
      <c r="Q140" s="100"/>
      <c r="R140" s="100">
        <f>O140/INTGRATE!$N$293</f>
        <v>4684.375</v>
      </c>
      <c r="S140" s="665">
        <f t="shared" si="38"/>
        <v>1.5797198132088059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>
        <v>6975</v>
      </c>
      <c r="AB140" s="100">
        <v>6200</v>
      </c>
      <c r="AC140" s="100">
        <v>5000</v>
      </c>
      <c r="AD140" s="100">
        <v>775</v>
      </c>
      <c r="AE140" s="100">
        <v>7550</v>
      </c>
      <c r="AF140" s="100">
        <v>4750</v>
      </c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37475</v>
      </c>
      <c r="BD140" s="786">
        <f t="shared" si="24"/>
        <v>8</v>
      </c>
      <c r="BE140" s="786">
        <f t="shared" si="25"/>
        <v>4684.375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62">
        <f t="shared" si="27"/>
        <v>12020</v>
      </c>
      <c r="P141" s="425"/>
      <c r="Q141" s="425"/>
      <c r="R141" s="425">
        <f>O141/INTGRATE!$N$293</f>
        <v>1502.5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>
        <v>0</v>
      </c>
      <c r="AB141" s="100">
        <v>0</v>
      </c>
      <c r="AC141" s="100">
        <v>12020</v>
      </c>
      <c r="AD141" s="100">
        <v>0</v>
      </c>
      <c r="AE141" s="100">
        <v>0</v>
      </c>
      <c r="AF141" s="100">
        <v>0</v>
      </c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12020</v>
      </c>
      <c r="BD141" s="786">
        <f t="shared" si="24"/>
        <v>1</v>
      </c>
      <c r="BE141" s="786">
        <f t="shared" si="25"/>
        <v>12020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62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205</v>
      </c>
      <c r="F143" s="100">
        <f>SUMIF(pro!$A:$A,$V:$V,pro!$N:$N)</f>
        <v>1910</v>
      </c>
      <c r="G143" s="100"/>
      <c r="H143" s="100">
        <f>SUMIF(CBIN!$A:$A,BRAN!$V:$V,CBIN!$G:$G)</f>
        <v>0</v>
      </c>
      <c r="I143" s="100">
        <f>SUMIF(data!$D:$D,$B143&amp;$D143,data!$J:$J)</f>
        <v>93</v>
      </c>
      <c r="J143" s="100">
        <f>SUMIF(data!$D:$D,$B143&amp;$D143,data!$K:$K)</f>
        <v>2325</v>
      </c>
      <c r="K143" s="100">
        <f>SUMIF(AJOUT!$A:$A,BRAN!$V:$V,AJOUT!$L:$L)</f>
        <v>0</v>
      </c>
      <c r="L143" s="100">
        <f>SUMIF(CBOUT!$A:$A,BRAN!$V:$V,CBOUT!$G:$G)</f>
        <v>0</v>
      </c>
      <c r="M143" s="1161">
        <f t="shared" ref="M143:M149" si="43">E143+F143+H143-I143-L143+G143-K143</f>
        <v>2022</v>
      </c>
      <c r="N143" s="652">
        <f t="shared" si="26"/>
        <v>50550</v>
      </c>
      <c r="O143" s="1162">
        <f t="shared" si="27"/>
        <v>148400</v>
      </c>
      <c r="P143" s="100"/>
      <c r="Q143" s="100"/>
      <c r="R143" s="100">
        <f>O143/INTGRATE!$N$293</f>
        <v>18550</v>
      </c>
      <c r="S143" s="665">
        <f t="shared" si="38"/>
        <v>2.7250673854447438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>
        <v>28125</v>
      </c>
      <c r="AB143" s="100">
        <v>36250</v>
      </c>
      <c r="AC143" s="100">
        <v>12600</v>
      </c>
      <c r="AD143" s="100">
        <v>10000</v>
      </c>
      <c r="AE143" s="100">
        <v>24750</v>
      </c>
      <c r="AF143" s="100">
        <v>2325</v>
      </c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148400</v>
      </c>
      <c r="BD143" s="786">
        <f t="shared" si="24"/>
        <v>8</v>
      </c>
      <c r="BE143" s="786">
        <f t="shared" si="25"/>
        <v>18550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7">
        <v>25</v>
      </c>
      <c r="E144" s="717">
        <v>352</v>
      </c>
      <c r="F144" s="100">
        <f>SUMIF(pro!$A:$A,$V:$V,pro!$N:$N)</f>
        <v>409</v>
      </c>
      <c r="G144" s="100"/>
      <c r="H144" s="100">
        <f>SUMIF(CBIN!$A:$A,BRAN!$V:$V,CBIN!$G:$G)</f>
        <v>0</v>
      </c>
      <c r="I144" s="100">
        <f>SUMIF(data!$D:$D,$B144&amp;$D144,data!$J:$J)</f>
        <v>20</v>
      </c>
      <c r="J144" s="100">
        <f>SUMIF(data!$D:$D,$B144&amp;$D144,data!$K:$K)</f>
        <v>500</v>
      </c>
      <c r="K144" s="100">
        <f>SUMIF(AJOUT!$A:$A,BRAN!$V:$V,AJOUT!$L:$L)</f>
        <v>0</v>
      </c>
      <c r="L144" s="100">
        <f>SUMIF(CBOUT!$A:$A,BRAN!$V:$V,CBOUT!$G:$G)</f>
        <v>0</v>
      </c>
      <c r="M144" s="1161">
        <f t="shared" si="43"/>
        <v>741</v>
      </c>
      <c r="N144" s="652">
        <f t="shared" si="26"/>
        <v>18525</v>
      </c>
      <c r="O144" s="1162">
        <f t="shared" si="27"/>
        <v>3575</v>
      </c>
      <c r="P144" s="804"/>
      <c r="Q144" s="804"/>
      <c r="R144" s="100">
        <f>O144/INTGRATE!$N$293</f>
        <v>446.875</v>
      </c>
      <c r="S144" s="665">
        <f t="shared" si="38"/>
        <v>41.454545454545453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>
        <v>425</v>
      </c>
      <c r="AB144" s="100">
        <v>750</v>
      </c>
      <c r="AC144" s="100">
        <v>800</v>
      </c>
      <c r="AD144" s="100">
        <v>25</v>
      </c>
      <c r="AE144" s="100">
        <v>450</v>
      </c>
      <c r="AF144" s="100">
        <v>500</v>
      </c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3575</v>
      </c>
      <c r="BD144" s="786">
        <f t="shared" si="24"/>
        <v>7</v>
      </c>
      <c r="BE144" s="786">
        <f t="shared" si="25"/>
        <v>510.71428571428572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7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61">
        <f t="shared" si="43"/>
        <v>0</v>
      </c>
      <c r="N145" s="652">
        <f t="shared" si="26"/>
        <v>0</v>
      </c>
      <c r="O145" s="1162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7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61">
        <f t="shared" si="43"/>
        <v>0</v>
      </c>
      <c r="N146" s="652">
        <f t="shared" si="26"/>
        <v>0</v>
      </c>
      <c r="O146" s="1162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7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61">
        <f t="shared" si="43"/>
        <v>0</v>
      </c>
      <c r="N147" s="652">
        <f t="shared" si="26"/>
        <v>0</v>
      </c>
      <c r="O147" s="1162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7">
        <v>25</v>
      </c>
      <c r="E148" s="717">
        <v>561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61">
        <f t="shared" si="43"/>
        <v>561</v>
      </c>
      <c r="N148" s="652">
        <f t="shared" si="26"/>
        <v>14025</v>
      </c>
      <c r="O148" s="1162">
        <f t="shared" si="27"/>
        <v>3500</v>
      </c>
      <c r="P148" s="804"/>
      <c r="Q148" s="804"/>
      <c r="R148" s="100">
        <f>O148/INTGRATE!$N$293</f>
        <v>437.5</v>
      </c>
      <c r="S148" s="665">
        <f t="shared" si="38"/>
        <v>32.057142857142857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>
        <v>0</v>
      </c>
      <c r="AB148" s="100">
        <v>0</v>
      </c>
      <c r="AC148" s="100">
        <v>1000</v>
      </c>
      <c r="AD148" s="100">
        <v>0</v>
      </c>
      <c r="AE148" s="100">
        <v>0</v>
      </c>
      <c r="AF148" s="100">
        <v>0</v>
      </c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3500</v>
      </c>
      <c r="BD148" s="786">
        <f t="shared" si="45"/>
        <v>2</v>
      </c>
      <c r="BE148" s="786">
        <f t="shared" si="46"/>
        <v>1750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7">
        <v>25</v>
      </c>
      <c r="E149" s="717">
        <v>231</v>
      </c>
      <c r="F149" s="100">
        <f>SUMIF(pro!$A:$A,$V:$V,pro!$N:$N)</f>
        <v>1668</v>
      </c>
      <c r="G149" s="100"/>
      <c r="H149" s="100">
        <f>SUMIF(CBIN!$A:$A,BRAN!$V:$V,CBIN!$G:$G)</f>
        <v>0</v>
      </c>
      <c r="I149" s="100">
        <f>SUMIF(data!$D:$D,$B149&amp;$D149,data!$J:$J)</f>
        <v>468</v>
      </c>
      <c r="J149" s="100">
        <f>SUMIF(data!$D:$D,$B149&amp;$D149,data!$K:$K)</f>
        <v>11700</v>
      </c>
      <c r="K149" s="100">
        <f>SUMIF(AJOUT!$A:$A,BRAN!$V:$V,AJOUT!$L:$L)</f>
        <v>0</v>
      </c>
      <c r="L149" s="100">
        <f>SUMIF(CBOUT!$A:$A,BRAN!$V:$V,CBOUT!$G:$G)</f>
        <v>0</v>
      </c>
      <c r="M149" s="1161">
        <f t="shared" si="43"/>
        <v>1431</v>
      </c>
      <c r="N149" s="652">
        <f t="shared" si="26"/>
        <v>35775</v>
      </c>
      <c r="O149" s="1162">
        <f t="shared" si="27"/>
        <v>65100</v>
      </c>
      <c r="P149" s="804"/>
      <c r="Q149" s="804"/>
      <c r="R149" s="100">
        <f>O149/INTGRATE!$N$293</f>
        <v>8137.5</v>
      </c>
      <c r="S149" s="665">
        <f t="shared" si="38"/>
        <v>4.3963133640552998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>
        <v>11925</v>
      </c>
      <c r="AB149" s="157">
        <v>10875</v>
      </c>
      <c r="AC149" s="157">
        <v>3300</v>
      </c>
      <c r="AD149" s="157">
        <v>7875</v>
      </c>
      <c r="AE149" s="157">
        <v>16050</v>
      </c>
      <c r="AF149" s="157">
        <v>11700</v>
      </c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65100</v>
      </c>
      <c r="BD149" s="786">
        <f t="shared" si="45"/>
        <v>8</v>
      </c>
      <c r="BE149" s="786">
        <f t="shared" si="46"/>
        <v>8137.5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120" t="s">
        <v>69</v>
      </c>
      <c r="B150" s="1121"/>
      <c r="C150" s="1121"/>
      <c r="D150" s="1122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989060</v>
      </c>
      <c r="Q150" s="64">
        <f>SUM(Q13:Q19)</f>
        <v>2756385</v>
      </c>
      <c r="R150" s="64"/>
      <c r="S150" s="99"/>
      <c r="T150" s="1100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467085</v>
      </c>
      <c r="AB150" s="557">
        <f t="shared" si="47"/>
        <v>403845</v>
      </c>
      <c r="AC150" s="557">
        <f t="shared" si="47"/>
        <v>376520</v>
      </c>
      <c r="AD150" s="557">
        <f t="shared" si="47"/>
        <v>300575</v>
      </c>
      <c r="AE150" s="557">
        <f t="shared" si="47"/>
        <v>373040</v>
      </c>
      <c r="AF150" s="557">
        <f t="shared" si="47"/>
        <v>208675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2756385</v>
      </c>
      <c r="BD150" s="788"/>
      <c r="BE150" s="788"/>
      <c r="BH150" s="437"/>
    </row>
    <row r="151" spans="1:151" s="63" customFormat="1" ht="18" customHeight="1">
      <c r="A151" s="1120" t="s">
        <v>70</v>
      </c>
      <c r="B151" s="1121"/>
      <c r="C151" s="1121"/>
      <c r="D151" s="1122"/>
      <c r="E151" s="589">
        <f>+E36</f>
        <v>1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120</v>
      </c>
      <c r="I151" s="64">
        <f t="shared" si="50"/>
        <v>5</v>
      </c>
      <c r="J151" s="64">
        <f t="shared" si="50"/>
        <v>50</v>
      </c>
      <c r="K151" s="64">
        <f t="shared" si="50"/>
        <v>0</v>
      </c>
      <c r="L151" s="64">
        <f t="shared" si="50"/>
        <v>0</v>
      </c>
      <c r="M151" s="589">
        <f t="shared" si="50"/>
        <v>116</v>
      </c>
      <c r="N151" s="64">
        <f t="shared" si="50"/>
        <v>1160</v>
      </c>
      <c r="O151" s="589">
        <f t="shared" si="50"/>
        <v>1120</v>
      </c>
      <c r="P151" s="64"/>
      <c r="Q151" s="64"/>
      <c r="R151" s="64">
        <f>+R36</f>
        <v>140</v>
      </c>
      <c r="S151" s="64">
        <f>+S36</f>
        <v>8.2857142857142865</v>
      </c>
      <c r="T151" s="1101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120" t="s">
        <v>71</v>
      </c>
      <c r="B152" s="1121"/>
      <c r="C152" s="1121"/>
      <c r="D152" s="1122"/>
      <c r="E152" s="589">
        <f>SUM(E13:E22)</f>
        <v>0</v>
      </c>
      <c r="F152" s="64">
        <f t="shared" ref="F152:O152" si="51">SUM(F13:F22)</f>
        <v>40</v>
      </c>
      <c r="G152" s="64">
        <f t="shared" si="51"/>
        <v>0</v>
      </c>
      <c r="H152" s="64">
        <f t="shared" si="51"/>
        <v>0</v>
      </c>
      <c r="I152" s="64">
        <f t="shared" si="51"/>
        <v>0</v>
      </c>
      <c r="J152" s="64">
        <f t="shared" si="51"/>
        <v>0</v>
      </c>
      <c r="K152" s="64">
        <f t="shared" si="51"/>
        <v>0</v>
      </c>
      <c r="L152" s="64">
        <f t="shared" si="51"/>
        <v>0</v>
      </c>
      <c r="M152" s="589">
        <f t="shared" si="51"/>
        <v>40</v>
      </c>
      <c r="N152" s="64">
        <f t="shared" si="51"/>
        <v>1000</v>
      </c>
      <c r="O152" s="589">
        <f t="shared" si="51"/>
        <v>2950</v>
      </c>
      <c r="P152" s="64"/>
      <c r="Q152" s="64"/>
      <c r="R152" s="64">
        <f>SUM(R13:R22)</f>
        <v>368.75</v>
      </c>
      <c r="S152" s="64">
        <f>SUM(S13:S22)</f>
        <v>2.7118644067796609</v>
      </c>
      <c r="T152" s="1101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120" t="s">
        <v>72</v>
      </c>
      <c r="B153" s="1121"/>
      <c r="C153" s="1121"/>
      <c r="D153" s="1122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39017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8804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8345</v>
      </c>
      <c r="J153" s="64">
        <f t="shared" si="53"/>
        <v>208625</v>
      </c>
      <c r="K153" s="64">
        <f t="shared" si="53"/>
        <v>0</v>
      </c>
      <c r="L153" s="64">
        <f t="shared" si="53"/>
        <v>0</v>
      </c>
      <c r="M153" s="64">
        <f t="shared" si="53"/>
        <v>39476</v>
      </c>
      <c r="N153" s="64">
        <f t="shared" si="53"/>
        <v>986900</v>
      </c>
      <c r="O153" s="64">
        <f>O113+O99+O91+O95+O97-O31+SUM(O23:O33,O37,O38:O47,O79,O51,O55:O63,O72,O69,O74:O77,O81:O83,O86:O88,O90,O103,O108:O109,O129,O116,O119:O126,O131:O133,O137:O140,O143:O149,O68,O117)-O123+O93-O120+O111+O104-O124</f>
        <v>2269220</v>
      </c>
      <c r="P153" s="64">
        <f>P113+P99+P91+P95+P97-P31+SUM(P23:P33,P37,P38:P47,P79,P51,P55:P63,P72,P69,P74:P77,P81:P83,P86:P88,P90,P103,P108:P109,P129,P116,P119:P126,P131:P133,P137:P140,P143:P149,P68,P117)-P123+P93-P120+P111+P104-P124</f>
        <v>485550</v>
      </c>
      <c r="Q153" s="64">
        <f>Q113+Q99+Q91+Q95+Q97-Q31+SUM(Q23:Q33,Q37,Q38:Q47,Q79,Q51,Q55:Q63,Q72,Q69,Q74:Q77,Q81:Q83,Q86:Q88,Q90,Q103,Q108:Q109,Q129,Q116,Q119:Q126,Q131:Q133,Q137:Q140,Q143:Q149,Q68,Q117)-Q123+Q93-Q120+Q111+Q104-Q124</f>
        <v>1345375</v>
      </c>
      <c r="R153" s="64">
        <f>SUM(R23:R33,R37,R38:R47,R79,R51,R55:R63,R72,R69,R74:R77,R81:R83,R86:R88,R90,R103,R108:R109,R129,R116,R119:R126,R131:R133,R137:R140,R143:R149,R68,R117)-R123+R93-R120+R111+R104</f>
        <v>279055.625</v>
      </c>
      <c r="S153" s="64">
        <f>SUM(S23:S33,S37,S38:S47,S79,S51,S55:S63,S72,S74:S77,S81:S83,S86:S88,S90,S103,S108:S109,S116,S119:S126,S131:S133,S137:S140,S143:S149,S68,S117)-S123</f>
        <v>248.08592880015777</v>
      </c>
      <c r="T153" s="1101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120" t="s">
        <v>73</v>
      </c>
      <c r="B154" s="1121"/>
      <c r="C154" s="1121"/>
      <c r="D154" s="1122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77845</v>
      </c>
      <c r="P154" s="64">
        <f>SUM(P13:P149)-P151-P152-P153-P155-P65-P66</f>
        <v>989060</v>
      </c>
      <c r="Q154" s="64">
        <f>SUM(Q13:Q149)-Q151-Q152-Q153-Q155-Q65-Q66</f>
        <v>2756385</v>
      </c>
      <c r="R154" s="64">
        <f>SUM(R13:R149)-R151-R152-R153-R155-R65-R66</f>
        <v>14327.5</v>
      </c>
      <c r="S154" s="64">
        <f>SUM(S13:S149)-S151-S152-S153-S155</f>
        <v>45.581105303813786</v>
      </c>
      <c r="T154" s="1101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120" t="s">
        <v>74</v>
      </c>
      <c r="B155" s="1121"/>
      <c r="C155" s="1121"/>
      <c r="D155" s="1122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401500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50187.5</v>
      </c>
      <c r="S155" s="64">
        <f>S34+S35+S48+S52+S64+S67+S73+S84+S85+S89+S102+S107+S112+S118+S127+S128+S134+S136+S141+S123+S120+S105+S110+S130+S94+S31+S124+S101</f>
        <v>0</v>
      </c>
      <c r="T155" s="1101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14" t="s">
        <v>75</v>
      </c>
      <c r="B156" s="1115"/>
      <c r="C156" s="1115"/>
      <c r="D156" s="1116"/>
      <c r="E156" s="127">
        <f>SUM(E13:E149)</f>
        <v>39018</v>
      </c>
      <c r="F156" s="127">
        <f>SUM(F150:F154)</f>
        <v>8844</v>
      </c>
      <c r="G156" s="127">
        <f>SUM(G150:G154)</f>
        <v>0</v>
      </c>
      <c r="H156" s="127">
        <f>SUM(H13:H149)</f>
        <v>120</v>
      </c>
      <c r="I156" s="127">
        <f>SUM(I150:I154)</f>
        <v>8350</v>
      </c>
      <c r="J156" s="127">
        <f>SUM(J150:J154)</f>
        <v>208675</v>
      </c>
      <c r="K156" s="127">
        <f>SUM(K150:K154)</f>
        <v>0</v>
      </c>
      <c r="L156" s="127">
        <f>SUM(L150:L154)</f>
        <v>0</v>
      </c>
      <c r="M156" s="127">
        <f>SUM(M13:M149)</f>
        <v>39632</v>
      </c>
      <c r="N156" s="127">
        <f>SUM(N13:N149)</f>
        <v>989060</v>
      </c>
      <c r="O156" s="1107">
        <f>SUM(O13:O149)</f>
        <v>2756385</v>
      </c>
      <c r="P156" s="186"/>
      <c r="Q156" s="186"/>
      <c r="R156" s="1109">
        <f>SUM(R13:R149)</f>
        <v>344548.125</v>
      </c>
      <c r="S156" s="1118" t="s">
        <v>76</v>
      </c>
      <c r="T156" s="1101"/>
      <c r="U156" s="1163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120" t="s">
        <v>77</v>
      </c>
      <c r="B157" s="1121"/>
      <c r="C157" s="1121"/>
      <c r="D157" s="1122"/>
      <c r="E157" s="121">
        <f>E151*10+E152*25+E153*25+E154*40+E155</f>
        <v>975435</v>
      </c>
      <c r="F157" s="121">
        <f>F151*10+F152*25+F153*25+F154*40+F155</f>
        <v>221100</v>
      </c>
      <c r="G157" s="121">
        <f>SUM(G152:G153)*25+G154*40+G64+G73+G67+G52+G151*10</f>
        <v>0</v>
      </c>
      <c r="H157" s="121">
        <f>SUM(H152:H153)*25+H154*40+H64+H73+H67+H52+H151*10</f>
        <v>1200</v>
      </c>
      <c r="I157" s="121">
        <f>SUM(I13:I149)</f>
        <v>8350</v>
      </c>
      <c r="J157" s="121">
        <f>SUM(J13:J149)</f>
        <v>208675</v>
      </c>
      <c r="K157" s="121">
        <f>SUM(K152:K153)*25+K154*40+K64+K73+K67+K52+K151*10</f>
        <v>0</v>
      </c>
      <c r="L157" s="121">
        <f>SUM(L152:L153)*25+L154*40+L64+L73+L67+L52+L151*10</f>
        <v>0</v>
      </c>
      <c r="M157" s="471">
        <f>SUM(M152:M153)*25+M154*40+M64+M73+M67+M52+M151*10</f>
        <v>989060</v>
      </c>
      <c r="N157" s="121">
        <f>SUM(N13:N149)</f>
        <v>989060</v>
      </c>
      <c r="O157" s="1108"/>
      <c r="P157" s="187"/>
      <c r="Q157" s="187"/>
      <c r="R157" s="1110"/>
      <c r="S157" s="1119"/>
      <c r="T157" s="1126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13" t="s">
        <v>22</v>
      </c>
      <c r="B163" s="904" t="s">
        <v>23</v>
      </c>
      <c r="C163" s="904" t="s">
        <v>24</v>
      </c>
      <c r="D163" s="910" t="s">
        <v>178</v>
      </c>
      <c r="E163" s="61" t="s">
        <v>26</v>
      </c>
      <c r="F163" s="907" t="s">
        <v>27</v>
      </c>
      <c r="G163" s="908"/>
      <c r="H163" s="909"/>
      <c r="I163" s="907" t="s">
        <v>28</v>
      </c>
      <c r="J163" s="908"/>
      <c r="K163" s="908"/>
      <c r="L163" s="908"/>
      <c r="M163" s="907" t="s">
        <v>29</v>
      </c>
      <c r="N163" s="909"/>
      <c r="O163" s="183" t="s">
        <v>30</v>
      </c>
      <c r="P163" s="183"/>
      <c r="Q163" s="183"/>
      <c r="R163" s="183" t="s">
        <v>31</v>
      </c>
      <c r="S163" s="910" t="s">
        <v>32</v>
      </c>
      <c r="T163" s="922" t="s">
        <v>33</v>
      </c>
      <c r="U163" s="1095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14"/>
      <c r="B164" s="905"/>
      <c r="C164" s="905"/>
      <c r="D164" s="911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07" t="s">
        <v>40</v>
      </c>
      <c r="J164" s="908"/>
      <c r="K164" s="512" t="s">
        <v>41</v>
      </c>
      <c r="L164" s="681" t="s">
        <v>42</v>
      </c>
      <c r="M164" s="907" t="s">
        <v>43</v>
      </c>
      <c r="N164" s="909"/>
      <c r="O164" s="683" t="s">
        <v>44</v>
      </c>
      <c r="P164" s="184"/>
      <c r="Q164" s="184"/>
      <c r="R164" s="683" t="s">
        <v>45</v>
      </c>
      <c r="S164" s="911"/>
      <c r="T164" s="923"/>
      <c r="U164" s="1096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15"/>
      <c r="B165" s="906"/>
      <c r="C165" s="906"/>
      <c r="D165" s="912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12"/>
      <c r="T165" s="924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72">
        <v>25</v>
      </c>
      <c r="E166" s="100">
        <v>112</v>
      </c>
      <c r="F166" s="100">
        <f>SUMIF(pro!$A:$A,$V:$V,pro!$N:$N)</f>
        <v>190</v>
      </c>
      <c r="G166" s="100"/>
      <c r="H166" s="100">
        <f>SUMIF(CBIN!$A:$A,BRAN!$V:$V,CBIN!$G:$G)</f>
        <v>0</v>
      </c>
      <c r="I166" s="100">
        <f>SUMIF(data!$D:$D,$B166&amp;$D166,data!$J:$J)</f>
        <v>105</v>
      </c>
      <c r="J166" s="100">
        <f>SUMIF(data!$D:$D,$B166&amp;$D166,data!$K:$K)</f>
        <v>2625</v>
      </c>
      <c r="K166" s="100">
        <f>SUMIF(AJOUT!$A:$A,BRAN!$V:$V,AJOUT!$L:$L)</f>
        <v>0</v>
      </c>
      <c r="L166" s="100">
        <f>SUMIF(CBOUT!$A:$A,BRAN!$V:$V,CBOUT!$G:$G)</f>
        <v>0</v>
      </c>
      <c r="M166" s="1161">
        <f>E166+F166+H166-I166-L166+G166-K166</f>
        <v>197</v>
      </c>
      <c r="N166" s="100">
        <f>M166*D166</f>
        <v>4925</v>
      </c>
      <c r="O166" s="1162">
        <f t="shared" ref="O166:O192" si="57">SUM(X166:BB166)</f>
        <v>10625</v>
      </c>
      <c r="P166" s="804"/>
      <c r="Q166" s="804"/>
      <c r="R166" s="804">
        <f>O166/INTGRATE!$N$293</f>
        <v>1328.125</v>
      </c>
      <c r="S166" s="665">
        <f>IF(R166=0,0,N166/R166)</f>
        <v>3.7082352941176469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>
        <v>3625</v>
      </c>
      <c r="AB166" s="100">
        <v>0</v>
      </c>
      <c r="AC166" s="100">
        <v>0</v>
      </c>
      <c r="AD166" s="100">
        <v>3125</v>
      </c>
      <c r="AE166" s="100">
        <v>0</v>
      </c>
      <c r="AF166" s="100">
        <v>2625</v>
      </c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10625</v>
      </c>
      <c r="BD166" s="786">
        <f>COUNTIF(X166:BB166,"&gt;0")</f>
        <v>4</v>
      </c>
      <c r="BE166" s="786">
        <f>IFERROR(BC166/BD166,0)</f>
        <v>2656.25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72">
        <v>25</v>
      </c>
      <c r="E167" s="100">
        <v>163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25</v>
      </c>
      <c r="J167" s="100">
        <f>SUMIF(data!$D:$D,$B167&amp;$D167,data!$K:$K)</f>
        <v>625</v>
      </c>
      <c r="K167" s="100">
        <f>SUMIF(AJOUT!$A:$A,BRAN!$V:$V,AJOUT!$L:$L)</f>
        <v>0</v>
      </c>
      <c r="L167" s="100">
        <f>SUMIF(CBOUT!$A:$A,BRAN!$V:$V,CBOUT!$G:$G)</f>
        <v>0</v>
      </c>
      <c r="M167" s="1161">
        <f t="shared" ref="M167:M191" si="58">E167+F167+H167-I167-L167+G167-K167</f>
        <v>138</v>
      </c>
      <c r="N167" s="100">
        <f t="shared" ref="N167:N192" si="59">M167*D167</f>
        <v>3450</v>
      </c>
      <c r="O167" s="1162">
        <f t="shared" si="57"/>
        <v>1375</v>
      </c>
      <c r="P167" s="804">
        <f>+SUM(N166:N167)</f>
        <v>8375</v>
      </c>
      <c r="Q167" s="804">
        <f>+SUM(O166:O167)</f>
        <v>12000</v>
      </c>
      <c r="R167" s="804">
        <f>O167/INTGRATE!$N$293</f>
        <v>171.875</v>
      </c>
      <c r="S167" s="665">
        <f>IF(R167=0,0,N167/R167)</f>
        <v>20.072727272727274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750</v>
      </c>
      <c r="AE167" s="100">
        <v>0</v>
      </c>
      <c r="AF167" s="100">
        <v>625</v>
      </c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1375</v>
      </c>
      <c r="BD167" s="786">
        <f t="shared" ref="BD167" si="60">COUNTIF(X167:BB167,"&gt;0")</f>
        <v>2</v>
      </c>
      <c r="BE167" s="786">
        <f t="shared" ref="BE167" si="61">IFERROR(BC167/BD167,0)</f>
        <v>687.5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61">
        <f t="shared" si="58"/>
        <v>0</v>
      </c>
      <c r="N168" s="100">
        <f t="shared" si="59"/>
        <v>0</v>
      </c>
      <c r="O168" s="1162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100">
        <v>0</v>
      </c>
      <c r="AE168" s="100">
        <v>0</v>
      </c>
      <c r="AF168" s="100">
        <v>0</v>
      </c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61">
        <f>E169+F169+H169-I169-L169+G169-K169</f>
        <v>0</v>
      </c>
      <c r="N169" s="100">
        <f t="shared" si="59"/>
        <v>0</v>
      </c>
      <c r="O169" s="1162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100">
        <v>0</v>
      </c>
      <c r="AE169" s="100">
        <v>0</v>
      </c>
      <c r="AF169" s="100">
        <v>0</v>
      </c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61">
        <f>E170+F170+H170-I170-L170+G170-K170</f>
        <v>0</v>
      </c>
      <c r="N170" s="100">
        <f t="shared" si="59"/>
        <v>0</v>
      </c>
      <c r="O170" s="1162">
        <f>SUM(X170:BB170)</f>
        <v>0</v>
      </c>
      <c r="P170" s="804">
        <f>SUM(N178:N181)+N176</f>
        <v>125</v>
      </c>
      <c r="Q170" s="804">
        <f>SUM(O178:O181)+O176</f>
        <v>38025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100">
        <v>0</v>
      </c>
      <c r="AE170" s="100">
        <v>0</v>
      </c>
      <c r="AF170" s="100">
        <v>0</v>
      </c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61">
        <f>E171+F171+H171-I171-L171+G171-K171</f>
        <v>0</v>
      </c>
      <c r="N171" s="100">
        <f t="shared" si="59"/>
        <v>0</v>
      </c>
      <c r="O171" s="1162">
        <f t="shared" si="57"/>
        <v>0</v>
      </c>
      <c r="P171" s="804">
        <f>+SUM(N166:N192)-P167-P168-P170</f>
        <v>41900</v>
      </c>
      <c r="Q171" s="804">
        <f>+SUM(O166:O192)-Q167-Q168-Q170</f>
        <v>132625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100">
        <v>0</v>
      </c>
      <c r="AE171" s="100">
        <v>0</v>
      </c>
      <c r="AF171" s="100">
        <v>0</v>
      </c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816</v>
      </c>
      <c r="F172" s="100">
        <f>SUMIF(pro!$A:$A,$V:$V,pro!$N:$N)</f>
        <v>0</v>
      </c>
      <c r="G172" s="100"/>
      <c r="H172" s="100">
        <f>SUMIF(CBIN!$A:$A,BRAN!$V:$V,CBIN!$G:$G)</f>
        <v>0</v>
      </c>
      <c r="I172" s="100">
        <f>SUMIF(data!$D:$D,$B172&amp;$D172,data!$J:$J)</f>
        <v>555</v>
      </c>
      <c r="J172" s="100">
        <f>SUMIF(data!$D:$D,$B172&amp;$D172,data!$K:$K)</f>
        <v>13875</v>
      </c>
      <c r="K172" s="100">
        <f>SUMIF(AJOUT!$A:$A,BRAN!$V:$V,AJOUT!$L:$L)</f>
        <v>0</v>
      </c>
      <c r="L172" s="100">
        <f>SUMIF(CBOUT!$A:$A,BRAN!$V:$V,CBOUT!$G:$G)</f>
        <v>0</v>
      </c>
      <c r="M172" s="1161">
        <f>E172+F172+H172-I172-L172+G172-K172</f>
        <v>261</v>
      </c>
      <c r="N172" s="100">
        <f t="shared" si="59"/>
        <v>6525</v>
      </c>
      <c r="O172" s="1162">
        <f>SUM(X172:BB172)</f>
        <v>38475</v>
      </c>
      <c r="P172" s="804"/>
      <c r="Q172" s="804"/>
      <c r="R172" s="804">
        <f>O172/INTGRATE!$N$293</f>
        <v>4809.375</v>
      </c>
      <c r="S172" s="665">
        <f>IF(R172=0,0,(N57+N172)/(R172+R57))</f>
        <v>1.1018469656992085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>
        <v>0</v>
      </c>
      <c r="AB172" s="100">
        <v>10500</v>
      </c>
      <c r="AC172" s="100">
        <v>6750</v>
      </c>
      <c r="AD172" s="100">
        <v>2500</v>
      </c>
      <c r="AE172" s="100">
        <v>0</v>
      </c>
      <c r="AF172" s="100">
        <v>13875</v>
      </c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38475</v>
      </c>
      <c r="BD172" s="786">
        <f t="shared" si="63"/>
        <v>5</v>
      </c>
      <c r="BE172" s="786">
        <f t="shared" si="64"/>
        <v>7695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59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0</v>
      </c>
      <c r="L173" s="100">
        <f>SUMIF(CBOUT!$A:$A,BRAN!$V:$V,CBOUT!$G:$G)</f>
        <v>0</v>
      </c>
      <c r="M173" s="1161">
        <f>E173+F173+H173-I173-L173+G173-K173</f>
        <v>59</v>
      </c>
      <c r="N173" s="100">
        <f t="shared" si="59"/>
        <v>1475</v>
      </c>
      <c r="O173" s="1162">
        <f>SUM(X173:BB173)</f>
        <v>4750</v>
      </c>
      <c r="P173" s="804"/>
      <c r="Q173" s="804"/>
      <c r="R173" s="804">
        <f>O173/INTGRATE!$N$293</f>
        <v>593.75</v>
      </c>
      <c r="S173" s="665">
        <f>IF(R173=0,0,(N58+N173)/(R173+R58))</f>
        <v>8.5471039776692255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>
        <v>0</v>
      </c>
      <c r="AB173" s="100">
        <v>0</v>
      </c>
      <c r="AC173" s="100">
        <v>0</v>
      </c>
      <c r="AD173" s="100">
        <v>0</v>
      </c>
      <c r="AE173" s="100">
        <v>0</v>
      </c>
      <c r="AF173" s="100">
        <v>0</v>
      </c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61">
        <f t="shared" si="58"/>
        <v>0</v>
      </c>
      <c r="N174" s="100">
        <f t="shared" si="59"/>
        <v>0</v>
      </c>
      <c r="O174" s="1162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>
        <v>0</v>
      </c>
      <c r="AB174" s="100">
        <v>0</v>
      </c>
      <c r="AC174" s="100">
        <v>0</v>
      </c>
      <c r="AD174" s="100">
        <v>0</v>
      </c>
      <c r="AE174" s="100">
        <v>0</v>
      </c>
      <c r="AF174" s="100">
        <v>0</v>
      </c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61">
        <f t="shared" si="58"/>
        <v>0</v>
      </c>
      <c r="N175" s="100">
        <f t="shared" si="59"/>
        <v>0</v>
      </c>
      <c r="O175" s="1162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>
        <v>0</v>
      </c>
      <c r="AB175" s="100">
        <v>0</v>
      </c>
      <c r="AC175" s="100">
        <v>0</v>
      </c>
      <c r="AD175" s="100">
        <v>0</v>
      </c>
      <c r="AE175" s="100">
        <v>0</v>
      </c>
      <c r="AF175" s="100">
        <v>0</v>
      </c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2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0</v>
      </c>
      <c r="J176" s="100">
        <f>SUMIF(data!$D:$D,$B176&amp;$D176,data!$K:$K)</f>
        <v>0</v>
      </c>
      <c r="K176" s="100">
        <f>SUMIF(AJOUT!$A:$A,BRAN!$V:$V,AJOUT!$L:$L)</f>
        <v>0</v>
      </c>
      <c r="L176" s="100">
        <f>SUMIF(CBOUT!$A:$A,BRAN!$V:$V,CBOUT!$G:$G)</f>
        <v>0</v>
      </c>
      <c r="M176" s="1161">
        <f t="shared" si="58"/>
        <v>2</v>
      </c>
      <c r="N176" s="100">
        <f t="shared" si="59"/>
        <v>50</v>
      </c>
      <c r="O176" s="1162">
        <f t="shared" si="57"/>
        <v>9900</v>
      </c>
      <c r="P176" s="804"/>
      <c r="Q176" s="804"/>
      <c r="R176" s="804">
        <f>O176/INTGRATE!$N$293</f>
        <v>1237.5</v>
      </c>
      <c r="S176" s="665">
        <f t="shared" si="65"/>
        <v>4.0404040404040407E-2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>
        <v>550</v>
      </c>
      <c r="AB176" s="100">
        <v>3625</v>
      </c>
      <c r="AC176" s="100">
        <v>750</v>
      </c>
      <c r="AD176" s="100">
        <v>75</v>
      </c>
      <c r="AE176" s="100">
        <v>2375</v>
      </c>
      <c r="AF176" s="100">
        <v>0</v>
      </c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9900</v>
      </c>
      <c r="BD176" s="786">
        <f t="shared" si="63"/>
        <v>7</v>
      </c>
      <c r="BE176" s="786">
        <f t="shared" si="64"/>
        <v>1414.2857142857142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375</v>
      </c>
      <c r="F177" s="100">
        <f>SUMIF(pro!$A:$A,$V:$V,pro!$N:$N)</f>
        <v>220</v>
      </c>
      <c r="G177" s="100"/>
      <c r="H177" s="100">
        <f>SUMIF(CBIN!$A:$A,BRAN!$V:$V,CBIN!$G:$G)</f>
        <v>0</v>
      </c>
      <c r="I177" s="100">
        <f>SUMIF(data!$D:$D,$B177&amp;$D177,data!$J:$J)</f>
        <v>60</v>
      </c>
      <c r="J177" s="100">
        <f>SUMIF(data!$D:$D,$B177&amp;$D177,data!$K:$K)</f>
        <v>1500</v>
      </c>
      <c r="K177" s="100">
        <f>SUMIF(AJOUT!$A:$A,BRAN!$V:$V,AJOUT!$L:$L)</f>
        <v>0</v>
      </c>
      <c r="L177" s="100">
        <f>SUMIF(CBOUT!$A:$A,BRAN!$V:$V,CBOUT!$G:$G)</f>
        <v>0</v>
      </c>
      <c r="M177" s="1161">
        <f t="shared" si="58"/>
        <v>535</v>
      </c>
      <c r="N177" s="100">
        <f t="shared" si="59"/>
        <v>13375</v>
      </c>
      <c r="O177" s="1162">
        <f t="shared" si="57"/>
        <v>29775</v>
      </c>
      <c r="P177" s="804"/>
      <c r="Q177" s="804"/>
      <c r="R177" s="804">
        <f>O177/INTGRATE!$N$293</f>
        <v>3721.875</v>
      </c>
      <c r="S177" s="665">
        <f t="shared" si="65"/>
        <v>3.5936188077246012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>
        <v>3125</v>
      </c>
      <c r="AB177" s="100">
        <v>7100</v>
      </c>
      <c r="AC177" s="100">
        <v>0</v>
      </c>
      <c r="AD177" s="100">
        <v>1600</v>
      </c>
      <c r="AE177" s="100">
        <v>6525</v>
      </c>
      <c r="AF177" s="100">
        <v>1500</v>
      </c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29775</v>
      </c>
      <c r="BD177" s="786">
        <f t="shared" si="63"/>
        <v>7</v>
      </c>
      <c r="BE177" s="786">
        <f t="shared" si="64"/>
        <v>4253.5714285714284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61">
        <f>E178+F178+H178-I178-L178+G178-K178</f>
        <v>0</v>
      </c>
      <c r="N178" s="100">
        <f t="shared" si="59"/>
        <v>0</v>
      </c>
      <c r="O178" s="1162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>
        <v>0</v>
      </c>
      <c r="AB178" s="100">
        <v>0</v>
      </c>
      <c r="AC178" s="100">
        <v>0</v>
      </c>
      <c r="AD178" s="100">
        <v>0</v>
      </c>
      <c r="AE178" s="100">
        <v>0</v>
      </c>
      <c r="AF178" s="100">
        <v>0</v>
      </c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61">
        <f>E179+F179+H179-I179-L179+G179-K179</f>
        <v>0</v>
      </c>
      <c r="N179" s="100">
        <f t="shared" si="59"/>
        <v>0</v>
      </c>
      <c r="O179" s="1162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73</v>
      </c>
      <c r="F180" s="100">
        <f>SUMIF(pro!$A:$A,$V:$V,pro!$N:$N)</f>
        <v>0</v>
      </c>
      <c r="G180" s="100"/>
      <c r="H180" s="100">
        <f>SUMIF(CBIN!$A:$A,BRAN!$V:$V,CBIN!$G:$G)</f>
        <v>0</v>
      </c>
      <c r="I180" s="100">
        <f>SUMIF(data!$D:$D,$B180&amp;$D180,data!$J:$J)</f>
        <v>70</v>
      </c>
      <c r="J180" s="100">
        <f>SUMIF(data!$D:$D,$B180&amp;$D180,data!$K:$K)</f>
        <v>1750</v>
      </c>
      <c r="K180" s="100">
        <f>SUMIF(AJOUT!$A:$A,BRAN!$V:$V,AJOUT!$L:$L)</f>
        <v>0</v>
      </c>
      <c r="L180" s="100">
        <f>SUMIF(CBOUT!$A:$A,BRAN!$V:$V,CBOUT!$G:$G)</f>
        <v>0</v>
      </c>
      <c r="M180" s="1161">
        <f t="shared" si="58"/>
        <v>3</v>
      </c>
      <c r="N180" s="100">
        <f t="shared" si="59"/>
        <v>75</v>
      </c>
      <c r="O180" s="1162">
        <f t="shared" si="57"/>
        <v>28125</v>
      </c>
      <c r="P180" s="804"/>
      <c r="Q180" s="804"/>
      <c r="R180" s="804">
        <f>O180/INTGRATE!$N$293</f>
        <v>3515.625</v>
      </c>
      <c r="S180" s="665">
        <f t="shared" si="65"/>
        <v>2.1333333333333333E-2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>
        <v>750</v>
      </c>
      <c r="AB180" s="100">
        <v>9875</v>
      </c>
      <c r="AC180" s="100">
        <v>1100</v>
      </c>
      <c r="AD180" s="100">
        <v>900</v>
      </c>
      <c r="AE180" s="100">
        <v>11250</v>
      </c>
      <c r="AF180" s="100">
        <v>1750</v>
      </c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28125</v>
      </c>
      <c r="BD180" s="786">
        <f t="shared" si="63"/>
        <v>8</v>
      </c>
      <c r="BE180" s="786">
        <f t="shared" si="64"/>
        <v>3515.625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61">
        <f>E181+F181+H181-I181-L181+G181-K181</f>
        <v>0</v>
      </c>
      <c r="N181" s="100">
        <f t="shared" si="59"/>
        <v>0</v>
      </c>
      <c r="O181" s="1162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104</v>
      </c>
      <c r="F182" s="100">
        <f>SUMIF(pro!$A:$A,$V:$V,pro!$N:$N)</f>
        <v>0</v>
      </c>
      <c r="G182" s="100"/>
      <c r="H182" s="100">
        <f>SUMIF(CBIN!$A:$A,BRAN!$V:$V,CBIN!$G:$G)</f>
        <v>0</v>
      </c>
      <c r="I182" s="100">
        <f>SUMIF(data!$D:$D,$B182&amp;$D182,data!$J:$J)</f>
        <v>0</v>
      </c>
      <c r="J182" s="100">
        <f>SUMIF(data!$D:$D,$B182&amp;$D182,data!$K:$K)</f>
        <v>0</v>
      </c>
      <c r="K182" s="100">
        <f>SUMIF(AJOUT!$A:$A,BRAN!$V:$V,AJOUT!$L:$L)</f>
        <v>0</v>
      </c>
      <c r="L182" s="100">
        <f>SUMIF(CBOUT!$A:$A,BRAN!$V:$V,CBOUT!$G:$G)</f>
        <v>0</v>
      </c>
      <c r="M182" s="1161">
        <f t="shared" si="58"/>
        <v>104</v>
      </c>
      <c r="N182" s="100">
        <f t="shared" si="59"/>
        <v>2600</v>
      </c>
      <c r="O182" s="1162">
        <f t="shared" si="57"/>
        <v>22100</v>
      </c>
      <c r="P182" s="804"/>
      <c r="Q182" s="804"/>
      <c r="R182" s="804">
        <f>O182/INTGRATE!$N$293</f>
        <v>2762.5</v>
      </c>
      <c r="S182" s="665">
        <f t="shared" si="65"/>
        <v>0.94117647058823528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>
        <v>0</v>
      </c>
      <c r="AB182" s="100">
        <v>5000</v>
      </c>
      <c r="AC182" s="100">
        <v>5325</v>
      </c>
      <c r="AD182" s="100">
        <v>250</v>
      </c>
      <c r="AE182" s="100">
        <v>8250</v>
      </c>
      <c r="AF182" s="100">
        <v>0</v>
      </c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22100</v>
      </c>
      <c r="BD182" s="786">
        <f t="shared" si="63"/>
        <v>6</v>
      </c>
      <c r="BE182" s="786">
        <f t="shared" si="64"/>
        <v>3683.3333333333335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61">
        <f t="shared" si="58"/>
        <v>0</v>
      </c>
      <c r="N183" s="100">
        <f t="shared" si="59"/>
        <v>0</v>
      </c>
      <c r="O183" s="1162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402</v>
      </c>
      <c r="F184" s="100">
        <f>SUMIF(pro!$A:$A,$V:$V,pro!$N:$N)</f>
        <v>0</v>
      </c>
      <c r="G184" s="100"/>
      <c r="H184" s="100">
        <f>SUMIF(CBIN!$A:$A,BRAN!$V:$V,CBIN!$G:$G)</f>
        <v>0</v>
      </c>
      <c r="I184" s="100">
        <f>SUMIF(data!$D:$D,$B184&amp;$D184,data!$J:$J)</f>
        <v>42</v>
      </c>
      <c r="J184" s="100">
        <f>SUMIF(data!$D:$D,$B184&amp;$D184,data!$K:$K)</f>
        <v>1050</v>
      </c>
      <c r="K184" s="100">
        <f>SUMIF(AJOUT!$A:$A,BRAN!$V:$V,AJOUT!$L:$L)</f>
        <v>0</v>
      </c>
      <c r="L184" s="100">
        <f>SUMIF(CBOUT!$A:$A,BRAN!$V:$V,CBOUT!$G:$G)</f>
        <v>0</v>
      </c>
      <c r="M184" s="1161">
        <f t="shared" si="58"/>
        <v>360</v>
      </c>
      <c r="N184" s="100">
        <f t="shared" si="59"/>
        <v>9000</v>
      </c>
      <c r="O184" s="1162">
        <f t="shared" si="57"/>
        <v>19750</v>
      </c>
      <c r="P184" s="804"/>
      <c r="Q184" s="804"/>
      <c r="R184" s="804">
        <f>O184/INTGRATE!$N$293</f>
        <v>2468.75</v>
      </c>
      <c r="S184" s="665">
        <f t="shared" si="65"/>
        <v>3.6455696202531644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>
        <v>5250</v>
      </c>
      <c r="AB184" s="100">
        <v>4250</v>
      </c>
      <c r="AC184" s="100">
        <v>3450</v>
      </c>
      <c r="AD184" s="100">
        <v>750</v>
      </c>
      <c r="AE184" s="100">
        <v>1875</v>
      </c>
      <c r="AF184" s="100">
        <v>1050</v>
      </c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19750</v>
      </c>
      <c r="BD184" s="786">
        <f t="shared" si="63"/>
        <v>8</v>
      </c>
      <c r="BE184" s="786">
        <f t="shared" si="64"/>
        <v>2468.75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0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0</v>
      </c>
      <c r="J185" s="100">
        <f>SUMIF(data!$D:$D,$B185&amp;$D185,data!$K:$K)</f>
        <v>0</v>
      </c>
      <c r="K185" s="100">
        <f>SUMIF(AJOUT!$A:$A,BRAN!$V:$V,AJOUT!$L:$L)</f>
        <v>0</v>
      </c>
      <c r="L185" s="100">
        <f>SUMIF(CBOUT!$A:$A,BRAN!$V:$V,CBOUT!$G:$G)</f>
        <v>0</v>
      </c>
      <c r="M185" s="1161">
        <f t="shared" si="58"/>
        <v>0</v>
      </c>
      <c r="N185" s="100">
        <f t="shared" si="59"/>
        <v>0</v>
      </c>
      <c r="O185" s="1162">
        <f t="shared" si="57"/>
        <v>5550</v>
      </c>
      <c r="P185" s="804"/>
      <c r="Q185" s="804"/>
      <c r="R185" s="804">
        <f>O185/INTGRATE!$N$293</f>
        <v>693.75</v>
      </c>
      <c r="S185" s="665">
        <f t="shared" si="65"/>
        <v>0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>
        <v>1050</v>
      </c>
      <c r="AB185" s="100">
        <v>250</v>
      </c>
      <c r="AC185" s="100">
        <v>1400</v>
      </c>
      <c r="AD185" s="100">
        <v>2175</v>
      </c>
      <c r="AE185" s="100">
        <v>0</v>
      </c>
      <c r="AF185" s="100">
        <v>0</v>
      </c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5550</v>
      </c>
      <c r="BD185" s="786">
        <f t="shared" si="63"/>
        <v>6</v>
      </c>
      <c r="BE185" s="786">
        <f t="shared" si="64"/>
        <v>925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218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7</v>
      </c>
      <c r="J186" s="100">
        <f>SUMIF(data!$D:$D,$B186&amp;$D186,data!$K:$K)</f>
        <v>175</v>
      </c>
      <c r="K186" s="100">
        <f>SUMIF(AJOUT!$A:$A,BRAN!$V:$V,AJOUT!$L:$L)</f>
        <v>0</v>
      </c>
      <c r="L186" s="100">
        <f>SUMIF(CBOUT!$A:$A,BRAN!$V:$V,CBOUT!$G:$G)</f>
        <v>0</v>
      </c>
      <c r="M186" s="1161">
        <f t="shared" si="58"/>
        <v>211</v>
      </c>
      <c r="N186" s="100">
        <f t="shared" si="59"/>
        <v>5275</v>
      </c>
      <c r="O186" s="1162">
        <f t="shared" si="57"/>
        <v>4250</v>
      </c>
      <c r="P186" s="804"/>
      <c r="Q186" s="804"/>
      <c r="R186" s="804">
        <f>O186/INTGRATE!$N$293</f>
        <v>531.25</v>
      </c>
      <c r="S186" s="665">
        <f t="shared" si="65"/>
        <v>9.9294117647058826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>
        <v>0</v>
      </c>
      <c r="AB186" s="100">
        <v>1075</v>
      </c>
      <c r="AC186" s="100">
        <v>0</v>
      </c>
      <c r="AD186" s="100">
        <v>0</v>
      </c>
      <c r="AE186" s="100">
        <v>0</v>
      </c>
      <c r="AF186" s="100">
        <v>175</v>
      </c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4250</v>
      </c>
      <c r="BD186" s="786">
        <f t="shared" si="63"/>
        <v>3</v>
      </c>
      <c r="BE186" s="786">
        <f t="shared" si="64"/>
        <v>1416.6666666666667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61">
        <f t="shared" si="58"/>
        <v>0</v>
      </c>
      <c r="N187" s="100">
        <f t="shared" si="59"/>
        <v>0</v>
      </c>
      <c r="O187" s="1162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61">
        <f>E188+F188+H188-I188-L188+G188-K188</f>
        <v>0</v>
      </c>
      <c r="N188" s="100">
        <f t="shared" si="59"/>
        <v>0</v>
      </c>
      <c r="O188" s="1162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61">
        <f>E189+F189+H189-I189-L189+G189-K189</f>
        <v>0</v>
      </c>
      <c r="N189" s="100">
        <f t="shared" si="59"/>
        <v>0</v>
      </c>
      <c r="O189" s="1162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>
        <v>0</v>
      </c>
      <c r="AB189" s="100">
        <v>0</v>
      </c>
      <c r="AC189" s="100">
        <v>0</v>
      </c>
      <c r="AD189" s="100">
        <v>0</v>
      </c>
      <c r="AE189" s="100">
        <v>0</v>
      </c>
      <c r="AF189" s="100">
        <v>0</v>
      </c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61">
        <f t="shared" si="58"/>
        <v>0</v>
      </c>
      <c r="N190" s="100">
        <f t="shared" si="59"/>
        <v>0</v>
      </c>
      <c r="O190" s="1162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>
        <v>0</v>
      </c>
      <c r="AB190" s="100">
        <v>0</v>
      </c>
      <c r="AC190" s="100">
        <v>0</v>
      </c>
      <c r="AD190" s="100">
        <v>0</v>
      </c>
      <c r="AE190" s="100">
        <v>0</v>
      </c>
      <c r="AF190" s="100">
        <v>0</v>
      </c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0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0</v>
      </c>
      <c r="J191" s="100">
        <f>SUMIF(data!$D:$D,$B191&amp;$D191,data!$K:$K)</f>
        <v>0</v>
      </c>
      <c r="K191" s="100">
        <f>SUMIF(AJOUT!$A:$A,BRAN!$V:$V,AJOUT!$L:$L)</f>
        <v>0</v>
      </c>
      <c r="L191" s="100">
        <f>SUMIF(CBOUT!$A:$A,BRAN!$V:$V,CBOUT!$G:$G)</f>
        <v>0</v>
      </c>
      <c r="M191" s="1161">
        <f t="shared" si="58"/>
        <v>0</v>
      </c>
      <c r="N191" s="100">
        <f t="shared" si="59"/>
        <v>0</v>
      </c>
      <c r="O191" s="1162">
        <f t="shared" si="57"/>
        <v>4350</v>
      </c>
      <c r="P191" s="804"/>
      <c r="Q191" s="804"/>
      <c r="R191" s="804">
        <f>O191/INTGRATE!$N$293</f>
        <v>543.75</v>
      </c>
      <c r="S191" s="665">
        <f t="shared" si="65"/>
        <v>0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>
        <v>250</v>
      </c>
      <c r="AB191" s="100">
        <v>0</v>
      </c>
      <c r="AC191" s="100">
        <v>750</v>
      </c>
      <c r="AD191" s="100">
        <v>650</v>
      </c>
      <c r="AE191" s="100">
        <v>0</v>
      </c>
      <c r="AF191" s="100">
        <v>0</v>
      </c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4350</v>
      </c>
      <c r="BD191" s="786">
        <f t="shared" si="63"/>
        <v>4</v>
      </c>
      <c r="BE191" s="786">
        <f t="shared" si="64"/>
        <v>1087.5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7">
        <v>25</v>
      </c>
      <c r="E192" s="157">
        <v>0</v>
      </c>
      <c r="F192" s="100">
        <f>SUMIF(pro!$A:$A,$V:$V,pro!$N:$N)</f>
        <v>201</v>
      </c>
      <c r="G192" s="157"/>
      <c r="H192" s="100">
        <f>SUMIF(CBIN!$A:$A,BRAN!$V:$V,CBIN!$G:$G)</f>
        <v>0</v>
      </c>
      <c r="I192" s="100">
        <f>SUMIF(data!$D:$D,$B192&amp;$D192,data!$J:$J)</f>
        <v>55</v>
      </c>
      <c r="J192" s="100">
        <f>SUMIF(data!$D:$D,$B192&amp;$D192,data!$K:$K)</f>
        <v>1375</v>
      </c>
      <c r="K192" s="100">
        <f>SUMIF(AJOUT!$A:$A,BRAN!$V:$V,AJOUT!$L:$L)</f>
        <v>0</v>
      </c>
      <c r="L192" s="100">
        <f>SUMIF(CBOUT!$A:$A,BRAN!$V:$V,CBOUT!$G:$G)</f>
        <v>0</v>
      </c>
      <c r="M192" s="1161">
        <f>E192+F192+H192-I192-L192+G192-K192</f>
        <v>146</v>
      </c>
      <c r="N192" s="100">
        <f t="shared" si="59"/>
        <v>3650</v>
      </c>
      <c r="O192" s="1162">
        <f t="shared" si="57"/>
        <v>3625</v>
      </c>
      <c r="P192" s="804"/>
      <c r="Q192" s="804"/>
      <c r="R192" s="804">
        <f>O192/INTGRATE!$N$293</f>
        <v>453.125</v>
      </c>
      <c r="S192" s="665">
        <f t="shared" si="65"/>
        <v>8.0551724137931036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>
        <v>0</v>
      </c>
      <c r="AB192" s="558">
        <v>500</v>
      </c>
      <c r="AC192" s="558"/>
      <c r="AD192" s="100">
        <v>0</v>
      </c>
      <c r="AE192" s="558">
        <v>0</v>
      </c>
      <c r="AF192" s="100">
        <v>1375</v>
      </c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3625</v>
      </c>
      <c r="BD192" s="786">
        <f t="shared" si="63"/>
        <v>3</v>
      </c>
      <c r="BE192" s="786">
        <f t="shared" si="64"/>
        <v>1208.3333333333333</v>
      </c>
      <c r="BH192" s="436"/>
    </row>
    <row r="193" spans="1:60" s="63" customFormat="1" ht="15" customHeight="1">
      <c r="A193" s="1120" t="s">
        <v>71</v>
      </c>
      <c r="B193" s="1121"/>
      <c r="C193" s="1121"/>
      <c r="D193" s="1122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100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14600</v>
      </c>
      <c r="AB193" s="79">
        <f t="shared" si="66"/>
        <v>42175</v>
      </c>
      <c r="AC193" s="79">
        <f t="shared" si="66"/>
        <v>19525</v>
      </c>
      <c r="AD193" s="79">
        <f t="shared" si="66"/>
        <v>12775</v>
      </c>
      <c r="AE193" s="79">
        <f t="shared" si="66"/>
        <v>30275</v>
      </c>
      <c r="AF193" s="79">
        <f t="shared" si="66"/>
        <v>22975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182650</v>
      </c>
      <c r="BD193" s="789"/>
      <c r="BE193" s="789"/>
      <c r="BH193" s="437"/>
    </row>
    <row r="194" spans="1:60" s="63" customFormat="1" ht="15" customHeight="1">
      <c r="A194" s="1120" t="s">
        <v>72</v>
      </c>
      <c r="B194" s="1121"/>
      <c r="C194" s="1121"/>
      <c r="D194" s="1122"/>
      <c r="E194" s="64">
        <f>SUM(E166:E173,E176:E192)</f>
        <v>2324</v>
      </c>
      <c r="F194" s="64">
        <f>SUM(F166:F173,F176:F192)</f>
        <v>611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919</v>
      </c>
      <c r="J194" s="64">
        <f t="shared" si="67"/>
        <v>22975</v>
      </c>
      <c r="K194" s="64">
        <f t="shared" si="67"/>
        <v>0</v>
      </c>
      <c r="L194" s="64">
        <f t="shared" si="67"/>
        <v>0</v>
      </c>
      <c r="M194" s="64">
        <f t="shared" si="67"/>
        <v>2016</v>
      </c>
      <c r="N194" s="64">
        <f t="shared" si="67"/>
        <v>50400</v>
      </c>
      <c r="O194" s="64">
        <f t="shared" si="67"/>
        <v>182650</v>
      </c>
      <c r="P194" s="64">
        <f t="shared" si="67"/>
        <v>50400</v>
      </c>
      <c r="Q194" s="64">
        <f t="shared" si="67"/>
        <v>182650</v>
      </c>
      <c r="R194" s="64">
        <f t="shared" si="67"/>
        <v>22831.25</v>
      </c>
      <c r="S194" s="64">
        <f>SUM(S166:S172,S176:S192)</f>
        <v>51.109495983346491</v>
      </c>
      <c r="T194" s="1101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120" t="s">
        <v>73</v>
      </c>
      <c r="B195" s="1121"/>
      <c r="C195" s="1121"/>
      <c r="D195" s="1122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101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14" t="s">
        <v>75</v>
      </c>
      <c r="B196" s="1115"/>
      <c r="C196" s="1115"/>
      <c r="D196" s="1116"/>
      <c r="E196" s="125">
        <f>SUM(E193:E195)</f>
        <v>2324</v>
      </c>
      <c r="F196" s="125">
        <f>SUM(F193:F195)</f>
        <v>611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919</v>
      </c>
      <c r="J196" s="125">
        <f>SUM(J193:J195)</f>
        <v>22975</v>
      </c>
      <c r="K196" s="125">
        <f>SUM(K193:K195)</f>
        <v>0</v>
      </c>
      <c r="L196" s="125">
        <f t="shared" si="69"/>
        <v>0</v>
      </c>
      <c r="M196" s="475">
        <f t="shared" si="69"/>
        <v>2016</v>
      </c>
      <c r="N196" s="125">
        <f t="shared" si="69"/>
        <v>50400</v>
      </c>
      <c r="O196" s="1107">
        <f>SUM(O166:O192)</f>
        <v>182650</v>
      </c>
      <c r="P196" s="186"/>
      <c r="Q196" s="186"/>
      <c r="R196" s="1109">
        <f>SUM(R166:R192)</f>
        <v>22831.25</v>
      </c>
      <c r="S196" s="1118" t="s">
        <v>191</v>
      </c>
      <c r="T196" s="1101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120" t="s">
        <v>77</v>
      </c>
      <c r="B197" s="1121"/>
      <c r="C197" s="1121"/>
      <c r="D197" s="1122"/>
      <c r="E197" s="120">
        <f>SUM(E193:E194)*25+E195*40</f>
        <v>58100</v>
      </c>
      <c r="F197" s="120">
        <f>SUM(F193:F194)*25+F195*40</f>
        <v>15275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22975</v>
      </c>
      <c r="J197" s="120">
        <f>SUM(J193:J194)+J195</f>
        <v>22975</v>
      </c>
      <c r="K197" s="120">
        <f>+K194*25</f>
        <v>0</v>
      </c>
      <c r="L197" s="120">
        <f>SUM(L193:L194)*25+L195*40</f>
        <v>0</v>
      </c>
      <c r="M197" s="476">
        <f>SUM(M193:M194)*25+M195*40</f>
        <v>50400</v>
      </c>
      <c r="N197" s="120">
        <f>SUM(N193:N194)+N195</f>
        <v>50400</v>
      </c>
      <c r="O197" s="1108"/>
      <c r="P197" s="187"/>
      <c r="Q197" s="187"/>
      <c r="R197" s="1110"/>
      <c r="S197" s="1119"/>
      <c r="T197" s="1126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13" t="s">
        <v>22</v>
      </c>
      <c r="B203" s="904" t="s">
        <v>23</v>
      </c>
      <c r="C203" s="904" t="s">
        <v>24</v>
      </c>
      <c r="D203" s="910" t="s">
        <v>178</v>
      </c>
      <c r="E203" s="61" t="s">
        <v>26</v>
      </c>
      <c r="F203" s="907" t="s">
        <v>27</v>
      </c>
      <c r="G203" s="908"/>
      <c r="H203" s="909"/>
      <c r="I203" s="907" t="s">
        <v>28</v>
      </c>
      <c r="J203" s="908"/>
      <c r="K203" s="908"/>
      <c r="L203" s="908"/>
      <c r="M203" s="907" t="s">
        <v>29</v>
      </c>
      <c r="N203" s="909"/>
      <c r="O203" s="183" t="s">
        <v>30</v>
      </c>
      <c r="P203" s="183"/>
      <c r="Q203" s="183"/>
      <c r="R203" s="183" t="s">
        <v>31</v>
      </c>
      <c r="S203" s="910" t="s">
        <v>32</v>
      </c>
      <c r="T203" s="922" t="s">
        <v>33</v>
      </c>
      <c r="U203" s="1095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14"/>
      <c r="B204" s="905"/>
      <c r="C204" s="905"/>
      <c r="D204" s="911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07" t="s">
        <v>40</v>
      </c>
      <c r="J204" s="908"/>
      <c r="K204" s="512" t="s">
        <v>41</v>
      </c>
      <c r="L204" s="681" t="s">
        <v>42</v>
      </c>
      <c r="M204" s="907" t="s">
        <v>43</v>
      </c>
      <c r="N204" s="909"/>
      <c r="O204" s="683" t="s">
        <v>44</v>
      </c>
      <c r="P204" s="184"/>
      <c r="Q204" s="184"/>
      <c r="R204" s="683" t="s">
        <v>45</v>
      </c>
      <c r="S204" s="911"/>
      <c r="T204" s="923"/>
      <c r="U204" s="1096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15"/>
      <c r="B205" s="906"/>
      <c r="C205" s="906"/>
      <c r="D205" s="912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12"/>
      <c r="T205" s="924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61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61">
        <f>E206+F206+H206-I206-L206+G206-K206</f>
        <v>0</v>
      </c>
      <c r="N206" s="100">
        <f>+M206*D206</f>
        <v>0</v>
      </c>
      <c r="O206" s="1162">
        <f t="shared" ref="O206:O275" si="71">SUM(X206:BB206)</f>
        <v>0</v>
      </c>
      <c r="P206" s="805">
        <f>SUM(N233:N243,N206:N207,N216,N232)+N227+N228+N209</f>
        <v>16775</v>
      </c>
      <c r="Q206" s="805">
        <f>SUM(O233:O243,O206:O207,O216,O232)+O227+O228+O209</f>
        <v>166040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61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61">
        <f>E207+F207+H207-I207-L207+G207-K207</f>
        <v>0</v>
      </c>
      <c r="N207" s="100"/>
      <c r="O207" s="1162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61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61">
        <v>0</v>
      </c>
      <c r="N208" s="100">
        <f t="shared" ref="N208:N210" si="76">M208*25</f>
        <v>0</v>
      </c>
      <c r="O208" s="1162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61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61">
        <v>0</v>
      </c>
      <c r="N209" s="100">
        <f t="shared" si="76"/>
        <v>0</v>
      </c>
      <c r="O209" s="1162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61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61">
        <v>0</v>
      </c>
      <c r="N210" s="100">
        <f t="shared" si="76"/>
        <v>0</v>
      </c>
      <c r="O210" s="1162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61">
        <v>1771</v>
      </c>
      <c r="F211" s="100">
        <f>SUMIF(pro!$A:$A,$V:$V,pro!$N:$N)</f>
        <v>0</v>
      </c>
      <c r="G211" s="100"/>
      <c r="H211" s="100">
        <f>SUMIF(CBIN!$A:$A,BRAN!$V:$V,CBIN!$G:$G)</f>
        <v>0</v>
      </c>
      <c r="I211" s="100">
        <f>SUMIF(data!$D:$D,$B211&amp;$D211,data!$J:$J)</f>
        <v>1</v>
      </c>
      <c r="J211" s="100">
        <f>SUMIF(data!$D:$D,$B211&amp;$D211,data!$K:$K)</f>
        <v>25</v>
      </c>
      <c r="K211" s="100">
        <f>SUMIF(AJOUT!$A:$A,BRAN!$V:$V,AJOUT!$L:$L)</f>
        <v>0</v>
      </c>
      <c r="L211" s="100">
        <f>SUMIF(CBOUT!$A:$A,BRAN!$V:$V,CBOUT!$G:$G)</f>
        <v>0</v>
      </c>
      <c r="M211" s="1161">
        <f>E211+F211+H211-I211-L211+G211-K211</f>
        <v>1770</v>
      </c>
      <c r="N211" s="100">
        <f>+M211*D211</f>
        <v>44250</v>
      </c>
      <c r="O211" s="1162">
        <f t="shared" si="71"/>
        <v>53150</v>
      </c>
      <c r="P211" s="805"/>
      <c r="Q211" s="805"/>
      <c r="R211" s="804">
        <f>O211/INTGRATE!$N$293</f>
        <v>6643.75</v>
      </c>
      <c r="S211" s="665">
        <f t="shared" si="72"/>
        <v>6.6603951081843835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>
        <v>0</v>
      </c>
      <c r="AB211" s="100">
        <v>0</v>
      </c>
      <c r="AC211" s="100">
        <v>3250</v>
      </c>
      <c r="AD211" s="100">
        <v>23500</v>
      </c>
      <c r="AE211" s="100">
        <v>7500</v>
      </c>
      <c r="AF211" s="100">
        <v>25</v>
      </c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53150</v>
      </c>
      <c r="BD211" s="786">
        <f t="shared" si="78"/>
        <v>5</v>
      </c>
      <c r="BE211" s="786">
        <f t="shared" si="79"/>
        <v>10630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61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61"/>
      <c r="N212" s="100"/>
      <c r="O212" s="1162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>
        <v>0</v>
      </c>
      <c r="AB212" s="100">
        <v>0</v>
      </c>
      <c r="AC212" s="100">
        <v>0</v>
      </c>
      <c r="AD212" s="100">
        <v>0</v>
      </c>
      <c r="AE212" s="100">
        <v>0</v>
      </c>
      <c r="AF212" s="100">
        <v>0</v>
      </c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61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61"/>
      <c r="N213" s="100"/>
      <c r="O213" s="1162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>
        <v>0</v>
      </c>
      <c r="AF213" s="100">
        <v>0</v>
      </c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61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61">
        <f>E214+F214+H214-I214-L214+G214-K214</f>
        <v>0</v>
      </c>
      <c r="N214" s="100">
        <f t="shared" ref="N214:N275" si="81">+M214*D214</f>
        <v>0</v>
      </c>
      <c r="O214" s="1162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61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61">
        <f>E215+F215+H215-I215-L215+G215-K215</f>
        <v>0</v>
      </c>
      <c r="N215" s="100">
        <f t="shared" si="81"/>
        <v>0</v>
      </c>
      <c r="O215" s="1162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61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61">
        <f>E216+F216+H216-I216-L216+G216-K216</f>
        <v>0</v>
      </c>
      <c r="N216" s="100"/>
      <c r="O216" s="1162">
        <f t="shared" si="71"/>
        <v>0</v>
      </c>
      <c r="P216" s="805">
        <f>+N245+N246+N223+N224+N230+N231</f>
        <v>11000</v>
      </c>
      <c r="Q216" s="805">
        <f>+O245+O246+O223+O224+O230+O231</f>
        <v>30125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61">
        <v>223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61">
        <f>E217+F217+H217-I217-L217+G217-K217</f>
        <v>223</v>
      </c>
      <c r="N217" s="100">
        <f t="shared" si="81"/>
        <v>5575</v>
      </c>
      <c r="O217" s="1162">
        <f t="shared" si="71"/>
        <v>1750</v>
      </c>
      <c r="P217" s="805"/>
      <c r="Q217" s="805"/>
      <c r="R217" s="804">
        <f>O217/INTGRATE!$N$293</f>
        <v>218.75</v>
      </c>
      <c r="S217" s="665">
        <f t="shared" si="82"/>
        <v>25.485714285714284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>
        <v>0</v>
      </c>
      <c r="AB217" s="100">
        <v>0</v>
      </c>
      <c r="AC217" s="100">
        <v>500</v>
      </c>
      <c r="AD217" s="100">
        <v>0</v>
      </c>
      <c r="AE217" s="100">
        <v>0</v>
      </c>
      <c r="AF217" s="100">
        <v>0</v>
      </c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1750</v>
      </c>
      <c r="BD217" s="786">
        <f t="shared" si="78"/>
        <v>2</v>
      </c>
      <c r="BE217" s="786">
        <f t="shared" si="79"/>
        <v>875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61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61">
        <v>0</v>
      </c>
      <c r="N218" s="100"/>
      <c r="O218" s="1162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>
        <v>0</v>
      </c>
      <c r="AB218" s="100">
        <v>0</v>
      </c>
      <c r="AC218" s="100">
        <v>0</v>
      </c>
      <c r="AD218" s="100">
        <v>0</v>
      </c>
      <c r="AE218" s="100">
        <v>0</v>
      </c>
      <c r="AF218" s="100">
        <v>0</v>
      </c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61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61"/>
      <c r="N219" s="100"/>
      <c r="O219" s="1162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>
        <v>0</v>
      </c>
      <c r="AF219" s="100">
        <v>0</v>
      </c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61">
        <v>325</v>
      </c>
      <c r="F220" s="100">
        <f>SUMIF(pro!$A:$A,$V:$V,pro!$N:$N)</f>
        <v>250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>
        <f>SUMIF(AJOUT!$A:$A,BRAN!$V:$V,AJOUT!$L:$L)</f>
        <v>0</v>
      </c>
      <c r="L220" s="100">
        <f>SUMIF(CBOUT!$A:$A,BRAN!$V:$V,CBOUT!$G:$G)</f>
        <v>0</v>
      </c>
      <c r="M220" s="1161">
        <f>E220+F220+H220-I220-L220+G220-K220</f>
        <v>575</v>
      </c>
      <c r="N220" s="100">
        <f t="shared" si="81"/>
        <v>14375</v>
      </c>
      <c r="O220" s="1162">
        <f>SUM(X220:BB220)</f>
        <v>8550</v>
      </c>
      <c r="P220" s="805"/>
      <c r="Q220" s="805"/>
      <c r="R220" s="804">
        <f>O220/INTGRATE!$N$293</f>
        <v>1068.75</v>
      </c>
      <c r="S220" s="665">
        <f>IF(R220=0,0,N220/R220)</f>
        <v>13.450292397660819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>
        <v>4300</v>
      </c>
      <c r="AC220" s="100">
        <v>0</v>
      </c>
      <c r="AD220" s="100">
        <v>0</v>
      </c>
      <c r="AE220" s="100">
        <v>4250</v>
      </c>
      <c r="AF220" s="100">
        <v>0</v>
      </c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8550</v>
      </c>
      <c r="BD220" s="786">
        <f t="shared" si="78"/>
        <v>2</v>
      </c>
      <c r="BE220" s="786">
        <f t="shared" si="79"/>
        <v>4275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61">
        <v>1285</v>
      </c>
      <c r="F221" s="100">
        <f>SUMIF(pro!$A:$A,$V:$V,pro!$N:$N)</f>
        <v>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61">
        <f>E221+F221+H221-I221-L221+G221-K221</f>
        <v>1285</v>
      </c>
      <c r="N221" s="100">
        <f t="shared" si="81"/>
        <v>32125</v>
      </c>
      <c r="O221" s="1162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>
        <v>0</v>
      </c>
      <c r="AB221" s="100">
        <v>0</v>
      </c>
      <c r="AC221" s="100">
        <v>0</v>
      </c>
      <c r="AD221" s="100">
        <v>0</v>
      </c>
      <c r="AE221" s="100">
        <v>0</v>
      </c>
      <c r="AF221" s="100">
        <v>0</v>
      </c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61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61">
        <v>0</v>
      </c>
      <c r="N222" s="100"/>
      <c r="O222" s="1162">
        <f t="shared" si="71"/>
        <v>15000</v>
      </c>
      <c r="P222" s="805"/>
      <c r="Q222" s="805"/>
      <c r="R222" s="804">
        <f>O222/INTGRATE!$N$293</f>
        <v>1875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>
        <v>15000</v>
      </c>
      <c r="AC222" s="100">
        <v>0</v>
      </c>
      <c r="AD222" s="100">
        <v>0</v>
      </c>
      <c r="AE222" s="100">
        <v>0</v>
      </c>
      <c r="AF222" s="100">
        <v>0</v>
      </c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15000</v>
      </c>
      <c r="BD222" s="786">
        <f t="shared" si="78"/>
        <v>1</v>
      </c>
      <c r="BE222" s="786">
        <f t="shared" si="79"/>
        <v>15000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61">
        <v>248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190</v>
      </c>
      <c r="J223" s="100">
        <f>SUMIF(data!$D:$D,$B223&amp;$D223,data!$K:$K)</f>
        <v>4750</v>
      </c>
      <c r="K223" s="100">
        <f>SUMIF(AJOUT!$A:$A,BRAN!$V:$V,AJOUT!$L:$L)</f>
        <v>0</v>
      </c>
      <c r="L223" s="100">
        <f>SUMIF(CBOUT!$A:$A,BRAN!$V:$V,CBOUT!$G:$G)</f>
        <v>0</v>
      </c>
      <c r="M223" s="1161">
        <f t="shared" ref="M223:M250" si="84">E223+F223+H223-I223-L223+G223-K223</f>
        <v>58</v>
      </c>
      <c r="N223" s="100">
        <f t="shared" si="81"/>
        <v>1450</v>
      </c>
      <c r="O223" s="1162">
        <f t="shared" si="71"/>
        <v>5950</v>
      </c>
      <c r="P223" s="805"/>
      <c r="Q223" s="805"/>
      <c r="R223" s="804">
        <f>O223/INTGRATE!$N$293</f>
        <v>743.75</v>
      </c>
      <c r="S223" s="665">
        <f t="shared" si="82"/>
        <v>1.9495798319327731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>
        <v>0</v>
      </c>
      <c r="AB223" s="100">
        <v>0</v>
      </c>
      <c r="AC223" s="100">
        <v>750</v>
      </c>
      <c r="AD223" s="100">
        <v>0</v>
      </c>
      <c r="AE223" s="100">
        <v>0</v>
      </c>
      <c r="AF223" s="100">
        <v>4750</v>
      </c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5950</v>
      </c>
      <c r="BD223" s="786">
        <f t="shared" si="78"/>
        <v>3</v>
      </c>
      <c r="BE223" s="786">
        <f t="shared" si="79"/>
        <v>1983.3333333333333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61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61"/>
      <c r="N224" s="100"/>
      <c r="O224" s="1162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>
        <v>0</v>
      </c>
      <c r="AB224" s="100">
        <v>0</v>
      </c>
      <c r="AC224" s="100">
        <v>0</v>
      </c>
      <c r="AD224" s="100">
        <v>0</v>
      </c>
      <c r="AE224" s="100">
        <v>0</v>
      </c>
      <c r="AF224" s="100">
        <v>0</v>
      </c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61">
        <v>637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637</v>
      </c>
      <c r="J225" s="100">
        <f>SUMIF(data!$D:$D,$B225&amp;$D225,data!$K:$K)</f>
        <v>15925</v>
      </c>
      <c r="K225" s="100">
        <f>SUMIF(AJOUT!$A:$A,BRAN!$V:$V,AJOUT!$L:$L)</f>
        <v>0</v>
      </c>
      <c r="L225" s="100">
        <f>SUMIF(CBOUT!$A:$A,BRAN!$V:$V,CBOUT!$G:$G)</f>
        <v>0</v>
      </c>
      <c r="M225" s="1161">
        <f>E225+F225+H225-I225-L225+G225-K225</f>
        <v>0</v>
      </c>
      <c r="N225" s="100">
        <f t="shared" si="81"/>
        <v>0</v>
      </c>
      <c r="O225" s="1162">
        <f>SUM(X225:BB225)</f>
        <v>15925</v>
      </c>
      <c r="P225" s="805"/>
      <c r="Q225" s="805"/>
      <c r="R225" s="804">
        <f>O225/INTGRATE!$N$293</f>
        <v>1990.625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>
        <v>0</v>
      </c>
      <c r="AF225" s="100">
        <v>15925</v>
      </c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15925</v>
      </c>
      <c r="BD225" s="786">
        <f t="shared" si="78"/>
        <v>1</v>
      </c>
      <c r="BE225" s="786">
        <f t="shared" si="79"/>
        <v>15925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61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61">
        <f>E226+F226+H226-I226-L226+G226-K226</f>
        <v>0</v>
      </c>
      <c r="N226" s="100">
        <f t="shared" si="81"/>
        <v>0</v>
      </c>
      <c r="O226" s="1162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0</v>
      </c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61">
        <v>0</v>
      </c>
      <c r="F227" s="100">
        <f>+J227</f>
        <v>0</v>
      </c>
      <c r="G227" s="100"/>
      <c r="H227" s="100"/>
      <c r="I227" s="100"/>
      <c r="J227" s="100">
        <f>SUMIF(data!$D:$D,$B227&amp;$D227,data!$K:$K)</f>
        <v>0</v>
      </c>
      <c r="K227" s="100">
        <f>SUMIF(AJOUT!$A:$A,BRAN!$V:$V,AJOUT!$L:$L)</f>
        <v>0</v>
      </c>
      <c r="L227" s="100"/>
      <c r="M227" s="1161">
        <v>0</v>
      </c>
      <c r="N227" s="100"/>
      <c r="O227" s="1162">
        <f>SUM(X227:BB227)</f>
        <v>26970</v>
      </c>
      <c r="P227" s="805"/>
      <c r="Q227" s="805"/>
      <c r="R227" s="804">
        <f>O227/INTGRATE!$N$293</f>
        <v>3371.25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>
        <v>13940</v>
      </c>
      <c r="AB227" s="100">
        <v>13030</v>
      </c>
      <c r="AC227" s="100">
        <v>0</v>
      </c>
      <c r="AD227" s="100">
        <v>0</v>
      </c>
      <c r="AE227" s="100">
        <v>0</v>
      </c>
      <c r="AF227" s="100">
        <v>0</v>
      </c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26970</v>
      </c>
      <c r="BD227" s="786">
        <f t="shared" si="78"/>
        <v>2</v>
      </c>
      <c r="BE227" s="786">
        <f t="shared" si="79"/>
        <v>13485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61">
        <v>0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61">
        <f t="shared" si="84"/>
        <v>0</v>
      </c>
      <c r="N228" s="100">
        <f t="shared" si="81"/>
        <v>0</v>
      </c>
      <c r="O228" s="1162">
        <f t="shared" si="71"/>
        <v>2950</v>
      </c>
      <c r="P228" s="805"/>
      <c r="Q228" s="805"/>
      <c r="R228" s="804">
        <f>O228/INTGRATE!$N$293</f>
        <v>368.75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>
        <v>0</v>
      </c>
      <c r="AB228" s="100">
        <v>2950</v>
      </c>
      <c r="AC228" s="100">
        <v>0</v>
      </c>
      <c r="AD228" s="100">
        <v>0</v>
      </c>
      <c r="AE228" s="100">
        <v>0</v>
      </c>
      <c r="AF228" s="100">
        <v>0</v>
      </c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2950</v>
      </c>
      <c r="BD228" s="786">
        <f t="shared" si="78"/>
        <v>1</v>
      </c>
      <c r="BE228" s="786">
        <f t="shared" si="79"/>
        <v>2950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61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61">
        <f t="shared" si="84"/>
        <v>621</v>
      </c>
      <c r="N229" s="100">
        <f t="shared" si="81"/>
        <v>15525</v>
      </c>
      <c r="O229" s="1162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>
        <v>0</v>
      </c>
      <c r="AB229" s="100">
        <v>0</v>
      </c>
      <c r="AC229" s="100">
        <v>0</v>
      </c>
      <c r="AD229" s="100">
        <v>0</v>
      </c>
      <c r="AE229" s="100">
        <v>0</v>
      </c>
      <c r="AF229" s="100">
        <v>0</v>
      </c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61">
        <v>99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61">
        <f>E230+F230+H230-I230-L230+G230-K230</f>
        <v>99</v>
      </c>
      <c r="N230" s="100">
        <f t="shared" si="81"/>
        <v>2475</v>
      </c>
      <c r="O230" s="1162">
        <f>SUM(X230:BB230)</f>
        <v>3450</v>
      </c>
      <c r="P230" s="805"/>
      <c r="Q230" s="805"/>
      <c r="R230" s="804">
        <f>O230/INTGRATE!$N$293</f>
        <v>431.25</v>
      </c>
      <c r="S230" s="665">
        <f>IF(R230=0,0,N230/R230)</f>
        <v>5.7391304347826084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>
        <v>3450</v>
      </c>
      <c r="AF230" s="100">
        <v>0</v>
      </c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3450</v>
      </c>
      <c r="BD230" s="786">
        <f t="shared" si="78"/>
        <v>1</v>
      </c>
      <c r="BE230" s="786">
        <f t="shared" si="79"/>
        <v>3450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61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61"/>
      <c r="N231" s="100"/>
      <c r="O231" s="1162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0</v>
      </c>
      <c r="AF231" s="100">
        <v>0</v>
      </c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61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61">
        <f t="shared" si="84"/>
        <v>0</v>
      </c>
      <c r="N232" s="100">
        <f t="shared" si="81"/>
        <v>0</v>
      </c>
      <c r="O232" s="1162">
        <f t="shared" si="71"/>
        <v>0</v>
      </c>
      <c r="P232" s="717">
        <f>+N217+N250+N251+N252+N254+N258+N259+N260+N261+N218+N253</f>
        <v>18750</v>
      </c>
      <c r="Q232" s="717">
        <f>+O217+O250+O251+O252+O254+O258+O259+O260+O261+O218+O253</f>
        <v>114975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0</v>
      </c>
      <c r="AF232" s="100">
        <v>0</v>
      </c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61">
        <v>365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267</v>
      </c>
      <c r="J233" s="100">
        <f>SUMIF(data!$D:$D,$B233&amp;$D233,data!$K:$K)</f>
        <v>6675</v>
      </c>
      <c r="K233" s="100">
        <f>SUMIF(AJOUT!$A:$A,BRAN!$V:$V,AJOUT!$L:$L)</f>
        <v>0</v>
      </c>
      <c r="L233" s="100">
        <f>SUMIF(CBOUT!$A:$A,BRAN!$V:$V,CBOUT!$G:$G)</f>
        <v>0</v>
      </c>
      <c r="M233" s="1161">
        <f t="shared" si="84"/>
        <v>98</v>
      </c>
      <c r="N233" s="100">
        <f t="shared" si="81"/>
        <v>2450</v>
      </c>
      <c r="O233" s="1162">
        <f t="shared" si="71"/>
        <v>8775</v>
      </c>
      <c r="P233" s="805">
        <f>+N229+N208+N210+N211+N214+N219+N220+N215</f>
        <v>74150</v>
      </c>
      <c r="Q233" s="805">
        <f>+O229+O208+O210+O211+O214+O219+O220+O215</f>
        <v>61700</v>
      </c>
      <c r="R233" s="804">
        <f>O233/INTGRATE!$N$293</f>
        <v>1096.875</v>
      </c>
      <c r="S233" s="665">
        <f t="shared" si="82"/>
        <v>2.2336182336182335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1350</v>
      </c>
      <c r="AE233" s="100">
        <v>750</v>
      </c>
      <c r="AF233" s="100">
        <v>6675</v>
      </c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8775</v>
      </c>
      <c r="BD233" s="786">
        <f t="shared" si="78"/>
        <v>3</v>
      </c>
      <c r="BE233" s="786">
        <f t="shared" si="79"/>
        <v>2925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61">
        <v>645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72</v>
      </c>
      <c r="J234" s="100">
        <f>SUMIF(data!$D:$D,$B234&amp;$D234,data!$K:$K)</f>
        <v>1800</v>
      </c>
      <c r="K234" s="100">
        <f>SUMIF(AJOUT!$A:$A,BRAN!$V:$V,AJOUT!$L:$L)</f>
        <v>0</v>
      </c>
      <c r="L234" s="100">
        <f>SUMIF(CBOUT!$A:$A,BRAN!$V:$V,CBOUT!$G:$G)</f>
        <v>0</v>
      </c>
      <c r="M234" s="1161">
        <f>E234+F234+H234-I234-L234+G234-K234</f>
        <v>573</v>
      </c>
      <c r="N234" s="100">
        <f t="shared" si="81"/>
        <v>14325</v>
      </c>
      <c r="O234" s="1162">
        <f t="shared" ref="O234:O236" si="86">SUM(X234:BB234)</f>
        <v>12975</v>
      </c>
      <c r="P234" s="805" t="s">
        <v>218</v>
      </c>
      <c r="Q234" s="805"/>
      <c r="R234" s="804">
        <f>O234/INTGRATE!$N$293</f>
        <v>1621.875</v>
      </c>
      <c r="S234" s="665">
        <f t="shared" ref="S234:S236" si="87">IF(R234=0,0,N234/R234)</f>
        <v>8.8323699421965323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>
        <v>0</v>
      </c>
      <c r="AB234" s="100">
        <v>0</v>
      </c>
      <c r="AC234" s="100">
        <v>3900</v>
      </c>
      <c r="AD234" s="100">
        <v>2750</v>
      </c>
      <c r="AE234" s="100">
        <v>4525</v>
      </c>
      <c r="AF234" s="100">
        <v>1800</v>
      </c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12975</v>
      </c>
      <c r="BD234" s="786">
        <f t="shared" si="78"/>
        <v>4</v>
      </c>
      <c r="BE234" s="786">
        <f t="shared" si="79"/>
        <v>3243.75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61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61">
        <f>E235+F235+H235-I235-L235+G235-K235</f>
        <v>0</v>
      </c>
      <c r="N235" s="100">
        <f t="shared" si="81"/>
        <v>0</v>
      </c>
      <c r="O235" s="1162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>
        <v>0</v>
      </c>
      <c r="AB235" s="100">
        <v>0</v>
      </c>
      <c r="AC235" s="100">
        <v>0</v>
      </c>
      <c r="AD235" s="100">
        <v>0</v>
      </c>
      <c r="AE235" s="100">
        <v>0</v>
      </c>
      <c r="AF235" s="100">
        <v>0</v>
      </c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61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61">
        <f>E236+F236+H236-I236-L236+G236-K236</f>
        <v>0</v>
      </c>
      <c r="N236" s="100">
        <f t="shared" si="81"/>
        <v>0</v>
      </c>
      <c r="O236" s="1162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>
        <v>0</v>
      </c>
      <c r="AF236" s="100">
        <v>0</v>
      </c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61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61">
        <f>E237+F237+H237-I237-L237+G237-K237</f>
        <v>0</v>
      </c>
      <c r="N237" s="100">
        <f t="shared" ref="N237" si="88">+M237*D237</f>
        <v>0</v>
      </c>
      <c r="O237" s="1162">
        <f t="shared" ref="O237" si="89">SUM(X237:BB237)</f>
        <v>12000</v>
      </c>
      <c r="P237" s="805"/>
      <c r="Q237" s="805"/>
      <c r="R237" s="804">
        <f>O237/INTGRATE!$N$293</f>
        <v>1500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61">
        <v>0</v>
      </c>
      <c r="F238" s="100">
        <f>+J238</f>
        <v>15990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15990</v>
      </c>
      <c r="K238" s="100"/>
      <c r="L238" s="100"/>
      <c r="M238" s="1161">
        <v>0</v>
      </c>
      <c r="N238" s="100"/>
      <c r="O238" s="1162">
        <f t="shared" ref="O238:O246" si="94">SUM(X238:BB238)</f>
        <v>64080</v>
      </c>
      <c r="P238" s="805"/>
      <c r="Q238" s="805"/>
      <c r="R238" s="804">
        <f>O238/INTGRATE!$N$293</f>
        <v>8010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>
        <v>16080</v>
      </c>
      <c r="AB238" s="100">
        <v>0</v>
      </c>
      <c r="AC238" s="100">
        <f>-16010+32010</f>
        <v>16000</v>
      </c>
      <c r="AD238" s="100">
        <v>0</v>
      </c>
      <c r="AE238" s="100">
        <v>16010</v>
      </c>
      <c r="AF238" s="100">
        <v>15990</v>
      </c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64080</v>
      </c>
      <c r="BD238" s="786">
        <f t="shared" si="78"/>
        <v>4</v>
      </c>
      <c r="BE238" s="786">
        <f t="shared" si="79"/>
        <v>16020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61">
        <v>0</v>
      </c>
      <c r="F239" s="100">
        <f>+J239</f>
        <v>9860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9860</v>
      </c>
      <c r="K239" s="100"/>
      <c r="L239" s="100"/>
      <c r="M239" s="1161">
        <v>0</v>
      </c>
      <c r="N239" s="100"/>
      <c r="O239" s="1162">
        <f t="shared" si="94"/>
        <v>19890</v>
      </c>
      <c r="P239" s="805"/>
      <c r="Q239" s="805"/>
      <c r="R239" s="804">
        <f>O239/INTGRATE!$N$293</f>
        <v>2486.25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>
        <v>0</v>
      </c>
      <c r="AB239" s="100">
        <v>0</v>
      </c>
      <c r="AC239" s="100">
        <v>0</v>
      </c>
      <c r="AD239" s="100">
        <v>0</v>
      </c>
      <c r="AE239" s="100">
        <v>0</v>
      </c>
      <c r="AF239" s="100">
        <v>9860</v>
      </c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19890</v>
      </c>
      <c r="BD239" s="786">
        <f t="shared" si="78"/>
        <v>2</v>
      </c>
      <c r="BE239" s="786">
        <f t="shared" si="79"/>
        <v>9945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61">
        <v>0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61">
        <f t="shared" ref="M240:M246" si="96">E240+F240+H240-I240-L240+G240-K240</f>
        <v>0</v>
      </c>
      <c r="N240" s="100">
        <f t="shared" si="81"/>
        <v>0</v>
      </c>
      <c r="O240" s="1162">
        <f t="shared" si="94"/>
        <v>14400</v>
      </c>
      <c r="P240" s="805"/>
      <c r="Q240" s="805"/>
      <c r="R240" s="804">
        <f>O240/INTGRATE!$N$293</f>
        <v>1800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>
        <v>14400</v>
      </c>
      <c r="AB240" s="100">
        <v>0</v>
      </c>
      <c r="AC240" s="100">
        <v>0</v>
      </c>
      <c r="AD240" s="100">
        <v>0</v>
      </c>
      <c r="AE240" s="100">
        <v>0</v>
      </c>
      <c r="AF240" s="100">
        <v>0</v>
      </c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14400</v>
      </c>
      <c r="BD240" s="786">
        <f t="shared" si="78"/>
        <v>1</v>
      </c>
      <c r="BE240" s="786">
        <f t="shared" si="79"/>
        <v>14400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61">
        <v>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61">
        <f t="shared" si="96"/>
        <v>0</v>
      </c>
      <c r="N241" s="100">
        <f t="shared" si="81"/>
        <v>0</v>
      </c>
      <c r="O241" s="1162">
        <f t="shared" si="94"/>
        <v>4000</v>
      </c>
      <c r="P241" s="805"/>
      <c r="Q241" s="805"/>
      <c r="R241" s="804">
        <f>O241/INTGRATE!$N$293</f>
        <v>500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>
        <v>4000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0</v>
      </c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4000</v>
      </c>
      <c r="BD241" s="786">
        <f t="shared" si="78"/>
        <v>1</v>
      </c>
      <c r="BE241" s="786">
        <f t="shared" si="79"/>
        <v>4000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61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61">
        <v>0</v>
      </c>
      <c r="N242" s="100"/>
      <c r="O242" s="1162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>
        <v>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61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61">
        <f t="shared" si="96"/>
        <v>0</v>
      </c>
      <c r="N243" s="100">
        <f t="shared" si="81"/>
        <v>0</v>
      </c>
      <c r="O243" s="1162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61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61">
        <f t="shared" si="96"/>
        <v>0</v>
      </c>
      <c r="N244" s="100">
        <f t="shared" si="81"/>
        <v>0</v>
      </c>
      <c r="O244" s="1162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61">
        <v>443</v>
      </c>
      <c r="F245" s="100">
        <f>SUMIF(pro!$A:$A,$V:$V,pro!$N:$N)</f>
        <v>0</v>
      </c>
      <c r="G245" s="100"/>
      <c r="H245" s="100">
        <f>SUMIF(CBIN!$A:$A,BRAN!$V:$V,CBIN!$G:$G)</f>
        <v>0</v>
      </c>
      <c r="I245" s="100">
        <f>SUMIF(data!$D:$D,$B245&amp;$D245,data!$J:$J)</f>
        <v>160</v>
      </c>
      <c r="J245" s="100">
        <f>SUMIF(data!$D:$D,$B245&amp;$D245,data!$K:$K)</f>
        <v>4000</v>
      </c>
      <c r="K245" s="100">
        <f>SUMIF(AJOUT!$A:$A,BRAN!$V:$V,AJOUT!$L:$L)</f>
        <v>0</v>
      </c>
      <c r="L245" s="100">
        <f>SUMIF(CBOUT!$A:$A,BRAN!$V:$V,CBOUT!$G:$G)</f>
        <v>0</v>
      </c>
      <c r="M245" s="1161">
        <f t="shared" si="96"/>
        <v>283</v>
      </c>
      <c r="N245" s="100">
        <f t="shared" si="81"/>
        <v>7075</v>
      </c>
      <c r="O245" s="1162">
        <f t="shared" si="94"/>
        <v>20725</v>
      </c>
      <c r="P245" s="805">
        <f>N277-P233-P232-P216-P206</f>
        <v>72850</v>
      </c>
      <c r="Q245" s="805">
        <f>O277-Q233-Q232-Q216-Q206</f>
        <v>224515</v>
      </c>
      <c r="R245" s="804">
        <f>O245/INTGRATE!$N$293</f>
        <v>2590.625</v>
      </c>
      <c r="S245" s="665">
        <f t="shared" si="95"/>
        <v>2.7310012062726177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>
        <v>5000</v>
      </c>
      <c r="AB245" s="100">
        <v>2500</v>
      </c>
      <c r="AC245" s="100">
        <v>2500</v>
      </c>
      <c r="AD245" s="100">
        <v>2500</v>
      </c>
      <c r="AE245" s="100">
        <v>500</v>
      </c>
      <c r="AF245" s="100">
        <v>4000</v>
      </c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20725</v>
      </c>
      <c r="BD245" s="786">
        <f t="shared" si="78"/>
        <v>7</v>
      </c>
      <c r="BE245" s="786">
        <f t="shared" si="79"/>
        <v>2960.7142857142858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61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61">
        <f t="shared" si="96"/>
        <v>0</v>
      </c>
      <c r="N246" s="100"/>
      <c r="O246" s="1162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>
        <v>0</v>
      </c>
      <c r="AB246" s="100">
        <v>0</v>
      </c>
      <c r="AC246" s="100">
        <v>0</v>
      </c>
      <c r="AD246" s="100">
        <v>0</v>
      </c>
      <c r="AE246" s="100">
        <v>0</v>
      </c>
      <c r="AF246" s="100">
        <v>0</v>
      </c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61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61">
        <f t="shared" si="84"/>
        <v>0</v>
      </c>
      <c r="N247" s="100"/>
      <c r="O247" s="1162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>
        <v>0</v>
      </c>
      <c r="AF247" s="100">
        <v>0</v>
      </c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61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61">
        <f t="shared" ref="M248" si="97">E248+F248+H248-I248-L248+G248-K248</f>
        <v>0</v>
      </c>
      <c r="N248" s="100">
        <f t="shared" si="81"/>
        <v>0</v>
      </c>
      <c r="O248" s="1162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61">
        <v>1563</v>
      </c>
      <c r="F249" s="100">
        <f>SUMIF(pro!$A:$A,$V:$V,pro!$N:$N)</f>
        <v>0</v>
      </c>
      <c r="G249" s="100"/>
      <c r="H249" s="100">
        <f>SUMIF(CBIN!$A:$A,BRAN!$V:$V,CBIN!$G:$G)</f>
        <v>0</v>
      </c>
      <c r="I249" s="100">
        <f>SUMIF(data!$D:$D,$B249&amp;$D249,data!$J:$J)</f>
        <v>540</v>
      </c>
      <c r="J249" s="100">
        <f>SUMIF(data!$D:$D,$B249&amp;$D249,data!$K:$K)</f>
        <v>13500</v>
      </c>
      <c r="K249" s="100">
        <f>SUMIF(AJOUT!$A:$A,BRAN!$V:$V,AJOUT!$L:$L)</f>
        <v>0</v>
      </c>
      <c r="L249" s="100">
        <f>SUMIF(CBOUT!$A:$A,BRAN!$V:$V,CBOUT!$G:$G)</f>
        <v>0</v>
      </c>
      <c r="M249" s="1161">
        <f t="shared" si="84"/>
        <v>1023</v>
      </c>
      <c r="N249" s="100">
        <f t="shared" si="81"/>
        <v>25575</v>
      </c>
      <c r="O249" s="1162">
        <f t="shared" si="71"/>
        <v>105350</v>
      </c>
      <c r="P249" s="804"/>
      <c r="Q249" s="804"/>
      <c r="R249" s="804">
        <f>O249/INTGRATE!$N$293</f>
        <v>13168.75</v>
      </c>
      <c r="S249" s="665">
        <f t="shared" si="82"/>
        <v>1.9420977693402943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>
        <v>12750</v>
      </c>
      <c r="AB249" s="100">
        <v>11500</v>
      </c>
      <c r="AC249" s="100">
        <v>11725</v>
      </c>
      <c r="AD249" s="100">
        <v>15250</v>
      </c>
      <c r="AE249" s="100">
        <v>6625</v>
      </c>
      <c r="AF249" s="100">
        <v>13500</v>
      </c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105350</v>
      </c>
      <c r="BD249" s="786">
        <f t="shared" si="78"/>
        <v>8</v>
      </c>
      <c r="BE249" s="786">
        <f t="shared" si="79"/>
        <v>13168.75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61">
        <v>35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0</v>
      </c>
      <c r="J250" s="100">
        <f>SUMIF(data!$D:$D,$B250&amp;$D250,data!$K:$K)</f>
        <v>0</v>
      </c>
      <c r="K250" s="100">
        <f>SUMIF(AJOUT!$A:$A,BRAN!$V:$V,AJOUT!$L:$L)</f>
        <v>0</v>
      </c>
      <c r="L250" s="100">
        <f>SUMIF(CBOUT!$A:$A,BRAN!$V:$V,CBOUT!$G:$G)</f>
        <v>0</v>
      </c>
      <c r="M250" s="1161">
        <f t="shared" si="84"/>
        <v>35</v>
      </c>
      <c r="N250" s="100">
        <f t="shared" si="81"/>
        <v>875</v>
      </c>
      <c r="O250" s="1162">
        <f t="shared" si="71"/>
        <v>2750</v>
      </c>
      <c r="P250" s="804"/>
      <c r="Q250" s="804"/>
      <c r="R250" s="804">
        <f>O250/INTGRATE!$N$293</f>
        <v>343.75</v>
      </c>
      <c r="S250" s="665">
        <f t="shared" si="82"/>
        <v>2.5454545454545454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>
        <v>0</v>
      </c>
      <c r="AB250" s="100">
        <v>0</v>
      </c>
      <c r="AC250" s="100">
        <v>2500</v>
      </c>
      <c r="AD250" s="100">
        <v>0</v>
      </c>
      <c r="AE250" s="100">
        <v>250</v>
      </c>
      <c r="AF250" s="100">
        <v>0</v>
      </c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2750</v>
      </c>
      <c r="BD250" s="786">
        <f t="shared" si="78"/>
        <v>2</v>
      </c>
      <c r="BE250" s="786">
        <f t="shared" si="79"/>
        <v>1375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61">
        <v>0</v>
      </c>
      <c r="F251" s="100">
        <f>+J251</f>
        <v>5530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5530</v>
      </c>
      <c r="K251" s="100">
        <f>SUMIF(AJOUT!$A:$A,BRAN!$V:$V,AJOUT!$L:$L)</f>
        <v>0</v>
      </c>
      <c r="L251" s="100">
        <f>SUMIF(CBOUT!$A:$A,BRAN!$V:$V,CBOUT!$G:$G)</f>
        <v>0</v>
      </c>
      <c r="M251" s="1161">
        <v>0</v>
      </c>
      <c r="N251" s="100"/>
      <c r="O251" s="1162">
        <f t="shared" si="71"/>
        <v>12960</v>
      </c>
      <c r="P251" s="804"/>
      <c r="Q251" s="804"/>
      <c r="R251" s="804">
        <f>O251/INTGRATE!$N$293</f>
        <v>1620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>
        <v>0</v>
      </c>
      <c r="AC251" s="100">
        <v>7430</v>
      </c>
      <c r="AD251" s="100">
        <v>0</v>
      </c>
      <c r="AE251" s="100">
        <v>0</v>
      </c>
      <c r="AF251" s="100">
        <v>5530</v>
      </c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12960</v>
      </c>
      <c r="BD251" s="786">
        <f t="shared" si="78"/>
        <v>2</v>
      </c>
      <c r="BE251" s="786">
        <f t="shared" si="79"/>
        <v>6480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61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61">
        <f>E252+F252+H252-I252-L252+G252-K252</f>
        <v>0</v>
      </c>
      <c r="N252" s="100">
        <f t="shared" si="81"/>
        <v>0</v>
      </c>
      <c r="O252" s="1162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>
        <v>0</v>
      </c>
      <c r="AB252" s="100">
        <v>0</v>
      </c>
      <c r="AC252" s="100">
        <v>0</v>
      </c>
      <c r="AD252" s="100">
        <v>0</v>
      </c>
      <c r="AE252" s="100">
        <v>0</v>
      </c>
      <c r="AF252" s="100">
        <v>0</v>
      </c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61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61"/>
      <c r="N253" s="100"/>
      <c r="O253" s="1162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>
        <v>0</v>
      </c>
      <c r="AF253" s="100">
        <v>0</v>
      </c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61">
        <v>1</v>
      </c>
      <c r="F254" s="100">
        <f>SUMIF(pro!$A:$A,$V:$V,pro!$N:$N)</f>
        <v>0</v>
      </c>
      <c r="G254" s="100"/>
      <c r="H254" s="100">
        <f>SUMIF(CBIN!$A:$A,BRAN!$V:$V,CBIN!$G:$G)</f>
        <v>0</v>
      </c>
      <c r="I254" s="100">
        <f>SUMIF(data!$D:$D,$B254&amp;$D254,data!$J:$J)</f>
        <v>0</v>
      </c>
      <c r="J254" s="100">
        <f>SUMIF(data!$D:$D,$B254&amp;$D254,data!$K:$K)</f>
        <v>0</v>
      </c>
      <c r="K254" s="100">
        <f>SUMIF(AJOUT!$A:$A,BRAN!$V:$V,AJOUT!$L:$L)</f>
        <v>0</v>
      </c>
      <c r="L254" s="100">
        <f>SUMIF(CBOUT!$A:$A,BRAN!$V:$V,CBOUT!$G:$G)</f>
        <v>0</v>
      </c>
      <c r="M254" s="1161">
        <f>E254+F254+H254-I254-L254+G254-K254</f>
        <v>1</v>
      </c>
      <c r="N254" s="100">
        <f t="shared" si="81"/>
        <v>25</v>
      </c>
      <c r="O254" s="1162">
        <f>SUM(X254:BB254)</f>
        <v>7875</v>
      </c>
      <c r="P254" s="804"/>
      <c r="Q254" s="804"/>
      <c r="R254" s="804">
        <f>O254/INTGRATE!$N$293</f>
        <v>984.375</v>
      </c>
      <c r="S254" s="665">
        <f t="shared" si="82"/>
        <v>2.5396825396825397E-2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>
        <v>0</v>
      </c>
      <c r="AB254" s="100">
        <v>0</v>
      </c>
      <c r="AC254" s="100">
        <v>7875</v>
      </c>
      <c r="AD254" s="100">
        <v>0</v>
      </c>
      <c r="AE254" s="100">
        <v>0</v>
      </c>
      <c r="AF254" s="100">
        <v>0</v>
      </c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7875</v>
      </c>
      <c r="BD254" s="786">
        <f t="shared" si="78"/>
        <v>1</v>
      </c>
      <c r="BE254" s="786">
        <f t="shared" si="79"/>
        <v>7875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61">
        <v>0</v>
      </c>
      <c r="F255" s="100">
        <f>SUMIF(pro!$A:$A,$V:$V,pro!$N:$N)</f>
        <v>494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61">
        <f>E255+F255+H255-I255-L255+G255-K255</f>
        <v>494</v>
      </c>
      <c r="N255" s="100">
        <f t="shared" si="81"/>
        <v>12350</v>
      </c>
      <c r="O255" s="1162">
        <f t="shared" si="71"/>
        <v>10000</v>
      </c>
      <c r="P255" s="804"/>
      <c r="Q255" s="804"/>
      <c r="R255" s="804">
        <f>O255/INTGRATE!$N$293</f>
        <v>1250</v>
      </c>
      <c r="S255" s="665">
        <f t="shared" si="82"/>
        <v>9.8800000000000008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>
        <v>0</v>
      </c>
      <c r="AB255" s="100">
        <v>0</v>
      </c>
      <c r="AC255" s="100">
        <v>10000</v>
      </c>
      <c r="AD255" s="100">
        <v>0</v>
      </c>
      <c r="AE255" s="100">
        <v>0</v>
      </c>
      <c r="AF255" s="100">
        <v>0</v>
      </c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10000</v>
      </c>
      <c r="BD255" s="786">
        <f t="shared" si="78"/>
        <v>1</v>
      </c>
      <c r="BE255" s="786">
        <f t="shared" si="79"/>
        <v>10000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61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61">
        <v>0</v>
      </c>
      <c r="N256" s="100"/>
      <c r="O256" s="1162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>
        <v>0</v>
      </c>
      <c r="AC256" s="100">
        <v>0</v>
      </c>
      <c r="AD256" s="100">
        <v>0</v>
      </c>
      <c r="AE256" s="100">
        <v>0</v>
      </c>
      <c r="AF256" s="100">
        <v>0</v>
      </c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61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61">
        <f>E257+F257+H257-I257-L257+G257-K257</f>
        <v>0</v>
      </c>
      <c r="N257" s="100">
        <f t="shared" si="81"/>
        <v>0</v>
      </c>
      <c r="O257" s="1162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>
        <v>0</v>
      </c>
      <c r="AF257" s="100">
        <v>0</v>
      </c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8" t="s">
        <v>61</v>
      </c>
      <c r="D258" s="91">
        <v>25</v>
      </c>
      <c r="E258" s="1161">
        <v>0</v>
      </c>
      <c r="F258" s="100">
        <f>SUMIF(pro!$A:$A,$V:$V,pro!$N:$N)</f>
        <v>491</v>
      </c>
      <c r="G258" s="100"/>
      <c r="H258" s="100">
        <f>SUMIF(CBIN!$A:$A,BRAN!$V:$V,CBIN!$G:$G)</f>
        <v>0</v>
      </c>
      <c r="I258" s="100">
        <f>SUMIF(data!$D:$D,$B258&amp;$D258,data!$J:$J)</f>
        <v>0</v>
      </c>
      <c r="J258" s="100">
        <f>SUMIF(data!$D:$D,$B258&amp;$D258,data!$K:$K)</f>
        <v>0</v>
      </c>
      <c r="K258" s="100">
        <f>SUMIF(AJOUT!$A:$A,BRAN!$V:$V,AJOUT!$L:$L)</f>
        <v>0</v>
      </c>
      <c r="L258" s="100">
        <f>SUMIF(CBOUT!$A:$A,BRAN!$V:$V,CBOUT!$G:$G)</f>
        <v>0</v>
      </c>
      <c r="M258" s="1161">
        <f>E258+F258+H258-I258-L258+G258-K258</f>
        <v>491</v>
      </c>
      <c r="N258" s="100">
        <f t="shared" si="81"/>
        <v>12275</v>
      </c>
      <c r="O258" s="1162">
        <f t="shared" si="71"/>
        <v>40250</v>
      </c>
      <c r="P258" s="804"/>
      <c r="Q258" s="804"/>
      <c r="R258" s="804">
        <f>O258/INTGRATE!$N$293</f>
        <v>5031.25</v>
      </c>
      <c r="S258" s="665">
        <f t="shared" si="82"/>
        <v>2.4397515527950309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>
        <v>0</v>
      </c>
      <c r="AB258" s="100">
        <v>0</v>
      </c>
      <c r="AC258" s="100">
        <v>10000</v>
      </c>
      <c r="AD258" s="100">
        <v>16000</v>
      </c>
      <c r="AE258" s="100">
        <v>0</v>
      </c>
      <c r="AF258" s="100">
        <v>0</v>
      </c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40250</v>
      </c>
      <c r="BD258" s="786">
        <f t="shared" si="78"/>
        <v>3</v>
      </c>
      <c r="BE258" s="786">
        <f t="shared" si="79"/>
        <v>13416.666666666666</v>
      </c>
      <c r="BH258" s="436"/>
    </row>
    <row r="259" spans="1:60" s="38" customFormat="1" ht="15" customHeight="1">
      <c r="A259" s="68">
        <v>54</v>
      </c>
      <c r="B259" s="107" t="s">
        <v>236</v>
      </c>
      <c r="C259" s="1178" t="s">
        <v>61</v>
      </c>
      <c r="D259" s="425" t="s">
        <v>66</v>
      </c>
      <c r="E259" s="1161">
        <v>0</v>
      </c>
      <c r="F259" s="100">
        <f>+J259</f>
        <v>7470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7470</v>
      </c>
      <c r="K259" s="100">
        <f>SUMIF(AJOUT!$A:$A,BRAN!$V:$V,AJOUT!$L:$L)</f>
        <v>0</v>
      </c>
      <c r="L259" s="100">
        <f>SUMIF(CBOUT!$A:$A,BRAN!$V:$V,CBOUT!$G:$G)</f>
        <v>0</v>
      </c>
      <c r="M259" s="1161">
        <v>0</v>
      </c>
      <c r="N259" s="100"/>
      <c r="O259" s="1162">
        <f t="shared" si="71"/>
        <v>34100</v>
      </c>
      <c r="P259" s="804"/>
      <c r="Q259" s="804"/>
      <c r="R259" s="804">
        <f>O259/INTGRATE!$N$293</f>
        <v>4262.5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>
        <v>0</v>
      </c>
      <c r="AB259" s="100">
        <v>7960</v>
      </c>
      <c r="AC259" s="100">
        <v>5450</v>
      </c>
      <c r="AD259" s="100">
        <v>0</v>
      </c>
      <c r="AE259" s="100">
        <v>0</v>
      </c>
      <c r="AF259" s="100">
        <v>7470</v>
      </c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34100</v>
      </c>
      <c r="BD259" s="786">
        <f t="shared" si="78"/>
        <v>4</v>
      </c>
      <c r="BE259" s="786">
        <f t="shared" si="79"/>
        <v>8525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61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61">
        <f>E260+F260+H260-I260-L260+G260-K260</f>
        <v>0</v>
      </c>
      <c r="N260" s="100">
        <f t="shared" si="81"/>
        <v>0</v>
      </c>
      <c r="O260" s="1162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>
        <v>0</v>
      </c>
      <c r="AB260" s="100">
        <v>0</v>
      </c>
      <c r="AC260" s="100">
        <v>0</v>
      </c>
      <c r="AD260" s="100">
        <v>0</v>
      </c>
      <c r="AE260" s="100">
        <v>0</v>
      </c>
      <c r="AF260" s="100">
        <v>0</v>
      </c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61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61">
        <v>0</v>
      </c>
      <c r="N261" s="100"/>
      <c r="O261" s="1162">
        <f t="shared" si="71"/>
        <v>15290</v>
      </c>
      <c r="P261" s="804"/>
      <c r="Q261" s="804"/>
      <c r="R261" s="804">
        <f>O261/INTGRATE!$N$293</f>
        <v>1911.25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>
        <v>15290</v>
      </c>
      <c r="AC261" s="100">
        <v>0</v>
      </c>
      <c r="AD261" s="100">
        <v>0</v>
      </c>
      <c r="AE261" s="100">
        <v>0</v>
      </c>
      <c r="AF261" s="100">
        <v>0</v>
      </c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15290</v>
      </c>
      <c r="BD261" s="786">
        <f t="shared" si="78"/>
        <v>1</v>
      </c>
      <c r="BE261" s="786">
        <f t="shared" si="79"/>
        <v>15290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61">
        <v>0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61">
        <f>E262+F262+H262-I262-L262+G262-K262</f>
        <v>0</v>
      </c>
      <c r="N262" s="100">
        <f t="shared" si="81"/>
        <v>0</v>
      </c>
      <c r="O262" s="1162">
        <f t="shared" si="71"/>
        <v>325</v>
      </c>
      <c r="P262" s="804"/>
      <c r="Q262" s="804"/>
      <c r="R262" s="804">
        <f>O262/INTGRATE!$N$293</f>
        <v>40.625</v>
      </c>
      <c r="S262" s="665">
        <f t="shared" si="82"/>
        <v>0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>
        <v>0</v>
      </c>
      <c r="AB262" s="100">
        <v>0</v>
      </c>
      <c r="AC262" s="100">
        <v>0</v>
      </c>
      <c r="AD262" s="100">
        <v>0</v>
      </c>
      <c r="AE262" s="100">
        <v>0</v>
      </c>
      <c r="AF262" s="100">
        <v>0</v>
      </c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61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61">
        <v>0</v>
      </c>
      <c r="N263" s="100"/>
      <c r="O263" s="1162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>
        <v>0</v>
      </c>
      <c r="AF263" s="100">
        <v>0</v>
      </c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61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61">
        <f>E264+F264+H264-I264-L264+G264-K264</f>
        <v>0</v>
      </c>
      <c r="N264" s="100">
        <f t="shared" si="81"/>
        <v>0</v>
      </c>
      <c r="O264" s="1162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61">
        <v>64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0</v>
      </c>
      <c r="J265" s="100">
        <f>SUMIF(data!$D:$D,$B265&amp;$D265,data!$K:$K)</f>
        <v>0</v>
      </c>
      <c r="K265" s="100">
        <f>SUMIF(AJOUT!$A:$A,BRAN!$V:$V,AJOUT!$L:$L)</f>
        <v>0</v>
      </c>
      <c r="L265" s="100">
        <f>SUMIF(CBOUT!$A:$A,BRAN!$V:$V,CBOUT!$G:$G)</f>
        <v>0</v>
      </c>
      <c r="M265" s="1161">
        <f>E265+F265+H265-I265-L265+G265-K265</f>
        <v>64</v>
      </c>
      <c r="N265" s="100">
        <f t="shared" si="81"/>
        <v>1600</v>
      </c>
      <c r="O265" s="1162">
        <f t="shared" si="71"/>
        <v>28000</v>
      </c>
      <c r="P265" s="804"/>
      <c r="Q265" s="804"/>
      <c r="R265" s="804">
        <f>O265/INTGRATE!$N$293</f>
        <v>3500</v>
      </c>
      <c r="S265" s="665">
        <f t="shared" si="82"/>
        <v>0.45714285714285713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>
        <v>500</v>
      </c>
      <c r="AB265" s="100">
        <v>0</v>
      </c>
      <c r="AC265" s="100">
        <v>1750</v>
      </c>
      <c r="AD265" s="100">
        <v>0</v>
      </c>
      <c r="AE265" s="100">
        <v>14625</v>
      </c>
      <c r="AF265" s="100">
        <v>0</v>
      </c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28000</v>
      </c>
      <c r="BD265" s="786">
        <f t="shared" si="78"/>
        <v>4</v>
      </c>
      <c r="BE265" s="786">
        <f t="shared" si="79"/>
        <v>7000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61">
        <v>0</v>
      </c>
      <c r="F266" s="100">
        <f>+J266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61">
        <f>+F266-J266</f>
        <v>0</v>
      </c>
      <c r="N266" s="100"/>
      <c r="O266" s="1162">
        <f t="shared" si="71"/>
        <v>9170</v>
      </c>
      <c r="P266" s="805"/>
      <c r="Q266" s="805"/>
      <c r="R266" s="804">
        <f>O266/INTGRATE!$N$293</f>
        <v>1146.25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>
        <v>0</v>
      </c>
      <c r="AB266" s="100">
        <v>5180</v>
      </c>
      <c r="AC266" s="100">
        <v>0</v>
      </c>
      <c r="AD266" s="100">
        <v>0</v>
      </c>
      <c r="AE266" s="100">
        <v>3990</v>
      </c>
      <c r="AF266" s="100">
        <v>0</v>
      </c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9170</v>
      </c>
      <c r="BD266" s="786">
        <f t="shared" si="78"/>
        <v>2</v>
      </c>
      <c r="BE266" s="786">
        <f t="shared" si="79"/>
        <v>4585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61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61">
        <f>+F267-J267</f>
        <v>0</v>
      </c>
      <c r="N267" s="100"/>
      <c r="O267" s="1162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>
        <v>0</v>
      </c>
      <c r="AB267" s="100">
        <v>0</v>
      </c>
      <c r="AC267" s="100">
        <v>0</v>
      </c>
      <c r="AD267" s="100">
        <v>0</v>
      </c>
      <c r="AE267" s="100">
        <v>0</v>
      </c>
      <c r="AF267" s="100">
        <v>0</v>
      </c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61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61">
        <f>E268+F268+H268-I268-L268+G268-K268</f>
        <v>0</v>
      </c>
      <c r="N268" s="100"/>
      <c r="O268" s="1162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>
        <v>0</v>
      </c>
      <c r="AF268" s="100">
        <v>0</v>
      </c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61">
        <v>48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0</v>
      </c>
      <c r="J269" s="100">
        <f>SUMIF(data!$D:$D,$B269&amp;$D269,data!$K:$K)</f>
        <v>0</v>
      </c>
      <c r="K269" s="100">
        <f>SUMIF(AJOUT!$A:$A,BRAN!$V:$V,AJOUT!$L:$L)</f>
        <v>0</v>
      </c>
      <c r="L269" s="100">
        <f>SUMIF(CBOUT!$A:$A,BRAN!$V:$V,CBOUT!$G:$G)</f>
        <v>0</v>
      </c>
      <c r="M269" s="1161">
        <f>E269+F269+H269-I269-L269+G269-K269</f>
        <v>48</v>
      </c>
      <c r="N269" s="100">
        <f t="shared" si="81"/>
        <v>1200</v>
      </c>
      <c r="O269" s="1162">
        <f t="shared" si="71"/>
        <v>36875</v>
      </c>
      <c r="P269" s="804"/>
      <c r="Q269" s="804"/>
      <c r="R269" s="804">
        <f>O269/INTGRATE!$N$293</f>
        <v>4609.375</v>
      </c>
      <c r="S269" s="665">
        <f t="shared" si="82"/>
        <v>0.26033898305084746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>
        <v>625</v>
      </c>
      <c r="AB269" s="100">
        <v>0</v>
      </c>
      <c r="AC269" s="100">
        <v>750</v>
      </c>
      <c r="AD269" s="100">
        <v>1000</v>
      </c>
      <c r="AE269" s="100">
        <v>21250</v>
      </c>
      <c r="AF269" s="100">
        <v>0</v>
      </c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36875</v>
      </c>
      <c r="BD269" s="786">
        <f t="shared" si="78"/>
        <v>5</v>
      </c>
      <c r="BE269" s="786">
        <f t="shared" si="79"/>
        <v>7375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61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61">
        <f>+F270-J270</f>
        <v>0</v>
      </c>
      <c r="N270" s="100"/>
      <c r="O270" s="1162">
        <f t="shared" si="71"/>
        <v>3870</v>
      </c>
      <c r="P270" s="805"/>
      <c r="Q270" s="805"/>
      <c r="R270" s="804">
        <f>O270/INTGRATE!$N$293</f>
        <v>483.75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>
        <v>0</v>
      </c>
      <c r="AB270" s="100">
        <v>0</v>
      </c>
      <c r="AC270" s="100">
        <v>0</v>
      </c>
      <c r="AD270" s="100">
        <v>0</v>
      </c>
      <c r="AE270" s="100">
        <v>3870</v>
      </c>
      <c r="AF270" s="100">
        <v>0</v>
      </c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3870</v>
      </c>
      <c r="BD270" s="786">
        <f t="shared" si="78"/>
        <v>1</v>
      </c>
      <c r="BE270" s="786">
        <f t="shared" si="79"/>
        <v>3870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61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61">
        <f>+F271-J271</f>
        <v>0</v>
      </c>
      <c r="N271" s="100"/>
      <c r="O271" s="1162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>
        <v>0</v>
      </c>
      <c r="AF271" s="100">
        <v>0</v>
      </c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61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61">
        <f>+F272-J272</f>
        <v>0</v>
      </c>
      <c r="N272" s="100"/>
      <c r="O272" s="1162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0</v>
      </c>
      <c r="AF272" s="100">
        <v>0</v>
      </c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61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61">
        <f>E273+F273+H273-I273-L273+G273-K273</f>
        <v>0</v>
      </c>
      <c r="N273" s="100">
        <f t="shared" si="81"/>
        <v>0</v>
      </c>
      <c r="O273" s="1162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9" t="s">
        <v>64</v>
      </c>
      <c r="D274" s="1180">
        <v>25</v>
      </c>
      <c r="E274" s="1161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61">
        <f>E274+F274+H274-I274-L274+G274-K274</f>
        <v>0</v>
      </c>
      <c r="N274" s="100">
        <f t="shared" si="81"/>
        <v>0</v>
      </c>
      <c r="O274" s="1162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9" t="s">
        <v>64</v>
      </c>
      <c r="D275" s="1180">
        <v>40</v>
      </c>
      <c r="E275" s="1161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61">
        <f>E275+F275+H275-I275-L275+G275-K275</f>
        <v>0</v>
      </c>
      <c r="N275" s="100">
        <f t="shared" si="81"/>
        <v>0</v>
      </c>
      <c r="O275" s="1162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120" t="s">
        <v>71</v>
      </c>
      <c r="B276" s="1121"/>
      <c r="C276" s="1121"/>
      <c r="D276" s="1122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100">
        <f>N281/R279</f>
        <v>2.5917586694679042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67295</v>
      </c>
      <c r="AB276" s="78">
        <f t="shared" si="104"/>
        <v>77710</v>
      </c>
      <c r="AC276" s="78">
        <f t="shared" si="104"/>
        <v>84380</v>
      </c>
      <c r="AD276" s="78">
        <f t="shared" si="104"/>
        <v>62350</v>
      </c>
      <c r="AE276" s="78">
        <f t="shared" si="104"/>
        <v>87595</v>
      </c>
      <c r="AF276" s="78">
        <f t="shared" si="104"/>
        <v>85525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597355</v>
      </c>
      <c r="BD276" s="790"/>
      <c r="BE276" s="790"/>
      <c r="BH276" s="439"/>
    </row>
    <row r="277" spans="1:151" s="59" customFormat="1" ht="15" customHeight="1">
      <c r="A277" s="1120" t="s">
        <v>72</v>
      </c>
      <c r="B277" s="1121"/>
      <c r="C277" s="1121"/>
      <c r="D277" s="1122"/>
      <c r="E277" s="110">
        <f>SUM(E206:E275)-E280-E278</f>
        <v>8373</v>
      </c>
      <c r="F277" s="110">
        <f>SUM(F206:F275)-F280-F278</f>
        <v>1235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1867</v>
      </c>
      <c r="J277" s="110">
        <f>+J281-J280-J278</f>
        <v>46675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7741</v>
      </c>
      <c r="N277" s="110">
        <f>SUM(N206:N274)-N237-N236-SUM(N207:N210)-N240-N212-N213-N216-N218-N219-N222-N224-N227-N231-N246-N247-N251-N256-N259-N261-N263-N266-N267-N270-N271-N272</f>
        <v>193525</v>
      </c>
      <c r="O277" s="110">
        <f>SUM(O206:O275)</f>
        <v>597355</v>
      </c>
      <c r="P277" s="110">
        <f>SUM(P206:P274)</f>
        <v>193525</v>
      </c>
      <c r="Q277" s="110">
        <f>SUM(Q206:Q274)</f>
        <v>597355</v>
      </c>
      <c r="R277" s="110">
        <f>SUM(R206:R274)-R216</f>
        <v>74669.375</v>
      </c>
      <c r="S277" s="110">
        <f>SUM(S206:S274)-S216</f>
        <v>84.632283973542641</v>
      </c>
      <c r="T277" s="1101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120" t="s">
        <v>73</v>
      </c>
      <c r="B278" s="1121"/>
      <c r="C278" s="1121"/>
      <c r="D278" s="1122"/>
      <c r="E278" s="111">
        <f>SUM(E275,E236,E240,E241,E243,E237)</f>
        <v>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18400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101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14" t="s">
        <v>75</v>
      </c>
      <c r="B279" s="1115"/>
      <c r="C279" s="1115"/>
      <c r="D279" s="1116"/>
      <c r="E279" s="73">
        <f>SUM(E276:E278)</f>
        <v>8373</v>
      </c>
      <c r="F279" s="73">
        <f>SUM(F276:F278)</f>
        <v>1235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1867</v>
      </c>
      <c r="J279" s="73">
        <f>+J278+J277</f>
        <v>46675</v>
      </c>
      <c r="K279" s="73">
        <f t="shared" si="109"/>
        <v>0</v>
      </c>
      <c r="L279" s="73">
        <f t="shared" si="109"/>
        <v>0</v>
      </c>
      <c r="M279" s="73">
        <f>SUM(M276:M278)</f>
        <v>7741</v>
      </c>
      <c r="N279" s="73">
        <f t="shared" si="109"/>
        <v>193525</v>
      </c>
      <c r="O279" s="767">
        <f>+O281-O280</f>
        <v>506965</v>
      </c>
      <c r="P279" s="186">
        <f>SUM(P206:P275)</f>
        <v>193525</v>
      </c>
      <c r="Q279" s="186">
        <f>+Q277-Q217</f>
        <v>597355</v>
      </c>
      <c r="R279" s="1109">
        <f>SUM(R206:R275)</f>
        <v>74669.375</v>
      </c>
      <c r="S279" s="1118" t="s">
        <v>246</v>
      </c>
      <c r="T279" s="1101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120" t="s">
        <v>74</v>
      </c>
      <c r="B280" s="1121"/>
      <c r="C280" s="1121"/>
      <c r="D280" s="1122"/>
      <c r="E280" s="595"/>
      <c r="F280" s="595">
        <f>F242+F238+F239+F212+F216+F266+F270+F256+F261+F251+F263+F267+F271+F210+F208+F247+F259+F246+F209+F272+F207+F222+F218+F227+F224+F231+F219+F213+F253</f>
        <v>38850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38850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90390</v>
      </c>
      <c r="P280" s="596">
        <f>+N279-P277</f>
        <v>0</v>
      </c>
      <c r="Q280" s="596"/>
      <c r="R280" s="1128"/>
      <c r="S280" s="1129"/>
      <c r="T280" s="1101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120" t="s">
        <v>77</v>
      </c>
      <c r="B281" s="1121"/>
      <c r="C281" s="1121"/>
      <c r="D281" s="1122"/>
      <c r="E281" s="69">
        <f>SUM(E276:E277)*25+E278*40</f>
        <v>209325</v>
      </c>
      <c r="F281" s="69">
        <f>+F280+F277*25+F278*40</f>
        <v>69725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46675</v>
      </c>
      <c r="J281" s="69">
        <f>SUM(J206:J275)</f>
        <v>85525</v>
      </c>
      <c r="K281" s="69">
        <f t="shared" si="111"/>
        <v>0</v>
      </c>
      <c r="L281" s="69">
        <f t="shared" si="111"/>
        <v>0</v>
      </c>
      <c r="M281" s="69">
        <f>+M280+M277*25+M278*40</f>
        <v>193525</v>
      </c>
      <c r="N281" s="69">
        <f>SUM(N206:N275)</f>
        <v>193525</v>
      </c>
      <c r="O281" s="767">
        <f>SUM(O206:O275)</f>
        <v>597355</v>
      </c>
      <c r="P281" s="187"/>
      <c r="Q281" s="187"/>
      <c r="R281" s="1110"/>
      <c r="S281" s="1119"/>
      <c r="T281" s="1126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13" t="s">
        <v>22</v>
      </c>
      <c r="B287" s="904" t="s">
        <v>23</v>
      </c>
      <c r="C287" s="904" t="s">
        <v>24</v>
      </c>
      <c r="D287" s="910" t="s">
        <v>178</v>
      </c>
      <c r="E287" s="61" t="s">
        <v>26</v>
      </c>
      <c r="F287" s="907" t="s">
        <v>27</v>
      </c>
      <c r="G287" s="908"/>
      <c r="H287" s="909"/>
      <c r="I287" s="907" t="s">
        <v>28</v>
      </c>
      <c r="J287" s="908"/>
      <c r="K287" s="908"/>
      <c r="L287" s="908"/>
      <c r="M287" s="907" t="s">
        <v>29</v>
      </c>
      <c r="N287" s="909"/>
      <c r="O287" s="183" t="s">
        <v>30</v>
      </c>
      <c r="P287" s="183"/>
      <c r="Q287" s="183"/>
      <c r="R287" s="183" t="s">
        <v>31</v>
      </c>
      <c r="S287" s="910" t="s">
        <v>32</v>
      </c>
      <c r="T287" s="922" t="s">
        <v>33</v>
      </c>
      <c r="U287" s="1095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14"/>
      <c r="B288" s="905"/>
      <c r="C288" s="905"/>
      <c r="D288" s="911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07" t="s">
        <v>40</v>
      </c>
      <c r="J288" s="908"/>
      <c r="K288" s="512" t="s">
        <v>41</v>
      </c>
      <c r="L288" s="681" t="s">
        <v>42</v>
      </c>
      <c r="M288" s="907" t="s">
        <v>43</v>
      </c>
      <c r="N288" s="909"/>
      <c r="O288" s="683" t="s">
        <v>44</v>
      </c>
      <c r="P288" s="184"/>
      <c r="Q288" s="184"/>
      <c r="R288" s="683" t="s">
        <v>45</v>
      </c>
      <c r="S288" s="911"/>
      <c r="T288" s="923"/>
      <c r="U288" s="1096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15"/>
      <c r="B289" s="906"/>
      <c r="C289" s="906"/>
      <c r="D289" s="912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12"/>
      <c r="T289" s="924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81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82"/>
      <c r="Q299" s="1182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120" t="s">
        <v>71</v>
      </c>
      <c r="B300" s="1121"/>
      <c r="C300" s="1121"/>
      <c r="D300" s="1122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120" t="s">
        <v>72</v>
      </c>
      <c r="B301" s="1121"/>
      <c r="C301" s="1121"/>
      <c r="D301" s="1122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100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120" t="s">
        <v>73</v>
      </c>
      <c r="B302" s="1121"/>
      <c r="C302" s="1121"/>
      <c r="D302" s="1122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101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14" t="s">
        <v>75</v>
      </c>
      <c r="B303" s="1115"/>
      <c r="C303" s="1115"/>
      <c r="D303" s="1116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109">
        <f>SUM(R294:R299)</f>
        <v>0</v>
      </c>
      <c r="S303" s="1118" t="s">
        <v>250</v>
      </c>
      <c r="T303" s="1102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120" t="s">
        <v>74</v>
      </c>
      <c r="B304" s="1121"/>
      <c r="C304" s="1121"/>
      <c r="D304" s="1122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8"/>
      <c r="S304" s="1129"/>
      <c r="T304" s="1102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120" t="s">
        <v>77</v>
      </c>
      <c r="B305" s="1121"/>
      <c r="C305" s="1121"/>
      <c r="D305" s="1122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110"/>
      <c r="S305" s="1119"/>
      <c r="T305" s="1103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13" t="s">
        <v>22</v>
      </c>
      <c r="B311" s="904" t="s">
        <v>23</v>
      </c>
      <c r="C311" s="904" t="s">
        <v>24</v>
      </c>
      <c r="D311" s="910" t="s">
        <v>178</v>
      </c>
      <c r="E311" s="61" t="s">
        <v>26</v>
      </c>
      <c r="F311" s="907" t="s">
        <v>27</v>
      </c>
      <c r="G311" s="908"/>
      <c r="H311" s="909"/>
      <c r="I311" s="907" t="s">
        <v>28</v>
      </c>
      <c r="J311" s="908"/>
      <c r="K311" s="908"/>
      <c r="L311" s="908"/>
      <c r="M311" s="907" t="s">
        <v>29</v>
      </c>
      <c r="N311" s="909"/>
      <c r="O311" s="183" t="s">
        <v>30</v>
      </c>
      <c r="P311" s="183"/>
      <c r="Q311" s="183"/>
      <c r="R311" s="183" t="s">
        <v>31</v>
      </c>
      <c r="S311" s="910" t="s">
        <v>32</v>
      </c>
      <c r="T311" s="922" t="s">
        <v>33</v>
      </c>
      <c r="U311" s="1095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14"/>
      <c r="B312" s="905"/>
      <c r="C312" s="905"/>
      <c r="D312" s="911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07" t="s">
        <v>40</v>
      </c>
      <c r="J312" s="908"/>
      <c r="K312" s="512" t="s">
        <v>41</v>
      </c>
      <c r="L312" s="681" t="s">
        <v>42</v>
      </c>
      <c r="M312" s="907" t="s">
        <v>43</v>
      </c>
      <c r="N312" s="909"/>
      <c r="O312" s="683" t="s">
        <v>44</v>
      </c>
      <c r="P312" s="184"/>
      <c r="Q312" s="184"/>
      <c r="R312" s="683" t="s">
        <v>45</v>
      </c>
      <c r="S312" s="911"/>
      <c r="T312" s="923"/>
      <c r="U312" s="1096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15"/>
      <c r="B313" s="906"/>
      <c r="C313" s="906"/>
      <c r="D313" s="912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12"/>
      <c r="T313" s="924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4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>
        <v>0</v>
      </c>
      <c r="AB314" s="100">
        <v>0</v>
      </c>
      <c r="AC314" s="100">
        <v>0</v>
      </c>
      <c r="AD314" s="351">
        <v>0</v>
      </c>
      <c r="AE314" s="100">
        <v>0</v>
      </c>
      <c r="AF314" s="100">
        <v>0</v>
      </c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4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>
        <v>0</v>
      </c>
      <c r="AC315" s="100">
        <v>0</v>
      </c>
      <c r="AD315" s="351">
        <v>0</v>
      </c>
      <c r="AE315" s="100">
        <v>0</v>
      </c>
      <c r="AF315" s="100">
        <v>0</v>
      </c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4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>
        <v>0</v>
      </c>
      <c r="AB316" s="100">
        <v>0</v>
      </c>
      <c r="AC316" s="100">
        <v>0</v>
      </c>
      <c r="AD316" s="351">
        <v>0</v>
      </c>
      <c r="AE316" s="100">
        <v>0</v>
      </c>
      <c r="AF316" s="100">
        <v>0</v>
      </c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909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250</v>
      </c>
      <c r="J317" s="351">
        <f>SUMIF(data!$D:$D,$B317&amp;$D317,data!$K:$K)</f>
        <v>6250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659</v>
      </c>
      <c r="N317" s="351">
        <f>M317*D317</f>
        <v>16475</v>
      </c>
      <c r="O317" s="1164">
        <f t="shared" si="128"/>
        <v>13450</v>
      </c>
      <c r="P317" s="665"/>
      <c r="Q317" s="665"/>
      <c r="R317" s="804">
        <f>O317/INTGRATE!$N$293</f>
        <v>1681.25</v>
      </c>
      <c r="S317" s="665">
        <f t="shared" si="129"/>
        <v>9.7992565055762082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>
        <v>2100</v>
      </c>
      <c r="AB317" s="100">
        <v>0</v>
      </c>
      <c r="AC317" s="100">
        <v>3475</v>
      </c>
      <c r="AD317" s="351">
        <v>0</v>
      </c>
      <c r="AE317" s="100">
        <v>0</v>
      </c>
      <c r="AF317" s="100">
        <v>6250</v>
      </c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13450</v>
      </c>
      <c r="BD317" s="786">
        <f t="shared" si="134"/>
        <v>4</v>
      </c>
      <c r="BE317" s="786">
        <f t="shared" si="135"/>
        <v>3362.5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4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>
        <v>0</v>
      </c>
      <c r="AB318" s="100">
        <v>0</v>
      </c>
      <c r="AC318" s="100">
        <v>0</v>
      </c>
      <c r="AD318" s="351">
        <v>0</v>
      </c>
      <c r="AE318" s="100">
        <v>0</v>
      </c>
      <c r="AF318" s="100">
        <v>0</v>
      </c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4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>
        <v>0</v>
      </c>
      <c r="AB319" s="100">
        <v>0</v>
      </c>
      <c r="AC319" s="100">
        <v>0</v>
      </c>
      <c r="AD319" s="351">
        <v>0</v>
      </c>
      <c r="AE319" s="100">
        <v>0</v>
      </c>
      <c r="AF319" s="100">
        <v>0</v>
      </c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58</v>
      </c>
      <c r="F320" s="100">
        <f>SUMIF(pro!$A:$A,$V:$V,pro!$N:$N)</f>
        <v>679</v>
      </c>
      <c r="G320" s="351"/>
      <c r="H320" s="100">
        <f>SUMIF(CBIN!$A:$A,BRAN!$V:$V,CBIN!$G:$G)</f>
        <v>0</v>
      </c>
      <c r="I320" s="351">
        <f>SUMIF(data!$D:$D,$B320&amp;$D320,data!$J:$J)</f>
        <v>5</v>
      </c>
      <c r="J320" s="351">
        <f>SUMIF(data!$D:$D,$B320&amp;$D320,data!$K:$K)</f>
        <v>125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732</v>
      </c>
      <c r="N320" s="351">
        <f t="shared" ref="N320:N329" si="137">M320*D320</f>
        <v>18300</v>
      </c>
      <c r="O320" s="1164">
        <f t="shared" ref="O320:O329" si="138">SUM(X320:BB320)</f>
        <v>11425</v>
      </c>
      <c r="P320" s="665">
        <f>SUM(N314:N330)-P319-P323-P324-P325</f>
        <v>57450</v>
      </c>
      <c r="Q320" s="665">
        <f>SUM(O314:O330)-Q319-Q323-Q324-Q325</f>
        <v>48175</v>
      </c>
      <c r="R320" s="804">
        <f>O320/INTGRATE!$N$293</f>
        <v>1428.125</v>
      </c>
      <c r="S320" s="665">
        <f t="shared" ref="S320:S329" si="139">IF(R320=0,0,N320/R320)</f>
        <v>12.814004376367615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>
        <v>2925</v>
      </c>
      <c r="AB320" s="100">
        <v>7125</v>
      </c>
      <c r="AC320" s="100">
        <v>0</v>
      </c>
      <c r="AD320" s="1165">
        <v>0</v>
      </c>
      <c r="AE320" s="100">
        <v>0</v>
      </c>
      <c r="AF320" s="100">
        <v>125</v>
      </c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11425</v>
      </c>
      <c r="BD320" s="786">
        <f t="shared" si="134"/>
        <v>4</v>
      </c>
      <c r="BE320" s="786">
        <f t="shared" si="135"/>
        <v>2856.25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709</v>
      </c>
      <c r="F321" s="100">
        <f>SUMIF(pro!$A:$A,$V:$V,pro!$N:$N)</f>
        <v>0</v>
      </c>
      <c r="G321" s="351"/>
      <c r="H321" s="100"/>
      <c r="I321" s="351">
        <f>SUMIF(data!$D:$D,$B321&amp;$D321,data!$J:$J)</f>
        <v>110</v>
      </c>
      <c r="J321" s="351">
        <f>SUMIF(data!$D:$D,$B321&amp;$D321,data!$K:$K)</f>
        <v>2750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599</v>
      </c>
      <c r="N321" s="351">
        <f t="shared" ref="N321" si="141">M321*D321</f>
        <v>14975</v>
      </c>
      <c r="O321" s="1164">
        <f t="shared" ref="O321" si="142">SUM(X321:BB321)</f>
        <v>12175</v>
      </c>
      <c r="P321" s="665"/>
      <c r="Q321" s="665"/>
      <c r="R321" s="804">
        <f>O321/INTGRATE!$N$293</f>
        <v>1521.875</v>
      </c>
      <c r="S321" s="665">
        <f t="shared" ref="S321:S323" si="143">IF(R321=0,0,N321/R321)</f>
        <v>9.8398357289527727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>
        <v>1500</v>
      </c>
      <c r="AB321" s="100">
        <v>1175</v>
      </c>
      <c r="AC321" s="100">
        <v>3350</v>
      </c>
      <c r="AD321" s="1165">
        <v>1875</v>
      </c>
      <c r="AE321" s="100">
        <v>250</v>
      </c>
      <c r="AF321" s="100">
        <v>2750</v>
      </c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5"/>
      <c r="AR321" s="100"/>
      <c r="AS321" s="100"/>
      <c r="AT321" s="100"/>
      <c r="AU321" s="100"/>
      <c r="AV321" s="100"/>
      <c r="AW321" s="100"/>
      <c r="AX321" s="1165"/>
      <c r="AY321" s="100"/>
      <c r="AZ321" s="100"/>
      <c r="BA321" s="100"/>
      <c r="BB321" s="100"/>
      <c r="BC321" s="275">
        <f t="shared" si="133"/>
        <v>12175</v>
      </c>
      <c r="BD321" s="786">
        <f t="shared" si="134"/>
        <v>8</v>
      </c>
      <c r="BE321" s="786">
        <f t="shared" si="135"/>
        <v>1521.875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4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>
        <v>0</v>
      </c>
      <c r="AB322" s="100">
        <v>0</v>
      </c>
      <c r="AC322" s="100">
        <v>0</v>
      </c>
      <c r="AD322" s="1165">
        <v>0</v>
      </c>
      <c r="AE322" s="100">
        <v>0</v>
      </c>
      <c r="AF322" s="100">
        <v>0</v>
      </c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5"/>
      <c r="AR322" s="100"/>
      <c r="AS322" s="100"/>
      <c r="AT322" s="100"/>
      <c r="AU322" s="100"/>
      <c r="AV322" s="100"/>
      <c r="AW322" s="100"/>
      <c r="AX322" s="1165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575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20</v>
      </c>
      <c r="J323" s="351">
        <f>SUMIF(data!$D:$D,$B323&amp;$D323,data!$K:$K)</f>
        <v>500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555</v>
      </c>
      <c r="N323" s="351">
        <f t="shared" si="137"/>
        <v>13875</v>
      </c>
      <c r="O323" s="1164">
        <f t="shared" si="138"/>
        <v>12250</v>
      </c>
      <c r="P323" s="665">
        <f>N316+N321+N322</f>
        <v>15250</v>
      </c>
      <c r="Q323" s="665">
        <f>O316+O321+O322</f>
        <v>12175</v>
      </c>
      <c r="R323" s="804">
        <f>O323/INTGRATE!$N$293</f>
        <v>1531.25</v>
      </c>
      <c r="S323" s="665">
        <f t="shared" si="143"/>
        <v>9.0612244897959187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>
        <v>2250</v>
      </c>
      <c r="AB323" s="100">
        <v>875</v>
      </c>
      <c r="AC323" s="100">
        <v>4000</v>
      </c>
      <c r="AD323" s="1165">
        <v>1000</v>
      </c>
      <c r="AE323" s="100">
        <v>1000</v>
      </c>
      <c r="AF323" s="100">
        <v>500</v>
      </c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5"/>
      <c r="AR323" s="100"/>
      <c r="AS323" s="100"/>
      <c r="AT323" s="100"/>
      <c r="AU323" s="100"/>
      <c r="AV323" s="100"/>
      <c r="AW323" s="100"/>
      <c r="AX323" s="1165"/>
      <c r="AY323" s="100"/>
      <c r="AZ323" s="100"/>
      <c r="BA323" s="100"/>
      <c r="BB323" s="100"/>
      <c r="BC323" s="275">
        <f t="shared" si="133"/>
        <v>12250</v>
      </c>
      <c r="BD323" s="786">
        <f t="shared" si="134"/>
        <v>8</v>
      </c>
      <c r="BE323" s="786">
        <f t="shared" si="135"/>
        <v>1531.25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387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0</v>
      </c>
      <c r="J324" s="351">
        <f>SUMIF(data!$D:$D,$B324&amp;$D324,data!$K:$K)</f>
        <v>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387</v>
      </c>
      <c r="N324" s="351">
        <f t="shared" si="137"/>
        <v>9675</v>
      </c>
      <c r="O324" s="1164">
        <f t="shared" si="138"/>
        <v>8675</v>
      </c>
      <c r="P324" s="665">
        <f>+N327+N326</f>
        <v>19150</v>
      </c>
      <c r="Q324" s="665">
        <f>+O327+O326</f>
        <v>11550</v>
      </c>
      <c r="R324" s="804">
        <f>O324/INTGRATE!$N$293</f>
        <v>1084.375</v>
      </c>
      <c r="S324" s="665">
        <f t="shared" si="139"/>
        <v>8.9221902017291068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>
        <v>375</v>
      </c>
      <c r="AB324" s="100">
        <v>200</v>
      </c>
      <c r="AC324" s="100">
        <v>1000</v>
      </c>
      <c r="AD324" s="1165">
        <v>4600</v>
      </c>
      <c r="AE324" s="100">
        <v>1000</v>
      </c>
      <c r="AF324" s="100">
        <v>0</v>
      </c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5"/>
      <c r="AR324" s="100"/>
      <c r="AS324" s="100"/>
      <c r="AT324" s="100"/>
      <c r="AU324" s="100"/>
      <c r="AV324" s="100"/>
      <c r="AW324" s="100"/>
      <c r="AX324" s="1165"/>
      <c r="AY324" s="100"/>
      <c r="AZ324" s="100"/>
      <c r="BA324" s="100"/>
      <c r="BB324" s="100"/>
      <c r="BC324" s="275">
        <f t="shared" si="133"/>
        <v>8675</v>
      </c>
      <c r="BD324" s="786">
        <f t="shared" si="134"/>
        <v>7</v>
      </c>
      <c r="BE324" s="786">
        <f t="shared" si="135"/>
        <v>1239.2857142857142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4">
        <f t="shared" si="138"/>
        <v>0</v>
      </c>
      <c r="P325" s="665">
        <f>+N317+N318</f>
        <v>16475</v>
      </c>
      <c r="Q325" s="665">
        <f>+O317+O318</f>
        <v>13450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>
        <v>0</v>
      </c>
      <c r="AB325" s="100">
        <v>0</v>
      </c>
      <c r="AC325" s="100">
        <v>0</v>
      </c>
      <c r="AD325" s="351">
        <v>0</v>
      </c>
      <c r="AE325" s="100">
        <v>0</v>
      </c>
      <c r="AF325" s="100">
        <v>0</v>
      </c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684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70</v>
      </c>
      <c r="J326" s="351">
        <f>SUMIF(data!$D:$D,$B326&amp;$D326,data!$K:$K)</f>
        <v>1750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614</v>
      </c>
      <c r="N326" s="351">
        <f t="shared" si="137"/>
        <v>15350</v>
      </c>
      <c r="O326" s="1164">
        <f t="shared" si="138"/>
        <v>10675</v>
      </c>
      <c r="P326" s="665"/>
      <c r="Q326" s="665"/>
      <c r="R326" s="804">
        <f>O326/INTGRATE!$N$293</f>
        <v>1334.375</v>
      </c>
      <c r="S326" s="665">
        <f t="shared" si="139"/>
        <v>11.503512880562061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>
        <v>6750</v>
      </c>
      <c r="AB326" s="100">
        <v>0</v>
      </c>
      <c r="AC326" s="100">
        <v>250</v>
      </c>
      <c r="AD326" s="351">
        <v>750</v>
      </c>
      <c r="AE326" s="100">
        <v>0</v>
      </c>
      <c r="AF326" s="100">
        <v>1750</v>
      </c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10675</v>
      </c>
      <c r="BD326" s="786">
        <f t="shared" si="134"/>
        <v>6</v>
      </c>
      <c r="BE326" s="786">
        <f t="shared" si="135"/>
        <v>1779.1666666666667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157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5</v>
      </c>
      <c r="J327" s="351">
        <f>SUMIF(data!$D:$D,$B327&amp;$D327,data!$K:$K)</f>
        <v>125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152</v>
      </c>
      <c r="N327" s="351">
        <f>M327*D327</f>
        <v>3800</v>
      </c>
      <c r="O327" s="1164">
        <f>SUM(X327:BB327)</f>
        <v>875</v>
      </c>
      <c r="P327" s="665"/>
      <c r="Q327" s="665"/>
      <c r="R327" s="804">
        <f>O327/INTGRATE!$N$293</f>
        <v>109.375</v>
      </c>
      <c r="S327" s="665">
        <f>IF(R327=0,0,N327/R327)</f>
        <v>34.74285714285714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>
        <v>0</v>
      </c>
      <c r="AB327" s="100">
        <v>0</v>
      </c>
      <c r="AC327" s="100">
        <v>250</v>
      </c>
      <c r="AD327" s="351">
        <v>500</v>
      </c>
      <c r="AE327" s="100">
        <v>0</v>
      </c>
      <c r="AF327" s="100">
        <v>125</v>
      </c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875</v>
      </c>
      <c r="BD327" s="786">
        <f t="shared" si="134"/>
        <v>3</v>
      </c>
      <c r="BE327" s="786">
        <f t="shared" si="135"/>
        <v>291.66666666666669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4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>
        <v>0</v>
      </c>
      <c r="AB328" s="100">
        <v>0</v>
      </c>
      <c r="AC328" s="100">
        <v>0</v>
      </c>
      <c r="AD328" s="351">
        <v>0</v>
      </c>
      <c r="AE328" s="100">
        <v>0</v>
      </c>
      <c r="AF328" s="100">
        <v>0</v>
      </c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592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53</v>
      </c>
      <c r="J329" s="351">
        <f>SUMIF(data!$D:$D,$B329&amp;$D329,data!$K:$K)</f>
        <v>1325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539</v>
      </c>
      <c r="N329" s="351">
        <f t="shared" si="137"/>
        <v>13475</v>
      </c>
      <c r="O329" s="1164">
        <f t="shared" si="138"/>
        <v>12450</v>
      </c>
      <c r="P329" s="665"/>
      <c r="Q329" s="665"/>
      <c r="R329" s="804">
        <f>O329/INTGRATE!$N$293</f>
        <v>1556.25</v>
      </c>
      <c r="S329" s="665">
        <f t="shared" si="139"/>
        <v>8.6586345381526097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>
        <v>500</v>
      </c>
      <c r="AB329" s="100">
        <v>1750</v>
      </c>
      <c r="AC329" s="100">
        <v>1750</v>
      </c>
      <c r="AD329" s="351">
        <v>5500</v>
      </c>
      <c r="AE329" s="100">
        <v>250</v>
      </c>
      <c r="AF329" s="100">
        <v>1325</v>
      </c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12450</v>
      </c>
      <c r="BD329" s="786">
        <f t="shared" si="134"/>
        <v>8</v>
      </c>
      <c r="BE329" s="786">
        <f t="shared" si="135"/>
        <v>1556.25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90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5</v>
      </c>
      <c r="J330" s="351">
        <f>SUMIF(data!$D:$D,$B330&amp;$D330,data!$K:$K)</f>
        <v>125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85</v>
      </c>
      <c r="N330" s="351">
        <f>M330*D330</f>
        <v>2125</v>
      </c>
      <c r="O330" s="1164">
        <f>SUM(X330:BB330)</f>
        <v>3375</v>
      </c>
      <c r="P330" s="665"/>
      <c r="Q330" s="665"/>
      <c r="R330" s="804">
        <f>O330/INTGRATE!$N$293</f>
        <v>421.875</v>
      </c>
      <c r="S330" s="665">
        <f>IF(R330=0,0,N330/R330)</f>
        <v>5.0370370370370372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>
        <v>250</v>
      </c>
      <c r="AB330" s="157">
        <v>0</v>
      </c>
      <c r="AC330" s="157">
        <v>625</v>
      </c>
      <c r="AD330" s="1165">
        <v>0</v>
      </c>
      <c r="AE330" s="157">
        <v>500</v>
      </c>
      <c r="AF330" s="157">
        <v>125</v>
      </c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5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3375</v>
      </c>
      <c r="BD330" s="786">
        <f t="shared" si="134"/>
        <v>6</v>
      </c>
      <c r="BE330" s="786">
        <f t="shared" si="135"/>
        <v>562.5</v>
      </c>
    </row>
    <row r="331" spans="1:151" s="59" customFormat="1" ht="15" customHeight="1">
      <c r="A331" s="1120" t="s">
        <v>71</v>
      </c>
      <c r="B331" s="1121"/>
      <c r="C331" s="1121"/>
      <c r="D331" s="1122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16650</v>
      </c>
      <c r="AB331" s="670">
        <f t="shared" si="148"/>
        <v>11125</v>
      </c>
      <c r="AC331" s="670">
        <f t="shared" si="148"/>
        <v>14700</v>
      </c>
      <c r="AD331" s="670">
        <f t="shared" si="148"/>
        <v>14225</v>
      </c>
      <c r="AE331" s="670">
        <f t="shared" si="148"/>
        <v>3000</v>
      </c>
      <c r="AF331" s="670">
        <f t="shared" si="148"/>
        <v>12950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85350</v>
      </c>
      <c r="BD331" s="112"/>
      <c r="BE331" s="112"/>
      <c r="BH331" s="439"/>
    </row>
    <row r="332" spans="1:151" s="59" customFormat="1" ht="15" customHeight="1">
      <c r="A332" s="1120" t="s">
        <v>72</v>
      </c>
      <c r="B332" s="1121"/>
      <c r="C332" s="1121"/>
      <c r="D332" s="1122"/>
      <c r="E332" s="113">
        <f>SUM(E314:E330)</f>
        <v>4172</v>
      </c>
      <c r="F332" s="113">
        <f>SUM(F314:F330)-F334</f>
        <v>679</v>
      </c>
      <c r="G332" s="113">
        <f>SUM(G314:G330)</f>
        <v>0</v>
      </c>
      <c r="H332" s="113">
        <f>SUM(H314:H330)</f>
        <v>0</v>
      </c>
      <c r="I332" s="113">
        <f>SUM(I314:I330)</f>
        <v>518</v>
      </c>
      <c r="J332" s="113">
        <f>SUM(J314:J330)-J334</f>
        <v>12950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4333</v>
      </c>
      <c r="N332" s="113">
        <f t="shared" si="149"/>
        <v>108325</v>
      </c>
      <c r="O332" s="113">
        <f t="shared" si="149"/>
        <v>85350</v>
      </c>
      <c r="P332" s="113">
        <f t="shared" si="149"/>
        <v>108325</v>
      </c>
      <c r="Q332" s="113">
        <f t="shared" si="149"/>
        <v>85350</v>
      </c>
      <c r="R332" s="113">
        <f t="shared" si="149"/>
        <v>10668.75</v>
      </c>
      <c r="S332" s="113">
        <f t="shared" si="149"/>
        <v>110.37855290103047</v>
      </c>
      <c r="T332" s="1100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3621740</v>
      </c>
      <c r="BD332" s="329"/>
      <c r="BE332" s="329"/>
      <c r="BH332" s="439"/>
    </row>
    <row r="333" spans="1:151" s="59" customFormat="1" ht="15" customHeight="1">
      <c r="A333" s="1120" t="s">
        <v>73</v>
      </c>
      <c r="B333" s="1121"/>
      <c r="C333" s="1121"/>
      <c r="D333" s="1122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101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565630</v>
      </c>
      <c r="AB333" s="671">
        <f t="shared" si="150"/>
        <v>534855</v>
      </c>
      <c r="AC333" s="671">
        <f t="shared" si="150"/>
        <v>495125</v>
      </c>
      <c r="AD333" s="671">
        <f t="shared" si="150"/>
        <v>389925</v>
      </c>
      <c r="AE333" s="671">
        <f t="shared" si="150"/>
        <v>493910</v>
      </c>
      <c r="AF333" s="671">
        <f t="shared" si="150"/>
        <v>330125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3621740</v>
      </c>
      <c r="BD333" s="440"/>
      <c r="BE333" s="440"/>
      <c r="BH333" s="439"/>
    </row>
    <row r="334" spans="1:151" s="59" customFormat="1" ht="15" customHeight="1">
      <c r="A334" s="1120" t="s">
        <v>74</v>
      </c>
      <c r="B334" s="1121"/>
      <c r="C334" s="1121"/>
      <c r="D334" s="1122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101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14" t="s">
        <v>75</v>
      </c>
      <c r="B335" s="1115"/>
      <c r="C335" s="1115"/>
      <c r="D335" s="1116"/>
      <c r="E335" s="73">
        <f>SUM(E331:E333)</f>
        <v>4172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518</v>
      </c>
      <c r="J335" s="73">
        <f>+SUM(J331:J333)</f>
        <v>12950</v>
      </c>
      <c r="K335" s="73">
        <f>SUM(K331:K333)</f>
        <v>0</v>
      </c>
      <c r="L335" s="73">
        <f>SUM(L331:L333)</f>
        <v>0</v>
      </c>
      <c r="M335" s="478">
        <f>SUM(M331:M333)</f>
        <v>4333</v>
      </c>
      <c r="N335" s="73">
        <f>SUM(N331:N333)</f>
        <v>108325</v>
      </c>
      <c r="O335" s="1107">
        <f>SUM(O316:O330)</f>
        <v>85350</v>
      </c>
      <c r="P335" s="186"/>
      <c r="Q335" s="186"/>
      <c r="R335" s="1109">
        <f>SUM(R316:R330)</f>
        <v>10668.75</v>
      </c>
      <c r="S335" s="1109" t="s">
        <v>83</v>
      </c>
      <c r="T335" s="1102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120" t="s">
        <v>77</v>
      </c>
      <c r="B336" s="1121"/>
      <c r="C336" s="1121"/>
      <c r="D336" s="1122"/>
      <c r="E336" s="70">
        <f>SUM(E331:E332)*25+E333*40</f>
        <v>104300</v>
      </c>
      <c r="F336" s="70">
        <f>SUM(F331:F332)*25+F333*40</f>
        <v>16975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12950</v>
      </c>
      <c r="J336" s="70">
        <f>SUM(J331:J332)+J333+J334</f>
        <v>12950</v>
      </c>
      <c r="K336" s="70">
        <f>+K335*25</f>
        <v>0</v>
      </c>
      <c r="L336" s="70">
        <f>SUM(L331:L332)*25+L333*40</f>
        <v>0</v>
      </c>
      <c r="M336" s="480">
        <f>SUM(M331:M332)*25+M333*40</f>
        <v>108325</v>
      </c>
      <c r="N336" s="70">
        <f>SUM(N331:N332)+N333</f>
        <v>108325</v>
      </c>
      <c r="O336" s="1108"/>
      <c r="P336" s="187"/>
      <c r="Q336" s="187"/>
      <c r="R336" s="1110"/>
      <c r="S336" s="1110"/>
      <c r="T336" s="1103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L258" activePane="bottomRight" state="frozen"/>
      <selection pane="bottomRight" activeCell="H287" sqref="H287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901" t="s">
        <v>14</v>
      </c>
      <c r="B2" s="901"/>
      <c r="C2" s="901"/>
      <c r="D2" s="901"/>
      <c r="E2" s="901"/>
      <c r="F2" s="903" t="s">
        <v>251</v>
      </c>
      <c r="G2" s="903"/>
      <c r="H2" s="903"/>
      <c r="I2" s="903"/>
      <c r="J2" s="903"/>
      <c r="K2" s="903"/>
      <c r="L2" s="903"/>
      <c r="M2" s="903"/>
      <c r="N2" s="903"/>
      <c r="O2" s="903"/>
      <c r="P2" s="193"/>
      <c r="Q2" s="193"/>
      <c r="R2" s="194"/>
      <c r="S2" s="194"/>
      <c r="AF2" s="197"/>
    </row>
    <row r="3" spans="1:62" ht="15" customHeight="1">
      <c r="A3" s="901" t="s">
        <v>252</v>
      </c>
      <c r="B3" s="901"/>
      <c r="C3" s="901"/>
      <c r="D3" s="901"/>
      <c r="E3" s="901"/>
      <c r="F3" s="903"/>
      <c r="G3" s="903"/>
      <c r="H3" s="903"/>
      <c r="I3" s="903"/>
      <c r="J3" s="903"/>
      <c r="K3" s="903"/>
      <c r="L3" s="903"/>
      <c r="M3" s="903"/>
      <c r="N3" s="903"/>
      <c r="O3" s="903"/>
      <c r="P3" s="718" t="s">
        <v>15</v>
      </c>
      <c r="Q3" s="963">
        <f>BRAN!O3</f>
        <v>46151</v>
      </c>
      <c r="R3" s="963"/>
      <c r="S3" s="963"/>
      <c r="T3" s="963"/>
      <c r="U3" s="963"/>
      <c r="V3" s="963"/>
      <c r="W3" s="719"/>
    </row>
    <row r="4" spans="1:62" ht="15" customHeight="1">
      <c r="A4" s="38" t="s">
        <v>16</v>
      </c>
      <c r="B4" s="721"/>
      <c r="C4" s="721"/>
      <c r="D4" s="721"/>
      <c r="E4" s="721"/>
      <c r="F4" s="964" t="s">
        <v>253</v>
      </c>
      <c r="G4" s="964"/>
      <c r="H4" s="964"/>
      <c r="I4" s="964"/>
      <c r="J4" s="964"/>
      <c r="K4" s="964"/>
      <c r="L4" s="964"/>
      <c r="M4" s="964"/>
      <c r="N4" s="964"/>
      <c r="O4" s="964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964" t="s">
        <v>255</v>
      </c>
      <c r="G5" s="964"/>
      <c r="H5" s="964"/>
      <c r="I5" s="964"/>
      <c r="J5" s="964"/>
      <c r="K5" s="964"/>
      <c r="L5" s="964"/>
      <c r="M5" s="964"/>
      <c r="N5" s="964"/>
      <c r="O5" s="964"/>
      <c r="P5" s="902" t="s">
        <v>17</v>
      </c>
      <c r="Q5" s="902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13" t="s">
        <v>22</v>
      </c>
      <c r="B7" s="904" t="s">
        <v>23</v>
      </c>
      <c r="C7" s="904" t="s">
        <v>24</v>
      </c>
      <c r="D7" s="910" t="s">
        <v>256</v>
      </c>
      <c r="E7" s="61" t="s">
        <v>26</v>
      </c>
      <c r="F7" s="907" t="s">
        <v>27</v>
      </c>
      <c r="G7" s="908"/>
      <c r="H7" s="909"/>
      <c r="I7" s="907" t="s">
        <v>28</v>
      </c>
      <c r="J7" s="908"/>
      <c r="K7" s="908"/>
      <c r="L7" s="908"/>
      <c r="M7" s="908"/>
      <c r="N7" s="909"/>
      <c r="O7" s="907" t="s">
        <v>29</v>
      </c>
      <c r="P7" s="909"/>
      <c r="Q7" s="183" t="s">
        <v>30</v>
      </c>
      <c r="R7" s="305"/>
      <c r="S7" s="305"/>
      <c r="T7" s="183" t="s">
        <v>31</v>
      </c>
      <c r="U7" s="916" t="s">
        <v>257</v>
      </c>
      <c r="V7" s="917"/>
      <c r="W7" s="922" t="s">
        <v>33</v>
      </c>
      <c r="X7" s="1095" t="s">
        <v>34</v>
      </c>
      <c r="Y7" s="854"/>
      <c r="Z7" s="817"/>
    </row>
    <row r="8" spans="1:62" s="83" customFormat="1" ht="48.75" customHeight="1">
      <c r="A8" s="914"/>
      <c r="B8" s="905"/>
      <c r="C8" s="905"/>
      <c r="D8" s="911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07" t="s">
        <v>40</v>
      </c>
      <c r="J8" s="908"/>
      <c r="K8" s="908"/>
      <c r="L8" s="909"/>
      <c r="M8" s="512" t="s">
        <v>41</v>
      </c>
      <c r="N8" s="681" t="s">
        <v>42</v>
      </c>
      <c r="O8" s="925" t="s">
        <v>43</v>
      </c>
      <c r="P8" s="909"/>
      <c r="Q8" s="683" t="s">
        <v>44</v>
      </c>
      <c r="R8" s="682"/>
      <c r="S8" s="682"/>
      <c r="T8" s="683" t="s">
        <v>45</v>
      </c>
      <c r="U8" s="918"/>
      <c r="V8" s="919"/>
      <c r="W8" s="923"/>
      <c r="X8" s="1096"/>
      <c r="Y8" s="854"/>
      <c r="Z8" s="817"/>
    </row>
    <row r="9" spans="1:62" s="83" customFormat="1" ht="18.75" customHeight="1">
      <c r="A9" s="915"/>
      <c r="B9" s="906"/>
      <c r="C9" s="906"/>
      <c r="D9" s="912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20"/>
      <c r="V9" s="921"/>
      <c r="W9" s="924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3">
        <f t="shared" ref="P10:P47" si="1">O10*D10</f>
        <v>0</v>
      </c>
      <c r="Q10" s="314">
        <f t="shared" ref="Q10:Q31" si="2">SUM(AA10:BE10)</f>
        <v>0</v>
      </c>
      <c r="T10" s="1184">
        <f t="shared" ref="T10:T41" si="3">Q10/$N$293</f>
        <v>0</v>
      </c>
      <c r="U10" s="872">
        <f>IF(T10=0,0,P10/T10)</f>
        <v>0</v>
      </c>
      <c r="V10" s="873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>
        <v>0</v>
      </c>
      <c r="AF10" s="314">
        <v>0</v>
      </c>
      <c r="AG10" s="314">
        <v>0</v>
      </c>
      <c r="AH10" s="314">
        <v>0</v>
      </c>
      <c r="AI10" s="314">
        <v>0</v>
      </c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491350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4">
        <f t="shared" si="3"/>
        <v>0</v>
      </c>
      <c r="U11" s="872">
        <f>IF(T11=0,0,P11/T11)</f>
        <v>0</v>
      </c>
      <c r="V11" s="873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>
        <v>0</v>
      </c>
      <c r="AF11" s="314">
        <v>0</v>
      </c>
      <c r="AG11" s="314">
        <v>0</v>
      </c>
      <c r="AH11" s="314">
        <v>0</v>
      </c>
      <c r="AI11" s="314">
        <v>0</v>
      </c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30900</v>
      </c>
      <c r="T12" s="1184">
        <f t="shared" si="3"/>
        <v>0</v>
      </c>
      <c r="U12" s="872">
        <f>IF(T12=0,0,P12/T12)</f>
        <v>0</v>
      </c>
      <c r="V12" s="873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>
        <v>0</v>
      </c>
      <c r="AF12" s="314">
        <v>0</v>
      </c>
      <c r="AG12" s="314">
        <v>0</v>
      </c>
      <c r="AH12" s="314">
        <v>0</v>
      </c>
      <c r="AI12" s="314">
        <v>0</v>
      </c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7900</v>
      </c>
      <c r="S13" s="314">
        <f>SUM(Q57:Q60,Q70,Q75:Q78)</f>
        <v>30900</v>
      </c>
      <c r="T13" s="1184">
        <f t="shared" si="3"/>
        <v>0</v>
      </c>
      <c r="U13" s="872">
        <f>IF(T13=0,0,P13/T13)</f>
        <v>0</v>
      </c>
      <c r="V13" s="873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>
        <v>0</v>
      </c>
      <c r="AF13" s="314">
        <v>0</v>
      </c>
      <c r="AG13" s="314">
        <v>0</v>
      </c>
      <c r="AH13" s="314">
        <v>0</v>
      </c>
      <c r="AI13" s="314">
        <v>0</v>
      </c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4">
        <f t="shared" si="3"/>
        <v>0</v>
      </c>
      <c r="U14" s="872">
        <f>IF(T14=0,0,P14/T14)</f>
        <v>0</v>
      </c>
      <c r="V14" s="873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>
        <v>0</v>
      </c>
      <c r="AF14" s="314">
        <v>0</v>
      </c>
      <c r="AG14" s="314">
        <v>0</v>
      </c>
      <c r="AH14" s="314">
        <v>0</v>
      </c>
      <c r="AI14" s="314">
        <v>0</v>
      </c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4">
        <f t="shared" si="3"/>
        <v>0</v>
      </c>
      <c r="U15" s="872">
        <f t="shared" ref="U15:U24" si="14">IF(T15=0,0,P15/T15)</f>
        <v>0</v>
      </c>
      <c r="V15" s="873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>
        <v>0</v>
      </c>
      <c r="AF15" s="314">
        <v>0</v>
      </c>
      <c r="AG15" s="314">
        <v>0</v>
      </c>
      <c r="AH15" s="314">
        <v>0</v>
      </c>
      <c r="AI15" s="314">
        <v>0</v>
      </c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47400</v>
      </c>
      <c r="S16" s="314">
        <f>+SUM(Q10:Q102)-S13-S19</f>
        <v>201700</v>
      </c>
      <c r="T16" s="1184">
        <f t="shared" si="3"/>
        <v>0</v>
      </c>
      <c r="U16" s="872">
        <f t="shared" si="14"/>
        <v>0</v>
      </c>
      <c r="V16" s="873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>
        <v>0</v>
      </c>
      <c r="AF16" s="314">
        <v>0</v>
      </c>
      <c r="AG16" s="314">
        <v>0</v>
      </c>
      <c r="AH16" s="314">
        <v>0</v>
      </c>
      <c r="AI16" s="314">
        <v>0</v>
      </c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133600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4">
        <f t="shared" si="3"/>
        <v>0</v>
      </c>
      <c r="U17" s="872">
        <f t="shared" si="14"/>
        <v>0</v>
      </c>
      <c r="V17" s="873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>
        <v>0</v>
      </c>
      <c r="AF17" s="314">
        <v>0</v>
      </c>
      <c r="AG17" s="314">
        <v>0</v>
      </c>
      <c r="AH17" s="314">
        <v>0</v>
      </c>
      <c r="AI17" s="314">
        <v>0</v>
      </c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4">
        <f t="shared" si="3"/>
        <v>0</v>
      </c>
      <c r="U18" s="872">
        <f t="shared" si="14"/>
        <v>0</v>
      </c>
      <c r="V18" s="873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>
        <v>0</v>
      </c>
      <c r="AF18" s="314">
        <v>0</v>
      </c>
      <c r="AG18" s="314">
        <v>0</v>
      </c>
      <c r="AH18" s="314">
        <v>0</v>
      </c>
      <c r="AI18" s="314">
        <v>0</v>
      </c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93100</v>
      </c>
      <c r="S19" s="314">
        <f>+SUM(Q11:Q34,Q44:Q45,Q56,Q61:Q63,Q65:Q66,Q68:Q69,Q71:Q74,Q79,Q82:Q95,Q102)</f>
        <v>708200</v>
      </c>
      <c r="T19" s="1184">
        <f t="shared" si="3"/>
        <v>0</v>
      </c>
      <c r="U19" s="872">
        <f t="shared" si="14"/>
        <v>0</v>
      </c>
      <c r="V19" s="873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>
        <v>0</v>
      </c>
      <c r="AF19" s="314">
        <v>0</v>
      </c>
      <c r="AG19" s="314">
        <v>0</v>
      </c>
      <c r="AH19" s="314">
        <v>0</v>
      </c>
      <c r="AI19" s="314">
        <v>0</v>
      </c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449450</v>
      </c>
      <c r="BJ19" s="207" t="s">
        <v>275</v>
      </c>
      <c r="BK19" s="367">
        <f>+BI17+BI23</f>
        <v>491350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4">
        <f t="shared" si="3"/>
        <v>0</v>
      </c>
      <c r="U20" s="872">
        <f t="shared" si="14"/>
        <v>0</v>
      </c>
      <c r="V20" s="873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>
        <v>0</v>
      </c>
      <c r="AF20" s="314">
        <v>0</v>
      </c>
      <c r="AG20" s="314">
        <v>0</v>
      </c>
      <c r="AH20" s="314">
        <v>0</v>
      </c>
      <c r="AI20" s="314">
        <v>0</v>
      </c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449450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432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132</v>
      </c>
      <c r="J21" s="314"/>
      <c r="K21" s="314"/>
      <c r="L21" s="314">
        <f>SUMIF(data!$D:$D,INTGRATE!$B21&amp;INTGRATE!$D21,data!$K:$K)</f>
        <v>6600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300</v>
      </c>
      <c r="P21" s="314">
        <f t="shared" si="1"/>
        <v>15000</v>
      </c>
      <c r="Q21" s="314">
        <f t="shared" si="2"/>
        <v>69250</v>
      </c>
      <c r="R21" s="314"/>
      <c r="S21" s="314"/>
      <c r="T21" s="1184">
        <f t="shared" si="3"/>
        <v>8656.25</v>
      </c>
      <c r="U21" s="872">
        <f t="shared" si="14"/>
        <v>1.7328519855595668</v>
      </c>
      <c r="V21" s="873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>
        <v>7300</v>
      </c>
      <c r="AF21" s="314">
        <v>0</v>
      </c>
      <c r="AG21" s="314">
        <v>11750</v>
      </c>
      <c r="AH21" s="314">
        <v>4150</v>
      </c>
      <c r="AI21" s="314">
        <v>6600</v>
      </c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69250</v>
      </c>
      <c r="BG21" s="786">
        <f t="shared" si="6"/>
        <v>7</v>
      </c>
      <c r="BH21" s="786">
        <f t="shared" si="7"/>
        <v>9892.8571428571431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4">
        <f t="shared" si="3"/>
        <v>0</v>
      </c>
      <c r="U22" s="872">
        <f t="shared" si="14"/>
        <v>0</v>
      </c>
      <c r="V22" s="873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>
        <v>0</v>
      </c>
      <c r="AF22" s="314">
        <v>0</v>
      </c>
      <c r="AG22" s="314">
        <v>0</v>
      </c>
      <c r="AH22" s="314">
        <v>0</v>
      </c>
      <c r="AI22" s="314">
        <v>0</v>
      </c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4">
        <f t="shared" si="3"/>
        <v>0</v>
      </c>
      <c r="U23" s="872">
        <f t="shared" si="14"/>
        <v>0</v>
      </c>
      <c r="V23" s="873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>
        <v>0</v>
      </c>
      <c r="AF23" s="314">
        <v>0</v>
      </c>
      <c r="AG23" s="314">
        <v>0</v>
      </c>
      <c r="AH23" s="314">
        <v>0</v>
      </c>
      <c r="AI23" s="314">
        <v>0</v>
      </c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491350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4">
        <f t="shared" si="3"/>
        <v>0</v>
      </c>
      <c r="U24" s="872">
        <f t="shared" si="14"/>
        <v>0</v>
      </c>
      <c r="V24" s="873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>
        <v>0</v>
      </c>
      <c r="AF24" s="314">
        <v>0</v>
      </c>
      <c r="AG24" s="314">
        <v>0</v>
      </c>
      <c r="AH24" s="314">
        <v>0</v>
      </c>
      <c r="AI24" s="314">
        <v>0</v>
      </c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4">
        <f t="shared" si="3"/>
        <v>0</v>
      </c>
      <c r="U25" s="872">
        <f>IF(T25=0,0,P25/T25)</f>
        <v>0</v>
      </c>
      <c r="V25" s="873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>
        <v>0</v>
      </c>
      <c r="AF25" s="314">
        <v>0</v>
      </c>
      <c r="AG25" s="314">
        <v>0</v>
      </c>
      <c r="AH25" s="314">
        <v>0</v>
      </c>
      <c r="AI25" s="314">
        <v>0</v>
      </c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4">
        <f t="shared" si="3"/>
        <v>0</v>
      </c>
      <c r="U26" s="872">
        <f t="shared" ref="U26:U35" si="16">IF(T26=0,0,P26/T26)</f>
        <v>0</v>
      </c>
      <c r="V26" s="873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>
        <v>0</v>
      </c>
      <c r="AF26" s="314">
        <v>0</v>
      </c>
      <c r="AG26" s="314">
        <v>0</v>
      </c>
      <c r="AH26" s="314">
        <v>0</v>
      </c>
      <c r="AI26" s="314">
        <v>0</v>
      </c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315850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4">
        <f t="shared" si="3"/>
        <v>0</v>
      </c>
      <c r="U27" s="872">
        <f t="shared" si="16"/>
        <v>0</v>
      </c>
      <c r="V27" s="873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>
        <v>0</v>
      </c>
      <c r="AF27" s="314">
        <v>0</v>
      </c>
      <c r="AG27" s="314">
        <v>0</v>
      </c>
      <c r="AH27" s="314">
        <v>0</v>
      </c>
      <c r="AI27" s="314">
        <v>0</v>
      </c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4">
        <f t="shared" si="3"/>
        <v>0</v>
      </c>
      <c r="U28" s="872">
        <f t="shared" si="16"/>
        <v>0</v>
      </c>
      <c r="V28" s="873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>
        <v>0</v>
      </c>
      <c r="AF28" s="314">
        <v>0</v>
      </c>
      <c r="AG28" s="314">
        <v>0</v>
      </c>
      <c r="AH28" s="314">
        <v>0</v>
      </c>
      <c r="AI28" s="314">
        <v>0</v>
      </c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4">
        <f t="shared" si="3"/>
        <v>0</v>
      </c>
      <c r="U29" s="872">
        <f t="shared" si="16"/>
        <v>0</v>
      </c>
      <c r="V29" s="873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>
        <v>0</v>
      </c>
      <c r="AF29" s="314">
        <v>0</v>
      </c>
      <c r="AG29" s="314">
        <v>0</v>
      </c>
      <c r="AH29" s="314">
        <v>0</v>
      </c>
      <c r="AI29" s="314">
        <v>0</v>
      </c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4">
        <f t="shared" si="3"/>
        <v>0</v>
      </c>
      <c r="U30" s="872">
        <f t="shared" si="16"/>
        <v>0</v>
      </c>
      <c r="V30" s="873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>
        <v>0</v>
      </c>
      <c r="AF30" s="314">
        <v>0</v>
      </c>
      <c r="AG30" s="314">
        <v>0</v>
      </c>
      <c r="AH30" s="314">
        <v>0</v>
      </c>
      <c r="AI30" s="314">
        <v>0</v>
      </c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4">
        <f t="shared" si="3"/>
        <v>0</v>
      </c>
      <c r="U31" s="872">
        <f t="shared" si="16"/>
        <v>0</v>
      </c>
      <c r="V31" s="873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>
        <v>0</v>
      </c>
      <c r="AF31" s="314">
        <v>0</v>
      </c>
      <c r="AG31" s="314">
        <v>0</v>
      </c>
      <c r="AH31" s="314">
        <v>0</v>
      </c>
      <c r="AI31" s="314">
        <v>0</v>
      </c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4">
        <f t="shared" si="3"/>
        <v>0</v>
      </c>
      <c r="U32" s="872">
        <f t="shared" si="16"/>
        <v>0</v>
      </c>
      <c r="V32" s="873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>
        <v>0</v>
      </c>
      <c r="AF32" s="314">
        <v>0</v>
      </c>
      <c r="AG32" s="314">
        <v>0</v>
      </c>
      <c r="AH32" s="314">
        <v>0</v>
      </c>
      <c r="AI32" s="314">
        <v>0</v>
      </c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84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28</v>
      </c>
      <c r="J33" s="314"/>
      <c r="K33" s="314"/>
      <c r="L33" s="314">
        <f>SUMIF(data!$D:$D,INTGRATE!$B33&amp;INTGRATE!$D33,data!$K:$K)</f>
        <v>1400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56</v>
      </c>
      <c r="P33" s="314">
        <f t="shared" si="1"/>
        <v>2800</v>
      </c>
      <c r="Q33" s="314">
        <f>SUM(AA33:BE33)</f>
        <v>52750</v>
      </c>
      <c r="R33" s="314"/>
      <c r="S33" s="314"/>
      <c r="T33" s="1184">
        <f t="shared" si="3"/>
        <v>6593.75</v>
      </c>
      <c r="U33" s="872">
        <f t="shared" si="16"/>
        <v>0.42464454976303317</v>
      </c>
      <c r="V33" s="873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>
        <v>0</v>
      </c>
      <c r="AF33" s="314">
        <v>7500</v>
      </c>
      <c r="AG33" s="314">
        <v>4950</v>
      </c>
      <c r="AH33" s="314">
        <v>14450</v>
      </c>
      <c r="AI33" s="314">
        <v>1400</v>
      </c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52750</v>
      </c>
      <c r="BG33" s="786">
        <f t="shared" si="6"/>
        <v>6</v>
      </c>
      <c r="BH33" s="786">
        <f t="shared" si="7"/>
        <v>8791.6666666666661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4">
        <f t="shared" si="3"/>
        <v>0</v>
      </c>
      <c r="U34" s="872">
        <f t="shared" si="16"/>
        <v>0</v>
      </c>
      <c r="V34" s="873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>
        <v>0</v>
      </c>
      <c r="AF34" s="314">
        <v>0</v>
      </c>
      <c r="AG34" s="314">
        <v>0</v>
      </c>
      <c r="AH34" s="314">
        <v>0</v>
      </c>
      <c r="AI34" s="314">
        <v>0</v>
      </c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4">
        <f t="shared" si="3"/>
        <v>0</v>
      </c>
      <c r="U35" s="872">
        <f t="shared" si="16"/>
        <v>0</v>
      </c>
      <c r="V35" s="873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>
        <v>0</v>
      </c>
      <c r="AF35" s="314">
        <v>0</v>
      </c>
      <c r="AG35" s="314">
        <v>0</v>
      </c>
      <c r="AH35" s="314">
        <v>0</v>
      </c>
      <c r="AI35" s="314">
        <v>0</v>
      </c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0</v>
      </c>
      <c r="J36" s="314"/>
      <c r="K36" s="314"/>
      <c r="L36" s="314">
        <f>SUMIF(data!$D:$D,INTGRATE!$B36&amp;INTGRATE!$D36,data!$K:$K)</f>
        <v>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0</v>
      </c>
      <c r="P36" s="314">
        <f t="shared" si="1"/>
        <v>0</v>
      </c>
      <c r="Q36" s="314">
        <f t="shared" si="18"/>
        <v>95000</v>
      </c>
      <c r="R36" s="314"/>
      <c r="S36" s="314"/>
      <c r="T36" s="1184">
        <f t="shared" si="3"/>
        <v>11875</v>
      </c>
      <c r="U36" s="872">
        <f t="shared" ref="U36:U61" si="19">IF(T36=0,0,P36/T36)</f>
        <v>0</v>
      </c>
      <c r="V36" s="873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>
        <v>29000</v>
      </c>
      <c r="AF36" s="314">
        <v>44750</v>
      </c>
      <c r="AG36" s="314">
        <v>5250</v>
      </c>
      <c r="AH36" s="314">
        <v>0</v>
      </c>
      <c r="AI36" s="314">
        <v>0</v>
      </c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95000</v>
      </c>
      <c r="BG36" s="786">
        <f t="shared" si="6"/>
        <v>4</v>
      </c>
      <c r="BH36" s="786">
        <f t="shared" si="7"/>
        <v>23750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4">
        <f t="shared" si="3"/>
        <v>0</v>
      </c>
      <c r="U37" s="872">
        <f>IF(T37=0,0,P37/T37)</f>
        <v>0</v>
      </c>
      <c r="V37" s="873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>
        <v>0</v>
      </c>
      <c r="AF37" s="314">
        <v>0</v>
      </c>
      <c r="AG37" s="314">
        <v>0</v>
      </c>
      <c r="AH37" s="314">
        <v>0</v>
      </c>
      <c r="AI37" s="314">
        <v>0</v>
      </c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4">
        <f t="shared" si="3"/>
        <v>0</v>
      </c>
      <c r="U38" s="872">
        <f>IF(T38=0,0,P38/T38)</f>
        <v>0</v>
      </c>
      <c r="V38" s="873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>
        <v>0</v>
      </c>
      <c r="AF38" s="314">
        <v>0</v>
      </c>
      <c r="AG38" s="314">
        <v>0</v>
      </c>
      <c r="AH38" s="314">
        <v>0</v>
      </c>
      <c r="AI38" s="314">
        <v>0</v>
      </c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4">
        <f t="shared" si="3"/>
        <v>0</v>
      </c>
      <c r="U39" s="872">
        <f>IF(T39=0,0,P39/T39)</f>
        <v>0</v>
      </c>
      <c r="V39" s="873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>
        <v>0</v>
      </c>
      <c r="AF39" s="314">
        <v>0</v>
      </c>
      <c r="AG39" s="314">
        <v>0</v>
      </c>
      <c r="AH39" s="314">
        <v>0</v>
      </c>
      <c r="AI39" s="314">
        <v>0</v>
      </c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4">
        <f t="shared" si="3"/>
        <v>0</v>
      </c>
      <c r="U40" s="872">
        <f t="shared" si="19"/>
        <v>0</v>
      </c>
      <c r="V40" s="873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>
        <v>0</v>
      </c>
      <c r="AF40" s="314">
        <v>0</v>
      </c>
      <c r="AG40" s="314">
        <v>0</v>
      </c>
      <c r="AH40" s="314">
        <v>0</v>
      </c>
      <c r="AI40" s="314">
        <v>0</v>
      </c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948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0</v>
      </c>
      <c r="J41" s="314"/>
      <c r="K41" s="314"/>
      <c r="L41" s="314">
        <f>SUMIF(data!$D:$D,INTGRATE!$B41&amp;INTGRATE!$D41,data!$K:$K)</f>
        <v>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948</v>
      </c>
      <c r="P41" s="314">
        <f t="shared" si="1"/>
        <v>47400</v>
      </c>
      <c r="Q41" s="314">
        <f t="shared" si="18"/>
        <v>106700</v>
      </c>
      <c r="R41" s="314"/>
      <c r="S41" s="314"/>
      <c r="T41" s="1184">
        <f t="shared" si="3"/>
        <v>13337.5</v>
      </c>
      <c r="U41" s="872">
        <f t="shared" si="19"/>
        <v>3.5538894095595128</v>
      </c>
      <c r="V41" s="873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>
        <v>0</v>
      </c>
      <c r="AF41" s="314">
        <v>0</v>
      </c>
      <c r="AG41" s="314">
        <v>27400</v>
      </c>
      <c r="AH41" s="314">
        <v>14000</v>
      </c>
      <c r="AI41" s="314">
        <v>0</v>
      </c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106700</v>
      </c>
      <c r="BG41" s="786">
        <f t="shared" si="6"/>
        <v>4</v>
      </c>
      <c r="BH41" s="786">
        <f t="shared" si="7"/>
        <v>26675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4">
        <f t="shared" ref="T42:T72" si="21">Q42/$N$293</f>
        <v>0</v>
      </c>
      <c r="U42" s="872">
        <f t="shared" si="19"/>
        <v>0</v>
      </c>
      <c r="V42" s="873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>
        <v>0</v>
      </c>
      <c r="AF42" s="314">
        <v>0</v>
      </c>
      <c r="AG42" s="314">
        <v>0</v>
      </c>
      <c r="AH42" s="314">
        <v>0</v>
      </c>
      <c r="AI42" s="314">
        <v>0</v>
      </c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4">
        <f t="shared" si="21"/>
        <v>0</v>
      </c>
      <c r="U43" s="872">
        <f>IF(T43=0,0,P43/T43)</f>
        <v>0</v>
      </c>
      <c r="V43" s="873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>
        <v>0</v>
      </c>
      <c r="AF43" s="314">
        <v>0</v>
      </c>
      <c r="AG43" s="314">
        <v>0</v>
      </c>
      <c r="AH43" s="314">
        <v>0</v>
      </c>
      <c r="AI43" s="314">
        <v>0</v>
      </c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4">
        <f t="shared" si="21"/>
        <v>0</v>
      </c>
      <c r="U44" s="872">
        <f>IF(T44=0,0,P44/T44)</f>
        <v>0</v>
      </c>
      <c r="V44" s="873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>
        <v>0</v>
      </c>
      <c r="AF44" s="314">
        <v>0</v>
      </c>
      <c r="AG44" s="314">
        <v>0</v>
      </c>
      <c r="AH44" s="314">
        <v>0</v>
      </c>
      <c r="AI44" s="314">
        <v>0</v>
      </c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431</v>
      </c>
      <c r="F45" s="100">
        <f>SUMIF(pro!$A:$A,INTGRATE!$Y:$Y,pro!$N:$N)</f>
        <v>0</v>
      </c>
      <c r="G45" s="314"/>
      <c r="H45" s="314">
        <f>SUMIF(CBIN!$A:$A,INTGRATE!$Y:$Y,CBIN!$G:$G)</f>
        <v>0</v>
      </c>
      <c r="I45" s="314">
        <f>SUMIF(data!$D:$D,INTGRATE!$B45&amp;INTGRATE!$D45,data!$J:$J)</f>
        <v>429</v>
      </c>
      <c r="J45" s="314"/>
      <c r="K45" s="314"/>
      <c r="L45" s="314">
        <f>SUMIF(data!$D:$D,INTGRATE!$B45&amp;INTGRATE!$D45,data!$K:$K)</f>
        <v>21450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2</v>
      </c>
      <c r="P45" s="314">
        <f t="shared" si="1"/>
        <v>100</v>
      </c>
      <c r="Q45" s="314">
        <f t="shared" si="18"/>
        <v>103250</v>
      </c>
      <c r="R45" s="314"/>
      <c r="S45" s="314"/>
      <c r="T45" s="1184">
        <f t="shared" si="21"/>
        <v>12906.25</v>
      </c>
      <c r="U45" s="872">
        <f t="shared" si="19"/>
        <v>7.7481840193704601E-3</v>
      </c>
      <c r="V45" s="873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>
        <v>25350</v>
      </c>
      <c r="AF45" s="314">
        <v>0</v>
      </c>
      <c r="AG45" s="314">
        <v>0</v>
      </c>
      <c r="AH45" s="314">
        <v>41000</v>
      </c>
      <c r="AI45" s="314">
        <v>21450</v>
      </c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103250</v>
      </c>
      <c r="BG45" s="786">
        <f t="shared" si="6"/>
        <v>4</v>
      </c>
      <c r="BH45" s="786">
        <f t="shared" si="7"/>
        <v>25812.5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5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4">
        <f t="shared" si="21"/>
        <v>0</v>
      </c>
      <c r="U46" s="872">
        <f t="shared" si="19"/>
        <v>0</v>
      </c>
      <c r="V46" s="873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>
        <v>0</v>
      </c>
      <c r="AF46" s="314">
        <v>0</v>
      </c>
      <c r="AG46" s="314">
        <v>0</v>
      </c>
      <c r="AH46" s="314">
        <v>0</v>
      </c>
      <c r="AI46" s="314">
        <v>0</v>
      </c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5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4">
        <f t="shared" si="21"/>
        <v>0</v>
      </c>
      <c r="U47" s="872">
        <f t="shared" si="19"/>
        <v>0</v>
      </c>
      <c r="V47" s="873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>
        <v>0</v>
      </c>
      <c r="AF47" s="314">
        <v>0</v>
      </c>
      <c r="AG47" s="314">
        <v>0</v>
      </c>
      <c r="AH47" s="314">
        <v>0</v>
      </c>
      <c r="AI47" s="314">
        <v>0</v>
      </c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5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72">
        <f t="shared" si="19"/>
        <v>0</v>
      </c>
      <c r="V48" s="873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>
        <v>0</v>
      </c>
      <c r="AF48" s="314">
        <v>0</v>
      </c>
      <c r="AG48" s="314">
        <v>0</v>
      </c>
      <c r="AH48" s="314">
        <v>0</v>
      </c>
      <c r="AI48" s="314">
        <v>0</v>
      </c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5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4">
        <f t="shared" si="21"/>
        <v>0</v>
      </c>
      <c r="U49" s="872">
        <f t="shared" si="19"/>
        <v>0</v>
      </c>
      <c r="V49" s="873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>
        <v>0</v>
      </c>
      <c r="AF49" s="314">
        <v>0</v>
      </c>
      <c r="AG49" s="314">
        <v>0</v>
      </c>
      <c r="AH49" s="314">
        <v>0</v>
      </c>
      <c r="AI49" s="314">
        <v>0</v>
      </c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5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72">
        <f t="shared" si="19"/>
        <v>0</v>
      </c>
      <c r="V50" s="873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>
        <v>0</v>
      </c>
      <c r="AF50" s="314">
        <v>0</v>
      </c>
      <c r="AG50" s="314">
        <v>0</v>
      </c>
      <c r="AH50" s="314">
        <v>0</v>
      </c>
      <c r="AI50" s="314">
        <v>0</v>
      </c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5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72">
        <f t="shared" si="19"/>
        <v>0</v>
      </c>
      <c r="V51" s="873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>
        <v>0</v>
      </c>
      <c r="AF51" s="314">
        <v>0</v>
      </c>
      <c r="AG51" s="314">
        <v>0</v>
      </c>
      <c r="AH51" s="314">
        <v>0</v>
      </c>
      <c r="AI51" s="314">
        <v>0</v>
      </c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5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72">
        <f>IF(T52=0,0,P52/T52)</f>
        <v>0</v>
      </c>
      <c r="V52" s="873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>
        <v>0</v>
      </c>
      <c r="AF52" s="314">
        <v>0</v>
      </c>
      <c r="AG52" s="314">
        <v>0</v>
      </c>
      <c r="AH52" s="314">
        <v>0</v>
      </c>
      <c r="AI52" s="314">
        <v>0</v>
      </c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5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72">
        <f t="shared" si="19"/>
        <v>0</v>
      </c>
      <c r="V53" s="873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>
        <v>0</v>
      </c>
      <c r="AF53" s="314">
        <v>0</v>
      </c>
      <c r="AG53" s="314">
        <v>0</v>
      </c>
      <c r="AH53" s="314">
        <v>0</v>
      </c>
      <c r="AI53" s="314">
        <v>0</v>
      </c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5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72">
        <f t="shared" si="19"/>
        <v>0</v>
      </c>
      <c r="V54" s="873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>
        <v>0</v>
      </c>
      <c r="AF54" s="314">
        <v>0</v>
      </c>
      <c r="AG54" s="314">
        <v>0</v>
      </c>
      <c r="AH54" s="314">
        <v>0</v>
      </c>
      <c r="AI54" s="314">
        <v>0</v>
      </c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5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72">
        <f t="shared" si="19"/>
        <v>0</v>
      </c>
      <c r="V55" s="873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>
        <v>0</v>
      </c>
      <c r="AF55" s="314">
        <v>0</v>
      </c>
      <c r="AG55" s="314">
        <v>0</v>
      </c>
      <c r="AH55" s="314">
        <v>0</v>
      </c>
      <c r="AI55" s="314">
        <v>0</v>
      </c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0</v>
      </c>
      <c r="F56" s="100">
        <f>SUMIF(pro!$A:$A,INTGRATE!$Y:$Y,pro!$N:$N)</f>
        <v>2044</v>
      </c>
      <c r="G56" s="314"/>
      <c r="H56" s="314">
        <f>SUMIF(CBIN!$A:$A,INTGRATE!$Y:$Y,CBIN!$G:$G)</f>
        <v>0</v>
      </c>
      <c r="I56" s="314">
        <f>SUMIF(data!$D:$D,INTGRATE!$B56&amp;INTGRATE!$D56,data!$J:$J)</f>
        <v>540</v>
      </c>
      <c r="J56" s="314"/>
      <c r="K56" s="314"/>
      <c r="L56" s="314">
        <f>SUMIF(data!$D:$D,INTGRATE!$B56&amp;INTGRATE!$D56,data!$K:$K)</f>
        <v>27000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1504</v>
      </c>
      <c r="P56" s="314">
        <f t="shared" ref="P56:P67" si="24">O56*D56</f>
        <v>75200</v>
      </c>
      <c r="Q56" s="314">
        <f t="shared" ref="Q56:Q79" si="25">SUM(AA56:BE56)</f>
        <v>200350</v>
      </c>
      <c r="R56" s="314"/>
      <c r="S56" s="314"/>
      <c r="T56" s="1184">
        <f t="shared" si="21"/>
        <v>25043.75</v>
      </c>
      <c r="U56" s="872">
        <f t="shared" si="19"/>
        <v>3.0027451959071625</v>
      </c>
      <c r="V56" s="873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>
        <v>0</v>
      </c>
      <c r="AF56" s="314">
        <v>24800</v>
      </c>
      <c r="AG56" s="314">
        <v>0</v>
      </c>
      <c r="AH56" s="314">
        <v>52950</v>
      </c>
      <c r="AI56" s="314">
        <v>27000</v>
      </c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200350</v>
      </c>
      <c r="BG56" s="786">
        <f t="shared" si="6"/>
        <v>5</v>
      </c>
      <c r="BH56" s="786">
        <f t="shared" si="7"/>
        <v>40070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238</v>
      </c>
      <c r="F57" s="100">
        <f>SUMIF(pro!$A:$A,INTGRATE!$Y:$Y,pro!$N:$N)</f>
        <v>0</v>
      </c>
      <c r="G57" s="314"/>
      <c r="H57" s="314">
        <f>SUMIF(CBIN!$A:$A,INTGRATE!$Y:$Y,CBIN!$G:$G)</f>
        <v>0</v>
      </c>
      <c r="I57" s="314">
        <f>SUMIF(data!$D:$D,INTGRATE!$B57&amp;INTGRATE!$D57,data!$J:$J)</f>
        <v>80</v>
      </c>
      <c r="J57" s="314"/>
      <c r="K57" s="314"/>
      <c r="L57" s="314">
        <f>SUMIF(data!$D:$D,INTGRATE!$B57&amp;INTGRATE!$D57,data!$K:$K)</f>
        <v>4000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158</v>
      </c>
      <c r="P57" s="314">
        <f t="shared" si="24"/>
        <v>7900</v>
      </c>
      <c r="Q57" s="314">
        <f t="shared" si="25"/>
        <v>30900</v>
      </c>
      <c r="R57" s="314"/>
      <c r="S57" s="314"/>
      <c r="T57" s="1184">
        <f t="shared" si="21"/>
        <v>3862.5</v>
      </c>
      <c r="U57" s="872">
        <f t="shared" si="19"/>
        <v>2.0453074433656959</v>
      </c>
      <c r="V57" s="873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>
        <v>8000</v>
      </c>
      <c r="AF57" s="314">
        <v>7500</v>
      </c>
      <c r="AG57" s="314">
        <v>0</v>
      </c>
      <c r="AH57" s="314">
        <v>2000</v>
      </c>
      <c r="AI57" s="314">
        <v>4000</v>
      </c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30900</v>
      </c>
      <c r="BG57" s="786">
        <f t="shared" si="6"/>
        <v>6</v>
      </c>
      <c r="BH57" s="786">
        <f t="shared" si="7"/>
        <v>5150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4">
        <f t="shared" si="21"/>
        <v>0</v>
      </c>
      <c r="U58" s="872">
        <f t="shared" si="19"/>
        <v>0</v>
      </c>
      <c r="V58" s="873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>
        <v>0</v>
      </c>
      <c r="AF58" s="314">
        <v>0</v>
      </c>
      <c r="AG58" s="314">
        <v>0</v>
      </c>
      <c r="AH58" s="314">
        <v>0</v>
      </c>
      <c r="AI58" s="314">
        <v>0</v>
      </c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4">
        <f t="shared" si="21"/>
        <v>0</v>
      </c>
      <c r="U59" s="872">
        <f t="shared" si="19"/>
        <v>0</v>
      </c>
      <c r="V59" s="873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>
        <v>0</v>
      </c>
      <c r="AF59" s="314">
        <v>0</v>
      </c>
      <c r="AG59" s="314">
        <v>0</v>
      </c>
      <c r="AH59" s="314">
        <v>0</v>
      </c>
      <c r="AI59" s="314">
        <v>0</v>
      </c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4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>
        <v>0</v>
      </c>
      <c r="AF60" s="314">
        <v>0</v>
      </c>
      <c r="AG60" s="314">
        <v>0</v>
      </c>
      <c r="AH60" s="314">
        <v>0</v>
      </c>
      <c r="AI60" s="314">
        <v>0</v>
      </c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117</v>
      </c>
      <c r="F61" s="100">
        <f>SUMIF(pro!$A:$A,INTGRATE!$Y:$Y,pro!$N:$N)</f>
        <v>0</v>
      </c>
      <c r="G61" s="314"/>
      <c r="H61" s="314">
        <f>SUMIF(CBIN!$A:$A,INTGRATE!$Y:$Y,CBIN!$G:$G)</f>
        <v>0</v>
      </c>
      <c r="I61" s="314">
        <f>SUMIF(data!$D:$D,INTGRATE!$B61&amp;INTGRATE!$D61,data!$J:$J)</f>
        <v>117</v>
      </c>
      <c r="J61" s="314"/>
      <c r="K61" s="314"/>
      <c r="L61" s="314">
        <f>SUMIF(data!$D:$D,INTGRATE!$B61&amp;INTGRATE!$D61,data!$K:$K)</f>
        <v>5850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0</v>
      </c>
      <c r="P61" s="314">
        <f t="shared" si="24"/>
        <v>0</v>
      </c>
      <c r="Q61" s="314">
        <f t="shared" si="25"/>
        <v>84600</v>
      </c>
      <c r="R61" s="314"/>
      <c r="S61" s="314"/>
      <c r="T61" s="1184">
        <f t="shared" si="21"/>
        <v>10575</v>
      </c>
      <c r="U61" s="872">
        <f t="shared" si="19"/>
        <v>0</v>
      </c>
      <c r="V61" s="873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>
        <v>12000</v>
      </c>
      <c r="AF61" s="314">
        <v>22200</v>
      </c>
      <c r="AG61" s="314">
        <v>0</v>
      </c>
      <c r="AH61" s="314">
        <v>6000</v>
      </c>
      <c r="AI61" s="314">
        <v>5850</v>
      </c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84600</v>
      </c>
      <c r="BG61" s="786">
        <f t="shared" si="6"/>
        <v>7</v>
      </c>
      <c r="BH61" s="786">
        <f t="shared" si="7"/>
        <v>12085.714285714286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0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0</v>
      </c>
      <c r="J62" s="314"/>
      <c r="K62" s="314"/>
      <c r="L62" s="314">
        <f>SUMIF(data!$D:$D,INTGRATE!$B62&amp;INTGRATE!$D62,data!$K:$K)</f>
        <v>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0</v>
      </c>
      <c r="P62" s="314">
        <f t="shared" si="24"/>
        <v>0</v>
      </c>
      <c r="Q62" s="314">
        <f t="shared" si="25"/>
        <v>64400</v>
      </c>
      <c r="R62" s="314"/>
      <c r="S62" s="314"/>
      <c r="T62" s="322">
        <f t="shared" si="21"/>
        <v>8050</v>
      </c>
      <c r="U62" s="872">
        <f t="shared" ref="U62:U80" si="26">IF(T62=0,0,P62/T62)</f>
        <v>0</v>
      </c>
      <c r="V62" s="873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>
        <v>2300</v>
      </c>
      <c r="AF62" s="314">
        <v>0</v>
      </c>
      <c r="AG62" s="314">
        <v>0</v>
      </c>
      <c r="AH62" s="314">
        <v>0</v>
      </c>
      <c r="AI62" s="314">
        <v>0</v>
      </c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64400</v>
      </c>
      <c r="BG62" s="786">
        <f t="shared" si="6"/>
        <v>3</v>
      </c>
      <c r="BH62" s="786">
        <f t="shared" si="7"/>
        <v>21466.666666666668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72">
        <f t="shared" si="26"/>
        <v>0</v>
      </c>
      <c r="V63" s="873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>
        <v>0</v>
      </c>
      <c r="AF63" s="314">
        <v>0</v>
      </c>
      <c r="AG63" s="314">
        <v>0</v>
      </c>
      <c r="AH63" s="314">
        <v>0</v>
      </c>
      <c r="AI63" s="314">
        <v>0</v>
      </c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72">
        <f t="shared" si="26"/>
        <v>0</v>
      </c>
      <c r="V64" s="873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>
        <v>0</v>
      </c>
      <c r="AF64" s="314">
        <v>0</v>
      </c>
      <c r="AG64" s="314">
        <v>0</v>
      </c>
      <c r="AH64" s="314">
        <v>0</v>
      </c>
      <c r="AI64" s="314">
        <v>0</v>
      </c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72">
        <f t="shared" si="26"/>
        <v>0</v>
      </c>
      <c r="V65" s="873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>
        <v>0</v>
      </c>
      <c r="AF65" s="314">
        <v>0</v>
      </c>
      <c r="AG65" s="314">
        <v>0</v>
      </c>
      <c r="AH65" s="314">
        <v>0</v>
      </c>
      <c r="AI65" s="314">
        <v>0</v>
      </c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72">
        <f>IF(T66=0,0,P66/T66)</f>
        <v>0</v>
      </c>
      <c r="V66" s="873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>
        <v>0</v>
      </c>
      <c r="AF66" s="314">
        <v>0</v>
      </c>
      <c r="AG66" s="314">
        <v>0</v>
      </c>
      <c r="AH66" s="314">
        <v>0</v>
      </c>
      <c r="AI66" s="314">
        <v>0</v>
      </c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6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72">
        <f t="shared" si="26"/>
        <v>0</v>
      </c>
      <c r="V67" s="873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>
        <v>0</v>
      </c>
      <c r="AF67" s="314">
        <v>0</v>
      </c>
      <c r="AG67" s="314">
        <v>0</v>
      </c>
      <c r="AH67" s="314">
        <v>0</v>
      </c>
      <c r="AI67" s="314">
        <v>0</v>
      </c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6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72">
        <f t="shared" si="26"/>
        <v>0</v>
      </c>
      <c r="V68" s="873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>
        <v>0</v>
      </c>
      <c r="AF68" s="314">
        <v>0</v>
      </c>
      <c r="AG68" s="314">
        <v>0</v>
      </c>
      <c r="AH68" s="314">
        <v>0</v>
      </c>
      <c r="AI68" s="314">
        <v>0</v>
      </c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6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72">
        <f t="shared" si="26"/>
        <v>0</v>
      </c>
      <c r="V69" s="873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>
        <v>0</v>
      </c>
      <c r="AF69" s="314">
        <v>0</v>
      </c>
      <c r="AG69" s="314">
        <v>0</v>
      </c>
      <c r="AH69" s="314">
        <v>0</v>
      </c>
      <c r="AI69" s="314">
        <v>0</v>
      </c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6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72">
        <f t="shared" si="26"/>
        <v>0</v>
      </c>
      <c r="V70" s="873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>
        <v>0</v>
      </c>
      <c r="AF70" s="314">
        <v>0</v>
      </c>
      <c r="AG70" s="314">
        <v>0</v>
      </c>
      <c r="AH70" s="314">
        <v>0</v>
      </c>
      <c r="AI70" s="314">
        <v>0</v>
      </c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6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72">
        <f t="shared" si="26"/>
        <v>0</v>
      </c>
      <c r="V71" s="873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>
        <v>0</v>
      </c>
      <c r="AF71" s="314">
        <v>0</v>
      </c>
      <c r="AG71" s="314">
        <v>0</v>
      </c>
      <c r="AH71" s="314">
        <v>0</v>
      </c>
      <c r="AI71" s="314">
        <v>0</v>
      </c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6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72">
        <f>IF(T72=0,0,P72/T72)</f>
        <v>0</v>
      </c>
      <c r="V72" s="873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>
        <v>0</v>
      </c>
      <c r="AF72" s="314">
        <v>0</v>
      </c>
      <c r="AG72" s="314">
        <v>0</v>
      </c>
      <c r="AH72" s="314">
        <v>0</v>
      </c>
      <c r="AI72" s="314">
        <v>0</v>
      </c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6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72">
        <f>IF(T73=0,0,P73/T73)</f>
        <v>0</v>
      </c>
      <c r="V73" s="873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>
        <v>0</v>
      </c>
      <c r="AF73" s="314">
        <v>0</v>
      </c>
      <c r="AG73" s="314">
        <v>0</v>
      </c>
      <c r="AH73" s="314">
        <v>0</v>
      </c>
      <c r="AI73" s="314">
        <v>0</v>
      </c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14970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14970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103760</v>
      </c>
      <c r="R74" s="314"/>
      <c r="S74" s="314"/>
      <c r="T74" s="1187">
        <f t="shared" ref="T74:T102" si="29">Q74/$N$293</f>
        <v>12970</v>
      </c>
      <c r="U74" s="872">
        <f t="shared" si="26"/>
        <v>0</v>
      </c>
      <c r="V74" s="873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>
        <v>14990</v>
      </c>
      <c r="AF74" s="314">
        <v>0</v>
      </c>
      <c r="AG74" s="314">
        <v>0</v>
      </c>
      <c r="AH74" s="314">
        <v>44080</v>
      </c>
      <c r="AI74" s="314">
        <v>14970</v>
      </c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103760</v>
      </c>
      <c r="BG74" s="786">
        <f t="shared" si="6"/>
        <v>5</v>
      </c>
      <c r="BH74" s="786">
        <f t="shared" si="7"/>
        <v>20752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7">
        <f t="shared" si="29"/>
        <v>0</v>
      </c>
      <c r="U75" s="872">
        <f t="shared" si="26"/>
        <v>0</v>
      </c>
      <c r="V75" s="873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>
        <v>0</v>
      </c>
      <c r="AF75" s="314">
        <v>0</v>
      </c>
      <c r="AG75" s="314">
        <v>0</v>
      </c>
      <c r="AH75" s="314">
        <v>0</v>
      </c>
      <c r="AI75" s="314">
        <v>0</v>
      </c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7">
        <f t="shared" si="29"/>
        <v>0</v>
      </c>
      <c r="U76" s="872">
        <f>IF(T76=0,0,P76/T76)</f>
        <v>0</v>
      </c>
      <c r="V76" s="873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>
        <v>0</v>
      </c>
      <c r="AF76" s="314">
        <v>0</v>
      </c>
      <c r="AG76" s="314">
        <v>0</v>
      </c>
      <c r="AH76" s="314">
        <v>0</v>
      </c>
      <c r="AI76" s="314">
        <v>0</v>
      </c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7">
        <f t="shared" si="29"/>
        <v>0</v>
      </c>
      <c r="U77" s="872">
        <f t="shared" si="26"/>
        <v>0</v>
      </c>
      <c r="V77" s="873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>
        <v>0</v>
      </c>
      <c r="AF77" s="314">
        <v>0</v>
      </c>
      <c r="AG77" s="314">
        <v>0</v>
      </c>
      <c r="AH77" s="314">
        <v>0</v>
      </c>
      <c r="AI77" s="314">
        <v>0</v>
      </c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7">
        <f t="shared" si="29"/>
        <v>0</v>
      </c>
      <c r="U78" s="872">
        <f t="shared" si="26"/>
        <v>0</v>
      </c>
      <c r="V78" s="873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>
        <v>0</v>
      </c>
      <c r="AF78" s="314">
        <v>0</v>
      </c>
      <c r="AG78" s="314">
        <v>0</v>
      </c>
      <c r="AH78" s="314">
        <v>0</v>
      </c>
      <c r="AI78" s="314">
        <v>0</v>
      </c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29840</v>
      </c>
      <c r="R79" s="314"/>
      <c r="S79" s="314"/>
      <c r="T79" s="1187">
        <f t="shared" si="29"/>
        <v>3730</v>
      </c>
      <c r="U79" s="872">
        <f t="shared" si="26"/>
        <v>0</v>
      </c>
      <c r="V79" s="873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>
        <v>15000</v>
      </c>
      <c r="AF79" s="314">
        <v>0</v>
      </c>
      <c r="AG79" s="314">
        <v>0</v>
      </c>
      <c r="AH79" s="314">
        <v>0</v>
      </c>
      <c r="AI79" s="314">
        <v>0</v>
      </c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29840</v>
      </c>
      <c r="BG79" s="786">
        <f t="shared" si="32"/>
        <v>2</v>
      </c>
      <c r="BH79" s="786">
        <f t="shared" si="33"/>
        <v>14920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7">
        <f t="shared" si="29"/>
        <v>0</v>
      </c>
      <c r="U80" s="872">
        <f t="shared" si="26"/>
        <v>0</v>
      </c>
      <c r="V80" s="873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>
        <v>0</v>
      </c>
      <c r="AF80" s="314">
        <v>0</v>
      </c>
      <c r="AG80" s="314">
        <v>0</v>
      </c>
      <c r="AH80" s="314">
        <v>0</v>
      </c>
      <c r="AI80" s="314">
        <v>0</v>
      </c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7">
        <f t="shared" si="29"/>
        <v>0</v>
      </c>
      <c r="U81" s="872">
        <f t="shared" ref="U81:U86" si="35">IF(T81=0,0,P81/T81)</f>
        <v>0</v>
      </c>
      <c r="V81" s="873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>
        <v>0</v>
      </c>
      <c r="AF81" s="314">
        <v>0</v>
      </c>
      <c r="AG81" s="314">
        <v>0</v>
      </c>
      <c r="AH81" s="314">
        <v>0</v>
      </c>
      <c r="AI81" s="314">
        <v>0</v>
      </c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7">
        <f t="shared" si="29"/>
        <v>0</v>
      </c>
      <c r="U82" s="872">
        <f t="shared" si="35"/>
        <v>0</v>
      </c>
      <c r="V82" s="873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>
        <v>0</v>
      </c>
      <c r="AF82" s="314">
        <v>0</v>
      </c>
      <c r="AG82" s="314">
        <v>0</v>
      </c>
      <c r="AH82" s="314">
        <v>0</v>
      </c>
      <c r="AI82" s="314">
        <v>0</v>
      </c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7">
        <f t="shared" si="29"/>
        <v>0</v>
      </c>
      <c r="U83" s="872">
        <f t="shared" si="35"/>
        <v>0</v>
      </c>
      <c r="V83" s="873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>
        <v>0</v>
      </c>
      <c r="AF83" s="314">
        <v>0</v>
      </c>
      <c r="AG83" s="314">
        <v>0</v>
      </c>
      <c r="AH83" s="314">
        <v>0</v>
      </c>
      <c r="AI83" s="314">
        <v>0</v>
      </c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7">
        <f t="shared" si="29"/>
        <v>0</v>
      </c>
      <c r="U84" s="872">
        <f t="shared" si="35"/>
        <v>0</v>
      </c>
      <c r="V84" s="873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>
        <v>0</v>
      </c>
      <c r="AF84" s="314">
        <v>0</v>
      </c>
      <c r="AG84" s="314">
        <v>0</v>
      </c>
      <c r="AH84" s="314">
        <v>0</v>
      </c>
      <c r="AI84" s="314">
        <v>0</v>
      </c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7">
        <f t="shared" si="29"/>
        <v>0</v>
      </c>
      <c r="U85" s="872">
        <f t="shared" si="35"/>
        <v>0</v>
      </c>
      <c r="V85" s="873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>
        <v>0</v>
      </c>
      <c r="AF85" s="314">
        <v>0</v>
      </c>
      <c r="AG85" s="314">
        <v>0</v>
      </c>
      <c r="AH85" s="314">
        <v>0</v>
      </c>
      <c r="AI85" s="314">
        <v>0</v>
      </c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7">
        <f t="shared" si="29"/>
        <v>0</v>
      </c>
      <c r="U86" s="872">
        <f t="shared" si="35"/>
        <v>0</v>
      </c>
      <c r="V86" s="873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>
        <v>0</v>
      </c>
      <c r="AF86" s="314">
        <v>0</v>
      </c>
      <c r="AG86" s="314">
        <v>0</v>
      </c>
      <c r="AH86" s="314">
        <v>0</v>
      </c>
      <c r="AI86" s="314">
        <v>0</v>
      </c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7">
        <f t="shared" si="29"/>
        <v>0</v>
      </c>
      <c r="U87" s="872">
        <f>IF(T87=0,0,P87/T87)</f>
        <v>0</v>
      </c>
      <c r="V87" s="873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>
        <v>0</v>
      </c>
      <c r="AF87" s="314">
        <v>0</v>
      </c>
      <c r="AG87" s="314">
        <v>0</v>
      </c>
      <c r="AH87" s="314">
        <v>0</v>
      </c>
      <c r="AI87" s="314">
        <v>0</v>
      </c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7">
        <f t="shared" si="29"/>
        <v>0</v>
      </c>
      <c r="U88" s="872">
        <f t="shared" ref="U88:U102" si="36">IF(T88=0,0,P88/T88)</f>
        <v>0</v>
      </c>
      <c r="V88" s="873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>
        <v>0</v>
      </c>
      <c r="AF88" s="314">
        <v>0</v>
      </c>
      <c r="AG88" s="314">
        <v>0</v>
      </c>
      <c r="AH88" s="314">
        <v>0</v>
      </c>
      <c r="AI88" s="314">
        <v>0</v>
      </c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7">
        <f t="shared" si="29"/>
        <v>0</v>
      </c>
      <c r="U89" s="872">
        <f t="shared" si="36"/>
        <v>0</v>
      </c>
      <c r="V89" s="873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>
        <v>0</v>
      </c>
      <c r="AF89" s="314">
        <v>0</v>
      </c>
      <c r="AG89" s="314">
        <v>0</v>
      </c>
      <c r="AH89" s="314">
        <v>0</v>
      </c>
      <c r="AI89" s="314">
        <v>0</v>
      </c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7">
        <f t="shared" si="29"/>
        <v>0</v>
      </c>
      <c r="U90" s="872">
        <f>IF(T90=0,0,P90/T90)</f>
        <v>0</v>
      </c>
      <c r="V90" s="873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>
        <v>0</v>
      </c>
      <c r="AF90" s="314">
        <v>0</v>
      </c>
      <c r="AG90" s="314">
        <v>0</v>
      </c>
      <c r="AH90" s="314">
        <v>0</v>
      </c>
      <c r="AI90" s="314">
        <v>0</v>
      </c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7">
        <f t="shared" si="29"/>
        <v>0</v>
      </c>
      <c r="U91" s="872">
        <f>IF(T91=0,0,P91/T91)</f>
        <v>0</v>
      </c>
      <c r="V91" s="873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>
        <v>0</v>
      </c>
      <c r="AF91" s="314">
        <v>0</v>
      </c>
      <c r="AG91" s="314">
        <v>0</v>
      </c>
      <c r="AH91" s="314">
        <v>0</v>
      </c>
      <c r="AI91" s="314">
        <v>0</v>
      </c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7">
        <f t="shared" si="29"/>
        <v>0</v>
      </c>
      <c r="U92" s="872">
        <f t="shared" si="36"/>
        <v>0</v>
      </c>
      <c r="V92" s="873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>
        <v>0</v>
      </c>
      <c r="AF92" s="314">
        <v>0</v>
      </c>
      <c r="AG92" s="314">
        <v>0</v>
      </c>
      <c r="AH92" s="314">
        <v>0</v>
      </c>
      <c r="AI92" s="314">
        <v>0</v>
      </c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7">
        <f t="shared" si="29"/>
        <v>0</v>
      </c>
      <c r="U93" s="872">
        <f>IF(T93=0,0,P93/T93)</f>
        <v>0</v>
      </c>
      <c r="V93" s="873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>
        <v>0</v>
      </c>
      <c r="AF93" s="314">
        <v>0</v>
      </c>
      <c r="AG93" s="314">
        <v>0</v>
      </c>
      <c r="AH93" s="314">
        <v>0</v>
      </c>
      <c r="AI93" s="314">
        <v>0</v>
      </c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7">
        <f t="shared" si="29"/>
        <v>0</v>
      </c>
      <c r="U94" s="872">
        <f>IF(T94=0,0,P94/T94)</f>
        <v>0</v>
      </c>
      <c r="V94" s="873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>
        <v>0</v>
      </c>
      <c r="AF94" s="314">
        <v>0</v>
      </c>
      <c r="AG94" s="314">
        <v>0</v>
      </c>
      <c r="AH94" s="314">
        <v>0</v>
      </c>
      <c r="AI94" s="314">
        <v>0</v>
      </c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7">
        <f t="shared" si="29"/>
        <v>0</v>
      </c>
      <c r="U95" s="872">
        <f>IF(T95=0,0,P95/T95)</f>
        <v>0</v>
      </c>
      <c r="V95" s="873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>
        <v>0</v>
      </c>
      <c r="AF95" s="314">
        <v>0</v>
      </c>
      <c r="AG95" s="314">
        <v>0</v>
      </c>
      <c r="AH95" s="314">
        <v>0</v>
      </c>
      <c r="AI95" s="314">
        <v>0</v>
      </c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7">
        <f t="shared" si="29"/>
        <v>0</v>
      </c>
      <c r="U96" s="872">
        <f t="shared" si="36"/>
        <v>0</v>
      </c>
      <c r="V96" s="873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>
        <v>0</v>
      </c>
      <c r="AF96" s="314">
        <v>0</v>
      </c>
      <c r="AG96" s="314">
        <v>0</v>
      </c>
      <c r="AH96" s="314">
        <v>0</v>
      </c>
      <c r="AI96" s="314">
        <v>0</v>
      </c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7">
        <f t="shared" si="29"/>
        <v>0</v>
      </c>
      <c r="U97" s="872">
        <f t="shared" si="36"/>
        <v>0</v>
      </c>
      <c r="V97" s="873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>
        <v>0</v>
      </c>
      <c r="AF97" s="314">
        <v>0</v>
      </c>
      <c r="AG97" s="314">
        <v>0</v>
      </c>
      <c r="AH97" s="314">
        <v>0</v>
      </c>
      <c r="AI97" s="314">
        <v>0</v>
      </c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7">
        <f t="shared" si="29"/>
        <v>0</v>
      </c>
      <c r="U98" s="872">
        <f>IF(T98=0,0,P98/T98)</f>
        <v>0</v>
      </c>
      <c r="V98" s="873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>
        <v>0</v>
      </c>
      <c r="AF98" s="314">
        <v>0</v>
      </c>
      <c r="AG98" s="314">
        <v>0</v>
      </c>
      <c r="AH98" s="314">
        <v>0</v>
      </c>
      <c r="AI98" s="314">
        <v>0</v>
      </c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7">
        <f t="shared" si="29"/>
        <v>0</v>
      </c>
      <c r="U99" s="872">
        <f t="shared" si="36"/>
        <v>0</v>
      </c>
      <c r="V99" s="873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>
        <v>0</v>
      </c>
      <c r="AF99" s="314">
        <v>0</v>
      </c>
      <c r="AG99" s="314">
        <v>0</v>
      </c>
      <c r="AH99" s="314">
        <v>0</v>
      </c>
      <c r="AI99" s="314">
        <v>0</v>
      </c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7">
        <f t="shared" si="29"/>
        <v>0</v>
      </c>
      <c r="U100" s="872">
        <f>IF(T100=0,0,P100/T100)</f>
        <v>0</v>
      </c>
      <c r="V100" s="873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>
        <v>0</v>
      </c>
      <c r="AF100" s="314">
        <v>0</v>
      </c>
      <c r="AG100" s="314">
        <v>0</v>
      </c>
      <c r="AH100" s="314">
        <v>0</v>
      </c>
      <c r="AI100" s="314">
        <v>0</v>
      </c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7">
        <f t="shared" si="29"/>
        <v>0</v>
      </c>
      <c r="U101" s="872">
        <f>IF(T101=0,0,P101/T101)</f>
        <v>0</v>
      </c>
      <c r="V101" s="873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>
        <v>0</v>
      </c>
      <c r="AF101" s="314">
        <v>0</v>
      </c>
      <c r="AG101" s="314">
        <v>0</v>
      </c>
      <c r="AH101" s="314">
        <v>0</v>
      </c>
      <c r="AI101" s="314">
        <v>0</v>
      </c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7">
        <f t="shared" si="29"/>
        <v>0</v>
      </c>
      <c r="U102" s="872">
        <f t="shared" si="36"/>
        <v>0</v>
      </c>
      <c r="V102" s="873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>
        <v>0</v>
      </c>
      <c r="AF102" s="314">
        <v>0</v>
      </c>
      <c r="AG102" s="314">
        <v>0</v>
      </c>
      <c r="AH102" s="314">
        <v>0</v>
      </c>
      <c r="AI102" s="314">
        <v>0</v>
      </c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1045" t="s">
        <v>72</v>
      </c>
      <c r="B103" s="1046"/>
      <c r="C103" s="1046"/>
      <c r="D103" s="1047"/>
      <c r="E103" s="429">
        <f>SUM(E62:E71,E53,E52)</f>
        <v>0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0</v>
      </c>
      <c r="J103" s="429">
        <f t="shared" si="39"/>
        <v>0</v>
      </c>
      <c r="K103" s="429">
        <f t="shared" si="39"/>
        <v>0</v>
      </c>
      <c r="L103" s="429">
        <f t="shared" si="39"/>
        <v>0</v>
      </c>
      <c r="M103" s="429">
        <f t="shared" si="39"/>
        <v>0</v>
      </c>
      <c r="N103" s="429">
        <f t="shared" si="39"/>
        <v>0</v>
      </c>
      <c r="O103" s="429">
        <f>SUM(O62:O71,O53,O52)</f>
        <v>0</v>
      </c>
      <c r="P103" s="429">
        <f>SUM(P62:P71,P53,P52)</f>
        <v>0</v>
      </c>
      <c r="Q103" s="429">
        <f t="shared" si="39"/>
        <v>64400</v>
      </c>
      <c r="R103" s="220">
        <f>SUM(R13,R16,R19)</f>
        <v>148400</v>
      </c>
      <c r="S103" s="220">
        <f>SUM(S13,S16,S19)</f>
        <v>940800</v>
      </c>
      <c r="T103" s="220">
        <f>SUM(T53,T62:T69,T48)</f>
        <v>8050</v>
      </c>
      <c r="U103" s="929">
        <f>IF(T103=0,0,P103/T103)</f>
        <v>0</v>
      </c>
      <c r="V103" s="930"/>
      <c r="W103" s="926">
        <f>P108/T107</f>
        <v>1.2619047619047619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113940</v>
      </c>
      <c r="AF103" s="216">
        <f t="shared" si="41"/>
        <v>106750</v>
      </c>
      <c r="AG103" s="216">
        <f t="shared" si="41"/>
        <v>49350</v>
      </c>
      <c r="AH103" s="216">
        <f t="shared" si="41"/>
        <v>178630</v>
      </c>
      <c r="AI103" s="216">
        <f t="shared" si="41"/>
        <v>81270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940800</v>
      </c>
      <c r="BG103" s="202"/>
      <c r="BH103" s="202"/>
      <c r="BJ103" s="192"/>
    </row>
    <row r="104" spans="1:62" s="217" customFormat="1" ht="15" customHeight="1">
      <c r="A104" s="1045" t="s">
        <v>73</v>
      </c>
      <c r="B104" s="1046"/>
      <c r="C104" s="1046"/>
      <c r="D104" s="1047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927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1045" t="s">
        <v>337</v>
      </c>
      <c r="B105" s="1046"/>
      <c r="C105" s="1046"/>
      <c r="D105" s="1047"/>
      <c r="E105" s="429">
        <f t="shared" ref="E105:N105" si="43">SUM(E10:E47,E49:E51,E54:E61)</f>
        <v>2250</v>
      </c>
      <c r="F105" s="429">
        <f>SUM(F10:F47,F49:F51,F54:F61)</f>
        <v>2044</v>
      </c>
      <c r="G105" s="429">
        <f t="shared" si="43"/>
        <v>0</v>
      </c>
      <c r="H105" s="429">
        <f t="shared" si="43"/>
        <v>0</v>
      </c>
      <c r="I105" s="429">
        <f t="shared" si="43"/>
        <v>1326</v>
      </c>
      <c r="J105" s="429">
        <f t="shared" si="43"/>
        <v>0</v>
      </c>
      <c r="K105" s="429">
        <f t="shared" si="43"/>
        <v>0</v>
      </c>
      <c r="L105" s="429">
        <f t="shared" si="43"/>
        <v>66300</v>
      </c>
      <c r="M105" s="429">
        <f t="shared" si="43"/>
        <v>0</v>
      </c>
      <c r="N105" s="429">
        <f t="shared" si="43"/>
        <v>0</v>
      </c>
      <c r="O105" s="429">
        <f>SUM(O10:O47,O49:O51,O54:O61)</f>
        <v>2968</v>
      </c>
      <c r="P105" s="429">
        <f>SUM(P10:P47,P49:P51,P54:P61)</f>
        <v>148400</v>
      </c>
      <c r="Q105" s="429">
        <f>SUM(Q10:Q71)-Q103</f>
        <v>742800</v>
      </c>
      <c r="R105" s="429">
        <f>SUM(R11:R47,R49:R51,R54:R61)</f>
        <v>148400</v>
      </c>
      <c r="S105" s="429">
        <f>SUM(S11:S47,S49:S51,S54:S61)</f>
        <v>971700</v>
      </c>
      <c r="T105" s="429">
        <f>SUM(T10:T47,T49:T51,T54:T61)</f>
        <v>92850</v>
      </c>
      <c r="U105" s="883">
        <f>IF(T105=0,0,P105/T105)</f>
        <v>1.5982767905223478</v>
      </c>
      <c r="V105" s="884"/>
      <c r="W105" s="927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14970</v>
      </c>
      <c r="G106" s="214">
        <f>SUM(G74:G102)</f>
        <v>0</v>
      </c>
      <c r="H106" s="214">
        <f>SUM(H74:H102)</f>
        <v>0</v>
      </c>
      <c r="I106" s="214">
        <f>SUM(L74:L102)</f>
        <v>14970</v>
      </c>
      <c r="J106" s="214"/>
      <c r="K106" s="214"/>
      <c r="L106" s="214">
        <f t="shared" ref="L106:Q106" si="44">SUM(L74:L102)</f>
        <v>14970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133600</v>
      </c>
      <c r="R106" s="218"/>
      <c r="S106" s="218"/>
      <c r="T106" s="219">
        <f>Q106/$N$293</f>
        <v>16700</v>
      </c>
      <c r="U106" s="883"/>
      <c r="V106" s="884"/>
      <c r="W106" s="927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1069" t="s">
        <v>75</v>
      </c>
      <c r="B107" s="1070"/>
      <c r="C107" s="1070"/>
      <c r="D107" s="1071"/>
      <c r="E107" s="220">
        <f>SUM(E103:E105)</f>
        <v>2250</v>
      </c>
      <c r="F107" s="220">
        <f>SUM(F103:F105)</f>
        <v>2044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1326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2968</v>
      </c>
      <c r="P107" s="220">
        <f t="shared" si="45"/>
        <v>148400</v>
      </c>
      <c r="Q107" s="784">
        <f>+Q108</f>
        <v>940800</v>
      </c>
      <c r="R107" s="218">
        <f>SUM(R11:R102)</f>
        <v>148400</v>
      </c>
      <c r="S107" s="218"/>
      <c r="T107" s="896">
        <f>Q107/$N$293</f>
        <v>117600</v>
      </c>
      <c r="U107" s="931" t="s">
        <v>338</v>
      </c>
      <c r="V107" s="932"/>
      <c r="W107" s="927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1045" t="s">
        <v>77</v>
      </c>
      <c r="B108" s="1046"/>
      <c r="C108" s="1046"/>
      <c r="D108" s="1047"/>
      <c r="E108" s="214">
        <f>E103*25+E105*50+E106+E104*40</f>
        <v>112500</v>
      </c>
      <c r="F108" s="214">
        <f>F103*25+F105*50+F106+F104*40</f>
        <v>117170</v>
      </c>
      <c r="G108" s="214">
        <f>G103*25+G105*50+G106</f>
        <v>0</v>
      </c>
      <c r="H108" s="214">
        <f>H103*25+H105*50+H106</f>
        <v>0</v>
      </c>
      <c r="I108" s="214">
        <f>I103*25+I105*50+I106</f>
        <v>81270</v>
      </c>
      <c r="J108" s="214"/>
      <c r="K108" s="214"/>
      <c r="L108" s="214">
        <f>L103+L105+L106+L104</f>
        <v>81270</v>
      </c>
      <c r="M108" s="214">
        <f>+M105*50+M103*25</f>
        <v>0</v>
      </c>
      <c r="N108" s="214">
        <f>+N103*25+N104*40+N105*50</f>
        <v>0</v>
      </c>
      <c r="O108" s="485">
        <f>O103*25+O105*50+O106</f>
        <v>148400</v>
      </c>
      <c r="P108" s="214">
        <f>P103+P105+P106</f>
        <v>148400</v>
      </c>
      <c r="Q108" s="359">
        <f>+SUM(Q10:Q102)</f>
        <v>940800</v>
      </c>
      <c r="R108" s="224"/>
      <c r="S108" s="224"/>
      <c r="T108" s="897"/>
      <c r="U108" s="931"/>
      <c r="V108" s="932"/>
      <c r="W108" s="928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03" t="s">
        <v>251</v>
      </c>
      <c r="D112" s="903"/>
      <c r="E112" s="903"/>
      <c r="F112" s="903"/>
      <c r="G112" s="903"/>
      <c r="H112" s="903"/>
      <c r="I112" s="903"/>
      <c r="J112" s="903"/>
      <c r="K112" s="903"/>
      <c r="L112" s="903"/>
      <c r="M112" s="903"/>
      <c r="N112" s="903"/>
      <c r="O112" s="903"/>
      <c r="P112" s="903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964" t="s">
        <v>340</v>
      </c>
      <c r="D113" s="964"/>
      <c r="E113" s="964"/>
      <c r="F113" s="964"/>
      <c r="G113" s="964"/>
      <c r="H113" s="964"/>
      <c r="I113" s="964"/>
      <c r="J113" s="964"/>
      <c r="K113" s="964"/>
      <c r="L113" s="964"/>
      <c r="M113" s="964"/>
      <c r="N113" s="964"/>
      <c r="O113" s="964"/>
      <c r="P113" s="964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965" t="s">
        <v>341</v>
      </c>
      <c r="D114" s="965"/>
      <c r="E114" s="965"/>
      <c r="F114" s="965"/>
      <c r="G114" s="965"/>
      <c r="H114" s="965"/>
      <c r="I114" s="965"/>
      <c r="J114" s="965"/>
      <c r="K114" s="965"/>
      <c r="L114" s="965"/>
      <c r="M114" s="965"/>
      <c r="N114" s="965"/>
      <c r="O114" s="965"/>
      <c r="P114" s="965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13" t="s">
        <v>342</v>
      </c>
      <c r="B115" s="904" t="s">
        <v>23</v>
      </c>
      <c r="C115" s="904" t="s">
        <v>24</v>
      </c>
      <c r="D115" s="910" t="s">
        <v>178</v>
      </c>
      <c r="E115" s="61" t="s">
        <v>26</v>
      </c>
      <c r="F115" s="907" t="s">
        <v>27</v>
      </c>
      <c r="G115" s="908"/>
      <c r="H115" s="909"/>
      <c r="I115" s="907" t="s">
        <v>28</v>
      </c>
      <c r="J115" s="908"/>
      <c r="K115" s="908"/>
      <c r="L115" s="908"/>
      <c r="M115" s="908"/>
      <c r="N115" s="909"/>
      <c r="O115" s="907" t="s">
        <v>29</v>
      </c>
      <c r="P115" s="909"/>
      <c r="Q115" s="183" t="s">
        <v>30</v>
      </c>
      <c r="R115" s="305"/>
      <c r="S115" s="305"/>
      <c r="T115" s="183" t="s">
        <v>31</v>
      </c>
      <c r="U115" s="916" t="s">
        <v>257</v>
      </c>
      <c r="V115" s="917"/>
      <c r="W115" s="922" t="s">
        <v>33</v>
      </c>
      <c r="X115" s="1095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14"/>
      <c r="B116" s="905"/>
      <c r="C116" s="905"/>
      <c r="D116" s="911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07" t="s">
        <v>40</v>
      </c>
      <c r="J116" s="908"/>
      <c r="K116" s="908"/>
      <c r="L116" s="909"/>
      <c r="M116" s="512" t="s">
        <v>41</v>
      </c>
      <c r="N116" s="681" t="s">
        <v>42</v>
      </c>
      <c r="O116" s="907" t="s">
        <v>43</v>
      </c>
      <c r="P116" s="909"/>
      <c r="Q116" s="683" t="s">
        <v>44</v>
      </c>
      <c r="R116" s="682"/>
      <c r="S116" s="682"/>
      <c r="T116" s="683" t="s">
        <v>45</v>
      </c>
      <c r="U116" s="918"/>
      <c r="V116" s="919"/>
      <c r="W116" s="923"/>
      <c r="X116" s="1096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15"/>
      <c r="B117" s="906"/>
      <c r="C117" s="906"/>
      <c r="D117" s="912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20"/>
      <c r="V117" s="921"/>
      <c r="W117" s="924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6969</v>
      </c>
      <c r="F118" s="717">
        <v>0</v>
      </c>
      <c r="G118" s="281"/>
      <c r="H118" s="314">
        <v>2980</v>
      </c>
      <c r="I118" s="281">
        <f>SUMIF(data!$D:$D,INTGRATE!$B118&amp;INTGRATE!$D118,data!$J:$J)</f>
        <v>1100</v>
      </c>
      <c r="J118" s="281"/>
      <c r="K118" s="281"/>
      <c r="L118" s="230">
        <f>SUMIF(data!$D:$D,INTGRATE!$B118&amp;INTGRATE!$D118,data!$K:$K)</f>
        <v>11000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8849</v>
      </c>
      <c r="P118" s="281">
        <f t="shared" ref="P118:P161" si="46">O118*D118</f>
        <v>88490</v>
      </c>
      <c r="Q118" s="230">
        <f t="shared" ref="Q118:Q149" si="47">SUM(AA118:BE118)</f>
        <v>88900</v>
      </c>
      <c r="R118" s="205"/>
      <c r="S118" s="205"/>
      <c r="T118" s="230">
        <f t="shared" ref="T118:T149" si="48">Q118/$N$293</f>
        <v>11112.5</v>
      </c>
      <c r="U118" s="872">
        <f t="shared" ref="U118:U148" si="49">IF(T118=0,0,P118/T118)</f>
        <v>7.9631046119235096</v>
      </c>
      <c r="V118" s="873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>
        <v>26500</v>
      </c>
      <c r="AF118" s="314">
        <v>7300</v>
      </c>
      <c r="AG118" s="314">
        <v>3500</v>
      </c>
      <c r="AH118" s="314">
        <v>4000</v>
      </c>
      <c r="AI118" s="314">
        <v>11000</v>
      </c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88900</v>
      </c>
      <c r="BG118" s="786">
        <f>COUNTIF(AA118:BE118,"&gt;0")</f>
        <v>8</v>
      </c>
      <c r="BH118" s="786">
        <f>IFERROR(BF118/BG118,0)</f>
        <v>11112.5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3155</v>
      </c>
      <c r="F119" s="100">
        <f>SUMIF(pro!$A:$A,INTGRATE!$Y:$Y,pro!$N:$N)</f>
        <v>93</v>
      </c>
      <c r="G119" s="230"/>
      <c r="H119" s="314">
        <f>SUMIF(CBIN!$A:$A,INTGRATE!$Y:$Y,CBIN!$G:$G)</f>
        <v>0</v>
      </c>
      <c r="I119" s="230">
        <f>SUMIF(data!$D:$D,INTGRATE!$B119&amp;INTGRATE!$D119,data!$J:$J)</f>
        <v>570</v>
      </c>
      <c r="J119" s="230"/>
      <c r="K119" s="230"/>
      <c r="L119" s="230">
        <f>SUMIF(data!$D:$D,INTGRATE!$B119&amp;INTGRATE!$D119,data!$K:$K)</f>
        <v>28500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2678</v>
      </c>
      <c r="P119" s="230">
        <f t="shared" si="46"/>
        <v>133900</v>
      </c>
      <c r="Q119" s="230">
        <f t="shared" si="47"/>
        <v>187100</v>
      </c>
      <c r="R119" s="314"/>
      <c r="S119" s="205"/>
      <c r="T119" s="230">
        <f t="shared" si="48"/>
        <v>23387.5</v>
      </c>
      <c r="U119" s="872">
        <f t="shared" si="49"/>
        <v>5.725280598610369</v>
      </c>
      <c r="V119" s="873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>
        <v>62450</v>
      </c>
      <c r="AF119" s="314">
        <v>14250</v>
      </c>
      <c r="AG119" s="314">
        <v>0</v>
      </c>
      <c r="AH119" s="314">
        <v>12250</v>
      </c>
      <c r="AI119" s="314">
        <v>28500</v>
      </c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187100</v>
      </c>
      <c r="BG119" s="786">
        <f t="shared" ref="BG119:BG184" si="53">COUNTIF(AA119:BE119,"&gt;0")</f>
        <v>7</v>
      </c>
      <c r="BH119" s="786">
        <f t="shared" ref="BH119:BH184" si="54">IFERROR(BF119/BG119,0)</f>
        <v>26728.571428571428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72">
        <f t="shared" si="49"/>
        <v>0</v>
      </c>
      <c r="V120" s="873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>
        <v>0</v>
      </c>
      <c r="AF120" s="314">
        <v>0</v>
      </c>
      <c r="AG120" s="314">
        <v>0</v>
      </c>
      <c r="AH120" s="314">
        <v>0</v>
      </c>
      <c r="AI120" s="314">
        <v>0</v>
      </c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72">
        <f t="shared" si="49"/>
        <v>0</v>
      </c>
      <c r="V121" s="873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>
        <v>0</v>
      </c>
      <c r="AF121" s="314">
        <v>0</v>
      </c>
      <c r="AG121" s="314">
        <v>0</v>
      </c>
      <c r="AH121" s="314">
        <v>0</v>
      </c>
      <c r="AI121" s="314">
        <v>0</v>
      </c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2084</v>
      </c>
      <c r="F122" s="100">
        <f>SUMIF(pro!$A:$A,INTGRATE!$Y:$Y,pro!$N:$N)</f>
        <v>1560</v>
      </c>
      <c r="G122" s="230"/>
      <c r="H122" s="314">
        <f>SUMIF(CBIN!$A:$A,INTGRATE!$Y:$Y,CBIN!$G:$G)</f>
        <v>0</v>
      </c>
      <c r="I122" s="230">
        <f>SUMIF(data!$D:$D,INTGRATE!$B122&amp;INTGRATE!$D122,data!$J:$J)</f>
        <v>1869</v>
      </c>
      <c r="J122" s="230"/>
      <c r="K122" s="230"/>
      <c r="L122" s="230">
        <f>SUMIF(data!$D:$D,INTGRATE!$B122&amp;INTGRATE!$D122,data!$K:$K)</f>
        <v>93450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1775</v>
      </c>
      <c r="P122" s="230">
        <f>O122*D122</f>
        <v>88750</v>
      </c>
      <c r="Q122" s="230">
        <f>SUM(AA122:BE122)</f>
        <v>652700</v>
      </c>
      <c r="R122" s="314"/>
      <c r="S122" s="205"/>
      <c r="T122" s="230">
        <f t="shared" si="48"/>
        <v>81587.5</v>
      </c>
      <c r="U122" s="872">
        <f>IF(T122=0,0,P122/T122)</f>
        <v>1.0877891833920637</v>
      </c>
      <c r="V122" s="873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>
        <v>87900</v>
      </c>
      <c r="AF122" s="314">
        <v>85750</v>
      </c>
      <c r="AG122" s="314">
        <v>73050</v>
      </c>
      <c r="AH122" s="314">
        <v>49650</v>
      </c>
      <c r="AI122" s="314">
        <v>93450</v>
      </c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652700</v>
      </c>
      <c r="BG122" s="786">
        <f t="shared" si="53"/>
        <v>8</v>
      </c>
      <c r="BH122" s="786">
        <f t="shared" si="54"/>
        <v>81587.5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1791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390</v>
      </c>
      <c r="J123" s="230"/>
      <c r="K123" s="230"/>
      <c r="L123" s="230">
        <f>SUMIF(data!$D:$D,INTGRATE!$B123&amp;INTGRATE!$D123,data!$K:$K)</f>
        <v>19500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1401</v>
      </c>
      <c r="P123" s="230">
        <f>O123*D123</f>
        <v>70050</v>
      </c>
      <c r="Q123" s="230">
        <f>SUM(AA123:BE123)</f>
        <v>179700</v>
      </c>
      <c r="R123" s="314"/>
      <c r="S123" s="205"/>
      <c r="T123" s="230">
        <f t="shared" si="48"/>
        <v>22462.5</v>
      </c>
      <c r="U123" s="872">
        <f>IF(T123=0,0,P123/T123)</f>
        <v>3.1185308848080133</v>
      </c>
      <c r="V123" s="873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>
        <v>35200</v>
      </c>
      <c r="AF123" s="314">
        <v>3500</v>
      </c>
      <c r="AG123" s="314">
        <v>22000</v>
      </c>
      <c r="AH123" s="314">
        <v>7850</v>
      </c>
      <c r="AI123" s="314">
        <v>19500</v>
      </c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179700</v>
      </c>
      <c r="BG123" s="786">
        <f t="shared" si="53"/>
        <v>7</v>
      </c>
      <c r="BH123" s="786">
        <f t="shared" si="54"/>
        <v>25671.428571428572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72">
        <f t="shared" si="49"/>
        <v>0</v>
      </c>
      <c r="V124" s="873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>
        <v>0</v>
      </c>
      <c r="AF124" s="314">
        <v>0</v>
      </c>
      <c r="AG124" s="314">
        <v>0</v>
      </c>
      <c r="AH124" s="314">
        <v>0</v>
      </c>
      <c r="AI124" s="314">
        <v>0</v>
      </c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72">
        <f t="shared" si="49"/>
        <v>0</v>
      </c>
      <c r="V125" s="873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>
        <v>0</v>
      </c>
      <c r="AF125" s="314">
        <v>0</v>
      </c>
      <c r="AG125" s="314">
        <v>0</v>
      </c>
      <c r="AH125" s="314">
        <v>0</v>
      </c>
      <c r="AI125" s="314">
        <v>0</v>
      </c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72">
        <f>IF(T126=0,0,P126/T126)</f>
        <v>0</v>
      </c>
      <c r="V126" s="873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>
        <v>0</v>
      </c>
      <c r="AF126" s="314">
        <v>0</v>
      </c>
      <c r="AG126" s="314">
        <v>0</v>
      </c>
      <c r="AH126" s="314">
        <v>0</v>
      </c>
      <c r="AI126" s="314">
        <v>0</v>
      </c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72">
        <f t="shared" si="49"/>
        <v>0</v>
      </c>
      <c r="V127" s="873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>
        <v>0</v>
      </c>
      <c r="AF127" s="314">
        <v>0</v>
      </c>
      <c r="AG127" s="314">
        <v>0</v>
      </c>
      <c r="AH127" s="314">
        <v>0</v>
      </c>
      <c r="AI127" s="314">
        <v>0</v>
      </c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88490</v>
      </c>
      <c r="S128" s="314">
        <f>SUM(Q118,Q125:Q127)</f>
        <v>88900</v>
      </c>
      <c r="T128" s="230">
        <f t="shared" si="48"/>
        <v>0</v>
      </c>
      <c r="U128" s="872">
        <f t="shared" si="49"/>
        <v>0</v>
      </c>
      <c r="V128" s="873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>
        <v>0</v>
      </c>
      <c r="AF128" s="314">
        <v>0</v>
      </c>
      <c r="AG128" s="314">
        <v>0</v>
      </c>
      <c r="AH128" s="314">
        <v>0</v>
      </c>
      <c r="AI128" s="314">
        <v>0</v>
      </c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1221</v>
      </c>
      <c r="F129" s="100">
        <f>SUMIF(pro!$A:$A,INTGRATE!$Y:$Y,pro!$N:$N)</f>
        <v>0</v>
      </c>
      <c r="G129" s="230"/>
      <c r="H129" s="314">
        <f>SUMIF(CBIN!$A:$A,INTGRATE!$Y:$Y,CBIN!$G:$G)</f>
        <v>0</v>
      </c>
      <c r="I129" s="230">
        <f>SUMIF(data!$D:$D,INTGRATE!$B129&amp;INTGRATE!$D129,data!$J:$J)</f>
        <v>337</v>
      </c>
      <c r="J129" s="230"/>
      <c r="K129" s="230"/>
      <c r="L129" s="230">
        <f>SUMIF(data!$D:$D,INTGRATE!$B129&amp;INTGRATE!$D129,data!$K:$K)</f>
        <v>16850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884</v>
      </c>
      <c r="P129" s="230">
        <f t="shared" si="46"/>
        <v>44200</v>
      </c>
      <c r="Q129" s="230">
        <f t="shared" si="47"/>
        <v>157000</v>
      </c>
      <c r="R129" s="314"/>
      <c r="S129" s="314"/>
      <c r="T129" s="230">
        <f t="shared" si="48"/>
        <v>19625</v>
      </c>
      <c r="U129" s="872">
        <f t="shared" si="49"/>
        <v>2.2522292993630573</v>
      </c>
      <c r="V129" s="873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>
        <v>24500</v>
      </c>
      <c r="AF129" s="314">
        <v>30400</v>
      </c>
      <c r="AG129" s="314">
        <v>0</v>
      </c>
      <c r="AH129" s="314">
        <v>19400</v>
      </c>
      <c r="AI129" s="314">
        <v>16850</v>
      </c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157000</v>
      </c>
      <c r="BG129" s="786">
        <f t="shared" si="53"/>
        <v>6</v>
      </c>
      <c r="BH129" s="786">
        <f t="shared" si="54"/>
        <v>26166.666666666668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0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0</v>
      </c>
      <c r="J130" s="230"/>
      <c r="K130" s="230"/>
      <c r="L130" s="230">
        <f>SUMIF(data!$D:$D,INTGRATE!$B130&amp;INTGRATE!$D130,data!$K:$K)</f>
        <v>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0</v>
      </c>
      <c r="P130" s="230">
        <f t="shared" si="46"/>
        <v>0</v>
      </c>
      <c r="Q130" s="230">
        <f t="shared" si="47"/>
        <v>32600</v>
      </c>
      <c r="R130" s="543" t="s">
        <v>360</v>
      </c>
      <c r="S130" s="543" t="s">
        <v>361</v>
      </c>
      <c r="T130" s="230">
        <f t="shared" si="48"/>
        <v>4075</v>
      </c>
      <c r="U130" s="872">
        <f t="shared" si="49"/>
        <v>0</v>
      </c>
      <c r="V130" s="873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>
        <v>0</v>
      </c>
      <c r="AF130" s="314">
        <v>2250</v>
      </c>
      <c r="AG130" s="314">
        <v>15350</v>
      </c>
      <c r="AH130" s="314">
        <v>0</v>
      </c>
      <c r="AI130" s="314">
        <v>0</v>
      </c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32600</v>
      </c>
      <c r="BG130" s="786">
        <f t="shared" si="53"/>
        <v>4</v>
      </c>
      <c r="BH130" s="786">
        <f t="shared" si="54"/>
        <v>8150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292700</v>
      </c>
      <c r="S131" s="314">
        <f>SUM(Q119:Q124,Q159,Q196:Q206)</f>
        <v>1055190</v>
      </c>
      <c r="T131" s="230">
        <f t="shared" si="48"/>
        <v>0</v>
      </c>
      <c r="U131" s="872">
        <f t="shared" si="49"/>
        <v>0</v>
      </c>
      <c r="V131" s="873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>
        <v>0</v>
      </c>
      <c r="AF131" s="314">
        <v>0</v>
      </c>
      <c r="AG131" s="314">
        <v>0</v>
      </c>
      <c r="AH131" s="314">
        <v>0</v>
      </c>
      <c r="AI131" s="314">
        <v>0</v>
      </c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72">
        <f t="shared" si="49"/>
        <v>0</v>
      </c>
      <c r="V132" s="873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>
        <v>0</v>
      </c>
      <c r="AF132" s="314">
        <v>0</v>
      </c>
      <c r="AG132" s="314">
        <v>0</v>
      </c>
      <c r="AH132" s="314">
        <v>0</v>
      </c>
      <c r="AI132" s="314">
        <v>0</v>
      </c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2645</v>
      </c>
      <c r="F133" s="100">
        <f>SUMIF(pro!$A:$A,INTGRATE!$Y:$Y,pro!$N:$N)</f>
        <v>0</v>
      </c>
      <c r="G133" s="230"/>
      <c r="H133" s="314">
        <f>SUMIF(CBIN!$A:$A,INTGRATE!$Y:$Y,CBIN!$G:$G)</f>
        <v>0</v>
      </c>
      <c r="I133" s="230">
        <f>SUMIF(data!$D:$D,INTGRATE!$B133&amp;INTGRATE!$D133,data!$J:$J)</f>
        <v>1573</v>
      </c>
      <c r="J133" s="230"/>
      <c r="K133" s="230"/>
      <c r="L133" s="230">
        <f>SUMIF(data!$D:$D,INTGRATE!$B133&amp;INTGRATE!$D133,data!$K:$K)</f>
        <v>78650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1072</v>
      </c>
      <c r="P133" s="230">
        <f t="shared" si="46"/>
        <v>53600</v>
      </c>
      <c r="Q133" s="230">
        <f t="shared" si="47"/>
        <v>406850</v>
      </c>
      <c r="R133" s="314"/>
      <c r="S133" s="314"/>
      <c r="T133" s="230">
        <f t="shared" si="48"/>
        <v>50856.25</v>
      </c>
      <c r="U133" s="872">
        <f t="shared" si="49"/>
        <v>1.0539510876244316</v>
      </c>
      <c r="V133" s="873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>
        <v>59000</v>
      </c>
      <c r="AF133" s="314">
        <v>29000</v>
      </c>
      <c r="AG133" s="314">
        <v>10000</v>
      </c>
      <c r="AH133" s="314">
        <v>21100</v>
      </c>
      <c r="AI133" s="314">
        <v>78650</v>
      </c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406850</v>
      </c>
      <c r="BG133" s="786">
        <f t="shared" si="53"/>
        <v>8</v>
      </c>
      <c r="BH133" s="786">
        <f t="shared" si="54"/>
        <v>50856.25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72">
        <f t="shared" si="49"/>
        <v>0</v>
      </c>
      <c r="V134" s="873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>
        <v>0</v>
      </c>
      <c r="AF134" s="314">
        <v>0</v>
      </c>
      <c r="AG134" s="314">
        <v>0</v>
      </c>
      <c r="AH134" s="314">
        <v>0</v>
      </c>
      <c r="AI134" s="314">
        <v>0</v>
      </c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72">
        <f t="shared" si="49"/>
        <v>0</v>
      </c>
      <c r="V135" s="873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>
        <v>0</v>
      </c>
      <c r="AF135" s="314">
        <v>0</v>
      </c>
      <c r="AG135" s="314">
        <v>0</v>
      </c>
      <c r="AH135" s="314">
        <v>0</v>
      </c>
      <c r="AI135" s="314">
        <v>0</v>
      </c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2434070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72">
        <f t="shared" si="49"/>
        <v>0</v>
      </c>
      <c r="V136" s="873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>
        <v>0</v>
      </c>
      <c r="AF136" s="314">
        <v>0</v>
      </c>
      <c r="AG136" s="314">
        <v>0</v>
      </c>
      <c r="AH136" s="314">
        <v>0</v>
      </c>
      <c r="AI136" s="314">
        <v>0</v>
      </c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9160120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72">
        <f t="shared" si="49"/>
        <v>0</v>
      </c>
      <c r="V137" s="873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>
        <v>0</v>
      </c>
      <c r="AF137" s="314">
        <v>0</v>
      </c>
      <c r="AG137" s="314">
        <v>0</v>
      </c>
      <c r="AH137" s="314">
        <v>0</v>
      </c>
      <c r="AI137" s="314">
        <v>0</v>
      </c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72">
        <f t="shared" si="49"/>
        <v>0</v>
      </c>
      <c r="V138" s="873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>
        <v>0</v>
      </c>
      <c r="AF138" s="314">
        <v>0</v>
      </c>
      <c r="AG138" s="314">
        <v>0</v>
      </c>
      <c r="AH138" s="314">
        <v>0</v>
      </c>
      <c r="AI138" s="314">
        <v>0</v>
      </c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72">
        <f t="shared" si="49"/>
        <v>0</v>
      </c>
      <c r="V139" s="873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>
        <v>0</v>
      </c>
      <c r="AF139" s="314">
        <v>0</v>
      </c>
      <c r="AG139" s="314">
        <v>0</v>
      </c>
      <c r="AH139" s="314">
        <v>0</v>
      </c>
      <c r="AI139" s="314">
        <v>0</v>
      </c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72">
        <f t="shared" si="49"/>
        <v>0</v>
      </c>
      <c r="V140" s="873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>
        <v>0</v>
      </c>
      <c r="AF140" s="314">
        <v>0</v>
      </c>
      <c r="AG140" s="314">
        <v>0</v>
      </c>
      <c r="AH140" s="314">
        <v>0</v>
      </c>
      <c r="AI140" s="314">
        <v>0</v>
      </c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693</v>
      </c>
      <c r="F141" s="100">
        <f>SUMIF(pro!$A:$A,INTGRATE!$Y:$Y,pro!$N:$N)</f>
        <v>93</v>
      </c>
      <c r="G141" s="314"/>
      <c r="H141" s="314">
        <f>SUMIF(CBIN!$A:$A,INTGRATE!$Y:$Y,CBIN!$G:$G)</f>
        <v>0</v>
      </c>
      <c r="I141" s="230">
        <f>SUMIF(data!$D:$D,INTGRATE!$B141&amp;INTGRATE!$D141,data!$J:$J)</f>
        <v>410</v>
      </c>
      <c r="J141" s="230"/>
      <c r="K141" s="230"/>
      <c r="L141" s="230">
        <f>SUMIF(data!$D:$D,INTGRATE!$B141&amp;INTGRATE!$D141,data!$K:$K)</f>
        <v>20500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376</v>
      </c>
      <c r="P141" s="230">
        <f t="shared" si="46"/>
        <v>18800</v>
      </c>
      <c r="Q141" s="230">
        <f t="shared" si="47"/>
        <v>147800</v>
      </c>
      <c r="R141" s="543"/>
      <c r="S141" s="543"/>
      <c r="T141" s="230">
        <f t="shared" si="48"/>
        <v>18475</v>
      </c>
      <c r="U141" s="872">
        <f t="shared" si="49"/>
        <v>1.0175913396481733</v>
      </c>
      <c r="V141" s="873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>
        <v>5000</v>
      </c>
      <c r="AF141" s="314">
        <v>25150</v>
      </c>
      <c r="AG141" s="314">
        <v>20300</v>
      </c>
      <c r="AH141" s="314">
        <v>16000</v>
      </c>
      <c r="AI141" s="314">
        <v>20500</v>
      </c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147800</v>
      </c>
      <c r="BG141" s="786">
        <f t="shared" si="53"/>
        <v>7</v>
      </c>
      <c r="BH141" s="786">
        <f t="shared" si="54"/>
        <v>21114.285714285714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72">
        <f t="shared" si="49"/>
        <v>0</v>
      </c>
      <c r="V142" s="873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>
        <v>0</v>
      </c>
      <c r="AF142" s="314">
        <v>0</v>
      </c>
      <c r="AG142" s="314">
        <v>0</v>
      </c>
      <c r="AH142" s="314">
        <v>0</v>
      </c>
      <c r="AI142" s="314">
        <v>0</v>
      </c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0</v>
      </c>
      <c r="F143" s="100">
        <f>SUMIF(pro!$A:$A,INTGRATE!$Y:$Y,pro!$N:$N)</f>
        <v>839</v>
      </c>
      <c r="G143" s="314"/>
      <c r="H143" s="314">
        <f>SUMIF(CBIN!$A:$A,INTGRATE!$Y:$Y,CBIN!$G:$G)</f>
        <v>0</v>
      </c>
      <c r="I143" s="230">
        <f>SUMIF(data!$D:$D,INTGRATE!$B143&amp;INTGRATE!$D143,data!$J:$J)</f>
        <v>808</v>
      </c>
      <c r="J143" s="230"/>
      <c r="K143" s="230"/>
      <c r="L143" s="230">
        <f>SUMIF(data!$D:$D,INTGRATE!$B143&amp;INTGRATE!$D143,data!$K:$K)</f>
        <v>40400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31</v>
      </c>
      <c r="P143" s="230">
        <f>O143*D143</f>
        <v>1550</v>
      </c>
      <c r="Q143" s="230">
        <f>SUM(AA143:BE143)</f>
        <v>371950</v>
      </c>
      <c r="R143" s="543" t="s">
        <v>378</v>
      </c>
      <c r="S143" s="543" t="s">
        <v>379</v>
      </c>
      <c r="T143" s="230">
        <f t="shared" si="48"/>
        <v>46493.75</v>
      </c>
      <c r="U143" s="872">
        <f>IF(T143=0,0,P143/T143)</f>
        <v>3.3337814222341715E-2</v>
      </c>
      <c r="V143" s="873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>
        <v>98650</v>
      </c>
      <c r="AF143" s="314">
        <v>14000</v>
      </c>
      <c r="AG143" s="314">
        <v>35650</v>
      </c>
      <c r="AH143" s="314">
        <v>64400</v>
      </c>
      <c r="AI143" s="314">
        <v>40400</v>
      </c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371950</v>
      </c>
      <c r="BG143" s="786">
        <f t="shared" si="53"/>
        <v>8</v>
      </c>
      <c r="BH143" s="786">
        <f t="shared" si="54"/>
        <v>46493.75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37</v>
      </c>
      <c r="F144" s="100">
        <f>SUMIF(pro!$A:$A,INTGRATE!$Y:$Y,pro!$N:$N)</f>
        <v>0</v>
      </c>
      <c r="G144" s="314"/>
      <c r="H144" s="314">
        <f>SUMIF(CBIN!$A:$A,INTGRATE!$Y:$Y,CBIN!$G:$G)</f>
        <v>0</v>
      </c>
      <c r="I144" s="230">
        <f>SUMIF(data!$D:$D,INTGRATE!$B144&amp;INTGRATE!$D144,data!$J:$J)</f>
        <v>0</v>
      </c>
      <c r="J144" s="230"/>
      <c r="K144" s="230"/>
      <c r="L144" s="230">
        <f>SUMIF(data!$D:$D,INTGRATE!$B144&amp;INTGRATE!$D144,data!$K:$K)</f>
        <v>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37</v>
      </c>
      <c r="P144" s="230">
        <f t="shared" si="46"/>
        <v>1850</v>
      </c>
      <c r="Q144" s="230">
        <f t="shared" si="47"/>
        <v>68550</v>
      </c>
      <c r="R144" s="601">
        <f>SUM(P118:P260)-R137-R131-R128</f>
        <v>1097500</v>
      </c>
      <c r="S144" s="601">
        <f>SUM(Q118:Q260)-S137-S131-S128</f>
        <v>12027210</v>
      </c>
      <c r="T144" s="230">
        <f t="shared" si="48"/>
        <v>8568.75</v>
      </c>
      <c r="U144" s="872">
        <f t="shared" si="49"/>
        <v>0.21590080233406272</v>
      </c>
      <c r="V144" s="873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>
        <v>4450</v>
      </c>
      <c r="AF144" s="314">
        <v>0</v>
      </c>
      <c r="AG144" s="314">
        <v>0</v>
      </c>
      <c r="AH144" s="314">
        <v>12000</v>
      </c>
      <c r="AI144" s="314">
        <v>0</v>
      </c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68550</v>
      </c>
      <c r="BG144" s="786">
        <f t="shared" si="53"/>
        <v>4</v>
      </c>
      <c r="BH144" s="786">
        <f t="shared" si="54"/>
        <v>17137.5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0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0</v>
      </c>
      <c r="J145" s="230"/>
      <c r="K145" s="230"/>
      <c r="L145" s="230">
        <f>SUMIF(data!$D:$D,INTGRATE!$B145&amp;INTGRATE!$D145,data!$K:$K)</f>
        <v>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0</v>
      </c>
      <c r="P145" s="230">
        <f t="shared" si="46"/>
        <v>0</v>
      </c>
      <c r="Q145" s="230">
        <f t="shared" si="47"/>
        <v>21450</v>
      </c>
      <c r="R145" s="314"/>
      <c r="S145" s="205"/>
      <c r="T145" s="230">
        <f t="shared" si="48"/>
        <v>2681.25</v>
      </c>
      <c r="U145" s="872">
        <f t="shared" si="49"/>
        <v>0</v>
      </c>
      <c r="V145" s="873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>
        <v>0</v>
      </c>
      <c r="AF145" s="314">
        <v>3450</v>
      </c>
      <c r="AG145" s="314">
        <v>0</v>
      </c>
      <c r="AH145" s="314">
        <v>0</v>
      </c>
      <c r="AI145" s="314">
        <v>0</v>
      </c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21450</v>
      </c>
      <c r="BG145" s="786">
        <f t="shared" si="53"/>
        <v>3</v>
      </c>
      <c r="BH145" s="786">
        <f t="shared" si="54"/>
        <v>7150</v>
      </c>
      <c r="BI145" s="197">
        <f>+SUM(BF174:BF195)+SUM(BF241:BF260)</f>
        <v>1577110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3708</v>
      </c>
      <c r="F146" s="100">
        <f>SUMIF(pro!$A:$A,INTGRATE!$Y:$Y,pro!$N:$N)</f>
        <v>10379</v>
      </c>
      <c r="G146" s="314"/>
      <c r="H146" s="314">
        <f>SUMIF(CBIN!$A:$A,INTGRATE!$Y:$Y,CBIN!$G:$G)</f>
        <v>0</v>
      </c>
      <c r="I146" s="230">
        <f>SUMIF(data!$D:$D,INTGRATE!$B146&amp;INTGRATE!$D146,data!$J:$J)</f>
        <v>8204</v>
      </c>
      <c r="J146" s="230"/>
      <c r="K146" s="230"/>
      <c r="L146" s="230">
        <f>SUMIF(data!$D:$D,INTGRATE!$B146&amp;INTGRATE!$D146,data!$K:$K)</f>
        <v>410200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5883</v>
      </c>
      <c r="P146" s="230">
        <f t="shared" si="46"/>
        <v>294150</v>
      </c>
      <c r="Q146" s="230">
        <f t="shared" si="47"/>
        <v>2448800</v>
      </c>
      <c r="R146" s="543"/>
      <c r="S146" s="543"/>
      <c r="T146" s="230">
        <f t="shared" si="48"/>
        <v>306100</v>
      </c>
      <c r="U146" s="872">
        <f t="shared" si="49"/>
        <v>0.9609604704344985</v>
      </c>
      <c r="V146" s="873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>
        <v>308000</v>
      </c>
      <c r="AF146" s="314">
        <v>667500</v>
      </c>
      <c r="AG146" s="314">
        <v>422800</v>
      </c>
      <c r="AH146" s="314">
        <v>371450</v>
      </c>
      <c r="AI146" s="314">
        <v>410200</v>
      </c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2448800</v>
      </c>
      <c r="BG146" s="786">
        <f t="shared" si="53"/>
        <v>8</v>
      </c>
      <c r="BH146" s="786">
        <f t="shared" si="54"/>
        <v>306100</v>
      </c>
      <c r="BI146" s="197">
        <f>SUM(BF196:BF261)</f>
        <v>3671850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72">
        <f t="shared" si="49"/>
        <v>0</v>
      </c>
      <c r="V147" s="873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>
        <v>0</v>
      </c>
      <c r="AF147" s="314">
        <v>0</v>
      </c>
      <c r="AG147" s="314">
        <v>0</v>
      </c>
      <c r="AH147" s="314">
        <v>0</v>
      </c>
      <c r="AI147" s="314">
        <v>0</v>
      </c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9499450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72">
        <f t="shared" si="49"/>
        <v>0</v>
      </c>
      <c r="V148" s="873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>
        <v>0</v>
      </c>
      <c r="AF148" s="314">
        <v>0</v>
      </c>
      <c r="AG148" s="314">
        <v>0</v>
      </c>
      <c r="AH148" s="314">
        <v>0</v>
      </c>
      <c r="AI148" s="314">
        <v>0</v>
      </c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72">
        <f t="shared" ref="U149:U196" si="55">IF(T149=0,0,P149/T149)</f>
        <v>0</v>
      </c>
      <c r="V149" s="873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>
        <v>0</v>
      </c>
      <c r="AF149" s="314">
        <v>0</v>
      </c>
      <c r="AG149" s="314">
        <v>0</v>
      </c>
      <c r="AH149" s="314">
        <v>0</v>
      </c>
      <c r="AI149" s="314">
        <v>0</v>
      </c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967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0</v>
      </c>
      <c r="J150" s="230"/>
      <c r="K150" s="230"/>
      <c r="L150" s="230">
        <f>SUMIF(data!$D:$D,INTGRATE!$B150&amp;INTGRATE!$D150,data!$K:$K)</f>
        <v>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967</v>
      </c>
      <c r="P150" s="230">
        <f>O150*D150</f>
        <v>48350</v>
      </c>
      <c r="Q150" s="230">
        <f>SUM(AA150:BE150)</f>
        <v>42850</v>
      </c>
      <c r="R150" s="314"/>
      <c r="S150" s="205"/>
      <c r="T150" s="230">
        <f t="shared" ref="T150:T183" si="56">Q150/$N$293</f>
        <v>5356.25</v>
      </c>
      <c r="U150" s="872">
        <f>IF(T150=0,0,P150/T150)</f>
        <v>9.0268378063010495</v>
      </c>
      <c r="V150" s="873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>
        <v>0</v>
      </c>
      <c r="AF150" s="314">
        <v>0</v>
      </c>
      <c r="AG150" s="314">
        <v>0</v>
      </c>
      <c r="AH150" s="314">
        <v>0</v>
      </c>
      <c r="AI150" s="314">
        <v>0</v>
      </c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72">
        <f>IF(T151=0,0,P151/T151)</f>
        <v>0</v>
      </c>
      <c r="V151" s="873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>
        <v>0</v>
      </c>
      <c r="AF151" s="314">
        <v>0</v>
      </c>
      <c r="AG151" s="314">
        <v>0</v>
      </c>
      <c r="AH151" s="314">
        <v>0</v>
      </c>
      <c r="AI151" s="314">
        <v>0</v>
      </c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72">
        <f t="shared" si="55"/>
        <v>0</v>
      </c>
      <c r="V152" s="873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>
        <v>0</v>
      </c>
      <c r="AF152" s="314">
        <v>0</v>
      </c>
      <c r="AG152" s="314">
        <v>0</v>
      </c>
      <c r="AH152" s="314">
        <v>0</v>
      </c>
      <c r="AI152" s="314">
        <v>0</v>
      </c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72">
        <f>IF(T153=0,0,P153/T153)</f>
        <v>0</v>
      </c>
      <c r="V153" s="873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>
        <v>0</v>
      </c>
      <c r="AF153" s="314">
        <v>0</v>
      </c>
      <c r="AG153" s="314">
        <v>0</v>
      </c>
      <c r="AH153" s="314">
        <v>0</v>
      </c>
      <c r="AI153" s="314">
        <v>0</v>
      </c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72">
        <f>IF(T154=0,0,P154/T154)</f>
        <v>0</v>
      </c>
      <c r="V154" s="873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>
        <v>0</v>
      </c>
      <c r="AF154" s="314">
        <v>0</v>
      </c>
      <c r="AG154" s="314">
        <v>0</v>
      </c>
      <c r="AH154" s="314">
        <v>0</v>
      </c>
      <c r="AI154" s="314">
        <v>0</v>
      </c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65</v>
      </c>
      <c r="F155" s="100">
        <f>SUMIF(pro!$A:$A,INTGRATE!$Y:$Y,pro!$N:$N)</f>
        <v>1836</v>
      </c>
      <c r="G155" s="314"/>
      <c r="H155" s="314">
        <f>SUMIF(CBIN!$A:$A,INTGRATE!$Y:$Y,CBIN!$G:$G)</f>
        <v>0</v>
      </c>
      <c r="I155" s="230">
        <f>SUMIF(data!$D:$D,INTGRATE!$B155&amp;INTGRATE!$D155,data!$J:$J)</f>
        <v>0</v>
      </c>
      <c r="J155" s="230"/>
      <c r="K155" s="230"/>
      <c r="L155" s="230">
        <f>SUMIF(data!$D:$D,INTGRATE!$B155&amp;INTGRATE!$D155,data!$K:$K)</f>
        <v>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1901</v>
      </c>
      <c r="P155" s="230">
        <f t="shared" si="46"/>
        <v>95050</v>
      </c>
      <c r="Q155" s="230">
        <f>SUM(AA155:BE155)</f>
        <v>520500</v>
      </c>
      <c r="R155" s="205"/>
      <c r="S155" s="205"/>
      <c r="T155" s="230">
        <f t="shared" si="56"/>
        <v>65062.5</v>
      </c>
      <c r="U155" s="872">
        <f t="shared" si="55"/>
        <v>1.4609029779058598</v>
      </c>
      <c r="V155" s="873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>
        <v>0</v>
      </c>
      <c r="AF155" s="314">
        <v>0</v>
      </c>
      <c r="AG155" s="314">
        <v>0</v>
      </c>
      <c r="AH155" s="314">
        <v>0</v>
      </c>
      <c r="AI155" s="314">
        <v>0</v>
      </c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520500</v>
      </c>
      <c r="BG155" s="786">
        <f t="shared" si="53"/>
        <v>3</v>
      </c>
      <c r="BH155" s="786">
        <f t="shared" si="54"/>
        <v>173500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72">
        <f t="shared" ref="U156" si="60">IF(T156=0,0,P156/T156)</f>
        <v>0</v>
      </c>
      <c r="V156" s="873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>
        <v>0</v>
      </c>
      <c r="AF156" s="314">
        <v>0</v>
      </c>
      <c r="AG156" s="314">
        <v>0</v>
      </c>
      <c r="AH156" s="314">
        <v>0</v>
      </c>
      <c r="AI156" s="314">
        <v>0</v>
      </c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4672</v>
      </c>
      <c r="F157" s="100">
        <f>SUMIF(pro!$A:$A,INTGRATE!$Y:$Y,pro!$N:$N)</f>
        <v>5476</v>
      </c>
      <c r="G157" s="230"/>
      <c r="H157" s="314">
        <f>SUMIF(CBIN!$A:$A,INTGRATE!$Y:$Y,CBIN!$G:$G)</f>
        <v>0</v>
      </c>
      <c r="I157" s="230">
        <f>SUMIF(data!$D:$D,INTGRATE!$B157&amp;INTGRATE!$D157,data!$J:$J)</f>
        <v>5640</v>
      </c>
      <c r="J157" s="230"/>
      <c r="K157" s="230"/>
      <c r="L157" s="230">
        <f>SUMIF(data!$D:$D,INTGRATE!$B157&amp;INTGRATE!$D157,data!$K:$K)</f>
        <v>282000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4508</v>
      </c>
      <c r="P157" s="230">
        <f t="shared" si="46"/>
        <v>225400</v>
      </c>
      <c r="Q157" s="230">
        <f t="shared" si="57"/>
        <v>2115700</v>
      </c>
      <c r="R157" s="205"/>
      <c r="S157" s="205"/>
      <c r="T157" s="230">
        <f t="shared" si="56"/>
        <v>264462.5</v>
      </c>
      <c r="U157" s="872">
        <f t="shared" si="55"/>
        <v>0.85229474878290878</v>
      </c>
      <c r="V157" s="873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>
        <v>312250</v>
      </c>
      <c r="AF157" s="314">
        <v>228550</v>
      </c>
      <c r="AG157" s="314">
        <v>382900</v>
      </c>
      <c r="AH157" s="314">
        <v>406800</v>
      </c>
      <c r="AI157" s="314">
        <v>282000</v>
      </c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2115700</v>
      </c>
      <c r="BG157" s="786">
        <f t="shared" si="53"/>
        <v>7</v>
      </c>
      <c r="BH157" s="786">
        <f t="shared" si="54"/>
        <v>302242.85714285716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72">
        <f t="shared" si="55"/>
        <v>0</v>
      </c>
      <c r="V158" s="873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>
        <v>0</v>
      </c>
      <c r="AF158" s="314">
        <v>0</v>
      </c>
      <c r="AG158" s="314">
        <v>0</v>
      </c>
      <c r="AH158" s="314">
        <v>0</v>
      </c>
      <c r="AI158" s="314">
        <v>0</v>
      </c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72">
        <f t="shared" si="55"/>
        <v>0</v>
      </c>
      <c r="V159" s="873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>
        <v>0</v>
      </c>
      <c r="AF159" s="314">
        <v>0</v>
      </c>
      <c r="AG159" s="314">
        <v>0</v>
      </c>
      <c r="AH159" s="314">
        <v>0</v>
      </c>
      <c r="AI159" s="314">
        <v>0</v>
      </c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72">
        <f>IF(T160=0,0,P160/T160)</f>
        <v>0</v>
      </c>
      <c r="V160" s="873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>
        <v>0</v>
      </c>
      <c r="AF160" s="314">
        <v>0</v>
      </c>
      <c r="AG160" s="314">
        <v>0</v>
      </c>
      <c r="AH160" s="314">
        <v>0</v>
      </c>
      <c r="AI160" s="314">
        <v>0</v>
      </c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72">
        <f t="shared" si="55"/>
        <v>0</v>
      </c>
      <c r="V161" s="873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>
        <v>0</v>
      </c>
      <c r="AF161" s="314">
        <v>0</v>
      </c>
      <c r="AG161" s="314">
        <v>0</v>
      </c>
      <c r="AH161" s="314">
        <v>0</v>
      </c>
      <c r="AI161" s="314">
        <v>0</v>
      </c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72">
        <f>IF(T162=0,0,P162/T162)</f>
        <v>0</v>
      </c>
      <c r="V162" s="873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>
        <v>0</v>
      </c>
      <c r="AF162" s="314">
        <v>0</v>
      </c>
      <c r="AG162" s="314">
        <v>0</v>
      </c>
      <c r="AH162" s="314">
        <v>0</v>
      </c>
      <c r="AI162" s="314">
        <v>0</v>
      </c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72">
        <f>IF(T163=0,0,P163/T163)</f>
        <v>0</v>
      </c>
      <c r="V163" s="873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>
        <v>0</v>
      </c>
      <c r="AF163" s="314">
        <v>0</v>
      </c>
      <c r="AG163" s="314">
        <v>0</v>
      </c>
      <c r="AH163" s="314">
        <v>0</v>
      </c>
      <c r="AI163" s="314">
        <v>0</v>
      </c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45</v>
      </c>
      <c r="F164" s="100">
        <f>SUMIF(pro!$A:$A,INTGRATE!$Y:$Y,pro!$N:$N)</f>
        <v>0</v>
      </c>
      <c r="G164" s="230"/>
      <c r="H164" s="314">
        <f>SUMIF(CBIN!$A:$A,INTGRATE!$Y:$Y,CBIN!$G:$G)</f>
        <v>0</v>
      </c>
      <c r="I164" s="230">
        <f>SUMIF(data!$D:$D,INTGRATE!$B164&amp;INTGRATE!$D164,data!$J:$J)</f>
        <v>0</v>
      </c>
      <c r="J164" s="230"/>
      <c r="K164" s="230"/>
      <c r="L164" s="230">
        <f>SUMIF(data!$D:$D,INTGRATE!$B164&amp;INTGRATE!$D164,data!$K:$K)</f>
        <v>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45</v>
      </c>
      <c r="P164" s="230">
        <f t="shared" si="65"/>
        <v>2250</v>
      </c>
      <c r="Q164" s="230">
        <f t="shared" si="66"/>
        <v>593300</v>
      </c>
      <c r="R164" s="205"/>
      <c r="S164" s="205"/>
      <c r="T164" s="230">
        <f t="shared" si="56"/>
        <v>74162.5</v>
      </c>
      <c r="U164" s="872">
        <f t="shared" si="55"/>
        <v>3.0338783077700996E-2</v>
      </c>
      <c r="V164" s="873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>
        <v>0</v>
      </c>
      <c r="AF164" s="314">
        <v>0</v>
      </c>
      <c r="AG164" s="314">
        <v>0</v>
      </c>
      <c r="AH164" s="314">
        <v>0</v>
      </c>
      <c r="AI164" s="314">
        <v>0</v>
      </c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593300</v>
      </c>
      <c r="BG164" s="786">
        <f t="shared" si="53"/>
        <v>2</v>
      </c>
      <c r="BH164" s="786">
        <f t="shared" si="54"/>
        <v>296650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72">
        <f t="shared" si="55"/>
        <v>0</v>
      </c>
      <c r="V165" s="873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>
        <v>0</v>
      </c>
      <c r="AF165" s="314">
        <v>0</v>
      </c>
      <c r="AG165" s="314">
        <v>0</v>
      </c>
      <c r="AH165" s="314">
        <v>0</v>
      </c>
      <c r="AI165" s="314">
        <v>0</v>
      </c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2681</v>
      </c>
      <c r="F166" s="100">
        <f>SUMIF(pro!$A:$A,INTGRATE!$Y:$Y,pro!$N:$N)</f>
        <v>4986</v>
      </c>
      <c r="G166" s="230"/>
      <c r="H166" s="314">
        <f>SUMIF(CBIN!$A:$A,INTGRATE!$Y:$Y,CBIN!$G:$G)</f>
        <v>0</v>
      </c>
      <c r="I166" s="230">
        <f>SUMIF(data!$D:$D,INTGRATE!$B166&amp;INTGRATE!$D166,data!$J:$J)</f>
        <v>4341</v>
      </c>
      <c r="J166" s="230"/>
      <c r="K166" s="230"/>
      <c r="L166" s="230">
        <f>SUMIF(data!$D:$D,INTGRATE!$B166&amp;INTGRATE!$D166,data!$K:$K)</f>
        <v>217050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3326</v>
      </c>
      <c r="P166" s="230">
        <f t="shared" si="65"/>
        <v>166300</v>
      </c>
      <c r="Q166" s="230">
        <f t="shared" si="66"/>
        <v>964000</v>
      </c>
      <c r="R166" s="205"/>
      <c r="S166" s="205"/>
      <c r="T166" s="230">
        <f t="shared" si="56"/>
        <v>120500</v>
      </c>
      <c r="U166" s="872">
        <f t="shared" si="55"/>
        <v>1.3800829875518672</v>
      </c>
      <c r="V166" s="873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>
        <v>115950</v>
      </c>
      <c r="AF166" s="314">
        <v>128900</v>
      </c>
      <c r="AG166" s="314">
        <v>190650</v>
      </c>
      <c r="AH166" s="314">
        <v>76500</v>
      </c>
      <c r="AI166" s="314">
        <v>217050</v>
      </c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964000</v>
      </c>
      <c r="BG166" s="786">
        <f t="shared" si="53"/>
        <v>8</v>
      </c>
      <c r="BH166" s="786">
        <f t="shared" si="54"/>
        <v>120500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72">
        <f t="shared" si="55"/>
        <v>0</v>
      </c>
      <c r="V167" s="873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>
        <v>0</v>
      </c>
      <c r="AF167" s="314">
        <v>0</v>
      </c>
      <c r="AG167" s="314">
        <v>0</v>
      </c>
      <c r="AH167" s="314">
        <v>0</v>
      </c>
      <c r="AI167" s="314">
        <v>0</v>
      </c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72">
        <f t="shared" si="55"/>
        <v>0</v>
      </c>
      <c r="V168" s="873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>
        <v>0</v>
      </c>
      <c r="AF168" s="314">
        <v>0</v>
      </c>
      <c r="AG168" s="314">
        <v>0</v>
      </c>
      <c r="AH168" s="314">
        <v>0</v>
      </c>
      <c r="AI168" s="314">
        <v>0</v>
      </c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72">
        <f t="shared" si="55"/>
        <v>0</v>
      </c>
      <c r="V169" s="873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>
        <v>0</v>
      </c>
      <c r="AF169" s="314">
        <v>0</v>
      </c>
      <c r="AG169" s="314">
        <v>0</v>
      </c>
      <c r="AH169" s="314">
        <v>0</v>
      </c>
      <c r="AI169" s="314">
        <v>0</v>
      </c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72">
        <f>IF(T170=0,0,P170/T170)</f>
        <v>0</v>
      </c>
      <c r="V170" s="873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>
        <v>0</v>
      </c>
      <c r="AF170" s="314">
        <v>0</v>
      </c>
      <c r="AG170" s="314">
        <v>0</v>
      </c>
      <c r="AH170" s="314">
        <v>0</v>
      </c>
      <c r="AI170" s="314">
        <v>0</v>
      </c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72">
        <f t="shared" si="55"/>
        <v>0</v>
      </c>
      <c r="V171" s="873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>
        <v>0</v>
      </c>
      <c r="AF171" s="314">
        <v>0</v>
      </c>
      <c r="AG171" s="314">
        <v>0</v>
      </c>
      <c r="AH171" s="314">
        <v>0</v>
      </c>
      <c r="AI171" s="314">
        <v>0</v>
      </c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72">
        <f>IF(T172=0,0,P172/T172)</f>
        <v>0</v>
      </c>
      <c r="V172" s="873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>
        <v>0</v>
      </c>
      <c r="AF172" s="314">
        <v>0</v>
      </c>
      <c r="AG172" s="314">
        <v>0</v>
      </c>
      <c r="AH172" s="314">
        <v>0</v>
      </c>
      <c r="AI172" s="314">
        <v>0</v>
      </c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72">
        <f t="shared" si="55"/>
        <v>0</v>
      </c>
      <c r="V173" s="873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>
        <v>0</v>
      </c>
      <c r="AF173" s="314">
        <v>0</v>
      </c>
      <c r="AG173" s="314">
        <v>0</v>
      </c>
      <c r="AH173" s="314">
        <v>0</v>
      </c>
      <c r="AI173" s="314">
        <v>0</v>
      </c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72">
        <f t="shared" si="55"/>
        <v>0</v>
      </c>
      <c r="V174" s="873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>
        <v>0</v>
      </c>
      <c r="AF174" s="314">
        <v>0</v>
      </c>
      <c r="AG174" s="314">
        <v>0</v>
      </c>
      <c r="AH174" s="314">
        <v>0</v>
      </c>
      <c r="AI174" s="314">
        <v>0</v>
      </c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72">
        <f t="shared" ref="U175" si="71">IF(T175=0,0,P175/T175)</f>
        <v>0</v>
      </c>
      <c r="V175" s="873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>
        <v>0</v>
      </c>
      <c r="AF175" s="314">
        <v>0</v>
      </c>
      <c r="AG175" s="314">
        <v>0</v>
      </c>
      <c r="AH175" s="314">
        <v>0</v>
      </c>
      <c r="AI175" s="314">
        <v>0</v>
      </c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266</v>
      </c>
      <c r="F176" s="100">
        <f>SUMIF(pro!$A:$A,INTGRATE!$Y:$Y,pro!$N:$N)</f>
        <v>0</v>
      </c>
      <c r="G176" s="230"/>
      <c r="H176" s="314">
        <f>SUMIF(CBIN!$A:$A,INTGRATE!$Y:$Y,CBIN!$G:$G)</f>
        <v>0</v>
      </c>
      <c r="I176" s="230">
        <f>SUMIF(data!$D:$D,INTGRATE!$B176&amp;INTGRATE!$D176,data!$J:$J)</f>
        <v>170</v>
      </c>
      <c r="J176" s="230"/>
      <c r="K176" s="230"/>
      <c r="L176" s="230">
        <f>SUMIF(data!$D:$D,INTGRATE!$B176&amp;INTGRATE!$D176,data!$K:$K)</f>
        <v>8500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96</v>
      </c>
      <c r="P176" s="230">
        <f t="shared" si="65"/>
        <v>4800</v>
      </c>
      <c r="Q176" s="230">
        <f t="shared" si="66"/>
        <v>207450</v>
      </c>
      <c r="R176" s="205"/>
      <c r="S176" s="205"/>
      <c r="T176" s="230">
        <f t="shared" si="56"/>
        <v>25931.25</v>
      </c>
      <c r="U176" s="872">
        <f t="shared" si="55"/>
        <v>0.18510484454085321</v>
      </c>
      <c r="V176" s="873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>
        <v>29000</v>
      </c>
      <c r="AF176" s="314">
        <v>83400</v>
      </c>
      <c r="AG176" s="314">
        <v>70550</v>
      </c>
      <c r="AH176" s="314">
        <v>0</v>
      </c>
      <c r="AI176" s="314">
        <v>8500</v>
      </c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207450</v>
      </c>
      <c r="BG176" s="786">
        <f t="shared" si="53"/>
        <v>6</v>
      </c>
      <c r="BH176" s="786">
        <f t="shared" si="54"/>
        <v>34575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72">
        <f t="shared" si="55"/>
        <v>0</v>
      </c>
      <c r="V177" s="873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>
        <v>0</v>
      </c>
      <c r="AF177" s="314">
        <v>0</v>
      </c>
      <c r="AG177" s="314">
        <v>0</v>
      </c>
      <c r="AH177" s="314">
        <v>0</v>
      </c>
      <c r="AI177" s="314">
        <v>0</v>
      </c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72">
        <f>IF(T178=0,0,P178/T178)</f>
        <v>0</v>
      </c>
      <c r="V178" s="873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>
        <v>0</v>
      </c>
      <c r="AF178" s="314">
        <v>0</v>
      </c>
      <c r="AG178" s="314">
        <v>0</v>
      </c>
      <c r="AH178" s="314">
        <v>0</v>
      </c>
      <c r="AI178" s="314">
        <v>0</v>
      </c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72">
        <f>IF(T179=0,0,P179/T179)</f>
        <v>0</v>
      </c>
      <c r="V179" s="873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>
        <v>0</v>
      </c>
      <c r="AF179" s="314">
        <v>0</v>
      </c>
      <c r="AG179" s="314">
        <v>0</v>
      </c>
      <c r="AH179" s="314">
        <v>0</v>
      </c>
      <c r="AI179" s="314">
        <v>0</v>
      </c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46</v>
      </c>
      <c r="F180" s="100">
        <f>SUMIF(pro!$A:$A,INTGRATE!$Y:$Y,pro!$N:$N)</f>
        <v>0</v>
      </c>
      <c r="G180" s="230"/>
      <c r="H180" s="314">
        <f>SUMIF(CBIN!$A:$A,INTGRATE!$Y:$Y,CBIN!$G:$G)</f>
        <v>0</v>
      </c>
      <c r="I180" s="230">
        <f>SUMIF(data!$D:$D,INTGRATE!$B180&amp;INTGRATE!$D180,data!$J:$J)</f>
        <v>0</v>
      </c>
      <c r="J180" s="230"/>
      <c r="K180" s="230"/>
      <c r="L180" s="230">
        <f>SUMIF(data!$D:$D,INTGRATE!$B180&amp;INTGRATE!$D180,data!$K:$K)</f>
        <v>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46</v>
      </c>
      <c r="P180" s="230">
        <f>O180*D180</f>
        <v>2300</v>
      </c>
      <c r="Q180" s="230">
        <f t="shared" si="66"/>
        <v>62350</v>
      </c>
      <c r="R180" s="205"/>
      <c r="S180" s="205"/>
      <c r="T180" s="230">
        <f t="shared" si="56"/>
        <v>7793.75</v>
      </c>
      <c r="U180" s="872">
        <f>IF(T180=0,0,P180/T180)</f>
        <v>0.29510825982357658</v>
      </c>
      <c r="V180" s="873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>
        <v>0</v>
      </c>
      <c r="AF180" s="314">
        <v>2000</v>
      </c>
      <c r="AG180" s="314">
        <v>0</v>
      </c>
      <c r="AH180" s="314">
        <v>0</v>
      </c>
      <c r="AI180" s="314">
        <v>0</v>
      </c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62350</v>
      </c>
      <c r="BG180" s="786">
        <f t="shared" si="53"/>
        <v>4</v>
      </c>
      <c r="BH180" s="786">
        <f t="shared" si="54"/>
        <v>15587.5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0</v>
      </c>
      <c r="F181" s="100">
        <f>SUMIF(pro!$A:$A,INTGRATE!$Y:$Y,pro!$N:$N)</f>
        <v>0</v>
      </c>
      <c r="G181" s="230"/>
      <c r="H181" s="314">
        <f>SUMIF(CBIN!$A:$A,INTGRATE!$Y:$Y,CBIN!$G:$G)</f>
        <v>0</v>
      </c>
      <c r="I181" s="230">
        <f>SUMIF(data!$D:$D,INTGRATE!$B181&amp;INTGRATE!$D181,data!$J:$J)</f>
        <v>0</v>
      </c>
      <c r="J181" s="230"/>
      <c r="K181" s="230"/>
      <c r="L181" s="230">
        <f>SUMIF(data!$D:$D,INTGRATE!$B181&amp;INTGRATE!$D181,data!$K:$K)</f>
        <v>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0</v>
      </c>
      <c r="P181" s="230">
        <f t="shared" si="65"/>
        <v>0</v>
      </c>
      <c r="Q181" s="230">
        <f t="shared" si="66"/>
        <v>38050</v>
      </c>
      <c r="R181" s="205"/>
      <c r="S181" s="205"/>
      <c r="T181" s="230">
        <f t="shared" si="56"/>
        <v>4756.25</v>
      </c>
      <c r="U181" s="872">
        <f t="shared" si="55"/>
        <v>0</v>
      </c>
      <c r="V181" s="873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>
        <v>0</v>
      </c>
      <c r="AF181" s="314">
        <v>10000</v>
      </c>
      <c r="AG181" s="314">
        <v>21450</v>
      </c>
      <c r="AH181" s="314">
        <v>0</v>
      </c>
      <c r="AI181" s="314">
        <v>0</v>
      </c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38050</v>
      </c>
      <c r="BG181" s="786">
        <f t="shared" si="53"/>
        <v>4</v>
      </c>
      <c r="BH181" s="786">
        <f t="shared" si="54"/>
        <v>9512.5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72">
        <f>IF(T182=0,0,P182/T182)</f>
        <v>0</v>
      </c>
      <c r="V182" s="873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>
        <v>0</v>
      </c>
      <c r="AF182" s="314">
        <v>0</v>
      </c>
      <c r="AG182" s="314">
        <v>0</v>
      </c>
      <c r="AH182" s="314">
        <v>0</v>
      </c>
      <c r="AI182" s="314">
        <v>0</v>
      </c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150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0</v>
      </c>
      <c r="J183" s="230"/>
      <c r="K183" s="230"/>
      <c r="L183" s="230">
        <f>SUMIF(data!$D:$D,INTGRATE!$B183&amp;INTGRATE!$D183,data!$K:$K)</f>
        <v>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150</v>
      </c>
      <c r="P183" s="230">
        <f t="shared" si="65"/>
        <v>7500</v>
      </c>
      <c r="Q183" s="230">
        <f t="shared" si="66"/>
        <v>16100</v>
      </c>
      <c r="R183" s="205"/>
      <c r="S183" s="205"/>
      <c r="T183" s="230">
        <f t="shared" si="56"/>
        <v>2012.5</v>
      </c>
      <c r="U183" s="872">
        <f t="shared" si="55"/>
        <v>3.7267080745341614</v>
      </c>
      <c r="V183" s="873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>
        <v>0</v>
      </c>
      <c r="AF183" s="314">
        <v>0</v>
      </c>
      <c r="AG183" s="314">
        <v>0</v>
      </c>
      <c r="AH183" s="314">
        <v>0</v>
      </c>
      <c r="AI183" s="314">
        <v>0</v>
      </c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16100</v>
      </c>
      <c r="BG183" s="786">
        <f t="shared" si="53"/>
        <v>2</v>
      </c>
      <c r="BH183" s="786">
        <f t="shared" si="54"/>
        <v>8050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72">
        <f t="shared" si="55"/>
        <v>0</v>
      </c>
      <c r="V184" s="873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>
        <v>0</v>
      </c>
      <c r="AF184" s="314">
        <v>0</v>
      </c>
      <c r="AG184" s="314">
        <v>0</v>
      </c>
      <c r="AH184" s="314">
        <v>0</v>
      </c>
      <c r="AI184" s="314">
        <v>0</v>
      </c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72">
        <f>IF(T185=0,0,P185/T185)</f>
        <v>0</v>
      </c>
      <c r="V185" s="873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>
        <v>0</v>
      </c>
      <c r="AF185" s="314">
        <v>0</v>
      </c>
      <c r="AG185" s="314">
        <v>0</v>
      </c>
      <c r="AH185" s="314">
        <v>0</v>
      </c>
      <c r="AI185" s="314">
        <v>0</v>
      </c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72">
        <f t="shared" ref="U186:U193" si="78">IF(T186=0,0,P186/T186)</f>
        <v>0</v>
      </c>
      <c r="V186" s="873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>
        <v>0</v>
      </c>
      <c r="AF186" s="314">
        <v>0</v>
      </c>
      <c r="AG186" s="314">
        <v>0</v>
      </c>
      <c r="AH186" s="314">
        <v>0</v>
      </c>
      <c r="AI186" s="314">
        <v>0</v>
      </c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102</v>
      </c>
      <c r="F187" s="100">
        <f>SUMIF(pro!$A:$A,INTGRATE!$Y:$Y,pro!$N:$N)</f>
        <v>446</v>
      </c>
      <c r="G187" s="230"/>
      <c r="H187" s="314">
        <f>SUMIF(CBIN!$A:$A,INTGRATE!$Y:$Y,CBIN!$G:$G)</f>
        <v>0</v>
      </c>
      <c r="I187" s="230">
        <f>SUMIF(data!$D:$D,INTGRATE!$B187&amp;INTGRATE!$D187,data!$J:$J)</f>
        <v>0</v>
      </c>
      <c r="J187" s="230"/>
      <c r="K187" s="230"/>
      <c r="L187" s="230">
        <f>SUMIF(data!$D:$D,INTGRATE!$B187&amp;INTGRATE!$D187,data!$K:$K)</f>
        <v>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548</v>
      </c>
      <c r="P187" s="230">
        <f t="shared" si="65"/>
        <v>27400</v>
      </c>
      <c r="Q187" s="230">
        <f t="shared" si="74"/>
        <v>110950</v>
      </c>
      <c r="R187" s="205"/>
      <c r="S187" s="205"/>
      <c r="T187" s="230">
        <f t="shared" si="75"/>
        <v>13868.75</v>
      </c>
      <c r="U187" s="872">
        <f t="shared" si="78"/>
        <v>1.9756647138350609</v>
      </c>
      <c r="V187" s="873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>
        <v>0</v>
      </c>
      <c r="AF187" s="314">
        <v>36350</v>
      </c>
      <c r="AG187" s="314">
        <v>18700</v>
      </c>
      <c r="AH187" s="314">
        <v>15500</v>
      </c>
      <c r="AI187" s="314">
        <v>0</v>
      </c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110950</v>
      </c>
      <c r="BG187" s="786">
        <f t="shared" si="76"/>
        <v>5</v>
      </c>
      <c r="BH187" s="786">
        <f t="shared" si="77"/>
        <v>22190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2295</v>
      </c>
      <c r="F188" s="100">
        <f>SUMIF(pro!$A:$A,INTGRATE!$Y:$Y,pro!$N:$N)</f>
        <v>0</v>
      </c>
      <c r="G188" s="230"/>
      <c r="H188" s="314">
        <f>SUMIF(CBIN!$A:$A,INTGRATE!$Y:$Y,CBIN!$G:$G)</f>
        <v>0</v>
      </c>
      <c r="I188" s="230">
        <f>SUMIF(data!$D:$D,INTGRATE!$B188&amp;INTGRATE!$D188,data!$J:$J)</f>
        <v>336</v>
      </c>
      <c r="J188" s="230"/>
      <c r="K188" s="230"/>
      <c r="L188" s="230">
        <f>SUMIF(data!$D:$D,INTGRATE!$B188&amp;INTGRATE!$D188,data!$K:$K)</f>
        <v>16800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1959</v>
      </c>
      <c r="P188" s="230">
        <f>O188*D188</f>
        <v>97950</v>
      </c>
      <c r="Q188" s="230">
        <f t="shared" si="74"/>
        <v>58450</v>
      </c>
      <c r="R188" s="205"/>
      <c r="S188" s="205"/>
      <c r="T188" s="230">
        <f t="shared" si="75"/>
        <v>7306.25</v>
      </c>
      <c r="U188" s="872">
        <f>IF(T188=0,0,P188/T188)</f>
        <v>13.406330196749359</v>
      </c>
      <c r="V188" s="873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>
        <v>5000</v>
      </c>
      <c r="AF188" s="314">
        <v>0</v>
      </c>
      <c r="AG188" s="314">
        <v>0</v>
      </c>
      <c r="AH188" s="314">
        <v>0</v>
      </c>
      <c r="AI188" s="314">
        <v>16800</v>
      </c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58450</v>
      </c>
      <c r="BG188" s="786">
        <f t="shared" si="76"/>
        <v>5</v>
      </c>
      <c r="BH188" s="786">
        <f t="shared" si="77"/>
        <v>11690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121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121</v>
      </c>
      <c r="P189" s="230">
        <f>O189*D189</f>
        <v>6050</v>
      </c>
      <c r="Q189" s="230">
        <f>SUM(AA189:BE189)</f>
        <v>6350</v>
      </c>
      <c r="R189" s="205"/>
      <c r="S189" s="205"/>
      <c r="T189" s="230">
        <f t="shared" si="75"/>
        <v>793.75</v>
      </c>
      <c r="U189" s="872">
        <f>IF(T189=0,0,P189/T189)</f>
        <v>7.622047244094488</v>
      </c>
      <c r="V189" s="873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>
        <v>0</v>
      </c>
      <c r="AF189" s="314">
        <v>0</v>
      </c>
      <c r="AG189" s="314">
        <v>0</v>
      </c>
      <c r="AH189" s="314">
        <v>0</v>
      </c>
      <c r="AI189" s="314">
        <v>0</v>
      </c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72">
        <f t="shared" si="78"/>
        <v>0</v>
      </c>
      <c r="V190" s="873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>
        <v>0</v>
      </c>
      <c r="AF190" s="314">
        <v>0</v>
      </c>
      <c r="AG190" s="314">
        <v>0</v>
      </c>
      <c r="AH190" s="314">
        <v>0</v>
      </c>
      <c r="AI190" s="314">
        <v>0</v>
      </c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72">
        <f t="shared" si="78"/>
        <v>0</v>
      </c>
      <c r="V191" s="873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>
        <v>0</v>
      </c>
      <c r="AF191" s="314">
        <v>0</v>
      </c>
      <c r="AG191" s="314">
        <v>0</v>
      </c>
      <c r="AH191" s="314">
        <v>0</v>
      </c>
      <c r="AI191" s="314">
        <v>0</v>
      </c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72">
        <f t="shared" si="78"/>
        <v>0</v>
      </c>
      <c r="V192" s="873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>
        <v>0</v>
      </c>
      <c r="AF192" s="314">
        <v>0</v>
      </c>
      <c r="AG192" s="314">
        <v>0</v>
      </c>
      <c r="AH192" s="314">
        <v>0</v>
      </c>
      <c r="AI192" s="314">
        <v>0</v>
      </c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72">
        <f t="shared" si="78"/>
        <v>0</v>
      </c>
      <c r="V193" s="873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>
        <v>0</v>
      </c>
      <c r="AF193" s="314">
        <v>0</v>
      </c>
      <c r="AG193" s="314">
        <v>0</v>
      </c>
      <c r="AH193" s="314">
        <v>0</v>
      </c>
      <c r="AI193" s="314">
        <v>0</v>
      </c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72">
        <f>IF(T194=0,0,P194/T194)</f>
        <v>0</v>
      </c>
      <c r="V194" s="873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>
        <v>0</v>
      </c>
      <c r="AF194" s="314">
        <v>0</v>
      </c>
      <c r="AG194" s="314">
        <v>0</v>
      </c>
      <c r="AH194" s="314">
        <v>0</v>
      </c>
      <c r="AI194" s="314">
        <v>0</v>
      </c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72">
        <f t="shared" si="55"/>
        <v>0</v>
      </c>
      <c r="V195" s="873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>
        <v>0</v>
      </c>
      <c r="AF195" s="314">
        <v>0</v>
      </c>
      <c r="AG195" s="314">
        <v>0</v>
      </c>
      <c r="AH195" s="314">
        <v>0</v>
      </c>
      <c r="AI195" s="314">
        <v>0</v>
      </c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72">
        <f t="shared" si="55"/>
        <v>0</v>
      </c>
      <c r="V196" s="873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>
        <v>0</v>
      </c>
      <c r="AF196" s="314">
        <v>0</v>
      </c>
      <c r="AG196" s="314">
        <v>0</v>
      </c>
      <c r="AH196" s="314">
        <v>0</v>
      </c>
      <c r="AI196" s="314">
        <v>0</v>
      </c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72">
        <f t="shared" ref="U197:U260" si="80">IF(T197=0,0,P197/T197)</f>
        <v>0</v>
      </c>
      <c r="V197" s="873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>
        <v>0</v>
      </c>
      <c r="AF197" s="314">
        <v>0</v>
      </c>
      <c r="AG197" s="314">
        <v>0</v>
      </c>
      <c r="AH197" s="314">
        <v>0</v>
      </c>
      <c r="AI197" s="314">
        <v>0</v>
      </c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72">
        <f t="shared" si="80"/>
        <v>0</v>
      </c>
      <c r="V198" s="873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>
        <v>0</v>
      </c>
      <c r="AF198" s="314">
        <v>0</v>
      </c>
      <c r="AG198" s="314">
        <v>0</v>
      </c>
      <c r="AH198" s="314">
        <v>0</v>
      </c>
      <c r="AI198" s="314">
        <v>0</v>
      </c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72">
        <f t="shared" si="80"/>
        <v>0</v>
      </c>
      <c r="V199" s="873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>
        <v>0</v>
      </c>
      <c r="AF199" s="314">
        <v>0</v>
      </c>
      <c r="AG199" s="314">
        <v>0</v>
      </c>
      <c r="AH199" s="314">
        <v>0</v>
      </c>
      <c r="AI199" s="314">
        <v>0</v>
      </c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8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72">
        <f t="shared" si="80"/>
        <v>0</v>
      </c>
      <c r="V200" s="873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>
        <v>0</v>
      </c>
      <c r="AF200" s="314">
        <v>0</v>
      </c>
      <c r="AG200" s="314">
        <v>0</v>
      </c>
      <c r="AH200" s="314">
        <v>0</v>
      </c>
      <c r="AI200" s="314">
        <v>0</v>
      </c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8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72">
        <f t="shared" si="80"/>
        <v>0</v>
      </c>
      <c r="V201" s="873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>
        <v>0</v>
      </c>
      <c r="AF201" s="314">
        <v>0</v>
      </c>
      <c r="AG201" s="314">
        <v>0</v>
      </c>
      <c r="AH201" s="314">
        <v>0</v>
      </c>
      <c r="AI201" s="314">
        <v>0</v>
      </c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8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1815</v>
      </c>
      <c r="U202" s="872">
        <f t="shared" si="80"/>
        <v>0</v>
      </c>
      <c r="V202" s="873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>
        <v>0</v>
      </c>
      <c r="AF202" s="314">
        <v>0</v>
      </c>
      <c r="AG202" s="314">
        <v>0</v>
      </c>
      <c r="AH202" s="314">
        <v>0</v>
      </c>
      <c r="AI202" s="314">
        <v>0</v>
      </c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8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2646.25</v>
      </c>
      <c r="U203" s="872">
        <f t="shared" si="80"/>
        <v>0</v>
      </c>
      <c r="V203" s="873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>
        <v>0</v>
      </c>
      <c r="AF203" s="314">
        <v>0</v>
      </c>
      <c r="AG203" s="314">
        <v>0</v>
      </c>
      <c r="AH203" s="314">
        <v>0</v>
      </c>
      <c r="AI203" s="314">
        <v>0</v>
      </c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72">
        <f t="shared" si="80"/>
        <v>0</v>
      </c>
      <c r="V204" s="873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>
        <v>0</v>
      </c>
      <c r="AF204" s="314">
        <v>0</v>
      </c>
      <c r="AG204" s="314">
        <v>0</v>
      </c>
      <c r="AH204" s="314">
        <v>0</v>
      </c>
      <c r="AI204" s="314">
        <v>0</v>
      </c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72">
        <f t="shared" si="80"/>
        <v>0</v>
      </c>
      <c r="V205" s="873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>
        <v>0</v>
      </c>
      <c r="AF205" s="314">
        <v>0</v>
      </c>
      <c r="AG205" s="314">
        <v>0</v>
      </c>
      <c r="AH205" s="314">
        <v>0</v>
      </c>
      <c r="AI205" s="314">
        <v>0</v>
      </c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72">
        <f t="shared" si="80"/>
        <v>0</v>
      </c>
      <c r="V206" s="873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>
        <v>0</v>
      </c>
      <c r="AF206" s="314">
        <v>0</v>
      </c>
      <c r="AG206" s="314">
        <v>0</v>
      </c>
      <c r="AH206" s="314">
        <v>0</v>
      </c>
      <c r="AI206" s="314">
        <v>0</v>
      </c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8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72">
        <f t="shared" si="80"/>
        <v>0</v>
      </c>
      <c r="V207" s="873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>
        <v>0</v>
      </c>
      <c r="AF207" s="314">
        <v>0</v>
      </c>
      <c r="AG207" s="314">
        <v>0</v>
      </c>
      <c r="AH207" s="314">
        <v>0</v>
      </c>
      <c r="AI207" s="314">
        <v>0</v>
      </c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8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72">
        <f t="shared" si="80"/>
        <v>0</v>
      </c>
      <c r="V208" s="873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>
        <v>0</v>
      </c>
      <c r="AF208" s="314">
        <v>0</v>
      </c>
      <c r="AG208" s="314">
        <v>0</v>
      </c>
      <c r="AH208" s="314">
        <v>0</v>
      </c>
      <c r="AI208" s="314">
        <v>0</v>
      </c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8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72">
        <f t="shared" si="80"/>
        <v>0</v>
      </c>
      <c r="V209" s="873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>
        <v>0</v>
      </c>
      <c r="AF209" s="314">
        <v>0</v>
      </c>
      <c r="AG209" s="314">
        <v>0</v>
      </c>
      <c r="AH209" s="314">
        <v>0</v>
      </c>
      <c r="AI209" s="314">
        <v>0</v>
      </c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8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72">
        <f t="shared" si="80"/>
        <v>0</v>
      </c>
      <c r="V210" s="873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>
        <v>0</v>
      </c>
      <c r="AF210" s="314">
        <v>0</v>
      </c>
      <c r="AG210" s="314">
        <v>0</v>
      </c>
      <c r="AH210" s="314">
        <v>0</v>
      </c>
      <c r="AI210" s="314">
        <v>0</v>
      </c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29620</v>
      </c>
      <c r="G211" s="1188"/>
      <c r="H211" s="314"/>
      <c r="I211" s="230"/>
      <c r="J211" s="230"/>
      <c r="K211" s="230"/>
      <c r="L211" s="230">
        <f>SUMIF(data!$D:$D,INTGRATE!$B211&amp;INTGRATE!$D211,data!$K:$K)</f>
        <v>29620</v>
      </c>
      <c r="M211" s="314"/>
      <c r="N211" s="100"/>
      <c r="O211" s="482"/>
      <c r="P211" s="230"/>
      <c r="Q211" s="350">
        <f t="shared" si="74"/>
        <v>29620</v>
      </c>
      <c r="R211" s="205"/>
      <c r="S211" s="205"/>
      <c r="T211" s="345">
        <f t="shared" si="75"/>
        <v>3702.5</v>
      </c>
      <c r="U211" s="872">
        <f t="shared" si="80"/>
        <v>0</v>
      </c>
      <c r="V211" s="873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>
        <v>0</v>
      </c>
      <c r="AF211" s="314">
        <v>0</v>
      </c>
      <c r="AG211" s="314">
        <v>0</v>
      </c>
      <c r="AH211" s="314">
        <v>0</v>
      </c>
      <c r="AI211" s="314">
        <v>29620</v>
      </c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29620</v>
      </c>
      <c r="BG211" s="786">
        <f t="shared" si="76"/>
        <v>1</v>
      </c>
      <c r="BH211" s="786">
        <f t="shared" si="77"/>
        <v>29620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0</v>
      </c>
      <c r="G212" s="1188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25200</v>
      </c>
      <c r="R212" s="205"/>
      <c r="S212" s="205"/>
      <c r="T212" s="345">
        <f t="shared" si="75"/>
        <v>3150</v>
      </c>
      <c r="U212" s="872">
        <f t="shared" si="80"/>
        <v>0</v>
      </c>
      <c r="V212" s="873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>
        <v>0</v>
      </c>
      <c r="AF212" s="314">
        <v>15220</v>
      </c>
      <c r="AG212" s="314">
        <v>0</v>
      </c>
      <c r="AH212" s="314">
        <v>0</v>
      </c>
      <c r="AI212" s="314">
        <v>0</v>
      </c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25200</v>
      </c>
      <c r="BG212" s="786">
        <f t="shared" si="76"/>
        <v>3</v>
      </c>
      <c r="BH212" s="786">
        <f t="shared" si="77"/>
        <v>8400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8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72">
        <f t="shared" si="80"/>
        <v>0</v>
      </c>
      <c r="V213" s="873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>
        <v>0</v>
      </c>
      <c r="AF213" s="314">
        <v>0</v>
      </c>
      <c r="AG213" s="314">
        <v>0</v>
      </c>
      <c r="AH213" s="314">
        <v>0</v>
      </c>
      <c r="AI213" s="314">
        <v>0</v>
      </c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8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72">
        <f t="shared" si="80"/>
        <v>0</v>
      </c>
      <c r="V214" s="873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>
        <v>0</v>
      </c>
      <c r="AF214" s="314">
        <v>0</v>
      </c>
      <c r="AG214" s="314">
        <v>0</v>
      </c>
      <c r="AH214" s="314">
        <v>0</v>
      </c>
      <c r="AI214" s="314">
        <v>0</v>
      </c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8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72">
        <f t="shared" si="80"/>
        <v>0</v>
      </c>
      <c r="V215" s="873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>
        <v>0</v>
      </c>
      <c r="AF215" s="314">
        <v>0</v>
      </c>
      <c r="AG215" s="314">
        <v>0</v>
      </c>
      <c r="AH215" s="314">
        <v>0</v>
      </c>
      <c r="AI215" s="314">
        <v>0</v>
      </c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0</v>
      </c>
      <c r="G216" s="1188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28960</v>
      </c>
      <c r="R216" s="205"/>
      <c r="S216" s="205"/>
      <c r="T216" s="345">
        <f t="shared" ref="T216:T247" si="83">Q216/$N$293</f>
        <v>3620</v>
      </c>
      <c r="U216" s="872">
        <f t="shared" si="80"/>
        <v>0</v>
      </c>
      <c r="V216" s="873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>
        <v>14500</v>
      </c>
      <c r="AF216" s="314">
        <v>0</v>
      </c>
      <c r="AG216" s="314">
        <v>14460</v>
      </c>
      <c r="AH216" s="314">
        <v>0</v>
      </c>
      <c r="AI216" s="314">
        <v>0</v>
      </c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28960</v>
      </c>
      <c r="BG216" s="786">
        <f t="shared" si="76"/>
        <v>2</v>
      </c>
      <c r="BH216" s="786">
        <f t="shared" si="77"/>
        <v>14480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161170</v>
      </c>
      <c r="G217" s="1188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161170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1204950</v>
      </c>
      <c r="R217" s="205"/>
      <c r="S217" s="205"/>
      <c r="T217" s="345">
        <f t="shared" si="83"/>
        <v>150618.75</v>
      </c>
      <c r="U217" s="872">
        <f t="shared" si="80"/>
        <v>0</v>
      </c>
      <c r="V217" s="873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>
        <v>133950</v>
      </c>
      <c r="AF217" s="314">
        <v>204320</v>
      </c>
      <c r="AG217" s="314">
        <v>195060</v>
      </c>
      <c r="AH217" s="314">
        <v>250190</v>
      </c>
      <c r="AI217" s="314">
        <v>161170</v>
      </c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1204950</v>
      </c>
      <c r="BG217" s="786">
        <f t="shared" si="76"/>
        <v>7</v>
      </c>
      <c r="BH217" s="786">
        <f t="shared" si="77"/>
        <v>172135.71428571429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8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72">
        <f t="shared" si="80"/>
        <v>0</v>
      </c>
      <c r="V218" s="873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>
        <v>0</v>
      </c>
      <c r="AF218" s="314">
        <v>0</v>
      </c>
      <c r="AG218" s="314">
        <v>0</v>
      </c>
      <c r="AH218" s="314">
        <v>0</v>
      </c>
      <c r="AI218" s="314">
        <v>0</v>
      </c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8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72">
        <f t="shared" si="80"/>
        <v>0</v>
      </c>
      <c r="V219" s="873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>
        <v>0</v>
      </c>
      <c r="AF219" s="314">
        <v>0</v>
      </c>
      <c r="AG219" s="314">
        <v>0</v>
      </c>
      <c r="AH219" s="314">
        <v>0</v>
      </c>
      <c r="AI219" s="314">
        <v>0</v>
      </c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8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72">
        <f t="shared" si="80"/>
        <v>0</v>
      </c>
      <c r="V220" s="873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>
        <v>0</v>
      </c>
      <c r="AF220" s="314">
        <v>0</v>
      </c>
      <c r="AG220" s="314">
        <v>0</v>
      </c>
      <c r="AH220" s="314">
        <v>0</v>
      </c>
      <c r="AI220" s="314">
        <v>0</v>
      </c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8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72">
        <f>IF(T221=0,0,P221/T221)</f>
        <v>0</v>
      </c>
      <c r="V221" s="873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>
        <v>0</v>
      </c>
      <c r="AF221" s="314">
        <v>0</v>
      </c>
      <c r="AG221" s="314">
        <v>0</v>
      </c>
      <c r="AH221" s="314">
        <v>0</v>
      </c>
      <c r="AI221" s="314">
        <v>0</v>
      </c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0</v>
      </c>
      <c r="G222" s="1188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408740</v>
      </c>
      <c r="R222" s="205"/>
      <c r="S222" s="205"/>
      <c r="T222" s="345">
        <f t="shared" si="83"/>
        <v>51092.5</v>
      </c>
      <c r="U222" s="872">
        <f t="shared" si="80"/>
        <v>0</v>
      </c>
      <c r="V222" s="873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>
        <v>0</v>
      </c>
      <c r="AF222" s="314">
        <v>0</v>
      </c>
      <c r="AG222" s="314">
        <v>0</v>
      </c>
      <c r="AH222" s="314">
        <v>0</v>
      </c>
      <c r="AI222" s="314">
        <v>0</v>
      </c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408740</v>
      </c>
      <c r="BG222" s="786">
        <f t="shared" si="76"/>
        <v>2</v>
      </c>
      <c r="BH222" s="786">
        <f t="shared" si="77"/>
        <v>204370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90090</v>
      </c>
      <c r="G223" s="1188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90090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567400</v>
      </c>
      <c r="R223" s="205"/>
      <c r="S223" s="205"/>
      <c r="T223" s="345">
        <f t="shared" si="83"/>
        <v>70925</v>
      </c>
      <c r="U223" s="872">
        <f t="shared" si="80"/>
        <v>0</v>
      </c>
      <c r="V223" s="873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>
        <v>71560</v>
      </c>
      <c r="AF223" s="314">
        <v>85060</v>
      </c>
      <c r="AG223" s="314">
        <v>121430</v>
      </c>
      <c r="AH223" s="314">
        <v>102660</v>
      </c>
      <c r="AI223" s="314">
        <v>90090</v>
      </c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567400</v>
      </c>
      <c r="BG223" s="786">
        <f t="shared" si="76"/>
        <v>7</v>
      </c>
      <c r="BH223" s="786">
        <f t="shared" si="77"/>
        <v>81057.142857142855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8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72">
        <f t="shared" si="80"/>
        <v>0</v>
      </c>
      <c r="V224" s="873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>
        <v>0</v>
      </c>
      <c r="AF224" s="314">
        <v>0</v>
      </c>
      <c r="AG224" s="314">
        <v>0</v>
      </c>
      <c r="AH224" s="314">
        <v>0</v>
      </c>
      <c r="AI224" s="314">
        <v>0</v>
      </c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8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72">
        <f t="shared" si="80"/>
        <v>0</v>
      </c>
      <c r="V225" s="873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>
        <v>0</v>
      </c>
      <c r="AF225" s="314">
        <v>0</v>
      </c>
      <c r="AG225" s="314">
        <v>0</v>
      </c>
      <c r="AH225" s="314">
        <v>0</v>
      </c>
      <c r="AI225" s="314">
        <v>0</v>
      </c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8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72">
        <f t="shared" si="80"/>
        <v>0</v>
      </c>
      <c r="V226" s="873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>
        <v>0</v>
      </c>
      <c r="AF226" s="314">
        <v>0</v>
      </c>
      <c r="AG226" s="314">
        <v>0</v>
      </c>
      <c r="AH226" s="314">
        <v>0</v>
      </c>
      <c r="AI226" s="314">
        <v>0</v>
      </c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8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72">
        <f t="shared" si="80"/>
        <v>0</v>
      </c>
      <c r="V227" s="873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>
        <v>0</v>
      </c>
      <c r="AF227" s="314">
        <v>0</v>
      </c>
      <c r="AG227" s="314">
        <v>0</v>
      </c>
      <c r="AH227" s="314">
        <v>0</v>
      </c>
      <c r="AI227" s="314">
        <v>0</v>
      </c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8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72">
        <f t="shared" si="80"/>
        <v>0</v>
      </c>
      <c r="V228" s="873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>
        <v>0</v>
      </c>
      <c r="AF228" s="314">
        <v>0</v>
      </c>
      <c r="AG228" s="314">
        <v>0</v>
      </c>
      <c r="AH228" s="314">
        <v>0</v>
      </c>
      <c r="AI228" s="314">
        <v>0</v>
      </c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8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72">
        <f t="shared" si="80"/>
        <v>0</v>
      </c>
      <c r="V229" s="873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>
        <v>0</v>
      </c>
      <c r="AF229" s="314">
        <v>0</v>
      </c>
      <c r="AG229" s="314">
        <v>0</v>
      </c>
      <c r="AH229" s="314">
        <v>0</v>
      </c>
      <c r="AI229" s="314">
        <v>0</v>
      </c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8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72">
        <f t="shared" si="80"/>
        <v>0</v>
      </c>
      <c r="V230" s="873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>
        <v>0</v>
      </c>
      <c r="AF230" s="314">
        <v>0</v>
      </c>
      <c r="AG230" s="314">
        <v>0</v>
      </c>
      <c r="AH230" s="314">
        <v>0</v>
      </c>
      <c r="AI230" s="314">
        <v>0</v>
      </c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8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72">
        <f t="shared" si="80"/>
        <v>0</v>
      </c>
      <c r="V231" s="873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>
        <v>0</v>
      </c>
      <c r="AF231" s="314">
        <v>0</v>
      </c>
      <c r="AG231" s="314">
        <v>0</v>
      </c>
      <c r="AH231" s="314">
        <v>0</v>
      </c>
      <c r="AI231" s="314">
        <v>0</v>
      </c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8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72">
        <f>IF(T232=0,0,P232/T232)</f>
        <v>0</v>
      </c>
      <c r="V232" s="873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>
        <v>0</v>
      </c>
      <c r="AF232" s="314">
        <v>0</v>
      </c>
      <c r="AG232" s="314">
        <v>0</v>
      </c>
      <c r="AH232" s="314">
        <v>0</v>
      </c>
      <c r="AI232" s="314">
        <v>0</v>
      </c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0</v>
      </c>
      <c r="G233" s="1188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239870</v>
      </c>
      <c r="R233" s="205"/>
      <c r="S233" s="205"/>
      <c r="T233" s="345">
        <f t="shared" si="83"/>
        <v>29983.75</v>
      </c>
      <c r="U233" s="872">
        <f t="shared" si="80"/>
        <v>0</v>
      </c>
      <c r="V233" s="873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>
        <v>0</v>
      </c>
      <c r="AF233" s="314">
        <v>0</v>
      </c>
      <c r="AG233" s="314">
        <v>0</v>
      </c>
      <c r="AH233" s="314">
        <v>0</v>
      </c>
      <c r="AI233" s="314">
        <v>0</v>
      </c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239870</v>
      </c>
      <c r="BG233" s="786">
        <f t="shared" si="76"/>
        <v>2</v>
      </c>
      <c r="BH233" s="786">
        <f t="shared" si="77"/>
        <v>119935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8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72">
        <f t="shared" si="80"/>
        <v>0</v>
      </c>
      <c r="V234" s="873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>
        <v>0</v>
      </c>
      <c r="AF234" s="314">
        <v>0</v>
      </c>
      <c r="AG234" s="314">
        <v>0</v>
      </c>
      <c r="AH234" s="314">
        <v>0</v>
      </c>
      <c r="AI234" s="314">
        <v>0</v>
      </c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8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72">
        <f t="shared" si="80"/>
        <v>0</v>
      </c>
      <c r="V235" s="873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>
        <v>0</v>
      </c>
      <c r="AF235" s="314">
        <v>0</v>
      </c>
      <c r="AG235" s="314">
        <v>0</v>
      </c>
      <c r="AH235" s="314">
        <v>0</v>
      </c>
      <c r="AI235" s="314">
        <v>0</v>
      </c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0</v>
      </c>
      <c r="G236" s="1188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54010</v>
      </c>
      <c r="R236" s="205"/>
      <c r="S236" s="205"/>
      <c r="T236" s="345">
        <f t="shared" si="83"/>
        <v>6751.25</v>
      </c>
      <c r="U236" s="872">
        <f t="shared" si="80"/>
        <v>0</v>
      </c>
      <c r="V236" s="873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>
        <v>0</v>
      </c>
      <c r="AF236" s="314">
        <v>0</v>
      </c>
      <c r="AG236" s="314">
        <v>23800</v>
      </c>
      <c r="AH236" s="314">
        <v>0</v>
      </c>
      <c r="AI236" s="314">
        <v>0</v>
      </c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54010</v>
      </c>
      <c r="BG236" s="786">
        <f t="shared" si="76"/>
        <v>4</v>
      </c>
      <c r="BH236" s="786">
        <f t="shared" si="77"/>
        <v>13502.5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8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72">
        <f t="shared" si="80"/>
        <v>0</v>
      </c>
      <c r="V237" s="873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>
        <v>0</v>
      </c>
      <c r="AF237" s="314">
        <v>0</v>
      </c>
      <c r="AG237" s="314">
        <v>0</v>
      </c>
      <c r="AH237" s="314">
        <v>0</v>
      </c>
      <c r="AI237" s="314">
        <v>0</v>
      </c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8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72">
        <f t="shared" si="80"/>
        <v>0</v>
      </c>
      <c r="V238" s="873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>
        <v>0</v>
      </c>
      <c r="AF238" s="314">
        <v>0</v>
      </c>
      <c r="AG238" s="314">
        <v>0</v>
      </c>
      <c r="AH238" s="314">
        <v>0</v>
      </c>
      <c r="AI238" s="314">
        <v>0</v>
      </c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8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72">
        <f t="shared" si="80"/>
        <v>0</v>
      </c>
      <c r="V239" s="873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>
        <v>0</v>
      </c>
      <c r="AF239" s="314">
        <v>0</v>
      </c>
      <c r="AG239" s="314">
        <v>0</v>
      </c>
      <c r="AH239" s="314">
        <v>0</v>
      </c>
      <c r="AI239" s="314">
        <v>0</v>
      </c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8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72">
        <f t="shared" si="80"/>
        <v>0</v>
      </c>
      <c r="V240" s="873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>
        <v>0</v>
      </c>
      <c r="AF240" s="314">
        <v>0</v>
      </c>
      <c r="AG240" s="314">
        <v>0</v>
      </c>
      <c r="AH240" s="314">
        <v>0</v>
      </c>
      <c r="AI240" s="314">
        <v>0</v>
      </c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8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72">
        <f t="shared" si="80"/>
        <v>0</v>
      </c>
      <c r="V241" s="873"/>
      <c r="W241" s="1189"/>
      <c r="X241" s="1189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>
        <v>0</v>
      </c>
      <c r="AF241" s="314">
        <v>0</v>
      </c>
      <c r="AG241" s="314">
        <v>0</v>
      </c>
      <c r="AH241" s="314">
        <v>0</v>
      </c>
      <c r="AI241" s="314">
        <v>0</v>
      </c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8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72">
        <f t="shared" si="80"/>
        <v>0</v>
      </c>
      <c r="V242" s="873"/>
      <c r="W242" s="1189"/>
      <c r="X242" s="1189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>
        <v>0</v>
      </c>
      <c r="AF242" s="314">
        <v>0</v>
      </c>
      <c r="AG242" s="314">
        <v>0</v>
      </c>
      <c r="AH242" s="314">
        <v>0</v>
      </c>
      <c r="AI242" s="314">
        <v>0</v>
      </c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8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72">
        <f t="shared" si="80"/>
        <v>0</v>
      </c>
      <c r="V243" s="873"/>
      <c r="W243" s="1189"/>
      <c r="X243" s="1189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>
        <v>0</v>
      </c>
      <c r="AF243" s="314">
        <v>0</v>
      </c>
      <c r="AG243" s="314">
        <v>0</v>
      </c>
      <c r="AH243" s="314">
        <v>0</v>
      </c>
      <c r="AI243" s="314">
        <v>0</v>
      </c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14740</v>
      </c>
      <c r="G244" s="1188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14740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389040</v>
      </c>
      <c r="R244" s="205"/>
      <c r="S244" s="205"/>
      <c r="T244" s="345">
        <f t="shared" si="83"/>
        <v>48630</v>
      </c>
      <c r="U244" s="872">
        <f t="shared" si="80"/>
        <v>0</v>
      </c>
      <c r="V244" s="873"/>
      <c r="W244" s="1189"/>
      <c r="X244" s="1189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>
        <v>85770</v>
      </c>
      <c r="AF244" s="314">
        <v>85810</v>
      </c>
      <c r="AG244" s="314">
        <v>43240</v>
      </c>
      <c r="AH244" s="314">
        <v>46080</v>
      </c>
      <c r="AI244" s="314">
        <v>14740</v>
      </c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389040</v>
      </c>
      <c r="BG244" s="786">
        <f t="shared" si="76"/>
        <v>6</v>
      </c>
      <c r="BH244" s="786">
        <f t="shared" si="77"/>
        <v>64840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8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72">
        <f t="shared" si="80"/>
        <v>0</v>
      </c>
      <c r="V245" s="873"/>
      <c r="W245" s="1189"/>
      <c r="X245" s="1189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>
        <v>0</v>
      </c>
      <c r="AF245" s="314">
        <v>0</v>
      </c>
      <c r="AG245" s="314">
        <v>0</v>
      </c>
      <c r="AH245" s="314">
        <v>0</v>
      </c>
      <c r="AI245" s="314">
        <v>0</v>
      </c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8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72">
        <f t="shared" si="80"/>
        <v>0</v>
      </c>
      <c r="V246" s="873"/>
      <c r="W246" s="1189"/>
      <c r="X246" s="1189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>
        <v>0</v>
      </c>
      <c r="AF246" s="314">
        <v>0</v>
      </c>
      <c r="AG246" s="314">
        <v>0</v>
      </c>
      <c r="AH246" s="314">
        <v>0</v>
      </c>
      <c r="AI246" s="314">
        <v>0</v>
      </c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8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72">
        <f t="shared" si="80"/>
        <v>0</v>
      </c>
      <c r="V247" s="873"/>
      <c r="W247" s="1189"/>
      <c r="X247" s="1189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>
        <v>0</v>
      </c>
      <c r="AF247" s="314">
        <v>0</v>
      </c>
      <c r="AG247" s="314">
        <v>0</v>
      </c>
      <c r="AH247" s="314">
        <v>0</v>
      </c>
      <c r="AI247" s="314">
        <v>0</v>
      </c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0</v>
      </c>
      <c r="G248" s="1188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7167.5</v>
      </c>
      <c r="U248" s="872">
        <f t="shared" si="80"/>
        <v>0</v>
      </c>
      <c r="V248" s="873"/>
      <c r="W248" s="1189"/>
      <c r="X248" s="1189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>
        <v>0</v>
      </c>
      <c r="AF248" s="314">
        <v>0</v>
      </c>
      <c r="AG248" s="314">
        <v>0</v>
      </c>
      <c r="AH248" s="314">
        <v>0</v>
      </c>
      <c r="AI248" s="314">
        <v>0</v>
      </c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8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72">
        <f t="shared" si="80"/>
        <v>0</v>
      </c>
      <c r="V249" s="873"/>
      <c r="W249" s="1189"/>
      <c r="X249" s="1189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>
        <v>0</v>
      </c>
      <c r="AF249" s="314">
        <v>0</v>
      </c>
      <c r="AG249" s="314">
        <v>0</v>
      </c>
      <c r="AH249" s="314">
        <v>0</v>
      </c>
      <c r="AI249" s="314">
        <v>0</v>
      </c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8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72">
        <f t="shared" si="80"/>
        <v>0</v>
      </c>
      <c r="V250" s="873"/>
      <c r="W250" s="1189"/>
      <c r="X250" s="1189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>
        <v>0</v>
      </c>
      <c r="AF250" s="314">
        <v>0</v>
      </c>
      <c r="AG250" s="314">
        <v>0</v>
      </c>
      <c r="AH250" s="314">
        <v>0</v>
      </c>
      <c r="AI250" s="314">
        <v>0</v>
      </c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57480</v>
      </c>
      <c r="G251" s="1188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57480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475000</v>
      </c>
      <c r="R251" s="205"/>
      <c r="S251" s="205"/>
      <c r="T251" s="345">
        <f t="shared" si="87"/>
        <v>59375</v>
      </c>
      <c r="U251" s="872">
        <f t="shared" si="80"/>
        <v>0</v>
      </c>
      <c r="V251" s="873"/>
      <c r="W251" s="1189"/>
      <c r="X251" s="1189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>
        <v>72570</v>
      </c>
      <c r="AF251" s="314">
        <v>88220</v>
      </c>
      <c r="AG251" s="314">
        <v>145140</v>
      </c>
      <c r="AH251" s="314">
        <v>50630</v>
      </c>
      <c r="AI251" s="314">
        <v>57480</v>
      </c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475000</v>
      </c>
      <c r="BG251" s="786">
        <f t="shared" si="88"/>
        <v>6</v>
      </c>
      <c r="BH251" s="786">
        <f t="shared" si="89"/>
        <v>79166.666666666672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8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72">
        <f t="shared" si="80"/>
        <v>0</v>
      </c>
      <c r="V252" s="873"/>
      <c r="W252" s="1189"/>
      <c r="X252" s="1189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>
        <v>0</v>
      </c>
      <c r="AF252" s="314">
        <v>0</v>
      </c>
      <c r="AG252" s="314">
        <v>0</v>
      </c>
      <c r="AH252" s="314">
        <v>0</v>
      </c>
      <c r="AI252" s="314">
        <v>0</v>
      </c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0</v>
      </c>
      <c r="G253" s="1188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115010</v>
      </c>
      <c r="R253" s="205"/>
      <c r="S253" s="205"/>
      <c r="T253" s="345">
        <f t="shared" si="87"/>
        <v>14376.25</v>
      </c>
      <c r="U253" s="872">
        <f t="shared" si="80"/>
        <v>0</v>
      </c>
      <c r="V253" s="873"/>
      <c r="W253" s="1189"/>
      <c r="X253" s="1189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>
        <v>0</v>
      </c>
      <c r="AF253" s="314">
        <v>0</v>
      </c>
      <c r="AG253" s="314">
        <v>0</v>
      </c>
      <c r="AH253" s="314">
        <v>0</v>
      </c>
      <c r="AI253" s="314">
        <v>0</v>
      </c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115010</v>
      </c>
      <c r="BG253" s="786">
        <f t="shared" si="88"/>
        <v>2</v>
      </c>
      <c r="BH253" s="786">
        <f t="shared" si="89"/>
        <v>57505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0</v>
      </c>
      <c r="G254" s="1188"/>
      <c r="H254" s="314"/>
      <c r="I254" s="230"/>
      <c r="J254" s="230"/>
      <c r="K254" s="230"/>
      <c r="L254" s="230">
        <f>SUMIF(data!$D:$D,INTGRATE!$B254&amp;INTGRATE!$D254,data!$K:$K)</f>
        <v>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5127.5</v>
      </c>
      <c r="U254" s="872">
        <f t="shared" si="80"/>
        <v>0</v>
      </c>
      <c r="V254" s="873"/>
      <c r="W254" s="1189"/>
      <c r="X254" s="1189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>
        <v>0</v>
      </c>
      <c r="AF254" s="314">
        <v>0</v>
      </c>
      <c r="AG254" s="314">
        <v>0</v>
      </c>
      <c r="AH254" s="314">
        <v>0</v>
      </c>
      <c r="AI254" s="314">
        <v>0</v>
      </c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8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72">
        <f t="shared" si="80"/>
        <v>0</v>
      </c>
      <c r="V255" s="873"/>
      <c r="W255" s="1189"/>
      <c r="X255" s="1189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>
        <v>0</v>
      </c>
      <c r="AF255" s="314">
        <v>0</v>
      </c>
      <c r="AG255" s="314">
        <v>0</v>
      </c>
      <c r="AH255" s="314">
        <v>0</v>
      </c>
      <c r="AI255" s="314">
        <v>0</v>
      </c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8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72">
        <f t="shared" si="80"/>
        <v>0</v>
      </c>
      <c r="V256" s="873"/>
      <c r="W256" s="1189"/>
      <c r="X256" s="1189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>
        <v>0</v>
      </c>
      <c r="AF256" s="314">
        <v>0</v>
      </c>
      <c r="AG256" s="314">
        <v>0</v>
      </c>
      <c r="AH256" s="314">
        <v>0</v>
      </c>
      <c r="AI256" s="314">
        <v>0</v>
      </c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8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72">
        <f t="shared" si="80"/>
        <v>0</v>
      </c>
      <c r="V257" s="873"/>
      <c r="W257" s="1189"/>
      <c r="X257" s="1189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>
        <v>0</v>
      </c>
      <c r="AF257" s="314">
        <v>0</v>
      </c>
      <c r="AG257" s="314">
        <v>0</v>
      </c>
      <c r="AH257" s="314">
        <v>0</v>
      </c>
      <c r="AI257" s="314">
        <v>0</v>
      </c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8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72">
        <f t="shared" si="80"/>
        <v>0</v>
      </c>
      <c r="V258" s="873"/>
      <c r="W258" s="1189"/>
      <c r="X258" s="1189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>
        <v>0</v>
      </c>
      <c r="AF258" s="314">
        <v>0</v>
      </c>
      <c r="AG258" s="314">
        <v>0</v>
      </c>
      <c r="AH258" s="314">
        <v>0</v>
      </c>
      <c r="AI258" s="314">
        <v>0</v>
      </c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8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72">
        <f t="shared" si="80"/>
        <v>0</v>
      </c>
      <c r="V259" s="873"/>
      <c r="W259" s="1189"/>
      <c r="X259" s="1189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>
        <v>0</v>
      </c>
      <c r="AG259" s="314">
        <v>0</v>
      </c>
      <c r="AH259" s="314">
        <v>0</v>
      </c>
      <c r="AI259" s="314">
        <v>0</v>
      </c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8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72">
        <f t="shared" si="80"/>
        <v>0</v>
      </c>
      <c r="V260" s="873"/>
      <c r="W260" s="1189"/>
      <c r="X260" s="1189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>
        <v>0</v>
      </c>
      <c r="AH260" s="314">
        <v>0</v>
      </c>
      <c r="AI260" s="314">
        <v>0</v>
      </c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1045" t="s">
        <v>70</v>
      </c>
      <c r="B261" s="1046"/>
      <c r="C261" s="1046"/>
      <c r="D261" s="1047"/>
      <c r="E261" s="214">
        <f>E118+E125+E127+E126</f>
        <v>6969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2980</v>
      </c>
      <c r="I261" s="214">
        <f t="shared" si="90"/>
        <v>1100</v>
      </c>
      <c r="J261" s="214">
        <f t="shared" si="90"/>
        <v>0</v>
      </c>
      <c r="K261" s="214">
        <f t="shared" si="90"/>
        <v>0</v>
      </c>
      <c r="L261" s="214">
        <f t="shared" si="90"/>
        <v>11000</v>
      </c>
      <c r="M261" s="214">
        <f t="shared" si="90"/>
        <v>0</v>
      </c>
      <c r="N261" s="214">
        <f t="shared" si="90"/>
        <v>0</v>
      </c>
      <c r="O261" s="214">
        <f t="shared" si="90"/>
        <v>8849</v>
      </c>
      <c r="P261" s="214">
        <f t="shared" si="90"/>
        <v>88490</v>
      </c>
      <c r="Q261" s="214">
        <f t="shared" ref="Q261" si="91">Q118+Q125+Q127+Q126</f>
        <v>88900</v>
      </c>
      <c r="R261" s="214"/>
      <c r="S261" s="214"/>
      <c r="T261" s="214">
        <f>T118+T125+T127</f>
        <v>11112.5</v>
      </c>
      <c r="U261" s="883">
        <f>IF(T261=0,0,P261/T261)</f>
        <v>7.9631046119235096</v>
      </c>
      <c r="V261" s="884"/>
      <c r="W261" s="1190"/>
      <c r="X261" s="871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91"/>
      <c r="BJ261" s="1191"/>
      <c r="BK261" s="1191"/>
      <c r="BL261" s="1191"/>
      <c r="BM261" s="1191"/>
      <c r="BN261" s="1191"/>
      <c r="BO261" s="1191"/>
      <c r="BP261" s="1191"/>
      <c r="BQ261" s="1191"/>
      <c r="BR261" s="1191"/>
      <c r="BS261" s="1191"/>
      <c r="BT261" s="1191"/>
      <c r="BU261" s="1191"/>
      <c r="BV261" s="1191"/>
      <c r="BW261" s="1191"/>
      <c r="BX261" s="1191"/>
      <c r="BY261" s="1191"/>
      <c r="BZ261" s="1191"/>
      <c r="CA261" s="1191"/>
      <c r="CB261" s="1191"/>
      <c r="CC261" s="1191"/>
      <c r="CD261" s="1191"/>
      <c r="CE261" s="1191"/>
      <c r="CF261" s="1191"/>
      <c r="CG261" s="1191"/>
      <c r="CH261" s="1191"/>
      <c r="CI261" s="1191"/>
      <c r="CJ261" s="1191"/>
      <c r="CK261" s="1191"/>
      <c r="CL261" s="1191"/>
      <c r="CM261" s="1191"/>
      <c r="CN261" s="1191"/>
      <c r="CO261" s="1191"/>
      <c r="CP261" s="1191"/>
      <c r="CQ261" s="1191"/>
      <c r="CR261" s="1191"/>
      <c r="CS261" s="1191"/>
      <c r="CT261" s="1191"/>
      <c r="CU261" s="1191"/>
      <c r="CV261" s="1191"/>
      <c r="CW261" s="1191"/>
      <c r="CX261" s="1191"/>
      <c r="CY261" s="1191"/>
      <c r="CZ261" s="1191"/>
      <c r="DA261" s="1191"/>
      <c r="DB261" s="1191"/>
      <c r="DC261" s="1191"/>
      <c r="DD261" s="1191"/>
    </row>
    <row r="262" spans="1:108" s="217" customFormat="1" ht="15.75" customHeight="1">
      <c r="A262" s="1045" t="s">
        <v>72</v>
      </c>
      <c r="B262" s="1046"/>
      <c r="C262" s="1046"/>
      <c r="D262" s="1047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809700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101212.5</v>
      </c>
      <c r="U262" s="883">
        <f>IF(T262=0,0,P262/T262)</f>
        <v>0</v>
      </c>
      <c r="V262" s="884"/>
      <c r="W262" s="1192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1552200</v>
      </c>
      <c r="AF262" s="216">
        <f t="shared" si="93"/>
        <v>1850380</v>
      </c>
      <c r="AG262" s="216">
        <f t="shared" si="93"/>
        <v>1830030</v>
      </c>
      <c r="AH262" s="216">
        <f t="shared" si="93"/>
        <v>1526460</v>
      </c>
      <c r="AI262" s="216">
        <f t="shared" si="93"/>
        <v>1596500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13171300</v>
      </c>
      <c r="BG262" s="222"/>
      <c r="BH262" s="222"/>
      <c r="BI262" s="449"/>
    </row>
    <row r="263" spans="1:108" s="217" customFormat="1" ht="15.75" customHeight="1">
      <c r="A263" s="1045" t="s">
        <v>337</v>
      </c>
      <c r="B263" s="1046"/>
      <c r="C263" s="1046"/>
      <c r="D263" s="1047"/>
      <c r="E263" s="214">
        <f>SUM(E128:E195,E121:E123,E119)-E135-E147-E158-E159-E170-E172</f>
        <v>26744</v>
      </c>
      <c r="F263" s="214">
        <f>SUM(F128:F195,F121:F123,F119)-F135-F147-F158-F159-F170-F172</f>
        <v>25708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24648</v>
      </c>
      <c r="J263" s="214">
        <f t="shared" si="94"/>
        <v>0</v>
      </c>
      <c r="K263" s="214">
        <f t="shared" si="94"/>
        <v>0</v>
      </c>
      <c r="L263" s="214">
        <f t="shared" si="94"/>
        <v>1232400</v>
      </c>
      <c r="M263" s="214">
        <f t="shared" si="94"/>
        <v>0</v>
      </c>
      <c r="N263" s="214">
        <f t="shared" si="94"/>
        <v>0</v>
      </c>
      <c r="O263" s="214">
        <f t="shared" si="94"/>
        <v>27804</v>
      </c>
      <c r="P263" s="214">
        <f t="shared" si="94"/>
        <v>1390200</v>
      </c>
      <c r="Q263" s="214">
        <f>+SUM(Q128:Q195)-Q135-Q129-Q158-Q147-Q170+Q123+Q119</f>
        <v>8600850</v>
      </c>
      <c r="R263" s="214">
        <f>+SUM(R128:R195)-R135-R129-R158-R147-R170+R123+R119</f>
        <v>1478690</v>
      </c>
      <c r="S263" s="214">
        <f>+SUM(S128:S195)-S135-S129-S158-S147-S170+S123+S119</f>
        <v>13171300</v>
      </c>
      <c r="T263" s="214">
        <f>+SUM(T128:T195)-T135-T129-T158-T147-T170+T123+T119</f>
        <v>1075106.25</v>
      </c>
      <c r="U263" s="883">
        <f>IF(T263=0,0,P263/T263)</f>
        <v>1.2930814977589424</v>
      </c>
      <c r="V263" s="884"/>
      <c r="W263" s="1192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2123320</v>
      </c>
      <c r="AE263" s="197">
        <f>+AE262+AE103+BRAN!AB150+BRAN!AB193+BRAN!AB276+BRAN!AB300+BRAN!AB331</f>
        <v>2200995</v>
      </c>
      <c r="AF263" s="197">
        <f>+AF262+AF103+BRAN!AC150+BRAN!AC193+BRAN!AC276+BRAN!AC300+BRAN!AC331</f>
        <v>2452255</v>
      </c>
      <c r="AG263" s="197">
        <f>+AG262+AG103+BRAN!AD150+BRAN!AD193+BRAN!AD276+BRAN!AD300+BRAN!AD331</f>
        <v>2269305</v>
      </c>
      <c r="AH263" s="197">
        <f>+AH262+AH103+BRAN!AE150+BRAN!AE193+BRAN!AE276+BRAN!AE300+BRAN!AE331</f>
        <v>2199000</v>
      </c>
      <c r="AI263" s="197">
        <f>+AI262+AI103+BRAN!AF150+BRAN!AF193+BRAN!AF276+BRAN!AF300+BRAN!AF331</f>
        <v>2007895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17733840</v>
      </c>
      <c r="BG263" s="197"/>
      <c r="BH263" s="197"/>
      <c r="BI263" s="192">
        <f>+BF262+BF103</f>
        <v>14112100</v>
      </c>
    </row>
    <row r="264" spans="1:108" s="217" customFormat="1" ht="15.75" customHeight="1">
      <c r="A264" s="1045" t="s">
        <v>74</v>
      </c>
      <c r="B264" s="1046"/>
      <c r="C264" s="1046"/>
      <c r="D264" s="1047"/>
      <c r="E264" s="236"/>
      <c r="F264" s="236">
        <f>SUM(F196:F260)</f>
        <v>353100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353100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3671850</v>
      </c>
      <c r="R264" s="236">
        <f t="shared" si="95"/>
        <v>0</v>
      </c>
      <c r="S264" s="236">
        <f t="shared" si="95"/>
        <v>0</v>
      </c>
      <c r="T264" s="236">
        <f t="shared" si="95"/>
        <v>458981.25</v>
      </c>
      <c r="U264" s="883"/>
      <c r="V264" s="884"/>
      <c r="W264" s="1192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17733840</v>
      </c>
      <c r="BG264" s="449"/>
      <c r="BH264" s="449"/>
    </row>
    <row r="265" spans="1:108" s="783" customFormat="1" ht="15.75" customHeight="1">
      <c r="A265" s="1069" t="s">
        <v>75</v>
      </c>
      <c r="B265" s="1070"/>
      <c r="C265" s="1070"/>
      <c r="D265" s="1071"/>
      <c r="E265" s="220">
        <f>SUM(E118:E195)</f>
        <v>33713</v>
      </c>
      <c r="F265" s="220">
        <f t="shared" ref="F265:O265" si="96">SUM(F261:F264)</f>
        <v>378808</v>
      </c>
      <c r="G265" s="220">
        <f t="shared" si="96"/>
        <v>0</v>
      </c>
      <c r="H265" s="220">
        <f t="shared" si="96"/>
        <v>2980</v>
      </c>
      <c r="I265" s="220">
        <f t="shared" si="96"/>
        <v>25748</v>
      </c>
      <c r="J265" s="220">
        <f t="shared" si="96"/>
        <v>0</v>
      </c>
      <c r="K265" s="220">
        <f t="shared" si="96"/>
        <v>0</v>
      </c>
      <c r="L265" s="220">
        <f>+L266-L264</f>
        <v>1243400</v>
      </c>
      <c r="M265" s="220">
        <f>SUM(M261:M264)</f>
        <v>0</v>
      </c>
      <c r="N265" s="220">
        <f t="shared" si="96"/>
        <v>0</v>
      </c>
      <c r="O265" s="220">
        <f t="shared" si="96"/>
        <v>36653</v>
      </c>
      <c r="P265" s="220">
        <f>SUM(P261:P264)</f>
        <v>1478690</v>
      </c>
      <c r="Q265" s="896">
        <f>SUM(Q261:Q264)</f>
        <v>13171300</v>
      </c>
      <c r="R265" s="218">
        <f>SUM(R119:R260)</f>
        <v>1478690</v>
      </c>
      <c r="S265" s="218"/>
      <c r="T265" s="896">
        <f>Q265/$N$293</f>
        <v>1646412.5</v>
      </c>
      <c r="U265" s="931" t="s">
        <v>338</v>
      </c>
      <c r="V265" s="932"/>
      <c r="W265" s="1192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1045" t="s">
        <v>77</v>
      </c>
      <c r="B266" s="1046"/>
      <c r="C266" s="1046"/>
      <c r="D266" s="1047"/>
      <c r="E266" s="213">
        <f>+E261*10+E262*25+E263*50</f>
        <v>1406890</v>
      </c>
      <c r="F266" s="213">
        <f t="shared" ref="F266:O266" si="97">+F261*10+F262*25+F263*50</f>
        <v>1285400</v>
      </c>
      <c r="G266" s="213">
        <f>+G261*10+G262*25+G263*50</f>
        <v>0</v>
      </c>
      <c r="H266" s="213">
        <f>+H261*10+H262*25+H263*50</f>
        <v>29800</v>
      </c>
      <c r="I266" s="213">
        <f>+I261*10+I262*25+I263*50</f>
        <v>1243400</v>
      </c>
      <c r="J266" s="213">
        <f t="shared" si="97"/>
        <v>0</v>
      </c>
      <c r="K266" s="213">
        <f t="shared" si="97"/>
        <v>0</v>
      </c>
      <c r="L266" s="213">
        <f>SUM(L118:L260)</f>
        <v>1596500</v>
      </c>
      <c r="M266" s="213">
        <f>+M261*10+M262*25+M263*50</f>
        <v>0</v>
      </c>
      <c r="N266" s="213">
        <f t="shared" si="97"/>
        <v>0</v>
      </c>
      <c r="O266" s="213">
        <f t="shared" si="97"/>
        <v>1478690</v>
      </c>
      <c r="P266" s="213">
        <f>SUM(P261:P264)</f>
        <v>1478690</v>
      </c>
      <c r="Q266" s="897"/>
      <c r="R266" s="224"/>
      <c r="S266" s="224"/>
      <c r="T266" s="897"/>
      <c r="U266" s="931"/>
      <c r="V266" s="932"/>
      <c r="W266" s="1193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1065" t="s">
        <v>447</v>
      </c>
      <c r="B267" s="1066"/>
      <c r="C267" s="1057" t="s">
        <v>448</v>
      </c>
      <c r="D267" s="1058"/>
      <c r="E267" s="220">
        <f>+E265+E107</f>
        <v>35963</v>
      </c>
      <c r="F267" s="220"/>
      <c r="G267" s="220"/>
      <c r="H267" s="220">
        <f>SUM(H107,H265)</f>
        <v>2980</v>
      </c>
      <c r="I267" s="220">
        <f>SUM(I107,I265)</f>
        <v>27074</v>
      </c>
      <c r="J267" s="220">
        <f>SUM(J107,J265)</f>
        <v>0</v>
      </c>
      <c r="K267" s="220">
        <f>SUM(K107,K265)</f>
        <v>0</v>
      </c>
      <c r="L267" s="220">
        <f>SUM(L107,L265)</f>
        <v>1243400</v>
      </c>
      <c r="M267" s="220"/>
      <c r="N267" s="220">
        <f>SUM(N107,N265)</f>
        <v>0</v>
      </c>
      <c r="O267" s="484">
        <f>+SUM(O261:O264)+SUM(O103:O106)</f>
        <v>39621</v>
      </c>
      <c r="P267" s="220">
        <f>SUM(P107,P265)</f>
        <v>1627090</v>
      </c>
      <c r="Q267" s="1048" t="s">
        <v>449</v>
      </c>
      <c r="R267" s="1049"/>
      <c r="S267" s="1049"/>
      <c r="T267" s="1049"/>
      <c r="U267" s="1049"/>
      <c r="V267" s="1049"/>
      <c r="W267" s="1050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1067"/>
      <c r="B268" s="1068"/>
      <c r="C268" s="995" t="s">
        <v>450</v>
      </c>
      <c r="D268" s="996"/>
      <c r="E268" s="204">
        <f>+E266+E108</f>
        <v>1519390</v>
      </c>
      <c r="F268" s="204">
        <f>+F266+F108</f>
        <v>1402570</v>
      </c>
      <c r="G268" s="204">
        <f>+G266+G108</f>
        <v>0</v>
      </c>
      <c r="H268" s="204">
        <f>SUM(H108,H266)</f>
        <v>29800</v>
      </c>
      <c r="I268" s="204">
        <f>SUM(I108,I266)</f>
        <v>1324670</v>
      </c>
      <c r="J268" s="320"/>
      <c r="K268" s="320"/>
      <c r="L268" s="204">
        <f>SUM(L108,L266)</f>
        <v>1677770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1627090</v>
      </c>
      <c r="P268" s="585">
        <f>+P266+P108</f>
        <v>1627090</v>
      </c>
      <c r="Q268" s="1051"/>
      <c r="R268" s="1052"/>
      <c r="S268" s="1052"/>
      <c r="T268" s="1052"/>
      <c r="U268" s="1052"/>
      <c r="V268" s="1052"/>
      <c r="W268" s="1053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1059" t="s">
        <v>451</v>
      </c>
      <c r="B269" s="1060"/>
      <c r="C269" s="997" t="s">
        <v>452</v>
      </c>
      <c r="D269" s="998"/>
      <c r="E269" s="204">
        <f>SUM(BRAN!E152,BRAN!E193,BRAN!E276,BRAN!E300,BRAN!E331)</f>
        <v>0</v>
      </c>
      <c r="F269" s="204">
        <f>SUM(BRAN!F152,BRAN!F193,BRAN!F276,BRAN!F300,BRAN!F331)</f>
        <v>40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0</v>
      </c>
      <c r="J269" s="204"/>
      <c r="K269" s="204"/>
      <c r="L269" s="204">
        <f>SUM(BRAN!J152,BRAN!J193,BRAN!J276,BRAN!J300,BRAN!J331)</f>
        <v>0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40</v>
      </c>
      <c r="P269" s="584">
        <f>+O269*25</f>
        <v>1000</v>
      </c>
      <c r="Q269" s="1051"/>
      <c r="R269" s="1052"/>
      <c r="S269" s="1052"/>
      <c r="T269" s="1052"/>
      <c r="U269" s="1052"/>
      <c r="V269" s="1052"/>
      <c r="W269" s="1053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1061"/>
      <c r="B270" s="1062"/>
      <c r="C270" s="997" t="s">
        <v>453</v>
      </c>
      <c r="D270" s="998"/>
      <c r="E270" s="204">
        <f>+E261+BRAN!E151</f>
        <v>6970</v>
      </c>
      <c r="F270" s="204">
        <f>+F261</f>
        <v>0</v>
      </c>
      <c r="G270" s="204">
        <f>+G261</f>
        <v>0</v>
      </c>
      <c r="H270" s="204">
        <f>+H261+BRAN!H151</f>
        <v>3100</v>
      </c>
      <c r="I270" s="204">
        <f>+I261+BRAN!I151</f>
        <v>1105</v>
      </c>
      <c r="J270" s="204"/>
      <c r="K270" s="204"/>
      <c r="L270" s="204">
        <f>+I270*10</f>
        <v>11050</v>
      </c>
      <c r="M270" s="204">
        <f>+M261+BRAN!K151</f>
        <v>0</v>
      </c>
      <c r="N270" s="204">
        <f>+N261+BRAN!L151</f>
        <v>0</v>
      </c>
      <c r="O270" s="584">
        <f>+E270+F270+G270+H270-I270-M270-N270</f>
        <v>8965</v>
      </c>
      <c r="P270" s="585">
        <f>+O270*10</f>
        <v>89650</v>
      </c>
      <c r="Q270" s="1051"/>
      <c r="R270" s="1052"/>
      <c r="S270" s="1052"/>
      <c r="T270" s="1052"/>
      <c r="U270" s="1052"/>
      <c r="V270" s="1052"/>
      <c r="W270" s="1053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1063"/>
      <c r="B271" s="1064"/>
      <c r="C271" s="997" t="s">
        <v>454</v>
      </c>
      <c r="D271" s="998"/>
      <c r="E271" s="203">
        <f>SUM(BRAN!E153,BRAN!E194,BRAN!E277,BRAN!E301,BRAN!E332)+SUM(INTGRATE!E103,INTGRATE!E262)</f>
        <v>53886</v>
      </c>
      <c r="F271" s="203">
        <f>SUM(BRAN!F153,BRAN!F194,BRAN!F277,BRAN!F301,BRAN!F332)+SUM(INTGRATE!F103,INTGRATE!F262)</f>
        <v>11329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0</v>
      </c>
      <c r="I271" s="203">
        <f>SUM(BRAN!I153,BRAN!I194,BRAN!I277,BRAN!I301,BRAN!I332)+SUM(INTGRATE!I103,INTGRATE!I262)+I158</f>
        <v>11649</v>
      </c>
      <c r="J271" s="203"/>
      <c r="K271" s="203"/>
      <c r="L271" s="203">
        <f>SUM(BRAN!J153,BRAN!J194,BRAN!J277,BRAN!J301,BRAN!J332)+SUM(INTGRATE!L103,INTGRATE!L262)+L158</f>
        <v>291225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0</v>
      </c>
      <c r="O271" s="586">
        <f>+O262+O103+BRAN!M153+BRAN!M194+BRAN!M277+BRAN!M332+BRAN!M301</f>
        <v>53566</v>
      </c>
      <c r="P271" s="587">
        <f>+O271*25</f>
        <v>1339150</v>
      </c>
      <c r="Q271" s="1051"/>
      <c r="R271" s="1052"/>
      <c r="S271" s="1052"/>
      <c r="T271" s="1052"/>
      <c r="U271" s="1052"/>
      <c r="V271" s="1052"/>
      <c r="W271" s="1053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13" t="s">
        <v>455</v>
      </c>
      <c r="B272" s="1014"/>
      <c r="C272" s="997" t="s">
        <v>456</v>
      </c>
      <c r="D272" s="998"/>
      <c r="E272" s="203">
        <f>SUM(BRAN!E154,BRAN!E195,BRAN!E278,BRAN!E302,BRAN!E333)+E104</f>
        <v>0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0</v>
      </c>
      <c r="J272" s="203">
        <f>SUM(BRAN!J154,BRAN!J195,BRAN!J278,BRAN!J302,BRAN!J333)+J104</f>
        <v>0</v>
      </c>
      <c r="K272" s="203">
        <f>SUM(BRAN!K154,BRAN!K195,BRAN!K278,BRAN!K302,BRAN!K333)+K104</f>
        <v>0</v>
      </c>
      <c r="L272" s="203">
        <f>+I272*40</f>
        <v>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0</v>
      </c>
      <c r="P272" s="203">
        <f>+O272*40</f>
        <v>0</v>
      </c>
      <c r="Q272" s="1051"/>
      <c r="R272" s="1052"/>
      <c r="S272" s="1052"/>
      <c r="T272" s="1052"/>
      <c r="U272" s="1052"/>
      <c r="V272" s="1052"/>
      <c r="W272" s="1053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15"/>
      <c r="B273" s="1016"/>
      <c r="C273" s="997" t="s">
        <v>457</v>
      </c>
      <c r="D273" s="998"/>
      <c r="E273" s="203">
        <f>SUM(E105,E263)</f>
        <v>28994</v>
      </c>
      <c r="F273" s="203">
        <f>SUM(F105,F263)</f>
        <v>27752</v>
      </c>
      <c r="G273" s="203">
        <f>SUM(G105,G263)</f>
        <v>0</v>
      </c>
      <c r="H273" s="203">
        <f>SUM(H105,H106,H263,H264)</f>
        <v>0</v>
      </c>
      <c r="I273" s="203">
        <f>SUM(I105,I263)-I158</f>
        <v>25974</v>
      </c>
      <c r="J273" s="203">
        <f>SUM(J105,J263)-J158</f>
        <v>0</v>
      </c>
      <c r="K273" s="203">
        <f>SUM(K105,K263)-K158</f>
        <v>0</v>
      </c>
      <c r="L273" s="203">
        <f>SUM(L105,L263)-L158</f>
        <v>1298700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30772</v>
      </c>
      <c r="P273" s="587">
        <f>+O273*50</f>
        <v>1538600</v>
      </c>
      <c r="Q273" s="1051"/>
      <c r="R273" s="1052"/>
      <c r="S273" s="1052"/>
      <c r="T273" s="1052"/>
      <c r="U273" s="1052"/>
      <c r="V273" s="1052"/>
      <c r="W273" s="1053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17"/>
      <c r="B274" s="1018"/>
      <c r="C274" s="995" t="s">
        <v>458</v>
      </c>
      <c r="D274" s="996"/>
      <c r="E274" s="203">
        <f>+E269*25+E270*10+E271*25+E272*40+E273*50</f>
        <v>2866550</v>
      </c>
      <c r="F274" s="348">
        <f>+F271*25+F269*25+F270*10+F272*40+F273*50+F264+F106+BRAN!F155+BRAN!F280+BRAN!F334+BRAN!F304</f>
        <v>2078745</v>
      </c>
      <c r="G274" s="348">
        <f>SUM(BRAN!G157,BRAN!G197,BRAN!G281,BRAN!G305,BRAN!G336)+SUM(G266,G108)</f>
        <v>0</v>
      </c>
      <c r="H274" s="348">
        <f>SUM(BRAN!H157,BRAN!H197,BRAN!H281,BRAN!H305,BRAN!H336)+SUM(H266,H108)</f>
        <v>31000</v>
      </c>
      <c r="I274" s="348">
        <f>+L274</f>
        <v>2007895</v>
      </c>
      <c r="J274" s="348"/>
      <c r="K274" s="348"/>
      <c r="L274" s="348">
        <f>+L266+L108+BRAN!J336+BRAN!J305+BRAN!J281+BRAN!J197+BRAN!J157</f>
        <v>2007895</v>
      </c>
      <c r="M274" s="348">
        <f>+M269*25+M270*10+M271*25+M272*40+M273*50</f>
        <v>0</v>
      </c>
      <c r="N274" s="545">
        <f>+N273*50+N272*40+N271*25+N270*10+N269*25</f>
        <v>0</v>
      </c>
      <c r="O274" s="582">
        <f>+P274</f>
        <v>2968400</v>
      </c>
      <c r="P274" s="582">
        <f>SUM(P269:P273)</f>
        <v>2968400</v>
      </c>
      <c r="Q274" s="1054"/>
      <c r="R274" s="1055"/>
      <c r="S274" s="1055"/>
      <c r="T274" s="1055"/>
      <c r="U274" s="1055"/>
      <c r="V274" s="1055"/>
      <c r="W274" s="1056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2968400</v>
      </c>
      <c r="P275" s="590">
        <f>+E274+F274+H274-I274-M274-N274</f>
        <v>2968400</v>
      </c>
      <c r="Q275" s="237">
        <f>SUM(Q119:Q260)</f>
        <v>13082400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976"/>
      <c r="U276" s="976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4"/>
      <c r="U277" s="1195"/>
      <c r="V277" s="1196"/>
      <c r="W277" s="1197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4"/>
      <c r="U278" s="1194"/>
      <c r="V278" s="1198"/>
      <c r="W278" s="1197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898">
        <f>P274+REMIX!O24+X274</f>
        <v>2968400</v>
      </c>
      <c r="R281" s="899"/>
      <c r="S281" s="899"/>
      <c r="T281" s="899"/>
      <c r="U281" s="900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1005" t="s">
        <v>460</v>
      </c>
      <c r="P282" s="1006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1005" t="s">
        <v>462</v>
      </c>
      <c r="P283" s="1006"/>
      <c r="Q283" s="245">
        <f>SUM(R128)+BRAN!P14+BRAN!P167+BRAN!P206</f>
        <v>188850</v>
      </c>
      <c r="R283" s="215"/>
      <c r="S283" s="215"/>
      <c r="T283" s="245">
        <f>Q283/Q281*100</f>
        <v>6.3620132057674166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1005" t="s">
        <v>463</v>
      </c>
      <c r="P284" s="1006"/>
      <c r="Q284" s="245">
        <f>+Q281-Q282-Q283</f>
        <v>2779550</v>
      </c>
      <c r="R284" s="215"/>
      <c r="S284" s="215"/>
      <c r="T284" s="245">
        <f>Q284/Q281*100</f>
        <v>93.637986794232589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1007" t="s">
        <v>464</v>
      </c>
      <c r="P285" s="1009"/>
      <c r="Q285" s="879">
        <v>456850</v>
      </c>
      <c r="R285" s="880"/>
      <c r="S285" s="880"/>
      <c r="T285" s="880"/>
      <c r="U285" s="881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1007" t="s">
        <v>465</v>
      </c>
      <c r="P286" s="1008"/>
      <c r="Q286" s="879"/>
      <c r="R286" s="880"/>
      <c r="S286" s="880"/>
      <c r="T286" s="880"/>
      <c r="U286" s="881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1088" t="s">
        <v>466</v>
      </c>
      <c r="P287" s="1076"/>
      <c r="Q287" s="1075">
        <f>+Q281+Q285+Q286</f>
        <v>3425250</v>
      </c>
      <c r="R287" s="1076"/>
      <c r="S287" s="1076"/>
      <c r="T287" s="1076"/>
      <c r="U287" s="1077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1026" t="s">
        <v>467</v>
      </c>
      <c r="P288" s="1027"/>
      <c r="Q288" s="1028"/>
      <c r="R288" s="249"/>
      <c r="S288" s="250"/>
      <c r="T288" s="889">
        <f>Q281/O311</f>
        <v>1.3390895598471622</v>
      </c>
      <c r="U288" s="890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1091" t="s">
        <v>468</v>
      </c>
      <c r="P289" s="1092"/>
      <c r="Q289" s="251">
        <f>+BRAN!N157+BRAN!N197+BRAN!N281+BRAN!N305+BRAN!N336</f>
        <v>1341310</v>
      </c>
      <c r="R289" s="252"/>
      <c r="S289" s="252"/>
      <c r="T289" s="494">
        <f>+Q289/Q287*100</f>
        <v>39.159477410408002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1089" t="s">
        <v>469</v>
      </c>
      <c r="P290" s="1090"/>
      <c r="Q290" s="251">
        <f>+Q281-Q289</f>
        <v>1627090</v>
      </c>
      <c r="R290" s="249"/>
      <c r="S290" s="249"/>
      <c r="T290" s="495">
        <f>+Q290/$Q$287*100</f>
        <v>47.502810013867602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1086" t="s">
        <v>470</v>
      </c>
      <c r="P291" s="1087"/>
      <c r="Q291" s="673">
        <v>385000</v>
      </c>
      <c r="R291" s="446"/>
      <c r="S291" s="446"/>
      <c r="T291" s="495">
        <f>+Q291/$Q$287*100</f>
        <v>11.24005547040362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901"/>
      <c r="P292" s="901"/>
      <c r="Q292" s="901"/>
      <c r="T292" s="227"/>
      <c r="U292" s="197"/>
      <c r="V292" s="197"/>
    </row>
    <row r="293" spans="1:26" ht="17.25" customHeight="1" thickBot="1">
      <c r="A293" s="1039" t="s">
        <v>471</v>
      </c>
      <c r="B293" s="1039"/>
      <c r="C293" s="271">
        <v>9</v>
      </c>
      <c r="D293" s="1044" t="s">
        <v>472</v>
      </c>
      <c r="E293" s="1044"/>
      <c r="F293" s="1044"/>
      <c r="G293" s="1044"/>
      <c r="H293" s="1044"/>
      <c r="I293" s="1035"/>
      <c r="J293" s="1035"/>
      <c r="L293" s="1039" t="s">
        <v>473</v>
      </c>
      <c r="M293" s="1039"/>
      <c r="N293" s="272">
        <v>8</v>
      </c>
      <c r="O293" s="882" t="s">
        <v>474</v>
      </c>
      <c r="P293" s="882"/>
      <c r="Q293" s="882"/>
      <c r="R293" s="882"/>
      <c r="S293" s="882"/>
      <c r="T293" s="882"/>
      <c r="U293" s="882"/>
      <c r="V293" s="193"/>
    </row>
    <row r="294" spans="1:26" ht="21.75" customHeight="1">
      <c r="A294" s="1021" t="s">
        <v>475</v>
      </c>
      <c r="B294" s="1010" t="s">
        <v>476</v>
      </c>
      <c r="C294" s="1011"/>
      <c r="D294" s="1011"/>
      <c r="E294" s="1011"/>
      <c r="F294" s="1011"/>
      <c r="G294" s="1011"/>
      <c r="H294" s="1012"/>
      <c r="I294" s="959"/>
      <c r="J294" s="959"/>
      <c r="K294" s="259"/>
      <c r="L294" s="955" t="s">
        <v>475</v>
      </c>
      <c r="M294" s="956"/>
      <c r="N294" s="1030" t="s">
        <v>477</v>
      </c>
      <c r="O294" s="1031"/>
      <c r="P294" s="1031"/>
      <c r="Q294" s="1031"/>
      <c r="R294" s="1031"/>
      <c r="S294" s="1031"/>
      <c r="T294" s="1031"/>
      <c r="U294" s="1032"/>
      <c r="V294" s="304"/>
      <c r="W294" s="303"/>
      <c r="X294" s="247"/>
      <c r="Y294" s="775"/>
      <c r="Z294" s="825"/>
    </row>
    <row r="295" spans="1:26" ht="25.5" customHeight="1">
      <c r="A295" s="1022"/>
      <c r="B295" s="685" t="s">
        <v>478</v>
      </c>
      <c r="C295" s="685" t="s">
        <v>58</v>
      </c>
      <c r="D295" s="1023" t="s">
        <v>479</v>
      </c>
      <c r="E295" s="1043"/>
      <c r="F295" s="1023" t="s">
        <v>480</v>
      </c>
      <c r="G295" s="1024"/>
      <c r="H295" s="1025"/>
      <c r="I295" s="1035"/>
      <c r="J295" s="1035"/>
      <c r="K295" s="255"/>
      <c r="L295" s="957"/>
      <c r="M295" s="958"/>
      <c r="N295" s="685" t="s">
        <v>58</v>
      </c>
      <c r="O295" s="686" t="s">
        <v>481</v>
      </c>
      <c r="P295" s="960" t="s">
        <v>482</v>
      </c>
      <c r="Q295" s="961"/>
      <c r="R295" s="687"/>
      <c r="S295" s="687"/>
      <c r="T295" s="960" t="s">
        <v>483</v>
      </c>
      <c r="U295" s="1029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BRAN!F152*25+2950</f>
        <v>3950</v>
      </c>
      <c r="C296" s="735">
        <f>+BRAN!F155+441240</f>
        <v>441240</v>
      </c>
      <c r="D296" s="1019">
        <f>BRAN!F153*25+BRAN!F154*40+2409475</f>
        <v>2629575</v>
      </c>
      <c r="E296" s="1020"/>
      <c r="F296" s="1036"/>
      <c r="G296" s="1037"/>
      <c r="H296" s="1038"/>
      <c r="I296" s="1042"/>
      <c r="J296" s="959"/>
      <c r="K296" s="256"/>
      <c r="L296" s="688" t="s">
        <v>484</v>
      </c>
      <c r="M296" s="689"/>
      <c r="N296" s="690">
        <f>+C296</f>
        <v>441240</v>
      </c>
      <c r="O296" s="691">
        <f>BRAN!O150+BRAN!O152</f>
        <v>2950</v>
      </c>
      <c r="P296" s="993">
        <f>+BRAN!BC150-INTGRATE!O296-N296</f>
        <v>2312195</v>
      </c>
      <c r="Q296" s="994"/>
      <c r="R296" s="692"/>
      <c r="S296" s="692"/>
      <c r="T296" s="1033"/>
      <c r="U296" s="1033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9.91991942482273</v>
      </c>
      <c r="D297" s="1040">
        <f>D296/D308*100</f>
        <v>78.510009404809892</v>
      </c>
      <c r="E297" s="1041"/>
      <c r="F297" s="951"/>
      <c r="G297" s="952"/>
      <c r="H297" s="953"/>
      <c r="I297" s="1034"/>
      <c r="J297" s="1035"/>
      <c r="K297" s="258"/>
      <c r="L297" s="693" t="s">
        <v>461</v>
      </c>
      <c r="M297" s="694"/>
      <c r="N297" s="695">
        <f>+N296/N308</f>
        <v>9.9199194248227304E-2</v>
      </c>
      <c r="O297" s="696">
        <f>O296/O308*100</f>
        <v>100</v>
      </c>
      <c r="P297" s="962">
        <f>P296/P308*100</f>
        <v>58.696772457491583</v>
      </c>
      <c r="Q297" s="885"/>
      <c r="R297" s="697"/>
      <c r="S297" s="697"/>
      <c r="T297" s="877"/>
      <c r="U297" s="877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49">
        <f>BRAN!F194*25+BRAN!F195*40+172175</f>
        <v>187450</v>
      </c>
      <c r="E298" s="950"/>
      <c r="F298" s="949"/>
      <c r="G298" s="1002"/>
      <c r="H298" s="1003"/>
      <c r="I298" s="870"/>
      <c r="J298" s="870"/>
      <c r="K298" s="1199"/>
      <c r="L298" s="693" t="s">
        <v>485</v>
      </c>
      <c r="M298" s="694"/>
      <c r="N298" s="698">
        <f>BRAN!O193</f>
        <v>0</v>
      </c>
      <c r="O298" s="699">
        <f>BRAN!O193</f>
        <v>0</v>
      </c>
      <c r="P298" s="1004">
        <f>BRAN!O194+BRAN!O195</f>
        <v>182650</v>
      </c>
      <c r="Q298" s="886"/>
      <c r="R298" s="697"/>
      <c r="S298" s="697"/>
      <c r="T298" s="876"/>
      <c r="U298" s="876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51">
        <f>D298/D308*100</f>
        <v>5.5966082971322795</v>
      </c>
      <c r="E299" s="954"/>
      <c r="F299" s="951"/>
      <c r="G299" s="952"/>
      <c r="H299" s="953"/>
      <c r="I299" s="496"/>
      <c r="J299" s="196"/>
      <c r="K299" s="196"/>
      <c r="L299" s="693" t="s">
        <v>461</v>
      </c>
      <c r="M299" s="694"/>
      <c r="N299" s="700"/>
      <c r="O299" s="696">
        <f>N298/O308*100</f>
        <v>0</v>
      </c>
      <c r="P299" s="962">
        <f>P298/P308*100</f>
        <v>4.6367047283472367</v>
      </c>
      <c r="Q299" s="885"/>
      <c r="R299" s="697"/>
      <c r="S299" s="697"/>
      <c r="T299" s="877"/>
      <c r="U299" s="877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+BRAN!F280+162480</f>
        <v>201330</v>
      </c>
      <c r="D300" s="949">
        <f>BRAN!F277*25+BRAN!F278*40+359325</f>
        <v>390200</v>
      </c>
      <c r="E300" s="950"/>
      <c r="F300" s="949"/>
      <c r="G300" s="1002"/>
      <c r="H300" s="1003"/>
      <c r="I300" s="496"/>
      <c r="J300" s="259"/>
      <c r="K300" s="259"/>
      <c r="L300" s="693" t="s">
        <v>486</v>
      </c>
      <c r="M300" s="694"/>
      <c r="N300" s="698">
        <f>C300</f>
        <v>201330</v>
      </c>
      <c r="O300" s="699">
        <f>BRAN!O276</f>
        <v>0</v>
      </c>
      <c r="P300" s="1004">
        <f>+BRAN!O277-N300</f>
        <v>396025</v>
      </c>
      <c r="Q300" s="886"/>
      <c r="R300" s="697"/>
      <c r="S300" s="697"/>
      <c r="T300" s="876"/>
      <c r="U300" s="876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4.5262836048399064</v>
      </c>
      <c r="D301" s="951">
        <f>D300/D308*100</f>
        <v>11.650021645991012</v>
      </c>
      <c r="E301" s="954"/>
      <c r="F301" s="951"/>
      <c r="G301" s="952"/>
      <c r="H301" s="953"/>
      <c r="I301" s="496"/>
      <c r="J301" s="196"/>
      <c r="K301" s="196"/>
      <c r="L301" s="693" t="s">
        <v>461</v>
      </c>
      <c r="M301" s="694"/>
      <c r="N301" s="695">
        <f>+N300/N308</f>
        <v>4.5262836048399063E-2</v>
      </c>
      <c r="O301" s="696">
        <v>0</v>
      </c>
      <c r="P301" s="962">
        <f>P300/P308*100</f>
        <v>10.053386203360056</v>
      </c>
      <c r="Q301" s="885"/>
      <c r="R301" s="697"/>
      <c r="S301" s="697"/>
      <c r="T301" s="877"/>
      <c r="U301" s="877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49">
        <f>BRAN!F301*25+BRAN!F302*40</f>
        <v>0</v>
      </c>
      <c r="E302" s="950"/>
      <c r="F302" s="949"/>
      <c r="G302" s="1002"/>
      <c r="H302" s="1003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1004">
        <f>+BRAN!O301+BRAN!O302</f>
        <v>0</v>
      </c>
      <c r="Q302" s="886"/>
      <c r="R302" s="697"/>
      <c r="S302" s="697"/>
      <c r="T302" s="886"/>
      <c r="U302" s="886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51">
        <f>D302/D308*100</f>
        <v>0</v>
      </c>
      <c r="E303" s="954"/>
      <c r="F303" s="951"/>
      <c r="G303" s="952"/>
      <c r="H303" s="953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62">
        <f>P302/P308*100</f>
        <v>0</v>
      </c>
      <c r="Q303" s="885"/>
      <c r="R303" s="697"/>
      <c r="S303" s="697"/>
      <c r="T303" s="885"/>
      <c r="U303" s="885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49">
        <f>BRAN!F332*25+BRAN!F333*40+125150</f>
        <v>142125</v>
      </c>
      <c r="E304" s="950"/>
      <c r="F304" s="949"/>
      <c r="G304" s="1002"/>
      <c r="H304" s="1003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1004">
        <f>+BRAN!O332+BRAN!O333</f>
        <v>85350</v>
      </c>
      <c r="Q304" s="886"/>
      <c r="R304" s="697"/>
      <c r="S304" s="697"/>
      <c r="T304" s="886"/>
      <c r="U304" s="886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51">
        <f>D304/D308*100</f>
        <v>4.2433606520668192</v>
      </c>
      <c r="E305" s="954"/>
      <c r="F305" s="951"/>
      <c r="G305" s="952"/>
      <c r="H305" s="953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62">
        <f>P304/P308*100</f>
        <v>2.1666725900051276</v>
      </c>
      <c r="Q305" s="885"/>
      <c r="R305" s="697"/>
      <c r="S305" s="697"/>
      <c r="T305" s="885"/>
      <c r="U305" s="885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+F264+F106+3437380</f>
        <v>3805450</v>
      </c>
      <c r="D306" s="949">
        <f>F103*25+F262*25</f>
        <v>0</v>
      </c>
      <c r="E306" s="950"/>
      <c r="F306" s="949">
        <f>F105*50+F263*50+F104*40+7586200</f>
        <v>8973800</v>
      </c>
      <c r="G306" s="1002"/>
      <c r="H306" s="1003"/>
      <c r="I306" s="497"/>
      <c r="J306" s="259"/>
      <c r="K306" s="259"/>
      <c r="L306" s="693" t="s">
        <v>489</v>
      </c>
      <c r="M306" s="694"/>
      <c r="N306" s="698">
        <f>+Q264+Q106</f>
        <v>3805450</v>
      </c>
      <c r="O306" s="699">
        <v>0</v>
      </c>
      <c r="P306" s="1004">
        <f>Q262+Q103+Q261+Q104</f>
        <v>963000</v>
      </c>
      <c r="Q306" s="886"/>
      <c r="R306" s="697"/>
      <c r="S306" s="697"/>
      <c r="T306" s="886">
        <f>Q263+Q105</f>
        <v>9343650</v>
      </c>
      <c r="U306" s="886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85.553796970337359</v>
      </c>
      <c r="D307" s="944">
        <f>+D306/D308*100</f>
        <v>0</v>
      </c>
      <c r="E307" s="991"/>
      <c r="F307" s="944">
        <f>+F306/F308*100</f>
        <v>100</v>
      </c>
      <c r="G307" s="945"/>
      <c r="H307" s="946"/>
      <c r="I307" s="496"/>
      <c r="J307" s="259"/>
      <c r="K307" s="366"/>
      <c r="L307" s="701" t="s">
        <v>461</v>
      </c>
      <c r="M307" s="702"/>
      <c r="N307" s="703">
        <f>+N306/N308</f>
        <v>0.85553796970337359</v>
      </c>
      <c r="O307" s="696"/>
      <c r="P307" s="992">
        <f>P306/P308*100</f>
        <v>24.446464020795993</v>
      </c>
      <c r="Q307" s="888"/>
      <c r="R307" s="704"/>
      <c r="S307" s="704"/>
      <c r="T307" s="888">
        <f>T306/T308*100</f>
        <v>100</v>
      </c>
      <c r="U307" s="888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3950</v>
      </c>
      <c r="C308" s="746">
        <f>+C296+C298+C300+C302+C304+C306</f>
        <v>4448020</v>
      </c>
      <c r="D308" s="969">
        <f>SUM(D296,D298,D300,D302,D304,D306)</f>
        <v>3349350</v>
      </c>
      <c r="E308" s="970"/>
      <c r="F308" s="969">
        <f>+F306</f>
        <v>8973800</v>
      </c>
      <c r="G308" s="971"/>
      <c r="H308" s="972"/>
      <c r="I308" s="497"/>
      <c r="J308" s="497"/>
      <c r="K308" s="497"/>
      <c r="L308" s="984" t="s">
        <v>491</v>
      </c>
      <c r="M308" s="985"/>
      <c r="N308" s="705">
        <f>SUM(N296,N298,N300,N302,N304,N306)</f>
        <v>4448020</v>
      </c>
      <c r="O308" s="706">
        <f>SUM(O296,O298,O300,O302,O304,O306)</f>
        <v>2950</v>
      </c>
      <c r="P308" s="975">
        <f>SUM(P296,P298,P300,P302,P304,P306)</f>
        <v>3939220</v>
      </c>
      <c r="Q308" s="887"/>
      <c r="R308" s="707"/>
      <c r="S308" s="707"/>
      <c r="T308" s="887">
        <f>SUM(T306)</f>
        <v>9343650</v>
      </c>
      <c r="U308" s="887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947">
        <f>+C308/D310*100</f>
        <v>26.515577831932053</v>
      </c>
      <c r="C309" s="948"/>
      <c r="D309" s="947">
        <f>D308/D310*100</f>
        <v>19.966176098889306</v>
      </c>
      <c r="E309" s="948"/>
      <c r="F309" s="947">
        <f>F308/D310*100</f>
        <v>53.494699292762135</v>
      </c>
      <c r="G309" s="973"/>
      <c r="H309" s="974"/>
      <c r="I309" s="498"/>
      <c r="J309" s="365"/>
      <c r="K309" s="365"/>
      <c r="L309" s="708" t="s">
        <v>492</v>
      </c>
      <c r="M309" s="709"/>
      <c r="N309" s="710">
        <f>N308/O310*100</f>
        <v>25.082102917360256</v>
      </c>
      <c r="O309" s="711">
        <f>+O308/O310*100</f>
        <v>1.6634863064062831E-2</v>
      </c>
      <c r="P309" s="983">
        <f>P308/O310*100</f>
        <v>22.213011959056807</v>
      </c>
      <c r="Q309" s="878"/>
      <c r="R309" s="707"/>
      <c r="S309" s="707"/>
      <c r="T309" s="878">
        <f>T308/O310*100</f>
        <v>52.688250260518878</v>
      </c>
      <c r="U309" s="878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966" t="s">
        <v>493</v>
      </c>
      <c r="B310" s="967"/>
      <c r="C310" s="968"/>
      <c r="D310" s="938">
        <f>SUM(B308:F308)</f>
        <v>16775120</v>
      </c>
      <c r="E310" s="939"/>
      <c r="F310" s="939"/>
      <c r="G310" s="939"/>
      <c r="H310" s="940"/>
      <c r="I310" s="277"/>
      <c r="J310" s="277"/>
      <c r="K310" s="277"/>
      <c r="L310" s="999" t="s">
        <v>493</v>
      </c>
      <c r="M310" s="1000"/>
      <c r="N310" s="1001"/>
      <c r="O310" s="1081">
        <f>+N308+O308+P308+T308</f>
        <v>17733840</v>
      </c>
      <c r="P310" s="1081"/>
      <c r="Q310" s="1081"/>
      <c r="R310" s="1081"/>
      <c r="S310" s="1081"/>
      <c r="T310" s="1081"/>
      <c r="U310" s="1082"/>
      <c r="V310" s="712"/>
      <c r="W310" s="262"/>
      <c r="X310" s="201"/>
      <c r="Y310" s="857"/>
      <c r="Z310" s="819"/>
    </row>
    <row r="311" spans="1:34" s="261" customFormat="1" ht="19.5" customHeight="1" thickBot="1">
      <c r="A311" s="935" t="s">
        <v>494</v>
      </c>
      <c r="B311" s="936"/>
      <c r="C311" s="937"/>
      <c r="D311" s="941">
        <f>D310/C293</f>
        <v>1863902.2222222222</v>
      </c>
      <c r="E311" s="942"/>
      <c r="F311" s="942"/>
      <c r="G311" s="942"/>
      <c r="H311" s="943"/>
      <c r="I311" s="260"/>
      <c r="J311" s="357"/>
      <c r="K311" s="357"/>
      <c r="L311" s="977" t="s">
        <v>495</v>
      </c>
      <c r="M311" s="978"/>
      <c r="N311" s="979"/>
      <c r="O311" s="1078">
        <f>O310/N293</f>
        <v>2216730</v>
      </c>
      <c r="P311" s="1079"/>
      <c r="Q311" s="1079"/>
      <c r="R311" s="1079"/>
      <c r="S311" s="1079"/>
      <c r="T311" s="1079"/>
      <c r="U311" s="1080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933" t="s">
        <v>496</v>
      </c>
      <c r="B313" s="982" t="s">
        <v>497</v>
      </c>
      <c r="C313" s="982"/>
      <c r="D313" s="982"/>
      <c r="E313" s="988" t="s">
        <v>498</v>
      </c>
      <c r="F313" s="988"/>
      <c r="G313" s="980" t="s">
        <v>499</v>
      </c>
      <c r="H313" s="989" t="s">
        <v>500</v>
      </c>
      <c r="I313" s="986" t="s">
        <v>501</v>
      </c>
      <c r="J313" s="358"/>
      <c r="K313" s="358"/>
      <c r="M313" s="980" t="s">
        <v>499</v>
      </c>
      <c r="N313" s="933" t="s">
        <v>496</v>
      </c>
      <c r="O313" s="982" t="s">
        <v>497</v>
      </c>
      <c r="P313" s="982"/>
      <c r="Q313" s="982"/>
      <c r="R313" s="893" t="s">
        <v>498</v>
      </c>
      <c r="S313" s="894"/>
      <c r="T313" s="894"/>
      <c r="U313" s="894"/>
      <c r="V313" s="895"/>
      <c r="W313" s="874" t="s">
        <v>500</v>
      </c>
      <c r="X313" s="891" t="s">
        <v>502</v>
      </c>
      <c r="Y313" s="1085" t="s">
        <v>503</v>
      </c>
      <c r="Z313" s="1083" t="s">
        <v>504</v>
      </c>
      <c r="AA313" s="1093" t="s">
        <v>505</v>
      </c>
      <c r="AB313" s="1072" t="s">
        <v>506</v>
      </c>
      <c r="AC313" s="1073"/>
      <c r="AD313" s="1073"/>
      <c r="AE313" s="1074"/>
      <c r="AF313" s="815"/>
      <c r="AG313" s="815"/>
      <c r="AH313" s="815"/>
    </row>
    <row r="314" spans="1:34" s="247" customFormat="1" ht="27.75" customHeight="1">
      <c r="A314" s="934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981"/>
      <c r="H314" s="990"/>
      <c r="I314" s="987"/>
      <c r="J314" s="358"/>
      <c r="K314" s="358"/>
      <c r="L314" s="775"/>
      <c r="M314" s="981"/>
      <c r="N314" s="934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875"/>
      <c r="X314" s="892"/>
      <c r="Y314" s="1085"/>
      <c r="Z314" s="1084"/>
      <c r="AA314" s="1094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167750</v>
      </c>
      <c r="B315" s="265">
        <f>+SUM(P118:P145)+SUM(BRAN!N294,BRAN!N250:N254,BRAN!N176,BRAN!N88:N108,BRAN!N36:N38,BRAN!N16,BRAN!N18:N20)+SUM(X136:X145)*50+BRAN!N260+BRAN!N179+BRAN!N181+BRAN!N122+BRAN!N117</f>
        <v>568000</v>
      </c>
      <c r="C315" s="265">
        <f>SUM(P146:P173)+SUM(BRAN!N23:N24,BRAN!N39,BRAN!N109:N131,BRAN!N177:N183,BRAN!N255:N264,BRAN!N295:N297,BRAN!N323:N325)-BRAN!N122-BRAN!N117-BRAN!N179-BRAN!N181-BRAN!N260</f>
        <v>1232950</v>
      </c>
      <c r="D315" s="265">
        <f>SUM(P174:P195)+SUM(BRAN!N298:N299,BRAN!N265:N273,BRAN!N184:N186,BRAN!N132:N143,BRAN!N25)+SUM(X174:X195)*50+BRAN!N13</f>
        <v>308050</v>
      </c>
      <c r="E315" s="265">
        <f>SUM(P10:P45,P62:P68)+SUM(BRAN!N42:N59,BRAN!N168,BRAN!N316,BRAN!N17)+SUM(BRAN!U42:U60)*25+BRAN!N169+BRAN!N217+BRAN!N228+BRAN!N223+BRAN!N221</f>
        <v>351775</v>
      </c>
      <c r="F315" s="265">
        <f>SUM(P46:P55)+SUM(BRAN!N206:N216,BRAN!N63:N74,BRAN!N30:N35)+BRAN!N314+BRAN!N317+BRAN!N293</f>
        <v>91400</v>
      </c>
      <c r="G315" s="265">
        <f>+SUM(BRAN!N190:N191)+BRAN!N330</f>
        <v>2125</v>
      </c>
      <c r="H315" s="265">
        <f>SUM(BRAN!N26:N29,BRAN!N232)+BRAN!N61</f>
        <v>32875</v>
      </c>
      <c r="I315" s="632">
        <f>SUM(BRAN!N75:N87,BRAN!N170:N175,BRAN!N245:N249,BRAN!N274:N275,BRAN!N319:N320)+SUM(P69:P73,P55:P61)</f>
        <v>165850</v>
      </c>
      <c r="J315" s="222"/>
      <c r="K315" s="222"/>
      <c r="L315" s="811">
        <f>SUM(A315:I315)</f>
        <v>2920775</v>
      </c>
      <c r="M315" s="264">
        <f>+BRAN!BF26</f>
        <v>7725</v>
      </c>
      <c r="N315" s="264">
        <f>+BRAN!BF25</f>
        <v>262545</v>
      </c>
      <c r="O315" s="493">
        <f>BRAN!BF15+BI135</f>
        <v>2888995</v>
      </c>
      <c r="P315" s="265">
        <f>+BI136+BRAN!BF16</f>
        <v>10351310</v>
      </c>
      <c r="Q315" s="265">
        <f>BI145+BRAN!BF17</f>
        <v>2112725</v>
      </c>
      <c r="R315" s="265"/>
      <c r="S315" s="265"/>
      <c r="T315" s="265">
        <f>BRAN!BF21+BRAN!BF18+BI10</f>
        <v>1075670</v>
      </c>
      <c r="U315" s="265">
        <f>+BRAN!BF20+BI11</f>
        <v>200025</v>
      </c>
      <c r="V315" s="732">
        <f>+BI12</f>
        <v>0</v>
      </c>
      <c r="W315" s="265">
        <f>+BRAN!BF24</f>
        <v>92420</v>
      </c>
      <c r="X315" s="434">
        <f>BK20+BRAN!BI22</f>
        <v>742425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250885</v>
      </c>
      <c r="AB315" s="356">
        <f>+BRAN!Q319+BRAN!Q295+BRAN!Q216+BRAN!Q217+BRAN!Q168+BRAN!Q169+BRAN!Q19+BRAN!Q15+INTGRATE!S128+INTGRATE!S13</f>
        <v>804235</v>
      </c>
      <c r="AC315" s="356">
        <f>S131+BRAN!Q323+BRAN!Q296+BRAN!Q232+BRAN!Q170+BRAN!Q17</f>
        <v>1946775</v>
      </c>
      <c r="AD315" s="356">
        <f>BRAN!Q18+BRAN!Q325+BRAN!Q233+BRAN!Q298+S16</f>
        <v>448600</v>
      </c>
      <c r="AE315" s="356">
        <f>S144+S19+BRAN!Q16+BRAN!Q171+BRAN!Q245+BRAN!Q297+BRAN!Q320</f>
        <v>14283345</v>
      </c>
      <c r="AF315" s="590">
        <f>SUM(M315:X315)</f>
        <v>17733840</v>
      </c>
      <c r="AG315" s="848">
        <f>SUM(Y315:AE315)</f>
        <v>17733840</v>
      </c>
      <c r="AH315" s="848">
        <f>AG315-AF315</f>
        <v>0</v>
      </c>
    </row>
    <row r="316" spans="1:34" s="726" customFormat="1" ht="15" customHeight="1" thickBot="1">
      <c r="A316" s="723">
        <f>A315/$L$315</f>
        <v>5.7433386686752658E-2</v>
      </c>
      <c r="B316" s="723">
        <f t="shared" ref="B316:I316" si="98">B315/$L$315</f>
        <v>0.19446893375901944</v>
      </c>
      <c r="C316" s="723">
        <f t="shared" si="98"/>
        <v>0.4221311124615898</v>
      </c>
      <c r="D316" s="723">
        <f t="shared" si="98"/>
        <v>0.10546858282476397</v>
      </c>
      <c r="E316" s="723">
        <f t="shared" si="98"/>
        <v>0.12043892460049131</v>
      </c>
      <c r="F316" s="723">
        <f t="shared" si="98"/>
        <v>3.129306434079996E-2</v>
      </c>
      <c r="G316" s="723">
        <f t="shared" si="98"/>
        <v>7.2754662717943017E-4</v>
      </c>
      <c r="H316" s="723">
        <f t="shared" si="98"/>
        <v>1.1255574291070007E-2</v>
      </c>
      <c r="I316" s="723">
        <f t="shared" si="98"/>
        <v>5.6782874408333406E-2</v>
      </c>
      <c r="J316" s="724"/>
      <c r="K316" s="724"/>
      <c r="L316" s="776"/>
      <c r="M316" s="723">
        <f>M315/$O$310</f>
        <v>4.3560785481317073E-4</v>
      </c>
      <c r="N316" s="723">
        <f t="shared" ref="N316:X316" si="99">N315/$O$310</f>
        <v>1.4804746180184326E-2</v>
      </c>
      <c r="O316" s="723">
        <f t="shared" si="99"/>
        <v>0.16290859734834645</v>
      </c>
      <c r="P316" s="723">
        <f t="shared" si="99"/>
        <v>0.58370381147004824</v>
      </c>
      <c r="Q316" s="723">
        <f t="shared" si="99"/>
        <v>0.11913522395600727</v>
      </c>
      <c r="R316" s="723">
        <f t="shared" si="99"/>
        <v>0</v>
      </c>
      <c r="S316" s="723">
        <f t="shared" si="99"/>
        <v>0</v>
      </c>
      <c r="T316" s="723">
        <f t="shared" si="99"/>
        <v>6.0656349668204969E-2</v>
      </c>
      <c r="U316" s="723">
        <f t="shared" si="99"/>
        <v>1.1279282997929383E-2</v>
      </c>
      <c r="V316" s="723">
        <f t="shared" si="99"/>
        <v>0</v>
      </c>
      <c r="W316" s="723">
        <f t="shared" si="99"/>
        <v>5.2115052351887695E-3</v>
      </c>
      <c r="X316" s="764">
        <f t="shared" si="99"/>
        <v>4.1864875289277452E-2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1.4147246168906452E-2</v>
      </c>
      <c r="AB316" s="725">
        <f t="shared" si="100"/>
        <v>4.5350302021446007E-2</v>
      </c>
      <c r="AC316" s="725">
        <f t="shared" si="100"/>
        <v>0.10977740861539294</v>
      </c>
      <c r="AD316" s="725">
        <f t="shared" si="100"/>
        <v>2.5296269730639274E-2</v>
      </c>
      <c r="AE316" s="725">
        <f t="shared" si="100"/>
        <v>0.8054287734636153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976"/>
      <c r="M317" s="976"/>
      <c r="N317" s="976"/>
      <c r="O317" s="976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1725645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1725645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40">
        <f>[2]BRAN!N3</f>
        <v>41756</v>
      </c>
      <c r="P3" s="1140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45" t="s">
        <v>13</v>
      </c>
      <c r="B7" s="1145"/>
      <c r="C7" s="1145"/>
      <c r="D7" s="1145"/>
      <c r="E7" s="1145"/>
      <c r="F7" s="1145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45" t="s">
        <v>14</v>
      </c>
      <c r="B8" s="1145"/>
      <c r="C8" s="1145"/>
      <c r="D8" s="1145"/>
      <c r="E8" s="1145"/>
      <c r="F8" s="1145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45" t="s">
        <v>252</v>
      </c>
      <c r="B9" s="1145"/>
      <c r="C9" s="1145"/>
      <c r="D9" s="1145"/>
      <c r="E9" s="1145"/>
      <c r="F9" s="1145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963">
        <f>+BRAN!O3</f>
        <v>46151</v>
      </c>
      <c r="Q9" s="963"/>
      <c r="R9" s="963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41" t="s">
        <v>524</v>
      </c>
      <c r="B13" s="1141"/>
      <c r="C13" s="1141"/>
      <c r="D13" s="1141"/>
      <c r="E13" s="1141"/>
      <c r="F13" s="1141"/>
      <c r="G13" s="1141"/>
      <c r="H13" s="1141"/>
      <c r="I13" s="1141"/>
      <c r="J13" s="1141"/>
      <c r="K13" s="1141"/>
      <c r="L13" s="1141"/>
      <c r="M13" s="1141"/>
      <c r="N13" s="1141"/>
      <c r="O13" s="1141"/>
      <c r="P13" s="1141"/>
      <c r="Q13" s="1141"/>
      <c r="R13" s="1141"/>
    </row>
    <row r="14" spans="1:19" ht="17.25" customHeight="1">
      <c r="A14" s="1142" t="s">
        <v>525</v>
      </c>
      <c r="B14" s="1142"/>
      <c r="C14" s="1142"/>
      <c r="D14" s="1142"/>
      <c r="E14" s="1142"/>
      <c r="F14" s="1142"/>
      <c r="G14" s="1142"/>
      <c r="H14" s="1142"/>
      <c r="I14" s="1142"/>
      <c r="J14" s="1142"/>
      <c r="K14" s="1142"/>
      <c r="L14" s="1142"/>
      <c r="M14" s="1142"/>
      <c r="N14" s="1142"/>
      <c r="O14" s="1142"/>
      <c r="P14" s="1142"/>
      <c r="Q14" s="1142"/>
      <c r="R14" s="1142"/>
    </row>
    <row r="15" spans="1:19" ht="13.7" customHeight="1">
      <c r="A15" s="279"/>
      <c r="B15" s="1143"/>
      <c r="C15" s="1143"/>
      <c r="D15" s="1143"/>
      <c r="E15" s="1143"/>
      <c r="F15" s="1143"/>
      <c r="G15" s="1144"/>
      <c r="H15" s="1144"/>
      <c r="I15" s="1144"/>
      <c r="J15" s="1144"/>
      <c r="K15" s="1144"/>
      <c r="L15" s="1144"/>
      <c r="M15" s="1144"/>
      <c r="N15" s="1144"/>
      <c r="O15" s="1144"/>
      <c r="P15" s="1143"/>
      <c r="Q15" s="1143"/>
      <c r="R15" s="1143"/>
    </row>
    <row r="16" spans="1:19" s="28" customFormat="1" ht="30.75" customHeight="1">
      <c r="A16" s="1133" t="s">
        <v>22</v>
      </c>
      <c r="B16" s="1152" t="s">
        <v>23</v>
      </c>
      <c r="C16" s="1152" t="s">
        <v>24</v>
      </c>
      <c r="D16" s="1149" t="s">
        <v>25</v>
      </c>
      <c r="E16" s="751" t="s">
        <v>26</v>
      </c>
      <c r="F16" s="1138" t="s">
        <v>526</v>
      </c>
      <c r="G16" s="1131" t="s">
        <v>527</v>
      </c>
      <c r="H16" s="1132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58" t="s">
        <v>531</v>
      </c>
      <c r="R16" s="1156" t="s">
        <v>532</v>
      </c>
    </row>
    <row r="17" spans="1:254" s="28" customFormat="1" ht="30.75" customHeight="1">
      <c r="A17" s="1134"/>
      <c r="B17" s="1153"/>
      <c r="C17" s="1153"/>
      <c r="D17" s="1150" t="s">
        <v>35</v>
      </c>
      <c r="E17" s="752" t="s">
        <v>36</v>
      </c>
      <c r="F17" s="1139"/>
      <c r="G17" s="1136" t="s">
        <v>533</v>
      </c>
      <c r="H17" s="1137"/>
      <c r="I17" s="755" t="s">
        <v>534</v>
      </c>
      <c r="J17" s="755"/>
      <c r="K17" s="755"/>
      <c r="L17" s="755"/>
      <c r="M17" s="756" t="s">
        <v>535</v>
      </c>
      <c r="N17" s="1136" t="s">
        <v>536</v>
      </c>
      <c r="O17" s="1137"/>
      <c r="P17" s="759" t="s">
        <v>537</v>
      </c>
      <c r="Q17" s="1159"/>
      <c r="R17" s="1157"/>
    </row>
    <row r="18" spans="1:254" s="28" customFormat="1" ht="30.75" customHeight="1">
      <c r="A18" s="1135"/>
      <c r="B18" s="1154"/>
      <c r="C18" s="1154"/>
      <c r="D18" s="1151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55" t="s">
        <v>544</v>
      </c>
      <c r="B23" s="1155"/>
      <c r="C23" s="1155"/>
      <c r="D23" s="1155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47">
        <f t="shared" ref="T23:AX23" si="4">SUM(T19:T21)</f>
        <v>0</v>
      </c>
      <c r="U23" s="1147">
        <f t="shared" si="4"/>
        <v>0</v>
      </c>
      <c r="V23" s="1147">
        <f t="shared" si="4"/>
        <v>0</v>
      </c>
      <c r="W23" s="1147">
        <f t="shared" si="4"/>
        <v>0</v>
      </c>
      <c r="X23" s="1147">
        <f t="shared" si="4"/>
        <v>0</v>
      </c>
      <c r="Y23" s="1147">
        <f t="shared" si="4"/>
        <v>0</v>
      </c>
      <c r="Z23" s="1147">
        <f t="shared" si="4"/>
        <v>0</v>
      </c>
      <c r="AA23" s="1147">
        <f t="shared" si="4"/>
        <v>0</v>
      </c>
      <c r="AB23" s="1147">
        <f t="shared" si="4"/>
        <v>0</v>
      </c>
      <c r="AC23" s="1147">
        <f t="shared" si="4"/>
        <v>0</v>
      </c>
      <c r="AD23" s="1147">
        <f t="shared" si="4"/>
        <v>0</v>
      </c>
      <c r="AE23" s="1147">
        <f t="shared" si="4"/>
        <v>0</v>
      </c>
      <c r="AF23" s="1147">
        <f t="shared" si="4"/>
        <v>0</v>
      </c>
      <c r="AG23" s="1147">
        <f t="shared" si="4"/>
        <v>0</v>
      </c>
      <c r="AH23" s="1147">
        <f t="shared" si="4"/>
        <v>0</v>
      </c>
      <c r="AI23" s="1147">
        <f t="shared" si="4"/>
        <v>0</v>
      </c>
      <c r="AJ23" s="1147">
        <f t="shared" si="4"/>
        <v>0</v>
      </c>
      <c r="AK23" s="1147">
        <f t="shared" si="4"/>
        <v>0</v>
      </c>
      <c r="AL23" s="1147">
        <f t="shared" si="4"/>
        <v>0</v>
      </c>
      <c r="AM23" s="1147">
        <f t="shared" si="4"/>
        <v>0</v>
      </c>
      <c r="AN23" s="1147">
        <f t="shared" si="4"/>
        <v>0</v>
      </c>
      <c r="AO23" s="1147">
        <f t="shared" si="4"/>
        <v>0</v>
      </c>
      <c r="AP23" s="1147">
        <f t="shared" si="4"/>
        <v>0</v>
      </c>
      <c r="AQ23" s="1147">
        <f t="shared" si="4"/>
        <v>0</v>
      </c>
      <c r="AR23" s="1147">
        <f t="shared" si="4"/>
        <v>0</v>
      </c>
      <c r="AS23" s="1147">
        <f t="shared" si="4"/>
        <v>0</v>
      </c>
      <c r="AT23" s="1147">
        <f t="shared" si="4"/>
        <v>0</v>
      </c>
      <c r="AU23" s="1147">
        <f t="shared" si="4"/>
        <v>0</v>
      </c>
      <c r="AV23" s="1147">
        <f t="shared" si="4"/>
        <v>0</v>
      </c>
      <c r="AW23" s="1147">
        <f t="shared" si="4"/>
        <v>0</v>
      </c>
      <c r="AX23" s="1147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46" t="s">
        <v>545</v>
      </c>
      <c r="B24" s="1146"/>
      <c r="C24" s="1146"/>
      <c r="D24" s="1146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48"/>
      <c r="U24" s="1148"/>
      <c r="V24" s="1148"/>
      <c r="W24" s="1148"/>
      <c r="X24" s="1148"/>
      <c r="Y24" s="1148"/>
      <c r="Z24" s="1148"/>
      <c r="AA24" s="1148"/>
      <c r="AB24" s="1148"/>
      <c r="AC24" s="1148"/>
      <c r="AD24" s="1148"/>
      <c r="AE24" s="1148"/>
      <c r="AF24" s="1148"/>
      <c r="AG24" s="1148"/>
      <c r="AH24" s="1148"/>
      <c r="AI24" s="1148"/>
      <c r="AJ24" s="1148"/>
      <c r="AK24" s="1148"/>
      <c r="AL24" s="1148"/>
      <c r="AM24" s="1148"/>
      <c r="AN24" s="1148"/>
      <c r="AO24" s="1148"/>
      <c r="AP24" s="1148"/>
      <c r="AQ24" s="1148"/>
      <c r="AR24" s="1148"/>
      <c r="AS24" s="1148"/>
      <c r="AT24" s="1148"/>
      <c r="AU24" s="1148"/>
      <c r="AV24" s="1148"/>
      <c r="AW24" s="1148"/>
      <c r="AX24" s="1148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70" zoomScaleNormal="100" workbookViewId="0">
      <selection activeCell="K79" sqref="K79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5550</v>
      </c>
      <c r="C1" s="572">
        <f t="shared" ref="C1:C32" si="0">IF(F1="","",B1-K1)</f>
        <v>0</v>
      </c>
      <c r="D1" s="573" t="str">
        <f>IFERROR(VLOOKUP(E1,Map!$B:$F,4,0),"")&amp;IFERROR(VLOOKUP(E1,Map!$B:$F,5,0),"")</f>
        <v>550Pro25</v>
      </c>
      <c r="E1" s="574" t="str">
        <f>IF(MID(F1,10,2)="99",F1&amp;H1,LEFT(F1,14))</f>
        <v>21115501600125</v>
      </c>
      <c r="F1" s="428">
        <v>21115501600125</v>
      </c>
      <c r="G1" t="s">
        <v>1720</v>
      </c>
      <c r="H1" t="s">
        <v>17</v>
      </c>
      <c r="I1">
        <v>25</v>
      </c>
      <c r="J1" s="442">
        <v>222</v>
      </c>
      <c r="K1" s="442">
        <v>5550</v>
      </c>
      <c r="L1" s="14">
        <v>126873000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5000</v>
      </c>
      <c r="C2" s="572">
        <f t="shared" si="0"/>
        <v>0</v>
      </c>
      <c r="D2" s="573" t="str">
        <f>IFERROR(VLOOKUP(E2,Map!$B:$F,4,0),"")&amp;IFERROR(VLOOKUP(E2,Map!$B:$F,5,0),"")</f>
        <v>551Pro25</v>
      </c>
      <c r="E2" s="574" t="str">
        <f t="shared" ref="E2:E32" si="1">IF(MID(F2,10,2)="99",F2&amp;H2,LEFT(F2,14))</f>
        <v>21115511600125</v>
      </c>
      <c r="F2" s="428">
        <v>21115511600125</v>
      </c>
      <c r="G2" t="s">
        <v>1730</v>
      </c>
      <c r="H2" t="s">
        <v>17</v>
      </c>
      <c r="I2">
        <v>25</v>
      </c>
      <c r="J2" s="442">
        <v>200</v>
      </c>
      <c r="K2" s="442">
        <v>5000</v>
      </c>
      <c r="L2" s="14">
        <v>71673750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3575</v>
      </c>
      <c r="C3" s="572">
        <f t="shared" si="0"/>
        <v>0</v>
      </c>
      <c r="D3" s="573" t="str">
        <f>IFERROR(VLOOKUP(E3,Map!$B:$F,4,0),"")&amp;IFERROR(VLOOKUP(E3,Map!$B:$F,5,0),"")</f>
        <v>552Pro25</v>
      </c>
      <c r="E3" s="574" t="str">
        <f t="shared" si="1"/>
        <v>21115521600125</v>
      </c>
      <c r="F3" s="428">
        <v>21115521600125</v>
      </c>
      <c r="G3" t="s">
        <v>1728</v>
      </c>
      <c r="H3" t="s">
        <v>17</v>
      </c>
      <c r="I3">
        <v>25</v>
      </c>
      <c r="J3" s="442">
        <v>143</v>
      </c>
      <c r="K3" s="442">
        <v>3575</v>
      </c>
      <c r="L3" s="14">
        <v>40612000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2625</v>
      </c>
      <c r="C4" s="572">
        <f t="shared" si="0"/>
        <v>0</v>
      </c>
      <c r="D4" s="573" t="str">
        <f>IFERROR(VLOOKUP(E4,Map!$B:$F,4,0),"")&amp;IFERROR(VLOOKUP(E4,Map!$B:$F,5,0),"")</f>
        <v>552SPro25</v>
      </c>
      <c r="E4" s="574" t="str">
        <f t="shared" si="1"/>
        <v>21115521916125</v>
      </c>
      <c r="F4" s="428">
        <v>21115521916125</v>
      </c>
      <c r="G4" t="s">
        <v>1726</v>
      </c>
      <c r="H4" t="s">
        <v>17</v>
      </c>
      <c r="I4">
        <v>25</v>
      </c>
      <c r="J4" s="442">
        <v>105</v>
      </c>
      <c r="K4" s="442">
        <v>2625</v>
      </c>
      <c r="L4" s="14">
        <v>33075000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5530</v>
      </c>
      <c r="C5" s="572">
        <f t="shared" si="0"/>
        <v>0</v>
      </c>
      <c r="D5" s="573" t="str">
        <f>IFERROR(VLOOKUP(E5,Map!$B:$F,4,0),"")&amp;IFERROR(VLOOKUP(E5,Map!$B:$F,5,0),"")</f>
        <v>HT11SILO</v>
      </c>
      <c r="E5" s="574" t="str">
        <f t="shared" si="1"/>
        <v>21135510000100</v>
      </c>
      <c r="F5" s="428">
        <v>21135510000100</v>
      </c>
      <c r="G5" t="s">
        <v>1761</v>
      </c>
      <c r="H5" t="s">
        <v>17</v>
      </c>
      <c r="I5">
        <v>0</v>
      </c>
      <c r="J5" s="442">
        <v>0</v>
      </c>
      <c r="K5" s="442">
        <v>5530</v>
      </c>
      <c r="L5" s="14">
        <v>89586000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7470</v>
      </c>
      <c r="C6" s="572">
        <f t="shared" si="0"/>
        <v>0</v>
      </c>
      <c r="D6" s="573" t="str">
        <f>IFERROR(VLOOKUP(E6,Map!$B:$F,4,0),"")&amp;IFERROR(VLOOKUP(E6,Map!$B:$F,5,0),"")</f>
        <v>HT12Ssilo</v>
      </c>
      <c r="E6" s="574" t="str">
        <f t="shared" si="1"/>
        <v>21135521900100</v>
      </c>
      <c r="F6" s="428">
        <v>21135521900100</v>
      </c>
      <c r="G6" t="s">
        <v>1851</v>
      </c>
      <c r="H6" t="s">
        <v>17</v>
      </c>
      <c r="I6">
        <v>0</v>
      </c>
      <c r="J6" s="442">
        <v>0</v>
      </c>
      <c r="K6" s="442">
        <v>7470</v>
      </c>
      <c r="L6" s="14">
        <v>90237600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50</v>
      </c>
      <c r="C7" s="572">
        <f t="shared" si="0"/>
        <v>0</v>
      </c>
      <c r="D7" s="573" t="str">
        <f>IFERROR(VLOOKUP(E7,Map!$B:$F,4,0),"")&amp;IFERROR(VLOOKUP(E7,Map!$B:$F,5,0),"")</f>
        <v>550P10</v>
      </c>
      <c r="E7" s="574" t="str">
        <f t="shared" si="1"/>
        <v>21115501600110</v>
      </c>
      <c r="F7" s="428">
        <v>21115501600110</v>
      </c>
      <c r="G7" t="s">
        <v>2070</v>
      </c>
      <c r="H7" t="s">
        <v>17</v>
      </c>
      <c r="I7">
        <v>10</v>
      </c>
      <c r="J7" s="442">
        <v>5</v>
      </c>
      <c r="K7" s="442">
        <v>50</v>
      </c>
      <c r="L7" s="14">
        <v>2490000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11000</v>
      </c>
      <c r="C8" s="572">
        <f t="shared" si="0"/>
        <v>0</v>
      </c>
      <c r="D8" s="573" t="str">
        <f>IFERROR(VLOOKUP(E8,Map!$B:$F,4,0),"")&amp;IFERROR(VLOOKUP(E8,Map!$B:$F,5,0),"")</f>
        <v>550PF10</v>
      </c>
      <c r="E8" s="574" t="str">
        <f t="shared" si="1"/>
        <v>21115501600210</v>
      </c>
      <c r="F8" s="428">
        <v>21115501600210</v>
      </c>
      <c r="G8" t="s">
        <v>2071</v>
      </c>
      <c r="H8" t="s">
        <v>17</v>
      </c>
      <c r="I8">
        <v>10</v>
      </c>
      <c r="J8" s="442">
        <v>1100</v>
      </c>
      <c r="K8" s="442">
        <v>11000</v>
      </c>
      <c r="L8" s="14">
        <v>288860000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2500</v>
      </c>
      <c r="C9" s="572">
        <f t="shared" si="0"/>
        <v>0</v>
      </c>
      <c r="D9" s="573" t="str">
        <f>IFERROR(VLOOKUP(E9,Map!$B:$F,4,0),"")&amp;IFERROR(VLOOKUP(E9,Map!$B:$F,5,0),"")</f>
        <v>30125</v>
      </c>
      <c r="E9" s="574" t="str">
        <f t="shared" si="1"/>
        <v>21113010000125</v>
      </c>
      <c r="F9" s="428">
        <v>21113010000125</v>
      </c>
      <c r="G9" t="s">
        <v>2072</v>
      </c>
      <c r="H9" t="s">
        <v>17</v>
      </c>
      <c r="I9">
        <v>25</v>
      </c>
      <c r="J9" s="442">
        <v>100</v>
      </c>
      <c r="K9" s="442">
        <v>2500</v>
      </c>
      <c r="L9" s="14">
        <v>29450000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1300</v>
      </c>
      <c r="C10" s="572">
        <f t="shared" si="0"/>
        <v>0</v>
      </c>
      <c r="D10" s="573" t="str">
        <f>IFERROR(VLOOKUP(E10,Map!$B:$F,4,0),"")&amp;IFERROR(VLOOKUP(E10,Map!$B:$F,5,0),"")</f>
        <v>30225</v>
      </c>
      <c r="E10" s="574" t="str">
        <f t="shared" si="1"/>
        <v>21113020000125</v>
      </c>
      <c r="F10" s="428">
        <v>21113020000125</v>
      </c>
      <c r="G10" t="s">
        <v>2073</v>
      </c>
      <c r="H10" t="s">
        <v>17</v>
      </c>
      <c r="I10">
        <v>25</v>
      </c>
      <c r="J10" s="442">
        <v>52</v>
      </c>
      <c r="K10" s="442">
        <v>1300</v>
      </c>
      <c r="L10" s="14">
        <v>13780000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10900</v>
      </c>
      <c r="C11" s="572">
        <f t="shared" si="0"/>
        <v>0</v>
      </c>
      <c r="D11" s="573" t="str">
        <f>IFERROR(VLOOKUP(E11,Map!$B:$F,4,0),"")&amp;IFERROR(VLOOKUP(E11,Map!$B:$F,5,0),"")</f>
        <v>51025</v>
      </c>
      <c r="E11" s="574" t="str">
        <f t="shared" si="1"/>
        <v>21115100000125</v>
      </c>
      <c r="F11" s="428">
        <v>21115100000125</v>
      </c>
      <c r="G11" t="s">
        <v>2074</v>
      </c>
      <c r="H11" t="s">
        <v>17</v>
      </c>
      <c r="I11">
        <v>25</v>
      </c>
      <c r="J11" s="442">
        <v>436</v>
      </c>
      <c r="K11" s="442">
        <v>10900</v>
      </c>
      <c r="L11" s="14">
        <v>135923000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750</v>
      </c>
      <c r="C12" s="572">
        <f t="shared" si="0"/>
        <v>0</v>
      </c>
      <c r="D12" s="573" t="str">
        <f>IFERROR(VLOOKUP(E12,Map!$B:$F,4,0),"")&amp;IFERROR(VLOOKUP(E12,Map!$B:$F,5,0),"")</f>
        <v>510M25</v>
      </c>
      <c r="E12" s="574" t="str">
        <f t="shared" si="1"/>
        <v>21115101300125</v>
      </c>
      <c r="F12" s="428">
        <v>21115101300125</v>
      </c>
      <c r="G12" t="s">
        <v>2075</v>
      </c>
      <c r="H12" t="s">
        <v>17</v>
      </c>
      <c r="I12">
        <v>25</v>
      </c>
      <c r="J12" s="442">
        <v>30</v>
      </c>
      <c r="K12" s="442">
        <v>750</v>
      </c>
      <c r="L12" s="14">
        <v>8932500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6600</v>
      </c>
      <c r="C13" s="572">
        <f t="shared" si="0"/>
        <v>0</v>
      </c>
      <c r="D13" s="573" t="str">
        <f>IFERROR(VLOOKUP(E13,Map!$B:$F,4,0),"")&amp;IFERROR(VLOOKUP(E13,Map!$B:$F,5,0),"")</f>
        <v>510NFP9250</v>
      </c>
      <c r="E13" s="574" t="str">
        <f t="shared" si="1"/>
        <v>21115101499250P92</v>
      </c>
      <c r="F13" s="428">
        <v>21115101499250</v>
      </c>
      <c r="G13" t="s">
        <v>1385</v>
      </c>
      <c r="H13" t="s">
        <v>2076</v>
      </c>
      <c r="I13">
        <v>50</v>
      </c>
      <c r="J13" s="442">
        <v>132</v>
      </c>
      <c r="K13" s="442">
        <v>6600</v>
      </c>
      <c r="L13" s="14">
        <v>76494000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750</v>
      </c>
      <c r="C14" s="572">
        <f t="shared" si="0"/>
        <v>0</v>
      </c>
      <c r="D14" s="573" t="str">
        <f>IFERROR(VLOOKUP(E14,Map!$B:$F,4,0),"")&amp;IFERROR(VLOOKUP(E14,Map!$B:$F,5,0),"")</f>
        <v>51125</v>
      </c>
      <c r="E14" s="574" t="str">
        <f t="shared" si="1"/>
        <v>21115110000125</v>
      </c>
      <c r="F14" s="428">
        <v>21115110000125</v>
      </c>
      <c r="G14" t="s">
        <v>2077</v>
      </c>
      <c r="H14" t="s">
        <v>17</v>
      </c>
      <c r="I14">
        <v>25</v>
      </c>
      <c r="J14" s="442">
        <v>30</v>
      </c>
      <c r="K14" s="442">
        <v>750</v>
      </c>
      <c r="L14" s="14">
        <v>9022500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1400</v>
      </c>
      <c r="C15" s="572">
        <f t="shared" si="0"/>
        <v>0</v>
      </c>
      <c r="D15" s="573" t="str">
        <f>IFERROR(VLOOKUP(E15,Map!$B:$F,4,0),"")&amp;IFERROR(VLOOKUP(E15,Map!$B:$F,5,0),"")</f>
        <v>511ANFP9250</v>
      </c>
      <c r="E15" s="574" t="str">
        <f t="shared" si="1"/>
        <v>21115114399250P92</v>
      </c>
      <c r="F15" s="428">
        <v>21115114399250</v>
      </c>
      <c r="G15" t="s">
        <v>1222</v>
      </c>
      <c r="H15" t="s">
        <v>2076</v>
      </c>
      <c r="I15">
        <v>50</v>
      </c>
      <c r="J15" s="442">
        <v>28</v>
      </c>
      <c r="K15" s="442">
        <v>1400</v>
      </c>
      <c r="L15" s="14">
        <v>16296000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7150</v>
      </c>
      <c r="C16" s="572">
        <f t="shared" si="0"/>
        <v>0</v>
      </c>
      <c r="D16" s="573" t="str">
        <f>IFERROR(VLOOKUP(E16,Map!$B:$F,4,0),"")&amp;IFERROR(VLOOKUP(E16,Map!$B:$F,5,0),"")</f>
        <v>511AS25</v>
      </c>
      <c r="E16" s="574" t="str">
        <f t="shared" si="1"/>
        <v>21115110119125</v>
      </c>
      <c r="F16" s="428">
        <v>21115110119125</v>
      </c>
      <c r="G16" t="s">
        <v>1955</v>
      </c>
      <c r="H16" t="s">
        <v>17</v>
      </c>
      <c r="I16">
        <v>25</v>
      </c>
      <c r="J16" s="442">
        <v>286</v>
      </c>
      <c r="K16" s="442">
        <v>7150</v>
      </c>
      <c r="L16" s="14">
        <v>89375000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13275</v>
      </c>
      <c r="C17" s="572">
        <f t="shared" si="0"/>
        <v>0</v>
      </c>
      <c r="D17" s="573" t="str">
        <f>IFERROR(VLOOKUP(E17,Map!$B:$F,4,0),"")&amp;IFERROR(VLOOKUP(E17,Map!$B:$F,5,0),"")</f>
        <v>511B25</v>
      </c>
      <c r="E17" s="574" t="str">
        <f t="shared" si="1"/>
        <v>21115110200125</v>
      </c>
      <c r="F17" s="428">
        <v>21115110200125</v>
      </c>
      <c r="G17" t="s">
        <v>2078</v>
      </c>
      <c r="H17" t="s">
        <v>17</v>
      </c>
      <c r="I17">
        <v>25</v>
      </c>
      <c r="J17" s="442">
        <v>531</v>
      </c>
      <c r="K17" s="442">
        <v>13275</v>
      </c>
      <c r="L17" s="14">
        <v>158370750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2025</v>
      </c>
      <c r="C18" s="572">
        <f t="shared" si="0"/>
        <v>0</v>
      </c>
      <c r="D18" s="573" t="str">
        <f>IFERROR(VLOOKUP(E18,Map!$B:$F,4,0),"")&amp;IFERROR(VLOOKUP(E18,Map!$B:$F,5,0),"")</f>
        <v>511M25</v>
      </c>
      <c r="E18" s="574" t="str">
        <f t="shared" si="1"/>
        <v>21115111300125</v>
      </c>
      <c r="F18" s="428">
        <v>21115111300125</v>
      </c>
      <c r="G18" t="s">
        <v>2079</v>
      </c>
      <c r="H18" t="s">
        <v>17</v>
      </c>
      <c r="I18">
        <v>25</v>
      </c>
      <c r="J18" s="442">
        <v>81</v>
      </c>
      <c r="K18" s="442">
        <v>2025</v>
      </c>
      <c r="L18" s="14">
        <v>23186250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6000</v>
      </c>
      <c r="C19" s="572">
        <f t="shared" si="0"/>
        <v>0</v>
      </c>
      <c r="D19" s="573" t="str">
        <f>IFERROR(VLOOKUP(E19,Map!$B:$F,4,0),"")&amp;IFERROR(VLOOKUP(E19,Map!$B:$F,5,0),"")</f>
        <v>511S25</v>
      </c>
      <c r="E19" s="574" t="str">
        <f t="shared" si="1"/>
        <v>21115111900125</v>
      </c>
      <c r="F19" s="428">
        <v>21115111900125</v>
      </c>
      <c r="G19" t="s">
        <v>1975</v>
      </c>
      <c r="H19" t="s">
        <v>17</v>
      </c>
      <c r="I19">
        <v>25</v>
      </c>
      <c r="J19" s="442">
        <v>240</v>
      </c>
      <c r="K19" s="442">
        <v>6000</v>
      </c>
      <c r="L19" s="14">
        <v>74100000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21450</v>
      </c>
      <c r="C20" s="572">
        <f t="shared" si="0"/>
        <v>0</v>
      </c>
      <c r="D20" s="573" t="str">
        <f>IFERROR(VLOOKUP(E20,Map!$B:$F,4,0),"")&amp;IFERROR(VLOOKUP(E20,Map!$B:$F,5,0),"")</f>
        <v>513F50</v>
      </c>
      <c r="E20" s="574" t="str">
        <f t="shared" si="1"/>
        <v>21115130000250</v>
      </c>
      <c r="F20" s="428">
        <v>21115130000250</v>
      </c>
      <c r="G20" t="s">
        <v>2080</v>
      </c>
      <c r="H20" t="s">
        <v>17</v>
      </c>
      <c r="I20">
        <v>50</v>
      </c>
      <c r="J20" s="442">
        <v>429</v>
      </c>
      <c r="K20" s="442">
        <v>21450</v>
      </c>
      <c r="L20" s="14">
        <v>233161500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24675</v>
      </c>
      <c r="C21" s="572">
        <f t="shared" si="0"/>
        <v>0</v>
      </c>
      <c r="D21" s="573" t="str">
        <f>IFERROR(VLOOKUP(E21,Map!$B:$F,4,0),"")&amp;IFERROR(VLOOKUP(E21,Map!$B:$F,5,0),"")</f>
        <v>52425</v>
      </c>
      <c r="E21" s="574" t="str">
        <f t="shared" si="1"/>
        <v>21115240000125</v>
      </c>
      <c r="F21" s="428">
        <v>21115240000125</v>
      </c>
      <c r="G21" t="s">
        <v>2081</v>
      </c>
      <c r="H21" t="s">
        <v>17</v>
      </c>
      <c r="I21">
        <v>25</v>
      </c>
      <c r="J21" s="442">
        <v>987</v>
      </c>
      <c r="K21" s="442">
        <v>24675</v>
      </c>
      <c r="L21" s="14">
        <v>236530750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27000</v>
      </c>
      <c r="C22" s="572">
        <f t="shared" si="0"/>
        <v>0</v>
      </c>
      <c r="D22" s="573" t="str">
        <f>IFERROR(VLOOKUP(E22,Map!$B:$F,4,0),"")&amp;IFERROR(VLOOKUP(E22,Map!$B:$F,5,0),"")</f>
        <v>540F50</v>
      </c>
      <c r="E22" s="574" t="str">
        <f t="shared" si="1"/>
        <v>21115400000250</v>
      </c>
      <c r="F22" s="428">
        <v>21115400000250</v>
      </c>
      <c r="G22" t="s">
        <v>2082</v>
      </c>
      <c r="H22" t="s">
        <v>17</v>
      </c>
      <c r="I22">
        <v>50</v>
      </c>
      <c r="J22" s="442">
        <v>540</v>
      </c>
      <c r="K22" s="442">
        <v>27000</v>
      </c>
      <c r="L22" s="14">
        <v>241380000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14970</v>
      </c>
      <c r="C23" s="572">
        <f t="shared" si="0"/>
        <v>0</v>
      </c>
      <c r="D23" s="573" t="str">
        <f>IFERROR(VLOOKUP(E23,Map!$B:$F,4,0),"")&amp;IFERROR(VLOOKUP(E23,Map!$B:$F,5,0),"")</f>
        <v>540FSilo</v>
      </c>
      <c r="E23" s="574" t="str">
        <f t="shared" si="1"/>
        <v>21115400000300</v>
      </c>
      <c r="F23" s="428">
        <v>21115400000300</v>
      </c>
      <c r="G23" t="s">
        <v>2083</v>
      </c>
      <c r="H23" t="s">
        <v>17</v>
      </c>
      <c r="I23">
        <v>0</v>
      </c>
      <c r="J23" s="442">
        <v>0</v>
      </c>
      <c r="K23" s="442">
        <v>14970</v>
      </c>
      <c r="L23" s="14">
        <v>132035400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9425</v>
      </c>
      <c r="C24" s="572">
        <f t="shared" si="0"/>
        <v>0</v>
      </c>
      <c r="D24" s="573" t="str">
        <f>IFERROR(VLOOKUP(E24,Map!$B:$F,4,0),"")&amp;IFERROR(VLOOKUP(E24,Map!$B:$F,5,0),"")</f>
        <v>54425</v>
      </c>
      <c r="E24" s="574" t="str">
        <f t="shared" si="1"/>
        <v>21115440000125</v>
      </c>
      <c r="F24" s="428">
        <v>21115440000125</v>
      </c>
      <c r="G24" t="s">
        <v>1199</v>
      </c>
      <c r="H24" t="s">
        <v>17</v>
      </c>
      <c r="I24">
        <v>25</v>
      </c>
      <c r="J24" s="442">
        <v>377</v>
      </c>
      <c r="K24" s="442">
        <v>9425</v>
      </c>
      <c r="L24" s="14">
        <v>93778750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200</v>
      </c>
      <c r="C25" s="572">
        <f t="shared" si="0"/>
        <v>0</v>
      </c>
      <c r="D25" s="573" t="str">
        <f>IFERROR(VLOOKUP(E25,Map!$B:$F,4,0),"")&amp;IFERROR(VLOOKUP(E25,Map!$B:$F,5,0),"")</f>
        <v>54825</v>
      </c>
      <c r="E25" s="574" t="str">
        <f t="shared" si="1"/>
        <v>21115480000125</v>
      </c>
      <c r="F25" s="428">
        <v>21115480000125</v>
      </c>
      <c r="G25" t="s">
        <v>2084</v>
      </c>
      <c r="H25" t="s">
        <v>17</v>
      </c>
      <c r="I25">
        <v>25</v>
      </c>
      <c r="J25" s="442">
        <v>8</v>
      </c>
      <c r="K25" s="442">
        <v>200</v>
      </c>
      <c r="L25" s="14">
        <v>2304000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4000</v>
      </c>
      <c r="C26" s="572">
        <f t="shared" si="0"/>
        <v>0</v>
      </c>
      <c r="D26" s="573" t="str">
        <f>IFERROR(VLOOKUP(E26,Map!$B:$F,4,0),"")&amp;IFERROR(VLOOKUP(E26,Map!$B:$F,5,0),"")</f>
        <v>548F50</v>
      </c>
      <c r="E26" s="574" t="str">
        <f t="shared" si="1"/>
        <v>21115480000250</v>
      </c>
      <c r="F26" s="428">
        <v>21115480000250</v>
      </c>
      <c r="G26" t="s">
        <v>2085</v>
      </c>
      <c r="H26" t="s">
        <v>17</v>
      </c>
      <c r="I26">
        <v>50</v>
      </c>
      <c r="J26" s="442">
        <v>80</v>
      </c>
      <c r="K26" s="442">
        <v>4000</v>
      </c>
      <c r="L26" s="14">
        <v>38320000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13625</v>
      </c>
      <c r="C27" s="572">
        <f t="shared" si="0"/>
        <v>0</v>
      </c>
      <c r="D27" s="573" t="str">
        <f>IFERROR(VLOOKUP(E27,Map!$B:$F,4,0),"")&amp;IFERROR(VLOOKUP(E27,Map!$B:$F,5,0),"")</f>
        <v>54925</v>
      </c>
      <c r="E27" s="574" t="str">
        <f t="shared" si="1"/>
        <v>21115490000125</v>
      </c>
      <c r="F27" s="428">
        <v>21115490000125</v>
      </c>
      <c r="G27" t="s">
        <v>2086</v>
      </c>
      <c r="H27" t="s">
        <v>17</v>
      </c>
      <c r="I27">
        <v>25</v>
      </c>
      <c r="J27" s="442">
        <v>545</v>
      </c>
      <c r="K27" s="442">
        <v>13625</v>
      </c>
      <c r="L27" s="14">
        <v>152055000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5850</v>
      </c>
      <c r="C28" s="572">
        <f t="shared" si="0"/>
        <v>0</v>
      </c>
      <c r="D28" s="573" t="str">
        <f>IFERROR(VLOOKUP(E28,Map!$B:$F,4,0),"")&amp;IFERROR(VLOOKUP(E28,Map!$B:$F,5,0),"")</f>
        <v>549F50</v>
      </c>
      <c r="E28" s="574" t="str">
        <f t="shared" si="1"/>
        <v>21115490000250</v>
      </c>
      <c r="F28" s="428">
        <v>21115490000250</v>
      </c>
      <c r="G28" t="s">
        <v>2087</v>
      </c>
      <c r="H28" t="s">
        <v>17</v>
      </c>
      <c r="I28">
        <v>50</v>
      </c>
      <c r="J28" s="442">
        <v>117</v>
      </c>
      <c r="K28" s="442">
        <v>5850</v>
      </c>
      <c r="L28" s="14">
        <v>55575000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950</v>
      </c>
      <c r="C29" s="572">
        <f t="shared" si="0"/>
        <v>0</v>
      </c>
      <c r="D29" s="573" t="str">
        <f>IFERROR(VLOOKUP(E29,Map!$B:$F,4,0),"")&amp;IFERROR(VLOOKUP(E29,Map!$B:$F,5,0),"")</f>
        <v>550S25</v>
      </c>
      <c r="E29" s="574" t="str">
        <f t="shared" si="1"/>
        <v>21115501900125</v>
      </c>
      <c r="F29" s="428">
        <v>21115501900125</v>
      </c>
      <c r="G29" t="s">
        <v>2088</v>
      </c>
      <c r="H29" t="s">
        <v>17</v>
      </c>
      <c r="I29">
        <v>25</v>
      </c>
      <c r="J29" s="442">
        <v>38</v>
      </c>
      <c r="K29" s="442">
        <v>950</v>
      </c>
      <c r="L29" s="14">
        <v>20862000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28500</v>
      </c>
      <c r="C30" s="572">
        <f t="shared" si="0"/>
        <v>0</v>
      </c>
      <c r="D30" s="573" t="str">
        <f>IFERROR(VLOOKUP(E30,Map!$B:$F,4,0),"")&amp;IFERROR(VLOOKUP(E30,Map!$B:$F,5,0),"")</f>
        <v>550SF50</v>
      </c>
      <c r="E30" s="574" t="str">
        <f t="shared" si="1"/>
        <v>21115501900250</v>
      </c>
      <c r="F30" s="428">
        <v>21115501900250</v>
      </c>
      <c r="G30" t="s">
        <v>1921</v>
      </c>
      <c r="H30" t="s">
        <v>17</v>
      </c>
      <c r="I30">
        <v>50</v>
      </c>
      <c r="J30" s="442">
        <v>570</v>
      </c>
      <c r="K30" s="442">
        <v>28500</v>
      </c>
      <c r="L30" s="14">
        <v>425505000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93450</v>
      </c>
      <c r="C31" s="572">
        <f t="shared" si="0"/>
        <v>0</v>
      </c>
      <c r="D31" s="573" t="str">
        <f>IFERROR(VLOOKUP(E31,Map!$B:$F,4,0),"")&amp;IFERROR(VLOOKUP(E31,Map!$B:$F,5,0),"")</f>
        <v>550SFS3150</v>
      </c>
      <c r="E31" s="574" t="str">
        <f t="shared" si="1"/>
        <v>21115501999250S31</v>
      </c>
      <c r="F31" s="428">
        <v>21115501999250</v>
      </c>
      <c r="G31" t="s">
        <v>1979</v>
      </c>
      <c r="H31" t="s">
        <v>2089</v>
      </c>
      <c r="I31">
        <v>50</v>
      </c>
      <c r="J31" s="442">
        <v>1869</v>
      </c>
      <c r="K31" s="442">
        <v>93450</v>
      </c>
      <c r="L31" s="14">
        <v>1452213000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19500</v>
      </c>
      <c r="C32" s="572">
        <f t="shared" si="0"/>
        <v>0</v>
      </c>
      <c r="D32" s="573" t="str">
        <f>IFERROR(VLOOKUP(E32,Map!$B:$F,4,0),"")&amp;IFERROR(VLOOKUP(E32,Map!$B:$F,5,0),"")</f>
        <v>550SFS2550</v>
      </c>
      <c r="E32" s="574" t="str">
        <f t="shared" si="1"/>
        <v>21115501999250S25</v>
      </c>
      <c r="F32" s="428">
        <v>21115501999250</v>
      </c>
      <c r="G32" t="s">
        <v>1979</v>
      </c>
      <c r="H32" t="s">
        <v>2090</v>
      </c>
      <c r="I32">
        <v>50</v>
      </c>
      <c r="J32" s="442">
        <v>390</v>
      </c>
      <c r="K32" s="442">
        <v>19500</v>
      </c>
      <c r="L32" s="14">
        <v>306345000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3875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55125</v>
      </c>
      <c r="E33" s="574" t="str">
        <f t="shared" ref="E33:E63" si="3">IF(MID(F33,10,2)="99",F33&amp;H33,LEFT(F33,14))</f>
        <v>21115510000125</v>
      </c>
      <c r="F33" s="428">
        <v>21115510000125</v>
      </c>
      <c r="G33" t="s">
        <v>2091</v>
      </c>
      <c r="H33" t="s">
        <v>17</v>
      </c>
      <c r="I33">
        <v>25</v>
      </c>
      <c r="J33" s="442">
        <v>155</v>
      </c>
      <c r="K33" s="442">
        <v>3875</v>
      </c>
      <c r="L33" s="14">
        <v>65177500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16850</v>
      </c>
      <c r="C34" s="572">
        <f t="shared" si="2"/>
        <v>0</v>
      </c>
      <c r="D34" s="573" t="str">
        <f>IFERROR(VLOOKUP(E34,Map!$B:$F,4,0),"")&amp;IFERROR(VLOOKUP(E34,Map!$B:$F,5,0),"")</f>
        <v>551FS3150</v>
      </c>
      <c r="E34" s="574" t="str">
        <f t="shared" si="3"/>
        <v>21115510099250S31</v>
      </c>
      <c r="F34" s="428">
        <v>21115510099250</v>
      </c>
      <c r="G34" t="s">
        <v>1591</v>
      </c>
      <c r="H34" t="s">
        <v>2089</v>
      </c>
      <c r="I34">
        <v>50</v>
      </c>
      <c r="J34" s="442">
        <v>337</v>
      </c>
      <c r="K34" s="442">
        <v>16850</v>
      </c>
      <c r="L34" s="14">
        <v>218544500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78650</v>
      </c>
      <c r="C35" s="572">
        <f t="shared" si="2"/>
        <v>0</v>
      </c>
      <c r="D35" s="573" t="str">
        <f>IFERROR(VLOOKUP(E35,Map!$B:$F,4,0),"")&amp;IFERROR(VLOOKUP(E35,Map!$B:$F,5,0),"")</f>
        <v>551FS5450</v>
      </c>
      <c r="E35" s="574" t="str">
        <f t="shared" si="3"/>
        <v>21115510099250S54</v>
      </c>
      <c r="F35" s="428">
        <v>21115510099250</v>
      </c>
      <c r="G35" t="s">
        <v>1591</v>
      </c>
      <c r="H35" t="s">
        <v>2092</v>
      </c>
      <c r="I35">
        <v>50</v>
      </c>
      <c r="J35" s="442">
        <v>1573</v>
      </c>
      <c r="K35" s="442">
        <v>78650</v>
      </c>
      <c r="L35" s="14">
        <v>1018517500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40400</v>
      </c>
      <c r="C36" s="572">
        <f t="shared" si="2"/>
        <v>0</v>
      </c>
      <c r="D36" s="573" t="str">
        <f>IFERROR(VLOOKUP(E36,Map!$B:$F,4,0),"")&amp;IFERROR(VLOOKUP(E36,Map!$B:$F,5,0),"")</f>
        <v>551GPFS1350</v>
      </c>
      <c r="E36" s="574" t="str">
        <f t="shared" si="3"/>
        <v>21115517599250S13</v>
      </c>
      <c r="F36" s="428">
        <v>21115517599250</v>
      </c>
      <c r="G36" t="s">
        <v>1350</v>
      </c>
      <c r="H36" t="s">
        <v>2093</v>
      </c>
      <c r="I36">
        <v>50</v>
      </c>
      <c r="J36" s="442">
        <v>808</v>
      </c>
      <c r="K36" s="442">
        <v>40400</v>
      </c>
      <c r="L36" s="14">
        <v>445208000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20500</v>
      </c>
      <c r="C37" s="572">
        <f t="shared" si="2"/>
        <v>0</v>
      </c>
      <c r="D37" s="573" t="str">
        <f>IFERROR(VLOOKUP(E37,Map!$B:$F,4,0),"")&amp;IFERROR(VLOOKUP(E37,Map!$B:$F,5,0),"")</f>
        <v>551GPFS3150</v>
      </c>
      <c r="E37" s="574" t="str">
        <f t="shared" si="3"/>
        <v>21115517599250S31</v>
      </c>
      <c r="F37" s="428">
        <v>21115517599250</v>
      </c>
      <c r="G37" t="s">
        <v>1350</v>
      </c>
      <c r="H37" t="s">
        <v>2089</v>
      </c>
      <c r="I37">
        <v>50</v>
      </c>
      <c r="J37" s="442">
        <v>410</v>
      </c>
      <c r="K37" s="442">
        <v>20500</v>
      </c>
      <c r="L37" s="14">
        <v>237595000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29620</v>
      </c>
      <c r="C38" s="572">
        <f t="shared" si="2"/>
        <v>0</v>
      </c>
      <c r="D38" s="573" t="str">
        <f>IFERROR(VLOOKUP(E38,Map!$B:$F,4,0),"")&amp;IFERROR(VLOOKUP(E38,Map!$B:$F,5,0),"")</f>
        <v>551GPFS13SILO</v>
      </c>
      <c r="E38" s="574" t="str">
        <f t="shared" si="3"/>
        <v>21115517599300S13</v>
      </c>
      <c r="F38" s="428">
        <v>21115517599300</v>
      </c>
      <c r="G38" t="s">
        <v>1346</v>
      </c>
      <c r="H38" t="s">
        <v>2093</v>
      </c>
      <c r="I38">
        <v>0</v>
      </c>
      <c r="J38" s="442">
        <v>0</v>
      </c>
      <c r="K38" s="442">
        <v>29620</v>
      </c>
      <c r="L38" s="14">
        <v>322858000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8125</v>
      </c>
      <c r="C39" s="572">
        <f t="shared" si="2"/>
        <v>0</v>
      </c>
      <c r="D39" s="573" t="str">
        <f>IFERROR(VLOOKUP(E39,Map!$B:$F,4,0),"")&amp;IFERROR(VLOOKUP(E39,Map!$B:$F,5,0),"")</f>
        <v>55225</v>
      </c>
      <c r="E39" s="574" t="str">
        <f>IF(MID(F39,10,2)="99",F39&amp;H39,LEFT(F39,14))</f>
        <v>21115520000125</v>
      </c>
      <c r="F39" s="428">
        <v>21115520000125</v>
      </c>
      <c r="G39" t="s">
        <v>2094</v>
      </c>
      <c r="H39" t="s">
        <v>17</v>
      </c>
      <c r="I39">
        <v>25</v>
      </c>
      <c r="J39" s="442">
        <v>325</v>
      </c>
      <c r="K39" s="442">
        <v>8125</v>
      </c>
      <c r="L39" s="14">
        <v>91487500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125</v>
      </c>
      <c r="C40" s="572">
        <f t="shared" si="2"/>
        <v>0</v>
      </c>
      <c r="D40" s="573" t="str">
        <f>IFERROR(VLOOKUP(E40,Map!$B:$F,4,0),"")&amp;IFERROR(VLOOKUP(E40,Map!$B:$F,5,0),"")</f>
        <v>552E25</v>
      </c>
      <c r="E40" s="574" t="str">
        <f t="shared" si="3"/>
        <v>21115520500125</v>
      </c>
      <c r="F40" s="428">
        <v>21115520500125</v>
      </c>
      <c r="G40" t="s">
        <v>2095</v>
      </c>
      <c r="H40" t="s">
        <v>17</v>
      </c>
      <c r="I40">
        <v>25</v>
      </c>
      <c r="J40" s="442">
        <v>5</v>
      </c>
      <c r="K40" s="442">
        <v>125</v>
      </c>
      <c r="L40" s="14">
        <v>1360000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90090</v>
      </c>
      <c r="C41" s="572">
        <f t="shared" si="2"/>
        <v>0</v>
      </c>
      <c r="D41" s="573" t="str">
        <f>IFERROR(VLOOKUP(E41,Map!$B:$F,4,0),"")&amp;IFERROR(VLOOKUP(E41,Map!$B:$F,5,0),"")</f>
        <v>552FSilo</v>
      </c>
      <c r="E41" s="574" t="str">
        <f t="shared" si="3"/>
        <v>21115520000300</v>
      </c>
      <c r="F41" s="428">
        <v>21115520000300</v>
      </c>
      <c r="G41" t="s">
        <v>1051</v>
      </c>
      <c r="H41" t="s">
        <v>17</v>
      </c>
      <c r="I41">
        <v>0</v>
      </c>
      <c r="J41" s="442">
        <v>0</v>
      </c>
      <c r="K41" s="442">
        <v>90090</v>
      </c>
      <c r="L41" s="14">
        <v>762161400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410200</v>
      </c>
      <c r="C42" s="572">
        <f t="shared" si="2"/>
        <v>0</v>
      </c>
      <c r="D42" s="573" t="str">
        <f>IFERROR(VLOOKUP(E42,Map!$B:$F,4,0),"")&amp;IFERROR(VLOOKUP(E42,Map!$B:$F,5,0),"")</f>
        <v>552F50</v>
      </c>
      <c r="E42" s="574" t="str">
        <f t="shared" si="3"/>
        <v>21115520000250</v>
      </c>
      <c r="F42" s="428">
        <v>21115520000250</v>
      </c>
      <c r="G42" t="s">
        <v>2096</v>
      </c>
      <c r="H42" t="s">
        <v>17</v>
      </c>
      <c r="I42">
        <v>50</v>
      </c>
      <c r="J42" s="442">
        <v>8204</v>
      </c>
      <c r="K42" s="442">
        <v>410200</v>
      </c>
      <c r="L42" s="14">
        <v>3523618000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3500</v>
      </c>
      <c r="C43" s="572">
        <f t="shared" si="2"/>
        <v>0</v>
      </c>
      <c r="D43" s="573" t="str">
        <f>IFERROR(VLOOKUP(E43,Map!$B:$F,4,0),"")&amp;IFERROR(VLOOKUP(E43,Map!$B:$F,5,0),"")</f>
        <v>552M25</v>
      </c>
      <c r="E43" s="574" t="str">
        <f t="shared" si="3"/>
        <v>21115521300125</v>
      </c>
      <c r="F43" s="428">
        <v>21115521300125</v>
      </c>
      <c r="G43" t="s">
        <v>2097</v>
      </c>
      <c r="H43" t="s">
        <v>17</v>
      </c>
      <c r="I43">
        <v>25</v>
      </c>
      <c r="J43" s="442">
        <v>140</v>
      </c>
      <c r="K43" s="442">
        <v>3500</v>
      </c>
      <c r="L43" s="14">
        <v>39830000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1750</v>
      </c>
      <c r="C44" s="572">
        <f t="shared" si="2"/>
        <v>0</v>
      </c>
      <c r="D44" s="573" t="str">
        <f>IFERROR(VLOOKUP(E44,Map!$B:$F,4,0),"")&amp;IFERROR(VLOOKUP(E44,Map!$B:$F,5,0),"")</f>
        <v>552MX25</v>
      </c>
      <c r="E44" s="574" t="str">
        <f t="shared" si="3"/>
        <v>21115527900125</v>
      </c>
      <c r="F44" s="428">
        <v>21115527900125</v>
      </c>
      <c r="G44" t="s">
        <v>1676</v>
      </c>
      <c r="H44" t="s">
        <v>17</v>
      </c>
      <c r="I44">
        <v>25</v>
      </c>
      <c r="J44" s="442">
        <v>70</v>
      </c>
      <c r="K44" s="442">
        <v>1750</v>
      </c>
      <c r="L44" s="14">
        <v>19915000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19700</v>
      </c>
      <c r="C45" s="572">
        <f t="shared" si="2"/>
        <v>0</v>
      </c>
      <c r="D45" s="573" t="str">
        <f>IFERROR(VLOOKUP(E45,Map!$B:$F,4,0),"")&amp;IFERROR(VLOOKUP(E45,Map!$B:$F,5,0),"")</f>
        <v>552S25</v>
      </c>
      <c r="E45" s="574" t="str">
        <f t="shared" si="3"/>
        <v>21115521900125</v>
      </c>
      <c r="F45" s="428">
        <v>21115521900125</v>
      </c>
      <c r="G45" t="s">
        <v>2098</v>
      </c>
      <c r="H45" t="s">
        <v>17</v>
      </c>
      <c r="I45">
        <v>25</v>
      </c>
      <c r="J45" s="442">
        <v>788</v>
      </c>
      <c r="K45" s="442">
        <v>19700</v>
      </c>
      <c r="L45" s="14">
        <v>239225000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282000</v>
      </c>
      <c r="C46" s="572">
        <f t="shared" si="2"/>
        <v>0</v>
      </c>
      <c r="D46" s="573" t="str">
        <f>IFERROR(VLOOKUP(E46,Map!$B:$F,4,0),"")&amp;IFERROR(VLOOKUP(E46,Map!$B:$F,5,0),"")</f>
        <v>552SF50</v>
      </c>
      <c r="E46" s="574" t="str">
        <f t="shared" si="3"/>
        <v>21115521900250</v>
      </c>
      <c r="F46" s="428">
        <v>21115521900250</v>
      </c>
      <c r="G46" t="s">
        <v>2099</v>
      </c>
      <c r="H46" t="s">
        <v>17</v>
      </c>
      <c r="I46">
        <v>50</v>
      </c>
      <c r="J46" s="14">
        <v>5640</v>
      </c>
      <c r="K46" s="442">
        <v>282000</v>
      </c>
      <c r="L46" s="442">
        <v>2642340000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161170</v>
      </c>
      <c r="C47" s="572">
        <f t="shared" si="2"/>
        <v>0</v>
      </c>
      <c r="D47" s="573" t="str">
        <f>IFERROR(VLOOKUP(E47,Map!$B:$F,4,0),"")&amp;IFERROR(VLOOKUP(E47,Map!$B:$F,5,0),"")</f>
        <v>552SFSilo</v>
      </c>
      <c r="E47" s="574" t="str">
        <f t="shared" si="3"/>
        <v>21115521900300</v>
      </c>
      <c r="F47" s="428">
        <v>21115521900300</v>
      </c>
      <c r="G47" t="s">
        <v>2100</v>
      </c>
      <c r="H47" t="s">
        <v>17</v>
      </c>
      <c r="I47">
        <v>0</v>
      </c>
      <c r="J47" s="14">
        <v>0</v>
      </c>
      <c r="K47" s="442">
        <v>161170</v>
      </c>
      <c r="L47" s="14">
        <v>1490822500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16225</v>
      </c>
      <c r="C48" s="572">
        <f t="shared" si="2"/>
        <v>0</v>
      </c>
      <c r="D48" s="573" t="str">
        <f>IFERROR(VLOOKUP(E48,Map!$B:$F,4,0),"")&amp;IFERROR(VLOOKUP(E48,Map!$B:$F,5,0),"")</f>
        <v>552SX25</v>
      </c>
      <c r="E48" s="574" t="str">
        <f t="shared" si="3"/>
        <v>21115527800125</v>
      </c>
      <c r="F48" s="428">
        <v>21115527800125</v>
      </c>
      <c r="G48" t="s">
        <v>1526</v>
      </c>
      <c r="H48" t="s">
        <v>17</v>
      </c>
      <c r="I48">
        <v>25</v>
      </c>
      <c r="J48" s="442">
        <v>649</v>
      </c>
      <c r="K48" s="442">
        <v>16225</v>
      </c>
      <c r="L48" s="14">
        <v>181737500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5800</v>
      </c>
      <c r="C49" s="572">
        <f t="shared" si="2"/>
        <v>0</v>
      </c>
      <c r="D49" s="573" t="str">
        <f>IFERROR(VLOOKUP(E49,Map!$B:$F,4,0),"")&amp;IFERROR(VLOOKUP(E49,Map!$B:$F,5,0),"")</f>
        <v>55325</v>
      </c>
      <c r="E49" s="574" t="str">
        <f t="shared" si="3"/>
        <v>21115530000125</v>
      </c>
      <c r="F49" s="428">
        <v>21115530000125</v>
      </c>
      <c r="G49" t="s">
        <v>2101</v>
      </c>
      <c r="H49" t="s">
        <v>17</v>
      </c>
      <c r="I49">
        <v>25</v>
      </c>
      <c r="J49" s="442">
        <v>232</v>
      </c>
      <c r="K49" s="442">
        <v>5800</v>
      </c>
      <c r="L49" s="14">
        <v>61132000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217050</v>
      </c>
      <c r="C50" s="572">
        <f t="shared" si="2"/>
        <v>0</v>
      </c>
      <c r="D50" s="573" t="str">
        <f>IFERROR(VLOOKUP(E50,Map!$B:$F,4,0),"")&amp;IFERROR(VLOOKUP(E50,Map!$B:$F,5,0),"")</f>
        <v>553MF50</v>
      </c>
      <c r="E50" s="574" t="str">
        <f t="shared" si="3"/>
        <v>21115531300250</v>
      </c>
      <c r="F50" s="428">
        <v>21115531300250</v>
      </c>
      <c r="G50" t="s">
        <v>2102</v>
      </c>
      <c r="H50" t="s">
        <v>17</v>
      </c>
      <c r="I50">
        <v>50</v>
      </c>
      <c r="J50" s="442">
        <v>4341</v>
      </c>
      <c r="K50" s="442">
        <v>217050</v>
      </c>
      <c r="L50" s="14">
        <v>1897017000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14125</v>
      </c>
      <c r="C51" s="572">
        <f t="shared" si="2"/>
        <v>0</v>
      </c>
      <c r="D51" s="573" t="str">
        <f>IFERROR(VLOOKUP(E51,Map!$B:$F,4,0),"")&amp;IFERROR(VLOOKUP(E51,Map!$B:$F,5,0),"")</f>
        <v>553S25</v>
      </c>
      <c r="E51" s="574" t="str">
        <f t="shared" si="3"/>
        <v>21115531900125</v>
      </c>
      <c r="F51" s="428">
        <v>21115531900125</v>
      </c>
      <c r="G51" t="s">
        <v>2103</v>
      </c>
      <c r="H51" t="s">
        <v>17</v>
      </c>
      <c r="I51">
        <v>25</v>
      </c>
      <c r="J51" s="442">
        <v>565</v>
      </c>
      <c r="K51" s="442">
        <v>14125</v>
      </c>
      <c r="L51" s="14">
        <v>139907500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8500</v>
      </c>
      <c r="C52" s="572">
        <f t="shared" si="2"/>
        <v>0</v>
      </c>
      <c r="D52" s="573" t="str">
        <f>IFERROR(VLOOKUP(E52,Map!$B:$F,4,0),"")&amp;IFERROR(VLOOKUP(E52,Map!$B:$F,5,0),"")</f>
        <v>562PF50</v>
      </c>
      <c r="E52" s="574" t="str">
        <f t="shared" si="3"/>
        <v>21115621600250</v>
      </c>
      <c r="F52" s="428">
        <v>21115621600250</v>
      </c>
      <c r="G52" t="s">
        <v>2104</v>
      </c>
      <c r="H52" t="s">
        <v>17</v>
      </c>
      <c r="I52">
        <v>50</v>
      </c>
      <c r="J52" s="442">
        <v>170</v>
      </c>
      <c r="K52" s="442">
        <v>8500</v>
      </c>
      <c r="L52" s="14">
        <v>71825000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14740</v>
      </c>
      <c r="C53" s="572">
        <f t="shared" si="2"/>
        <v>0</v>
      </c>
      <c r="D53" s="573" t="str">
        <f>IFERROR(VLOOKUP(E53,Map!$B:$F,4,0),"")&amp;IFERROR(VLOOKUP(E53,Map!$B:$F,5,0),"")</f>
        <v>566FSilo</v>
      </c>
      <c r="E53" s="574" t="str">
        <f t="shared" si="3"/>
        <v>21115660000300</v>
      </c>
      <c r="F53" s="428">
        <v>21115660000300</v>
      </c>
      <c r="G53" t="s">
        <v>2105</v>
      </c>
      <c r="H53" t="s">
        <v>17</v>
      </c>
      <c r="I53">
        <v>0</v>
      </c>
      <c r="J53" s="442">
        <v>0</v>
      </c>
      <c r="K53" s="442">
        <v>14740</v>
      </c>
      <c r="L53" s="14">
        <v>124995200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5850</v>
      </c>
      <c r="C54" s="572">
        <f t="shared" si="2"/>
        <v>0</v>
      </c>
      <c r="D54" s="573" t="str">
        <f>IFERROR(VLOOKUP(E54,Map!$B:$F,4,0),"")&amp;IFERROR(VLOOKUP(E54,Map!$B:$F,5,0),"")</f>
        <v>56625</v>
      </c>
      <c r="E54" s="574" t="str">
        <f t="shared" si="3"/>
        <v>21115660000125</v>
      </c>
      <c r="F54" s="428">
        <v>21115660000125</v>
      </c>
      <c r="G54" t="s">
        <v>2106</v>
      </c>
      <c r="H54" t="s">
        <v>17</v>
      </c>
      <c r="I54">
        <v>25</v>
      </c>
      <c r="J54" s="14">
        <v>234</v>
      </c>
      <c r="K54" s="442">
        <v>5850</v>
      </c>
      <c r="L54" s="14">
        <v>62185500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4750</v>
      </c>
      <c r="C55" s="572">
        <f t="shared" si="2"/>
        <v>0</v>
      </c>
      <c r="D55" s="573" t="str">
        <f>IFERROR(VLOOKUP(E55,Map!$B:$F,4,0),"")&amp;IFERROR(VLOOKUP(E55,Map!$B:$F,5,0),"")</f>
        <v>56725</v>
      </c>
      <c r="E55" s="574" t="str">
        <f t="shared" si="3"/>
        <v>21115670000125</v>
      </c>
      <c r="F55" s="428">
        <v>21115670000125</v>
      </c>
      <c r="G55" t="s">
        <v>2107</v>
      </c>
      <c r="H55" t="s">
        <v>17</v>
      </c>
      <c r="I55">
        <v>25</v>
      </c>
      <c r="J55" s="14">
        <v>190</v>
      </c>
      <c r="K55" s="442">
        <v>4750</v>
      </c>
      <c r="L55" s="14">
        <v>56477500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2325</v>
      </c>
      <c r="C56" s="572">
        <f t="shared" si="2"/>
        <v>0</v>
      </c>
      <c r="D56" s="573" t="str">
        <f>IFERROR(VLOOKUP(E56,Map!$B:$F,4,0),"")&amp;IFERROR(VLOOKUP(E56,Map!$B:$F,5,0),"")</f>
        <v>567S25</v>
      </c>
      <c r="E56" s="574" t="str">
        <f t="shared" si="3"/>
        <v>21115671900125</v>
      </c>
      <c r="F56" s="428">
        <v>21115671900125</v>
      </c>
      <c r="G56" t="s">
        <v>2108</v>
      </c>
      <c r="H56" t="s">
        <v>17</v>
      </c>
      <c r="I56">
        <v>25</v>
      </c>
      <c r="J56" s="14">
        <v>93</v>
      </c>
      <c r="K56" s="442">
        <v>2325</v>
      </c>
      <c r="L56" s="14">
        <v>29225250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16800</v>
      </c>
      <c r="C57" s="572">
        <f t="shared" si="2"/>
        <v>0</v>
      </c>
      <c r="D57" s="573" t="str">
        <f>IFERROR(VLOOKUP(E57,Map!$B:$F,4,0),"")&amp;IFERROR(VLOOKUP(E57,Map!$B:$F,5,0),"")</f>
        <v>567SFS3150</v>
      </c>
      <c r="E57" s="574" t="str">
        <f t="shared" si="3"/>
        <v>21115671999250S31</v>
      </c>
      <c r="F57" s="428">
        <v>21115671999250</v>
      </c>
      <c r="G57" t="s">
        <v>1324</v>
      </c>
      <c r="H57" t="s">
        <v>2089</v>
      </c>
      <c r="I57">
        <v>50</v>
      </c>
      <c r="J57" s="14">
        <v>336</v>
      </c>
      <c r="K57" s="442">
        <v>16800</v>
      </c>
      <c r="L57" s="14">
        <v>179760000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57480</v>
      </c>
      <c r="C58" s="572">
        <f t="shared" si="2"/>
        <v>0</v>
      </c>
      <c r="D58" s="573" t="str">
        <f>IFERROR(VLOOKUP(E58,Map!$B:$F,4,0),"")&amp;IFERROR(VLOOKUP(E58,Map!$B:$F,5,0),"")</f>
        <v>567SFSilo</v>
      </c>
      <c r="E58" s="574" t="str">
        <f t="shared" si="3"/>
        <v>21115671900300</v>
      </c>
      <c r="F58" s="428">
        <v>21115671900300</v>
      </c>
      <c r="G58" t="s">
        <v>2109</v>
      </c>
      <c r="H58" t="s">
        <v>17</v>
      </c>
      <c r="I58">
        <v>0</v>
      </c>
      <c r="J58" s="14">
        <v>0</v>
      </c>
      <c r="K58" s="442">
        <v>57480</v>
      </c>
      <c r="L58" s="14">
        <v>573075600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500</v>
      </c>
      <c r="C59" s="572">
        <f t="shared" si="2"/>
        <v>0</v>
      </c>
      <c r="D59" s="573" t="str">
        <f>IFERROR(VLOOKUP(E59,Map!$B:$F,4,0),"")&amp;IFERROR(VLOOKUP(E59,Map!$B:$F,5,0),"")</f>
        <v>58425</v>
      </c>
      <c r="E59" s="574" t="str">
        <f t="shared" si="3"/>
        <v>21115840000125</v>
      </c>
      <c r="F59" s="428">
        <v>21115840000125</v>
      </c>
      <c r="G59" t="s">
        <v>2110</v>
      </c>
      <c r="H59" t="s">
        <v>17</v>
      </c>
      <c r="I59">
        <v>25</v>
      </c>
      <c r="J59" s="14">
        <v>20</v>
      </c>
      <c r="K59" s="442">
        <v>500</v>
      </c>
      <c r="L59" s="14">
        <v>4660000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11700</v>
      </c>
      <c r="C60" s="572">
        <f t="shared" si="2"/>
        <v>0</v>
      </c>
      <c r="D60" s="573" t="str">
        <f>IFERROR(VLOOKUP(E60,Map!$B:$F,4,0),"")&amp;IFERROR(VLOOKUP(E60,Map!$B:$F,5,0),"")</f>
        <v>59525</v>
      </c>
      <c r="E60" s="574" t="str">
        <f t="shared" si="3"/>
        <v>21115950000125</v>
      </c>
      <c r="F60" s="428">
        <v>21115950000125</v>
      </c>
      <c r="G60" t="s">
        <v>2111</v>
      </c>
      <c r="H60" t="s">
        <v>17</v>
      </c>
      <c r="I60">
        <v>25</v>
      </c>
      <c r="J60" s="14">
        <v>468</v>
      </c>
      <c r="K60" s="442">
        <v>11700</v>
      </c>
      <c r="L60" s="14">
        <v>98982000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125</v>
      </c>
      <c r="C61" s="572">
        <f t="shared" si="2"/>
        <v>0</v>
      </c>
      <c r="D61" s="573" t="str">
        <f>IFERROR(VLOOKUP(E61,Map!$B:$F,4,0),"")&amp;IFERROR(VLOOKUP(E61,Map!$B:$F,5,0),"")</f>
        <v>688425</v>
      </c>
      <c r="E61" s="574" t="str">
        <f t="shared" si="3"/>
        <v>21163840000125</v>
      </c>
      <c r="F61" s="428">
        <v>21163840000125</v>
      </c>
      <c r="G61" t="s">
        <v>1817</v>
      </c>
      <c r="H61" t="s">
        <v>17</v>
      </c>
      <c r="I61">
        <v>25</v>
      </c>
      <c r="J61" s="14">
        <v>5</v>
      </c>
      <c r="K61" s="442">
        <v>125</v>
      </c>
      <c r="L61" s="14">
        <v>1140000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1750</v>
      </c>
      <c r="C62" s="572">
        <f t="shared" si="2"/>
        <v>0</v>
      </c>
      <c r="D62" s="573" t="str">
        <f>IFERROR(VLOOKUP(E62,Map!$B:$F,4,0),"")&amp;IFERROR(VLOOKUP(E62,Map!$B:$F,5,0),"")</f>
        <v>689525</v>
      </c>
      <c r="E62" s="574" t="str">
        <f t="shared" si="3"/>
        <v>21163950000125</v>
      </c>
      <c r="F62" s="428">
        <v>21163950000125</v>
      </c>
      <c r="G62" t="s">
        <v>1797</v>
      </c>
      <c r="H62" t="s">
        <v>17</v>
      </c>
      <c r="I62">
        <v>25</v>
      </c>
      <c r="J62" s="14">
        <v>70</v>
      </c>
      <c r="K62" s="442">
        <v>1750</v>
      </c>
      <c r="L62" s="14">
        <v>13755000</v>
      </c>
      <c r="M62" s="564"/>
    </row>
    <row r="63" spans="2:18">
      <c r="B63" s="571">
        <f>IF(F63="","",(SUMIF(INTGRATE!$Y:$Y,data!D63,INTGRATE!$L:$L)+SUMIF(BRAN!$V:$V,data!D63,BRAN!$J:$J)))</f>
        <v>6250</v>
      </c>
      <c r="C63" s="572">
        <f t="shared" si="2"/>
        <v>0</v>
      </c>
      <c r="D63" s="573" t="str">
        <f>IFERROR(VLOOKUP(E63,Map!$B:$F,4,0),"")&amp;IFERROR(VLOOKUP(E63,Map!$B:$F,5,0),"")</f>
        <v>692425</v>
      </c>
      <c r="E63" s="574" t="str">
        <f t="shared" si="3"/>
        <v>21165240000125</v>
      </c>
      <c r="F63" s="428">
        <v>21165240000125</v>
      </c>
      <c r="G63" t="s">
        <v>1800</v>
      </c>
      <c r="H63" t="s">
        <v>17</v>
      </c>
      <c r="I63">
        <v>25</v>
      </c>
      <c r="J63" s="14">
        <v>250</v>
      </c>
      <c r="K63" s="442">
        <v>6250</v>
      </c>
      <c r="L63" s="14">
        <v>62437500</v>
      </c>
      <c r="M63" s="564"/>
    </row>
    <row r="64" spans="2:18">
      <c r="B64" s="571">
        <f>IF(F64="","",(SUMIF(INTGRATE!$Y:$Y,data!D64,INTGRATE!$L:$L)+SUMIF(BRAN!$V:$V,data!D64,BRAN!$J:$J)))</f>
        <v>125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694925</v>
      </c>
      <c r="E64" s="574" t="str">
        <f t="shared" ref="E64:E83" si="5">IF(MID(F64,10,2)="99",F64&amp;H64,LEFT(F64,14))</f>
        <v>21165490000125</v>
      </c>
      <c r="F64" s="428">
        <v>21165490000125</v>
      </c>
      <c r="G64" t="s">
        <v>1767</v>
      </c>
      <c r="H64" t="s">
        <v>17</v>
      </c>
      <c r="I64">
        <v>25</v>
      </c>
      <c r="J64" s="14">
        <v>5</v>
      </c>
      <c r="K64" s="442">
        <v>125</v>
      </c>
      <c r="L64" s="14">
        <v>1287500</v>
      </c>
      <c r="M64" s="564"/>
    </row>
    <row r="65" spans="2:13">
      <c r="B65" s="571">
        <f>IF(F65="","",(SUMIF(INTGRATE!$Y:$Y,data!D65,INTGRATE!$L:$L)+SUMIF(BRAN!$V:$V,data!D65,BRAN!$J:$J)))</f>
        <v>2750</v>
      </c>
      <c r="C65" s="572">
        <f t="shared" si="4"/>
        <v>0</v>
      </c>
      <c r="D65" s="573" t="str">
        <f>IFERROR(VLOOKUP(E65,Map!$B:$F,4,0),"")&amp;IFERROR(VLOOKUP(E65,Map!$B:$F,5,0),"")</f>
        <v>695125</v>
      </c>
      <c r="E65" s="574" t="str">
        <f t="shared" si="5"/>
        <v>21165510000125</v>
      </c>
      <c r="F65" s="428">
        <v>21165510000125</v>
      </c>
      <c r="G65" t="s">
        <v>2017</v>
      </c>
      <c r="H65" t="s">
        <v>17</v>
      </c>
      <c r="I65">
        <v>25</v>
      </c>
      <c r="J65" s="14">
        <v>110</v>
      </c>
      <c r="K65" s="442">
        <v>2750</v>
      </c>
      <c r="L65" s="14">
        <v>28325000</v>
      </c>
      <c r="M65" s="564"/>
    </row>
    <row r="66" spans="2:13">
      <c r="B66" s="571">
        <f>IF(F66="","",(SUMIF(INTGRATE!$Y:$Y,data!D66,INTGRATE!$L:$L)+SUMIF(BRAN!$V:$V,data!D66,BRAN!$J:$J)))</f>
        <v>500</v>
      </c>
      <c r="C66" s="572">
        <f t="shared" si="4"/>
        <v>0</v>
      </c>
      <c r="D66" s="573" t="str">
        <f>IFERROR(VLOOKUP(E66,Map!$B:$F,4,0),"")&amp;IFERROR(VLOOKUP(E66,Map!$B:$F,5,0),"")</f>
        <v>695225</v>
      </c>
      <c r="E66" s="574" t="str">
        <f t="shared" si="5"/>
        <v>21165520000125</v>
      </c>
      <c r="F66" s="428">
        <v>21165520000125</v>
      </c>
      <c r="G66" t="s">
        <v>1734</v>
      </c>
      <c r="H66" t="s">
        <v>17</v>
      </c>
      <c r="I66">
        <v>25</v>
      </c>
      <c r="J66" s="14">
        <v>20</v>
      </c>
      <c r="K66" s="442">
        <v>500</v>
      </c>
      <c r="L66" s="14">
        <v>5000000</v>
      </c>
      <c r="M66" s="564"/>
    </row>
    <row r="67" spans="2:13">
      <c r="B67" s="571">
        <f>IF(F67="","",(SUMIF(INTGRATE!$Y:$Y,data!D67,INTGRATE!$L:$L)+SUMIF(BRAN!$V:$V,data!D67,BRAN!$J:$J)))</f>
        <v>125</v>
      </c>
      <c r="C67" s="572">
        <f t="shared" si="4"/>
        <v>0</v>
      </c>
      <c r="D67" s="573" t="str">
        <f>IFERROR(VLOOKUP(E67,Map!$B:$F,4,0),"")&amp;IFERROR(VLOOKUP(E67,Map!$B:$F,5,0),"")</f>
        <v>699125</v>
      </c>
      <c r="E67" s="574" t="str">
        <f t="shared" si="5"/>
        <v>21165910000125</v>
      </c>
      <c r="F67" s="428">
        <v>21165910000125</v>
      </c>
      <c r="G67" t="s">
        <v>1732</v>
      </c>
      <c r="H67" t="s">
        <v>17</v>
      </c>
      <c r="I67">
        <v>25</v>
      </c>
      <c r="J67" s="14">
        <v>5</v>
      </c>
      <c r="K67" s="442">
        <v>125</v>
      </c>
      <c r="L67" s="14">
        <v>1235000</v>
      </c>
      <c r="M67" s="564"/>
    </row>
    <row r="68" spans="2:13">
      <c r="B68" s="571">
        <f>IF(F68="","",(SUMIF(INTGRATE!$Y:$Y,data!D68,INTGRATE!$L:$L)+SUMIF(BRAN!$V:$V,data!D68,BRAN!$J:$J)))</f>
        <v>1325</v>
      </c>
      <c r="C68" s="572">
        <f t="shared" si="4"/>
        <v>0</v>
      </c>
      <c r="D68" s="573" t="str">
        <f>IFERROR(VLOOKUP(E68,Map!$B:$F,4,0),"")&amp;IFERROR(VLOOKUP(E68,Map!$B:$F,5,0),"")</f>
        <v>699525</v>
      </c>
      <c r="E68" s="574" t="str">
        <f t="shared" si="5"/>
        <v>21165950000125</v>
      </c>
      <c r="F68" s="428">
        <v>21165950000125</v>
      </c>
      <c r="G68" t="s">
        <v>1790</v>
      </c>
      <c r="H68" t="s">
        <v>17</v>
      </c>
      <c r="I68">
        <v>25</v>
      </c>
      <c r="J68" s="14">
        <v>53</v>
      </c>
      <c r="K68" s="442">
        <v>1325</v>
      </c>
      <c r="L68" s="14">
        <v>10547000</v>
      </c>
      <c r="M68" s="564"/>
    </row>
    <row r="69" spans="2:13">
      <c r="B69" s="571">
        <f>IF(F69="","",(SUMIF(INTGRATE!$Y:$Y,data!D69,INTGRATE!$L:$L)+SUMIF(BRAN!$V:$V,data!D69,BRAN!$J:$J)))</f>
        <v>2625</v>
      </c>
      <c r="C69" s="572">
        <f t="shared" si="4"/>
        <v>0</v>
      </c>
      <c r="D69" s="573" t="str">
        <f>IFERROR(VLOOKUP(E69,Map!$B:$F,4,0),"")&amp;IFERROR(VLOOKUP(E69,Map!$B:$F,5,0),"")</f>
        <v>88425</v>
      </c>
      <c r="E69" s="574" t="str">
        <f t="shared" si="5"/>
        <v>21123840000125</v>
      </c>
      <c r="F69" s="428">
        <v>21123840000125</v>
      </c>
      <c r="G69" t="s">
        <v>2112</v>
      </c>
      <c r="H69" t="s">
        <v>17</v>
      </c>
      <c r="I69">
        <v>25</v>
      </c>
      <c r="J69" s="14">
        <v>105</v>
      </c>
      <c r="K69" s="442">
        <v>2625</v>
      </c>
      <c r="L69" s="14">
        <v>23887500</v>
      </c>
      <c r="M69" s="564"/>
    </row>
    <row r="70" spans="2:13">
      <c r="B70" s="571">
        <f>IF(F70="","",(SUMIF(INTGRATE!$Y:$Y,data!D70,INTGRATE!$L:$L)+SUMIF(BRAN!$V:$V,data!D70,BRAN!$J:$J)))</f>
        <v>625</v>
      </c>
      <c r="C70" s="572">
        <f t="shared" si="4"/>
        <v>0</v>
      </c>
      <c r="D70" s="573" t="str">
        <f>IFERROR(VLOOKUP(E70,Map!$B:$F,4,0),"")&amp;IFERROR(VLOOKUP(E70,Map!$B:$F,5,0),"")</f>
        <v>885S25</v>
      </c>
      <c r="E70" s="574" t="str">
        <f t="shared" si="5"/>
        <v>21123851900125</v>
      </c>
      <c r="F70" s="428">
        <v>21123851900125</v>
      </c>
      <c r="G70" t="s">
        <v>2113</v>
      </c>
      <c r="H70" t="s">
        <v>17</v>
      </c>
      <c r="I70">
        <v>25</v>
      </c>
      <c r="J70" s="14">
        <v>25</v>
      </c>
      <c r="K70" s="442">
        <v>625</v>
      </c>
      <c r="L70" s="14">
        <v>5462500</v>
      </c>
      <c r="M70" s="564"/>
    </row>
    <row r="71" spans="2:13">
      <c r="B71" s="571">
        <f>IF(F71="","",(SUMIF(INTGRATE!$Y:$Y,data!D71,INTGRATE!$L:$L)+SUMIF(BRAN!$V:$V,data!D71,BRAN!$J:$J)))</f>
        <v>13875</v>
      </c>
      <c r="C71" s="572">
        <f t="shared" si="4"/>
        <v>0</v>
      </c>
      <c r="D71" s="573" t="str">
        <f>IFERROR(VLOOKUP(E71,Map!$B:$F,4,0),"")&amp;IFERROR(VLOOKUP(E71,Map!$B:$F,5,0),"")</f>
        <v>94925</v>
      </c>
      <c r="E71" s="574" t="str">
        <f t="shared" si="5"/>
        <v>21125490000125</v>
      </c>
      <c r="F71" s="428">
        <v>21125490000125</v>
      </c>
      <c r="G71" t="s">
        <v>1659</v>
      </c>
      <c r="H71" t="s">
        <v>17</v>
      </c>
      <c r="I71">
        <v>25</v>
      </c>
      <c r="J71" s="14">
        <v>555</v>
      </c>
      <c r="K71" s="442">
        <v>13875</v>
      </c>
      <c r="L71" s="14">
        <v>154845000</v>
      </c>
      <c r="M71" s="564"/>
    </row>
    <row r="72" spans="2:13">
      <c r="B72" s="571">
        <f>IF(F72="","",(SUMIF(INTGRATE!$Y:$Y,data!D72,INTGRATE!$L:$L)+SUMIF(BRAN!$V:$V,data!D72,BRAN!$J:$J)))</f>
        <v>1500</v>
      </c>
      <c r="C72" s="572">
        <f t="shared" si="4"/>
        <v>0</v>
      </c>
      <c r="D72" s="573" t="str">
        <f>IFERROR(VLOOKUP(E72,Map!$B:$F,4,0),"")&amp;IFERROR(VLOOKUP(E72,Map!$B:$F,5,0),"")</f>
        <v>95225</v>
      </c>
      <c r="E72" s="574" t="str">
        <f t="shared" si="5"/>
        <v>21125520000125</v>
      </c>
      <c r="F72" s="428">
        <v>21125520000125</v>
      </c>
      <c r="G72" t="s">
        <v>2114</v>
      </c>
      <c r="H72" t="s">
        <v>17</v>
      </c>
      <c r="I72">
        <v>25</v>
      </c>
      <c r="J72" s="14">
        <v>60</v>
      </c>
      <c r="K72" s="442">
        <v>1500</v>
      </c>
      <c r="L72" s="14">
        <v>16890000</v>
      </c>
      <c r="M72" s="564"/>
    </row>
    <row r="73" spans="2:13">
      <c r="B73" s="571">
        <f>IF(F73="","",(SUMIF(INTGRATE!$Y:$Y,data!D73,INTGRATE!$L:$L)+SUMIF(BRAN!$V:$V,data!D73,BRAN!$J:$J)))</f>
        <v>1750</v>
      </c>
      <c r="C73" s="572">
        <f t="shared" si="4"/>
        <v>0</v>
      </c>
      <c r="D73" s="573" t="str">
        <f>IFERROR(VLOOKUP(E73,Map!$B:$F,4,0),"")&amp;IFERROR(VLOOKUP(E73,Map!$B:$F,5,0),"")</f>
        <v>952S25</v>
      </c>
      <c r="E73" s="574" t="str">
        <f t="shared" si="5"/>
        <v>21125521900125</v>
      </c>
      <c r="F73" s="428">
        <v>21125521900125</v>
      </c>
      <c r="G73" t="s">
        <v>2115</v>
      </c>
      <c r="H73" t="s">
        <v>17</v>
      </c>
      <c r="I73">
        <v>25</v>
      </c>
      <c r="J73" s="14">
        <v>70</v>
      </c>
      <c r="K73" s="442">
        <v>1750</v>
      </c>
      <c r="L73" s="14">
        <v>21875000</v>
      </c>
      <c r="M73" s="564"/>
    </row>
    <row r="74" spans="2:13">
      <c r="B74" s="571">
        <f>IF(F74="","",(SUMIF(INTGRATE!$Y:$Y,data!D74,INTGRATE!$L:$L)+SUMIF(BRAN!$V:$V,data!D74,BRAN!$J:$J)))</f>
        <v>1050</v>
      </c>
      <c r="C74" s="572">
        <f t="shared" si="4"/>
        <v>0</v>
      </c>
      <c r="D74" s="573" t="str">
        <f>IFERROR(VLOOKUP(E74,Map!$B:$F,4,0),"")&amp;IFERROR(VLOOKUP(E74,Map!$B:$F,5,0),"")</f>
        <v>96625</v>
      </c>
      <c r="E74" s="574" t="str">
        <f t="shared" si="5"/>
        <v>21125660000125</v>
      </c>
      <c r="F74" s="428">
        <v>21125660000125</v>
      </c>
      <c r="G74" t="s">
        <v>2116</v>
      </c>
      <c r="H74" t="s">
        <v>17</v>
      </c>
      <c r="I74">
        <v>25</v>
      </c>
      <c r="J74" s="14">
        <v>42</v>
      </c>
      <c r="K74" s="442">
        <v>1050</v>
      </c>
      <c r="L74" s="14">
        <v>11161500</v>
      </c>
      <c r="M74" s="564"/>
    </row>
    <row r="75" spans="2:13">
      <c r="B75" s="571">
        <f>IF(F75="","",(SUMIF(INTGRATE!$Y:$Y,data!D75,INTGRATE!$L:$L)+SUMIF(BRAN!$V:$V,data!D75,BRAN!$J:$J)))</f>
        <v>175</v>
      </c>
      <c r="C75" s="572">
        <f t="shared" si="4"/>
        <v>0</v>
      </c>
      <c r="D75" s="573" t="str">
        <f>IFERROR(VLOOKUP(E75,Map!$B:$F,4,0),"")&amp;IFERROR(VLOOKUP(E75,Map!$B:$F,5,0),"")</f>
        <v>967S25</v>
      </c>
      <c r="E75" s="574" t="str">
        <f t="shared" si="5"/>
        <v>21125671900125</v>
      </c>
      <c r="F75" s="428">
        <v>21125671900125</v>
      </c>
      <c r="G75" t="s">
        <v>2117</v>
      </c>
      <c r="H75" t="s">
        <v>17</v>
      </c>
      <c r="I75">
        <v>25</v>
      </c>
      <c r="J75" s="14">
        <v>7</v>
      </c>
      <c r="K75" s="442">
        <v>175</v>
      </c>
      <c r="L75" s="14">
        <v>2199750</v>
      </c>
      <c r="M75" s="564"/>
    </row>
    <row r="76" spans="2:13">
      <c r="B76" s="571">
        <f>IF(F76="","",(SUMIF(INTGRATE!$Y:$Y,data!D76,INTGRATE!$L:$L)+SUMIF(BRAN!$V:$V,data!D76,BRAN!$J:$J)))</f>
        <v>1375</v>
      </c>
      <c r="C76" s="572">
        <f t="shared" si="4"/>
        <v>0</v>
      </c>
      <c r="D76" s="573" t="str">
        <f>IFERROR(VLOOKUP(E76,Map!$B:$F,4,0),"")&amp;IFERROR(VLOOKUP(E76,Map!$B:$F,5,0),"")</f>
        <v>98425</v>
      </c>
      <c r="E76" s="574" t="str">
        <f t="shared" si="5"/>
        <v>21125840000125</v>
      </c>
      <c r="F76" s="428">
        <v>21125840000125</v>
      </c>
      <c r="G76" t="s">
        <v>2118</v>
      </c>
      <c r="H76" t="s">
        <v>17</v>
      </c>
      <c r="I76">
        <v>25</v>
      </c>
      <c r="J76" s="14">
        <v>55</v>
      </c>
      <c r="K76" s="442">
        <v>1375</v>
      </c>
      <c r="L76" s="14">
        <v>12650000</v>
      </c>
      <c r="M76" s="564"/>
    </row>
    <row r="77" spans="2:13">
      <c r="B77" s="571">
        <f>IF(F77="","",(SUMIF(INTGRATE!$Y:$Y,data!D77,INTGRATE!$L:$L)+SUMIF(BRAN!$V:$V,data!D77,BRAN!$J:$J)))</f>
        <v>6675</v>
      </c>
      <c r="C77" s="572">
        <f t="shared" si="4"/>
        <v>0</v>
      </c>
      <c r="D77" s="573" t="str">
        <f>IFERROR(VLOOKUP(E77,Map!$B:$F,4,0),"")&amp;IFERROR(VLOOKUP(E77,Map!$B:$F,5,0),"")</f>
        <v>BS045A25</v>
      </c>
      <c r="E77" s="574" t="str">
        <f t="shared" si="5"/>
        <v>2113384005A125</v>
      </c>
      <c r="F77" s="428" t="s">
        <v>1888</v>
      </c>
      <c r="G77" t="s">
        <v>1889</v>
      </c>
      <c r="H77" t="s">
        <v>17</v>
      </c>
      <c r="I77">
        <v>25</v>
      </c>
      <c r="J77" s="14">
        <v>267</v>
      </c>
      <c r="K77" s="442">
        <v>6675</v>
      </c>
      <c r="L77" s="14">
        <v>50596500</v>
      </c>
      <c r="M77" s="564"/>
    </row>
    <row r="78" spans="2:13">
      <c r="B78" s="571">
        <f>IF(F78="","",(SUMIF(INTGRATE!$Y:$Y,data!D78,INTGRATE!$L:$L)+SUMIF(BRAN!$V:$V,data!D78,BRAN!$J:$J)))</f>
        <v>1800</v>
      </c>
      <c r="C78" s="572">
        <f t="shared" si="4"/>
        <v>0</v>
      </c>
      <c r="D78" s="573" t="str">
        <f>IFERROR(VLOOKUP(E78,Map!$B:$F,4,0),"")&amp;IFERROR(VLOOKUP(E78,Map!$B:$F,5,0),"")</f>
        <v>BS04A5A25</v>
      </c>
      <c r="E78" s="574" t="str">
        <f t="shared" si="5"/>
        <v>2113384015A125</v>
      </c>
      <c r="F78" s="428" t="s">
        <v>1892</v>
      </c>
      <c r="G78" t="s">
        <v>1893</v>
      </c>
      <c r="H78" t="s">
        <v>17</v>
      </c>
      <c r="I78">
        <v>25</v>
      </c>
      <c r="J78" s="14">
        <v>72</v>
      </c>
      <c r="K78" s="442">
        <v>1800</v>
      </c>
      <c r="L78" s="14">
        <v>13086000</v>
      </c>
      <c r="M78" s="564"/>
    </row>
    <row r="79" spans="2:13">
      <c r="B79" s="571">
        <f>IF(F79="","",(SUMIF(INTGRATE!$Y:$Y,data!D79,INTGRATE!$L:$L)+SUMIF(BRAN!$V:$V,data!D79,BRAN!$J:$J)))</f>
        <v>15990</v>
      </c>
      <c r="C79" s="572">
        <f t="shared" si="4"/>
        <v>0</v>
      </c>
      <c r="D79" s="573" t="str">
        <f>IFERROR(VLOOKUP(E79,Map!$B:$F,4,0),"")&amp;IFERROR(VLOOKUP(E79,Map!$B:$F,5,0),"")</f>
        <v>BS07TAsilo</v>
      </c>
      <c r="E79" s="574" t="str">
        <f t="shared" si="5"/>
        <v>211338107TA100</v>
      </c>
      <c r="F79" s="428" t="s">
        <v>2054</v>
      </c>
      <c r="G79" t="s">
        <v>2055</v>
      </c>
      <c r="H79" t="s">
        <v>17</v>
      </c>
      <c r="I79">
        <v>0</v>
      </c>
      <c r="J79" s="14">
        <v>0</v>
      </c>
      <c r="K79" s="442">
        <v>15990</v>
      </c>
      <c r="L79" s="14">
        <v>162394440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BS09TASILO</v>
      </c>
      <c r="E80" s="574" t="str">
        <f t="shared" si="5"/>
        <v>211338509TA100</v>
      </c>
      <c r="F80" s="428" t="s">
        <v>2046</v>
      </c>
      <c r="G80" t="s">
        <v>2047</v>
      </c>
      <c r="H80" t="s">
        <v>17</v>
      </c>
      <c r="I80">
        <v>0</v>
      </c>
      <c r="J80" s="14">
        <v>0</v>
      </c>
      <c r="K80" s="442">
        <v>9860</v>
      </c>
      <c r="L80" s="14">
        <v>64129440</v>
      </c>
      <c r="M80" s="564"/>
    </row>
    <row r="81" spans="2:13">
      <c r="B81" s="571">
        <f>IF(F81="","",(SUMIF(INTGRATE!$Y:$Y,data!D81,INTGRATE!$L:$L)+SUMIF(BRAN!$V:$V,data!D81,BRAN!$J:$J)))</f>
        <v>25</v>
      </c>
      <c r="C81" s="572">
        <f>IF(F81="","",B81-K81)</f>
        <v>0</v>
      </c>
      <c r="D81" s="573" t="str">
        <f>IFERROR(VLOOKUP(E81,Map!$B:$F,4,0),"")&amp;IFERROR(VLOOKUP(E81,Map!$B:$F,5,0),"")</f>
        <v>GD1425</v>
      </c>
      <c r="E81" s="574" t="str">
        <f t="shared" si="5"/>
        <v>21135240000125</v>
      </c>
      <c r="F81" s="640">
        <v>21135240000125</v>
      </c>
      <c r="G81" s="576" t="s">
        <v>1853</v>
      </c>
      <c r="H81" s="576" t="s">
        <v>17</v>
      </c>
      <c r="I81" s="576">
        <v>25</v>
      </c>
      <c r="J81" s="580">
        <v>1</v>
      </c>
      <c r="K81" s="580">
        <v>25</v>
      </c>
      <c r="L81" s="580">
        <v>247250</v>
      </c>
      <c r="M81" s="564"/>
    </row>
    <row r="82" spans="2:13">
      <c r="B82" s="571">
        <f>IF(F82="","",(SUMIF(INTGRATE!$Y:$Y,data!D82,INTGRATE!$L:$L)+SUMIF(BRAN!$V:$V,data!D82,BRAN!$J:$J)))</f>
        <v>4750</v>
      </c>
      <c r="C82" s="572">
        <f>IF(F82="","",B82-K82)</f>
        <v>0</v>
      </c>
      <c r="D82" s="573" t="str">
        <f>IFERROR(VLOOKUP(E82,Map!$B:$F,4,0),"")&amp;IFERROR(VLOOKUP(E82,Map!$B:$F,5,0),"")</f>
        <v>GT12B25</v>
      </c>
      <c r="E82" s="574" t="str">
        <f t="shared" si="5"/>
        <v>21135110200125</v>
      </c>
      <c r="F82" s="640">
        <v>21135110200125</v>
      </c>
      <c r="G82" s="576" t="s">
        <v>1716</v>
      </c>
      <c r="H82" s="576" t="s">
        <v>17</v>
      </c>
      <c r="I82" s="576">
        <v>25</v>
      </c>
      <c r="J82" s="580">
        <v>190</v>
      </c>
      <c r="K82" s="580">
        <v>4750</v>
      </c>
      <c r="L82" s="580">
        <v>56810000</v>
      </c>
      <c r="M82" s="564"/>
    </row>
    <row r="83" spans="2:13">
      <c r="B83" s="571">
        <f>IF(F83="","",(SUMIF(INTGRATE!$Y:$Y,data!D83,INTGRATE!$L:$L)+SUMIF(BRAN!$V:$V,data!D83,BRAN!$J:$J)))</f>
        <v>15925</v>
      </c>
      <c r="C83" s="572">
        <f>IF(F83="","",B83-K83)</f>
        <v>0</v>
      </c>
      <c r="D83" s="573" t="str">
        <f>IFERROR(VLOOKUP(E83,Map!$B:$F,4,0),"")&amp;IFERROR(VLOOKUP(E83,Map!$B:$F,5,0),"")</f>
        <v>GT12BS25</v>
      </c>
      <c r="E83" s="574" t="str">
        <f t="shared" si="5"/>
        <v>21135117200125</v>
      </c>
      <c r="F83" s="774">
        <v>21135117200125</v>
      </c>
      <c r="G83" s="575" t="s">
        <v>1996</v>
      </c>
      <c r="H83" s="575" t="s">
        <v>17</v>
      </c>
      <c r="I83" s="575">
        <v>25</v>
      </c>
      <c r="J83" s="578">
        <v>637</v>
      </c>
      <c r="K83" s="578">
        <v>15925</v>
      </c>
      <c r="L83" s="578">
        <v>192692500</v>
      </c>
      <c r="M83" s="564"/>
    </row>
    <row r="84" spans="2:13">
      <c r="B84" s="571">
        <f>IF(F84="","",(SUMIF(INTGRATE!$Y:$Y,data!D84,INTGRATE!$L:$L)+SUMIF(BRAN!$V:$V,data!D84,BRAN!$J:$J)))</f>
        <v>4000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VT1125</v>
      </c>
      <c r="E84" s="574" t="str">
        <f t="shared" ref="E84:E95" si="7">IF(MID(F84,10,2)="99",F84&amp;H84,LEFT(F84,14))</f>
        <v>21135480000125</v>
      </c>
      <c r="F84" s="773">
        <v>21135480000125</v>
      </c>
      <c r="G84" s="554" t="s">
        <v>1013</v>
      </c>
      <c r="H84" s="369" t="s">
        <v>17</v>
      </c>
      <c r="I84" s="369">
        <v>25</v>
      </c>
      <c r="J84" s="612">
        <v>160</v>
      </c>
      <c r="K84" s="625">
        <v>4000</v>
      </c>
      <c r="L84" s="554">
        <v>46200000</v>
      </c>
      <c r="M84" s="564"/>
    </row>
    <row r="85" spans="2:13">
      <c r="B85" s="571">
        <f>IF(F85="","",(SUMIF(INTGRATE!$Y:$Y,data!D85,INTGRATE!$L:$L)+SUMIF(BRAN!$V:$V,data!D85,BRAN!$J:$J)))</f>
        <v>13500</v>
      </c>
      <c r="C85" s="572">
        <f t="shared" si="6"/>
        <v>0</v>
      </c>
      <c r="D85" s="573" t="str">
        <f>IFERROR(VLOOKUP(E85,Map!$B:$F,4,0),"")&amp;IFERROR(VLOOKUP(E85,Map!$B:$F,5,0),"")</f>
        <v>VT1225</v>
      </c>
      <c r="E85" s="574" t="str">
        <f t="shared" si="7"/>
        <v>21135400000125</v>
      </c>
      <c r="F85" s="640">
        <v>21135400000125</v>
      </c>
      <c r="G85" s="576" t="s">
        <v>2119</v>
      </c>
      <c r="H85" s="576" t="s">
        <v>17</v>
      </c>
      <c r="I85" s="576">
        <v>25</v>
      </c>
      <c r="J85" s="580">
        <v>540</v>
      </c>
      <c r="K85" s="580">
        <v>13500</v>
      </c>
      <c r="L85" s="580">
        <v>150120000</v>
      </c>
      <c r="M85" s="564"/>
    </row>
    <row r="86" spans="2:13">
      <c r="B86" s="571" t="str">
        <f>IF(F86="","",(SUMIF(INTGRATE!$Y:$Y,data!D86,INTGRATE!$L:$L)+SUMIF(BRAN!$V:$V,data!D86,BRAN!$J:$J)))</f>
        <v/>
      </c>
      <c r="C86" s="572" t="str">
        <f t="shared" si="6"/>
        <v/>
      </c>
      <c r="D86" s="573" t="str">
        <f>IFERROR(VLOOKUP(E86,Map!$B:$F,4,0),"")&amp;IFERROR(VLOOKUP(E86,Map!$B:$F,5,0),"")</f>
        <v/>
      </c>
      <c r="E86" s="574" t="str">
        <f t="shared" si="7"/>
        <v/>
      </c>
      <c r="F86" s="774"/>
      <c r="G86" s="563"/>
      <c r="H86" s="575"/>
      <c r="I86" s="575"/>
      <c r="J86" s="578"/>
      <c r="K86" s="578"/>
      <c r="L86" s="578"/>
      <c r="M86" s="564"/>
    </row>
    <row r="87" spans="2:13">
      <c r="B87" s="571" t="str">
        <f>IF(F87="","",(SUMIF(INTGRATE!$Y:$Y,data!D87,INTGRATE!$L:$L)+SUMIF(BRAN!$V:$V,data!D87,BRAN!$J:$J)))</f>
        <v/>
      </c>
      <c r="C87" s="572" t="str">
        <f t="shared" si="6"/>
        <v/>
      </c>
      <c r="D87" s="573" t="str">
        <f>IFERROR(VLOOKUP(E87,Map!$B:$F,4,0),"")&amp;IFERROR(VLOOKUP(E87,Map!$B:$F,5,0),"")</f>
        <v/>
      </c>
      <c r="E87" s="574" t="str">
        <f t="shared" si="7"/>
        <v/>
      </c>
      <c r="I87" s="576"/>
      <c r="M87" s="564"/>
    </row>
    <row r="88" spans="2:13">
      <c r="B88" s="571" t="str">
        <f>IF(F88="","",(SUMIF(INTGRATE!$Y:$Y,data!D88,INTGRATE!$L:$L)+SUMIF(BRAN!$V:$V,data!D88,BRAN!$J:$J)))</f>
        <v/>
      </c>
      <c r="C88" s="572" t="str">
        <f t="shared" si="6"/>
        <v/>
      </c>
      <c r="D88" s="573" t="str">
        <f>IFERROR(VLOOKUP(E88,Map!$B:$F,4,0),"")&amp;IFERROR(VLOOKUP(E88,Map!$B:$F,5,0),"")</f>
        <v/>
      </c>
      <c r="E88" s="574" t="str">
        <f t="shared" si="7"/>
        <v/>
      </c>
      <c r="F88" s="774"/>
      <c r="G88" s="563"/>
      <c r="H88" s="575"/>
      <c r="I88" s="575"/>
      <c r="J88" s="578"/>
      <c r="K88" s="578"/>
      <c r="L88" s="578"/>
      <c r="M88" s="564"/>
    </row>
    <row r="89" spans="2:13">
      <c r="B89" s="571" t="str">
        <f>IF(F89="","",(SUMIF(INTGRATE!$Y:$Y,data!D89,INTGRATE!$L:$L)+SUMIF(BRAN!$V:$V,data!D89,BRAN!$J:$J)))</f>
        <v/>
      </c>
      <c r="C89" s="572" t="str">
        <f t="shared" si="6"/>
        <v/>
      </c>
      <c r="D89" s="573" t="str">
        <f>IFERROR(VLOOKUP(E89,Map!$B:$F,4,0),"")&amp;IFERROR(VLOOKUP(E89,Map!$B:$F,5,0),"")</f>
        <v/>
      </c>
      <c r="E89" s="574" t="str">
        <f t="shared" si="7"/>
        <v/>
      </c>
      <c r="I89" s="576"/>
      <c r="M89" s="564"/>
    </row>
    <row r="90" spans="2:13">
      <c r="B90" s="571" t="str">
        <f>IF(F90="","",(SUMIF(INTGRATE!$Y:$Y,data!D90,INTGRATE!$L:$L)+SUMIF(BRAN!$V:$V,data!D90,BRAN!$J:$J)))</f>
        <v/>
      </c>
      <c r="C90" s="572" t="str">
        <f t="shared" si="6"/>
        <v/>
      </c>
      <c r="D90" s="573" t="str">
        <f>IFERROR(VLOOKUP(E90,Map!$B:$F,4,0),"")&amp;IFERROR(VLOOKUP(E90,Map!$B:$F,5,0),"")</f>
        <v/>
      </c>
      <c r="E90" s="574" t="str">
        <f t="shared" si="7"/>
        <v/>
      </c>
      <c r="I90" s="576"/>
      <c r="M90" s="564"/>
    </row>
    <row r="91" spans="2:13">
      <c r="B91" s="571" t="str">
        <f>IF(F91="","",(SUMIF(INTGRATE!$Y:$Y,data!D91,INTGRATE!$L:$L)+SUMIF(BRAN!$V:$V,data!D91,BRAN!$J:$J)))</f>
        <v/>
      </c>
      <c r="C91" s="572" t="str">
        <f t="shared" si="6"/>
        <v/>
      </c>
      <c r="D91" s="573" t="str">
        <f>IFERROR(VLOOKUP(E91,Map!$B:$F,4,0),"")&amp;IFERROR(VLOOKUP(E91,Map!$B:$F,5,0),"")</f>
        <v/>
      </c>
      <c r="E91" s="574" t="str">
        <f t="shared" si="7"/>
        <v/>
      </c>
      <c r="I91" s="576"/>
      <c r="M91" s="564"/>
    </row>
    <row r="92" spans="2:13">
      <c r="B92" s="571" t="str">
        <f>IF(F92="","",(SUMIF(INTGRATE!$Y:$Y,data!D92,INTGRATE!$L:$L)+SUMIF(BRAN!$V:$V,data!D92,BRAN!$J:$J)))</f>
        <v/>
      </c>
      <c r="C92" s="572" t="str">
        <f t="shared" si="6"/>
        <v/>
      </c>
      <c r="D92" s="573" t="str">
        <f>IFERROR(VLOOKUP(E92,Map!$B:$F,4,0),"")&amp;IFERROR(VLOOKUP(E92,Map!$B:$F,5,0),"")</f>
        <v/>
      </c>
      <c r="E92" s="574" t="str">
        <f t="shared" si="7"/>
        <v/>
      </c>
      <c r="F92" s="774"/>
      <c r="G92" s="563"/>
      <c r="H92" s="575"/>
      <c r="I92" s="575"/>
      <c r="J92" s="579"/>
      <c r="K92" s="578"/>
      <c r="L92" s="578"/>
      <c r="M92" s="564"/>
    </row>
    <row r="93" spans="2:13">
      <c r="B93" s="571" t="str">
        <f>IF(F93="","",(SUMIF(INTGRATE!$Y:$Y,data!D93,INTGRATE!$L:$L)+SUMIF(BRAN!$V:$V,data!D93,BRAN!$J:$J)))</f>
        <v/>
      </c>
      <c r="C93" s="572" t="str">
        <f t="shared" si="6"/>
        <v/>
      </c>
      <c r="D93" s="573" t="str">
        <f>IFERROR(VLOOKUP(E93,Map!$B:$F,4,0),"")&amp;IFERROR(VLOOKUP(E93,Map!$B:$F,5,0),"")</f>
        <v/>
      </c>
      <c r="E93" s="574" t="str">
        <f t="shared" si="7"/>
        <v/>
      </c>
      <c r="F93" s="774"/>
      <c r="I93" s="576"/>
      <c r="J93" s="581"/>
      <c r="M93" s="564"/>
    </row>
    <row r="94" spans="2:13">
      <c r="B94" s="571" t="str">
        <f>IF(F94="","",(SUMIF(INTGRATE!$Y:$Y,data!D94,INTGRATE!$L:$L)+SUMIF(BRAN!$V:$V,data!D94,BRAN!$J:$J)))</f>
        <v/>
      </c>
      <c r="C94" s="572" t="str">
        <f t="shared" si="6"/>
        <v/>
      </c>
      <c r="D94" s="573" t="str">
        <f>IFERROR(VLOOKUP(E94,Map!$B:$F,4,0),"")&amp;IFERROR(VLOOKUP(E94,Map!$B:$F,5,0),"")</f>
        <v/>
      </c>
      <c r="E94" s="574" t="str">
        <f t="shared" si="7"/>
        <v/>
      </c>
      <c r="I94" s="576"/>
      <c r="J94" s="581"/>
      <c r="M94" s="564"/>
    </row>
    <row r="95" spans="2:13">
      <c r="B95" s="571" t="str">
        <f>IF(F95="","",(SUMIF(INTGRATE!$Y:$Y,data!D95,INTGRATE!$L:$L)+SUMIF(BRAN!$V:$V,data!D95,BRAN!$J:$J)))</f>
        <v/>
      </c>
      <c r="C95" s="572" t="str">
        <f t="shared" ref="C95:C104" si="8">IF(F95="","",B95-K95)</f>
        <v/>
      </c>
      <c r="D95" s="573" t="str">
        <f>IFERROR(VLOOKUP(E95,Map!$B:$F,4,0),"")&amp;IFERROR(VLOOKUP(E95,Map!$B:$F,5,0),"")</f>
        <v/>
      </c>
      <c r="E95" s="574" t="str">
        <f t="shared" si="7"/>
        <v/>
      </c>
      <c r="F95" s="774"/>
      <c r="G95" s="563"/>
      <c r="H95" s="575"/>
      <c r="I95" s="575"/>
      <c r="J95" s="578"/>
      <c r="K95" s="578"/>
      <c r="L95" s="578"/>
      <c r="M95" s="564"/>
    </row>
    <row r="96" spans="2:13">
      <c r="B96" s="571" t="str">
        <f>IF(F96="","",(SUMIF(INTGRATE!$Y:$Y,data!D96,INTGRATE!$L:$L)+SUMIF(BRAN!$V:$V,data!D96,BRAN!$J:$J)))</f>
        <v/>
      </c>
      <c r="C96" s="572" t="str">
        <f t="shared" si="8"/>
        <v/>
      </c>
      <c r="D96" s="573" t="str">
        <f>IFERROR(VLOOKUP(E96,Map!$B:$F,4,0),"")&amp;IFERROR(VLOOKUP(E96,Map!$B:$F,5,0),"")</f>
        <v/>
      </c>
      <c r="E96" s="574" t="str">
        <f t="shared" ref="E96:E104" si="9">IF(MID(F96,10,2)="99",F96&amp;H96,LEFT(F96,14))</f>
        <v/>
      </c>
      <c r="I96" s="576"/>
      <c r="M96" s="564"/>
    </row>
    <row r="97" spans="2:13">
      <c r="B97" s="571" t="str">
        <f>IF(F97="","",(SUMIF(INTGRATE!$Y:$Y,data!D97,INTGRATE!$L:$L)+SUMIF(BRAN!$V:$V,data!D97,BRAN!$J:$J)))</f>
        <v/>
      </c>
      <c r="C97" s="572" t="str">
        <f t="shared" si="8"/>
        <v/>
      </c>
      <c r="D97" s="573" t="str">
        <f>IFERROR(VLOOKUP(E97,Map!$B:$F,4,0),"")&amp;IFERROR(VLOOKUP(E97,Map!$B:$F,5,0),"")</f>
        <v/>
      </c>
      <c r="E97" s="574" t="str">
        <f t="shared" si="9"/>
        <v/>
      </c>
      <c r="I97" s="576"/>
      <c r="M97" s="564"/>
    </row>
    <row r="98" spans="2:13">
      <c r="B98" s="571" t="str">
        <f>IF(F98="","",(SUMIF(INTGRATE!$Y:$Y,data!D98,INTGRATE!$L:$L)+SUMIF(BRAN!$V:$V,data!D98,BRAN!$J:$J)))</f>
        <v/>
      </c>
      <c r="C98" s="572" t="str">
        <f t="shared" si="8"/>
        <v/>
      </c>
      <c r="D98" s="573" t="str">
        <f>IFERROR(VLOOKUP(E98,Map!$B:$F,4,0),"")&amp;IFERROR(VLOOKUP(E98,Map!$B:$F,5,0),"")</f>
        <v/>
      </c>
      <c r="E98" s="574" t="str">
        <f t="shared" si="9"/>
        <v/>
      </c>
      <c r="I98" s="576"/>
      <c r="M98" s="564"/>
    </row>
    <row r="99" spans="2:13">
      <c r="B99" s="571" t="str">
        <f>IF(F99="","",(SUMIF(INTGRATE!$Y:$Y,data!D99,INTGRATE!$L:$L)+SUMIF(BRAN!$V:$V,data!D99,BRAN!$J:$J)))</f>
        <v/>
      </c>
      <c r="C99" s="572" t="str">
        <f t="shared" si="8"/>
        <v/>
      </c>
      <c r="D99" s="573" t="str">
        <f>IFERROR(VLOOKUP(E99,Map!$B:$F,4,0),"")&amp;IFERROR(VLOOKUP(E99,Map!$B:$F,5,0),"")</f>
        <v/>
      </c>
      <c r="E99" s="574" t="str">
        <f t="shared" si="9"/>
        <v/>
      </c>
      <c r="I99" s="576"/>
      <c r="M99" s="564"/>
    </row>
    <row r="100" spans="2:13">
      <c r="B100" s="571" t="str">
        <f>IF(F100="","",(SUMIF(INTGRATE!$Y:$Y,data!D100,INTGRATE!$L:$L)+SUMIF(BRAN!$V:$V,data!D100,BRAN!$J:$J)))</f>
        <v/>
      </c>
      <c r="C100" s="572" t="str">
        <f t="shared" si="8"/>
        <v/>
      </c>
      <c r="D100" s="573" t="str">
        <f>IFERROR(VLOOKUP(E100,Map!$B:$F,4,0),"")&amp;IFERROR(VLOOKUP(E100,Map!$B:$F,5,0),"")</f>
        <v/>
      </c>
      <c r="E100" s="574" t="str">
        <f t="shared" si="9"/>
        <v/>
      </c>
      <c r="I100" s="576"/>
      <c r="M100" s="564"/>
    </row>
    <row r="101" spans="2:13">
      <c r="B101" s="571" t="str">
        <f>IF(F101="","",(SUMIF(INTGRATE!$Y:$Y,data!D101,INTGRATE!$L:$L)+SUMIF(BRAN!$V:$V,data!D101,BRAN!$J:$J)))</f>
        <v/>
      </c>
      <c r="C101" s="572" t="str">
        <f t="shared" si="8"/>
        <v/>
      </c>
      <c r="D101" s="573" t="str">
        <f>IFERROR(VLOOKUP(E101,Map!$B:$F,4,0),"")&amp;IFERROR(VLOOKUP(E101,Map!$B:$F,5,0),"")</f>
        <v/>
      </c>
      <c r="E101" s="574" t="str">
        <f t="shared" si="9"/>
        <v/>
      </c>
      <c r="I101" s="576"/>
      <c r="M101" s="564"/>
    </row>
    <row r="102" spans="2:13">
      <c r="B102" s="571" t="str">
        <f>IF(F102="","",(SUMIF(INTGRATE!$Y:$Y,data!D102,INTGRATE!$L:$L)+SUMIF(BRAN!$V:$V,data!D102,BRAN!$J:$J)))</f>
        <v/>
      </c>
      <c r="C102" s="572" t="str">
        <f t="shared" si="8"/>
        <v/>
      </c>
      <c r="D102" s="573" t="str">
        <f>IFERROR(VLOOKUP(E102,Map!$B:$F,4,0),"")&amp;IFERROR(VLOOKUP(E102,Map!$B:$F,5,0),"")</f>
        <v/>
      </c>
      <c r="E102" s="574" t="str">
        <f t="shared" si="9"/>
        <v/>
      </c>
      <c r="I102" s="576"/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topLeftCell="A6" zoomScale="80" zoomScaleNormal="80" workbookViewId="0">
      <selection activeCell="E35" sqref="E35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2120</v>
      </c>
      <c r="D1" s="369" t="s">
        <v>2121</v>
      </c>
      <c r="E1" s="369" t="s">
        <v>2122</v>
      </c>
      <c r="F1" s="369" t="s">
        <v>2123</v>
      </c>
      <c r="G1" s="369" t="s">
        <v>2124</v>
      </c>
      <c r="H1" s="369" t="s">
        <v>2125</v>
      </c>
      <c r="I1" s="369" t="s">
        <v>2126</v>
      </c>
      <c r="J1" s="369" t="s">
        <v>2125</v>
      </c>
      <c r="K1" s="369" t="s">
        <v>2126</v>
      </c>
      <c r="L1" s="369" t="s">
        <v>2125</v>
      </c>
      <c r="M1" s="369" t="s">
        <v>2126</v>
      </c>
      <c r="N1" s="369" t="s">
        <v>2125</v>
      </c>
      <c r="O1" s="369" t="s">
        <v>2126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38425</v>
      </c>
      <c r="B2" s="412">
        <f t="shared" si="1"/>
        <v>25</v>
      </c>
      <c r="C2" s="369" t="s">
        <v>2127</v>
      </c>
      <c r="D2" s="868">
        <v>25</v>
      </c>
      <c r="E2" s="369" t="s">
        <v>2128</v>
      </c>
      <c r="H2" s="867">
        <v>496</v>
      </c>
      <c r="I2" s="868">
        <v>12400</v>
      </c>
      <c r="J2" s="867">
        <v>0</v>
      </c>
      <c r="K2" s="868">
        <v>0</v>
      </c>
      <c r="L2" s="867">
        <v>0</v>
      </c>
      <c r="M2" s="868">
        <v>0</v>
      </c>
      <c r="N2" s="867">
        <v>496</v>
      </c>
      <c r="O2" s="868">
        <v>12400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510S25</v>
      </c>
      <c r="B3" s="412">
        <f t="shared" si="1"/>
        <v>25</v>
      </c>
      <c r="C3" s="369" t="s">
        <v>135</v>
      </c>
      <c r="D3" s="868">
        <v>25</v>
      </c>
      <c r="E3" s="369" t="s">
        <v>2129</v>
      </c>
      <c r="H3" s="867">
        <v>0</v>
      </c>
      <c r="I3" s="868">
        <v>0</v>
      </c>
      <c r="J3" s="867">
        <v>0</v>
      </c>
      <c r="K3" s="868">
        <v>0</v>
      </c>
      <c r="L3" s="867">
        <v>587</v>
      </c>
      <c r="M3" s="868">
        <v>14675</v>
      </c>
      <c r="N3" s="867">
        <v>587</v>
      </c>
      <c r="O3" s="868">
        <v>14675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521SPro25</v>
      </c>
      <c r="B4" s="412">
        <f t="shared" si="1"/>
        <v>25</v>
      </c>
      <c r="C4" s="369" t="s">
        <v>52</v>
      </c>
      <c r="D4" s="868">
        <v>25</v>
      </c>
      <c r="E4" s="369" t="s">
        <v>2130</v>
      </c>
      <c r="H4" s="867">
        <v>0</v>
      </c>
      <c r="I4" s="868">
        <v>0</v>
      </c>
      <c r="J4" s="867">
        <v>615</v>
      </c>
      <c r="K4" s="868">
        <v>15375</v>
      </c>
      <c r="L4" s="867">
        <v>0</v>
      </c>
      <c r="M4" s="868">
        <v>0</v>
      </c>
      <c r="N4" s="867">
        <v>615</v>
      </c>
      <c r="O4" s="868">
        <v>15375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540F50</v>
      </c>
      <c r="B5" s="412">
        <f t="shared" si="1"/>
        <v>50</v>
      </c>
      <c r="C5" s="369" t="s">
        <v>322</v>
      </c>
      <c r="D5" s="868">
        <v>50</v>
      </c>
      <c r="E5" s="369" t="s">
        <v>2131</v>
      </c>
      <c r="H5" s="867">
        <v>0</v>
      </c>
      <c r="I5" s="868">
        <v>0</v>
      </c>
      <c r="J5" s="867">
        <v>715</v>
      </c>
      <c r="K5" s="868">
        <v>35750</v>
      </c>
      <c r="L5" s="867">
        <v>1329</v>
      </c>
      <c r="M5" s="868">
        <v>66450</v>
      </c>
      <c r="N5" s="867">
        <v>2044</v>
      </c>
      <c r="O5" s="868">
        <v>102200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550S25</v>
      </c>
      <c r="B6" s="412">
        <f t="shared" si="1"/>
        <v>25</v>
      </c>
      <c r="C6" s="369" t="s">
        <v>154</v>
      </c>
      <c r="D6" s="868">
        <v>25</v>
      </c>
      <c r="E6" s="369" t="s">
        <v>2132</v>
      </c>
      <c r="H6" s="867">
        <v>187</v>
      </c>
      <c r="I6" s="868">
        <v>4675</v>
      </c>
      <c r="J6" s="867">
        <v>0</v>
      </c>
      <c r="K6" s="868">
        <v>0</v>
      </c>
      <c r="L6" s="867">
        <v>0</v>
      </c>
      <c r="M6" s="868">
        <v>0</v>
      </c>
      <c r="N6" s="867">
        <v>187</v>
      </c>
      <c r="O6" s="868">
        <v>4675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550SF50</v>
      </c>
      <c r="B7" s="412">
        <f t="shared" si="1"/>
        <v>50</v>
      </c>
      <c r="C7" s="369" t="s">
        <v>344</v>
      </c>
      <c r="D7" s="868">
        <v>50</v>
      </c>
      <c r="E7" s="369" t="s">
        <v>2133</v>
      </c>
      <c r="H7" s="867">
        <v>93</v>
      </c>
      <c r="I7" s="868">
        <v>4650</v>
      </c>
      <c r="J7" s="867">
        <v>0</v>
      </c>
      <c r="K7" s="868">
        <v>0</v>
      </c>
      <c r="L7" s="867">
        <v>0</v>
      </c>
      <c r="M7" s="868">
        <v>0</v>
      </c>
      <c r="N7" s="867">
        <v>93</v>
      </c>
      <c r="O7" s="868">
        <v>4650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550SFS3150</v>
      </c>
      <c r="B8" s="412">
        <f t="shared" si="1"/>
        <v>50</v>
      </c>
      <c r="C8" s="369" t="s">
        <v>344</v>
      </c>
      <c r="D8" s="868">
        <v>50</v>
      </c>
      <c r="E8" s="369" t="s">
        <v>1917</v>
      </c>
      <c r="F8" s="369" t="s">
        <v>2089</v>
      </c>
      <c r="H8" s="867">
        <v>374</v>
      </c>
      <c r="I8" s="868">
        <v>18700</v>
      </c>
      <c r="J8" s="867">
        <v>0</v>
      </c>
      <c r="K8" s="868">
        <v>0</v>
      </c>
      <c r="L8" s="867">
        <v>1186</v>
      </c>
      <c r="M8" s="868">
        <v>59300</v>
      </c>
      <c r="N8" s="867">
        <v>1560</v>
      </c>
      <c r="O8" s="868">
        <v>78000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55125</v>
      </c>
      <c r="B9" s="412">
        <f t="shared" si="1"/>
        <v>25</v>
      </c>
      <c r="C9" s="369" t="s">
        <v>2134</v>
      </c>
      <c r="D9" s="868">
        <v>25</v>
      </c>
      <c r="E9" s="369" t="s">
        <v>2135</v>
      </c>
      <c r="H9" s="867">
        <v>0</v>
      </c>
      <c r="I9" s="868">
        <v>0</v>
      </c>
      <c r="J9" s="867">
        <v>427</v>
      </c>
      <c r="K9" s="868">
        <v>10675</v>
      </c>
      <c r="L9" s="867">
        <v>0</v>
      </c>
      <c r="M9" s="868">
        <v>0</v>
      </c>
      <c r="N9" s="867">
        <v>427</v>
      </c>
      <c r="O9" s="868">
        <v>10675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551 (5*5)25</v>
      </c>
      <c r="B10" s="412">
        <f t="shared" si="1"/>
        <v>25</v>
      </c>
      <c r="C10" s="369" t="s">
        <v>99</v>
      </c>
      <c r="D10" s="868">
        <v>25</v>
      </c>
      <c r="E10" s="369" t="s">
        <v>2136</v>
      </c>
      <c r="H10" s="867">
        <v>0</v>
      </c>
      <c r="I10" s="868">
        <v>0</v>
      </c>
      <c r="J10" s="867">
        <v>40</v>
      </c>
      <c r="K10" s="868">
        <v>1000</v>
      </c>
      <c r="L10" s="867">
        <v>0</v>
      </c>
      <c r="M10" s="868">
        <v>0</v>
      </c>
      <c r="N10" s="867">
        <v>40</v>
      </c>
      <c r="O10" s="868">
        <v>1000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551GPFS1350</v>
      </c>
      <c r="B11" s="412">
        <f t="shared" si="1"/>
        <v>50</v>
      </c>
      <c r="C11" s="369" t="s">
        <v>368</v>
      </c>
      <c r="D11" s="868">
        <v>50</v>
      </c>
      <c r="E11" s="369" t="s">
        <v>1887</v>
      </c>
      <c r="F11" s="369" t="s">
        <v>2093</v>
      </c>
      <c r="H11" s="867">
        <v>324</v>
      </c>
      <c r="I11" s="868">
        <v>16200</v>
      </c>
      <c r="J11" s="867">
        <v>515</v>
      </c>
      <c r="K11" s="868">
        <v>25750</v>
      </c>
      <c r="L11" s="867">
        <v>0</v>
      </c>
      <c r="M11" s="868">
        <v>0</v>
      </c>
      <c r="N11" s="867">
        <v>839</v>
      </c>
      <c r="O11" s="868">
        <v>41950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551GPFS3150</v>
      </c>
      <c r="B12" s="412">
        <f t="shared" si="1"/>
        <v>50</v>
      </c>
      <c r="C12" s="369" t="s">
        <v>368</v>
      </c>
      <c r="D12" s="868">
        <v>50</v>
      </c>
      <c r="E12" s="369" t="s">
        <v>1887</v>
      </c>
      <c r="F12" s="369" t="s">
        <v>2089</v>
      </c>
      <c r="H12" s="867">
        <v>93</v>
      </c>
      <c r="I12" s="868">
        <v>4650</v>
      </c>
      <c r="J12" s="867">
        <v>0</v>
      </c>
      <c r="K12" s="868">
        <v>0</v>
      </c>
      <c r="L12" s="867">
        <v>0</v>
      </c>
      <c r="M12" s="868">
        <v>0</v>
      </c>
      <c r="N12" s="867">
        <v>93</v>
      </c>
      <c r="O12" s="868">
        <v>4650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55225</v>
      </c>
      <c r="B13" s="412">
        <f t="shared" si="1"/>
        <v>25</v>
      </c>
      <c r="C13" s="369" t="s">
        <v>2137</v>
      </c>
      <c r="D13" s="868">
        <v>25</v>
      </c>
      <c r="E13" s="369" t="s">
        <v>2138</v>
      </c>
      <c r="H13" s="867">
        <v>0</v>
      </c>
      <c r="I13" s="868">
        <v>0</v>
      </c>
      <c r="J13" s="867">
        <v>0</v>
      </c>
      <c r="K13" s="868">
        <v>0</v>
      </c>
      <c r="L13" s="867">
        <v>1320</v>
      </c>
      <c r="M13" s="868">
        <v>33000</v>
      </c>
      <c r="N13" s="867">
        <v>1320</v>
      </c>
      <c r="O13" s="868">
        <v>33000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552F50</v>
      </c>
      <c r="B14" s="412">
        <f t="shared" si="1"/>
        <v>50</v>
      </c>
      <c r="C14" s="369" t="s">
        <v>382</v>
      </c>
      <c r="D14" s="868">
        <v>50</v>
      </c>
      <c r="E14" s="369" t="s">
        <v>2139</v>
      </c>
      <c r="H14" s="867">
        <v>3700</v>
      </c>
      <c r="I14" s="868">
        <v>185000</v>
      </c>
      <c r="J14" s="867">
        <v>3942</v>
      </c>
      <c r="K14" s="868">
        <v>197100</v>
      </c>
      <c r="L14" s="867">
        <v>2737</v>
      </c>
      <c r="M14" s="868">
        <v>136850</v>
      </c>
      <c r="N14" s="867">
        <v>10379</v>
      </c>
      <c r="O14" s="868">
        <v>518950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552FS9050</v>
      </c>
      <c r="B15" s="412">
        <f t="shared" si="1"/>
        <v>50</v>
      </c>
      <c r="C15" s="369" t="s">
        <v>382</v>
      </c>
      <c r="D15" s="868">
        <v>50</v>
      </c>
      <c r="E15" s="369" t="s">
        <v>2140</v>
      </c>
      <c r="F15" s="369" t="s">
        <v>2141</v>
      </c>
      <c r="H15" s="867">
        <v>0</v>
      </c>
      <c r="I15" s="868">
        <v>0</v>
      </c>
      <c r="J15" s="867">
        <v>0</v>
      </c>
      <c r="K15" s="868">
        <v>0</v>
      </c>
      <c r="L15" s="867">
        <v>1836</v>
      </c>
      <c r="M15" s="868">
        <v>91800</v>
      </c>
      <c r="N15" s="867">
        <v>1836</v>
      </c>
      <c r="O15" s="868">
        <v>91800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552S25</v>
      </c>
      <c r="B16" s="412">
        <f t="shared" si="1"/>
        <v>25</v>
      </c>
      <c r="C16" s="369" t="s">
        <v>164</v>
      </c>
      <c r="D16" s="868">
        <v>25</v>
      </c>
      <c r="E16" s="369" t="s">
        <v>2142</v>
      </c>
      <c r="H16" s="867">
        <v>104</v>
      </c>
      <c r="I16" s="868">
        <v>2600</v>
      </c>
      <c r="J16" s="867">
        <v>0</v>
      </c>
      <c r="K16" s="868">
        <v>0</v>
      </c>
      <c r="L16" s="867">
        <v>0</v>
      </c>
      <c r="M16" s="868">
        <v>0</v>
      </c>
      <c r="N16" s="867">
        <v>104</v>
      </c>
      <c r="O16" s="868">
        <v>2600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552SF50</v>
      </c>
      <c r="B17" s="412">
        <f t="shared" si="1"/>
        <v>50</v>
      </c>
      <c r="C17" s="369" t="s">
        <v>393</v>
      </c>
      <c r="D17" s="868">
        <v>50</v>
      </c>
      <c r="E17" s="369" t="s">
        <v>2143</v>
      </c>
      <c r="H17" s="867">
        <v>2265</v>
      </c>
      <c r="I17" s="868">
        <v>113250</v>
      </c>
      <c r="J17" s="867">
        <v>1969</v>
      </c>
      <c r="K17" s="868">
        <v>98450</v>
      </c>
      <c r="L17" s="867">
        <v>1242</v>
      </c>
      <c r="M17" s="868">
        <v>62100</v>
      </c>
      <c r="N17" s="867">
        <v>5476</v>
      </c>
      <c r="O17" s="868">
        <v>273800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553MF50</v>
      </c>
      <c r="B18" s="412">
        <f t="shared" si="1"/>
        <v>50</v>
      </c>
      <c r="C18" s="369" t="s">
        <v>403</v>
      </c>
      <c r="D18" s="868">
        <v>50</v>
      </c>
      <c r="E18" s="369" t="s">
        <v>2144</v>
      </c>
      <c r="H18" s="867">
        <v>0</v>
      </c>
      <c r="I18" s="868">
        <v>0</v>
      </c>
      <c r="J18" s="867">
        <v>2592</v>
      </c>
      <c r="K18" s="868">
        <v>129600</v>
      </c>
      <c r="L18" s="867">
        <v>2394</v>
      </c>
      <c r="M18" s="868">
        <v>119700</v>
      </c>
      <c r="N18" s="867">
        <v>4986</v>
      </c>
      <c r="O18" s="868">
        <v>249300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553S25</v>
      </c>
      <c r="B19" s="412">
        <f t="shared" si="1"/>
        <v>25</v>
      </c>
      <c r="C19" s="369" t="s">
        <v>166</v>
      </c>
      <c r="D19" s="868">
        <v>25</v>
      </c>
      <c r="E19" s="369" t="s">
        <v>2145</v>
      </c>
      <c r="H19" s="867">
        <v>0</v>
      </c>
      <c r="I19" s="868">
        <v>0</v>
      </c>
      <c r="J19" s="867">
        <v>1081</v>
      </c>
      <c r="K19" s="868">
        <v>27025</v>
      </c>
      <c r="L19" s="867">
        <v>0</v>
      </c>
      <c r="M19" s="868">
        <v>0</v>
      </c>
      <c r="N19" s="867">
        <v>1081</v>
      </c>
      <c r="O19" s="868">
        <v>27025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567S25</v>
      </c>
      <c r="B20" s="412">
        <f t="shared" si="1"/>
        <v>25</v>
      </c>
      <c r="C20" s="369" t="s">
        <v>170</v>
      </c>
      <c r="D20" s="868">
        <v>25</v>
      </c>
      <c r="E20" s="369" t="s">
        <v>2146</v>
      </c>
      <c r="H20" s="867">
        <v>550</v>
      </c>
      <c r="I20" s="868">
        <v>13750</v>
      </c>
      <c r="J20" s="867">
        <v>1360</v>
      </c>
      <c r="K20" s="868">
        <v>34000</v>
      </c>
      <c r="L20" s="867">
        <v>0</v>
      </c>
      <c r="M20" s="868">
        <v>0</v>
      </c>
      <c r="N20" s="867">
        <v>1910</v>
      </c>
      <c r="O20" s="868">
        <v>47750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567SF50</v>
      </c>
      <c r="B21" s="412">
        <f t="shared" si="1"/>
        <v>50</v>
      </c>
      <c r="C21" s="369" t="s">
        <v>426</v>
      </c>
      <c r="D21" s="868">
        <v>50</v>
      </c>
      <c r="E21" s="369" t="s">
        <v>2147</v>
      </c>
      <c r="H21" s="867">
        <v>446</v>
      </c>
      <c r="I21" s="868">
        <v>22300</v>
      </c>
      <c r="J21" s="867">
        <v>0</v>
      </c>
      <c r="K21" s="868">
        <v>0</v>
      </c>
      <c r="L21" s="867">
        <v>0</v>
      </c>
      <c r="M21" s="868">
        <v>0</v>
      </c>
      <c r="N21" s="867">
        <v>446</v>
      </c>
      <c r="O21" s="868">
        <v>22300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58425</v>
      </c>
      <c r="B22" s="412">
        <f t="shared" si="1"/>
        <v>25</v>
      </c>
      <c r="C22" s="369" t="s">
        <v>2148</v>
      </c>
      <c r="D22" s="868">
        <v>25</v>
      </c>
      <c r="E22" s="369" t="s">
        <v>2149</v>
      </c>
      <c r="H22" s="867">
        <v>0</v>
      </c>
      <c r="I22" s="868">
        <v>0</v>
      </c>
      <c r="J22" s="867">
        <v>409</v>
      </c>
      <c r="K22" s="868">
        <v>10225</v>
      </c>
      <c r="L22" s="867">
        <v>0</v>
      </c>
      <c r="M22" s="868">
        <v>0</v>
      </c>
      <c r="N22" s="867">
        <v>409</v>
      </c>
      <c r="O22" s="868">
        <v>10225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59525</v>
      </c>
      <c r="B23" s="412">
        <f t="shared" si="1"/>
        <v>25</v>
      </c>
      <c r="C23" s="369" t="s">
        <v>2150</v>
      </c>
      <c r="D23" s="868">
        <v>25</v>
      </c>
      <c r="E23" s="369" t="s">
        <v>2151</v>
      </c>
      <c r="H23" s="867">
        <v>0</v>
      </c>
      <c r="I23" s="868">
        <v>0</v>
      </c>
      <c r="J23" s="867">
        <v>880</v>
      </c>
      <c r="K23" s="868">
        <v>22000</v>
      </c>
      <c r="L23" s="867">
        <v>788</v>
      </c>
      <c r="M23" s="868">
        <v>19700</v>
      </c>
      <c r="N23" s="867">
        <v>1668</v>
      </c>
      <c r="O23" s="868">
        <v>41700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88425</v>
      </c>
      <c r="B24" s="412">
        <f t="shared" si="1"/>
        <v>25</v>
      </c>
      <c r="C24" s="369" t="s">
        <v>2152</v>
      </c>
      <c r="D24" s="868">
        <v>25</v>
      </c>
      <c r="E24" s="369" t="s">
        <v>2153</v>
      </c>
      <c r="H24" s="867">
        <v>190</v>
      </c>
      <c r="I24" s="868">
        <v>4750</v>
      </c>
      <c r="J24" s="867">
        <v>0</v>
      </c>
      <c r="K24" s="868">
        <v>0</v>
      </c>
      <c r="L24" s="867">
        <v>0</v>
      </c>
      <c r="M24" s="868">
        <v>0</v>
      </c>
      <c r="N24" s="867">
        <v>190</v>
      </c>
      <c r="O24" s="868">
        <v>4750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95225</v>
      </c>
      <c r="B25" s="412">
        <f t="shared" si="1"/>
        <v>25</v>
      </c>
      <c r="C25" s="369" t="s">
        <v>2154</v>
      </c>
      <c r="D25" s="868">
        <v>25</v>
      </c>
      <c r="E25" s="369" t="s">
        <v>2155</v>
      </c>
      <c r="H25" s="867">
        <v>0</v>
      </c>
      <c r="I25" s="868">
        <v>0</v>
      </c>
      <c r="J25" s="867">
        <v>0</v>
      </c>
      <c r="K25" s="868">
        <v>0</v>
      </c>
      <c r="L25" s="867">
        <v>220</v>
      </c>
      <c r="M25" s="868">
        <v>5500</v>
      </c>
      <c r="N25" s="867">
        <v>220</v>
      </c>
      <c r="O25" s="868">
        <v>5500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98425</v>
      </c>
      <c r="B26" s="412">
        <f t="shared" si="1"/>
        <v>25</v>
      </c>
      <c r="C26" s="369" t="s">
        <v>2156</v>
      </c>
      <c r="D26" s="868">
        <v>25</v>
      </c>
      <c r="E26" s="369" t="s">
        <v>2157</v>
      </c>
      <c r="H26" s="867">
        <v>201</v>
      </c>
      <c r="I26" s="868">
        <v>5025</v>
      </c>
      <c r="J26" s="867">
        <v>0</v>
      </c>
      <c r="K26" s="868">
        <v>0</v>
      </c>
      <c r="L26" s="867">
        <v>0</v>
      </c>
      <c r="M26" s="868">
        <v>0</v>
      </c>
      <c r="N26" s="867">
        <v>201</v>
      </c>
      <c r="O26" s="868">
        <v>5025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GT11S25</v>
      </c>
      <c r="B27" s="412">
        <f t="shared" si="1"/>
        <v>25</v>
      </c>
      <c r="C27" s="369" t="s">
        <v>204</v>
      </c>
      <c r="D27" s="868">
        <v>25</v>
      </c>
      <c r="E27" s="369" t="s">
        <v>2158</v>
      </c>
      <c r="H27" s="867">
        <v>0</v>
      </c>
      <c r="I27" s="868">
        <v>0</v>
      </c>
      <c r="J27" s="867">
        <v>0</v>
      </c>
      <c r="K27" s="868">
        <v>0</v>
      </c>
      <c r="L27" s="867">
        <v>250</v>
      </c>
      <c r="M27" s="868">
        <v>6250</v>
      </c>
      <c r="N27" s="867">
        <v>250</v>
      </c>
      <c r="O27" s="868">
        <v>6250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HT1225</v>
      </c>
      <c r="B28" s="412">
        <f t="shared" si="1"/>
        <v>25</v>
      </c>
      <c r="C28" s="369" t="s">
        <v>234</v>
      </c>
      <c r="D28" s="868">
        <v>25</v>
      </c>
      <c r="E28" s="369" t="s">
        <v>2159</v>
      </c>
      <c r="H28" s="867">
        <v>0</v>
      </c>
      <c r="I28" s="868">
        <v>0</v>
      </c>
      <c r="J28" s="867">
        <v>0</v>
      </c>
      <c r="K28" s="868">
        <v>0</v>
      </c>
      <c r="L28" s="867">
        <v>494</v>
      </c>
      <c r="M28" s="868">
        <v>12350</v>
      </c>
      <c r="N28" s="867">
        <v>494</v>
      </c>
      <c r="O28" s="868">
        <v>12350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HT12S25</v>
      </c>
      <c r="B29" s="412">
        <f t="shared" si="1"/>
        <v>25</v>
      </c>
      <c r="C29" s="369" t="s">
        <v>236</v>
      </c>
      <c r="D29" s="868">
        <v>25</v>
      </c>
      <c r="E29" s="369" t="s">
        <v>2160</v>
      </c>
      <c r="H29" s="867">
        <v>491</v>
      </c>
      <c r="I29" s="868">
        <v>12275</v>
      </c>
      <c r="J29" s="867">
        <v>0</v>
      </c>
      <c r="K29" s="868">
        <v>0</v>
      </c>
      <c r="L29" s="867">
        <v>0</v>
      </c>
      <c r="M29" s="868">
        <v>0</v>
      </c>
      <c r="N29" s="867">
        <v>491</v>
      </c>
      <c r="O29" s="868">
        <v>12275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694925</v>
      </c>
      <c r="B30" s="412">
        <f t="shared" si="1"/>
        <v>25</v>
      </c>
      <c r="C30" s="369" t="s">
        <v>2161</v>
      </c>
      <c r="D30" s="868">
        <v>25</v>
      </c>
      <c r="E30" s="369" t="s">
        <v>2162</v>
      </c>
      <c r="H30" s="867">
        <v>679</v>
      </c>
      <c r="I30" s="868">
        <v>16975</v>
      </c>
      <c r="J30" s="867">
        <v>0</v>
      </c>
      <c r="K30" s="868">
        <v>0</v>
      </c>
      <c r="L30" s="867">
        <v>0</v>
      </c>
      <c r="M30" s="868">
        <v>0</v>
      </c>
      <c r="N30" s="867">
        <v>679</v>
      </c>
      <c r="O30" s="868">
        <v>16975</v>
      </c>
    </row>
    <row r="31" spans="1:28">
      <c r="A31" s="411" t="str">
        <f t="shared" si="0"/>
        <v>Grand Total1454510193</v>
      </c>
      <c r="B31" s="412">
        <f t="shared" si="1"/>
        <v>10193</v>
      </c>
      <c r="C31" s="369" t="s">
        <v>2163</v>
      </c>
      <c r="D31" s="869">
        <v>10193</v>
      </c>
      <c r="E31" s="868">
        <v>437200</v>
      </c>
      <c r="F31" s="869">
        <v>14545</v>
      </c>
      <c r="G31" s="868">
        <v>606950</v>
      </c>
      <c r="H31" s="869">
        <v>14383</v>
      </c>
      <c r="I31" s="868">
        <v>627675</v>
      </c>
      <c r="J31" s="869">
        <v>39121</v>
      </c>
      <c r="K31" s="868">
        <v>1671825</v>
      </c>
    </row>
    <row r="32" spans="1:28">
      <c r="A32" s="411" t="str">
        <f t="shared" si="0"/>
        <v>0</v>
      </c>
      <c r="B32" s="412">
        <f t="shared" si="1"/>
        <v>0</v>
      </c>
      <c r="D32" s="554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411" t="str">
        <f t="shared" ref="A33:A49" si="2">C33&amp;F33&amp;B33</f>
        <v>0</v>
      </c>
      <c r="B33" s="412">
        <f t="shared" ref="B33:B49" si="3">D33</f>
        <v>0</v>
      </c>
      <c r="D33" s="554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411" t="str">
        <f t="shared" si="2"/>
        <v>0</v>
      </c>
      <c r="B34" s="412">
        <f t="shared" si="3"/>
        <v>0</v>
      </c>
      <c r="D34" s="554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411" t="str">
        <f t="shared" si="2"/>
        <v>0</v>
      </c>
      <c r="B35" s="412">
        <f t="shared" si="3"/>
        <v>0</v>
      </c>
      <c r="D35" s="554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411" t="str">
        <f t="shared" si="2"/>
        <v>0</v>
      </c>
      <c r="B36" s="412">
        <f t="shared" si="3"/>
        <v>0</v>
      </c>
      <c r="D36" s="554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411" t="str">
        <f t="shared" si="2"/>
        <v>0</v>
      </c>
      <c r="B37" s="412">
        <f t="shared" si="3"/>
        <v>0</v>
      </c>
      <c r="D37" s="554"/>
      <c r="H37" s="625"/>
      <c r="I37" s="554"/>
      <c r="J37" s="625"/>
      <c r="K37" s="554"/>
      <c r="L37" s="625"/>
      <c r="M37" s="554"/>
      <c r="N37" s="625"/>
      <c r="O37" s="554"/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554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554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0</v>
      </c>
      <c r="B2" s="541">
        <f>D2</f>
        <v>0</v>
      </c>
      <c r="C2" s="369"/>
      <c r="D2" s="369"/>
      <c r="E2" s="369"/>
      <c r="F2" s="369"/>
      <c r="G2" s="369"/>
      <c r="H2" s="369"/>
      <c r="I2" s="634" t="s">
        <v>2164</v>
      </c>
      <c r="J2" s="634"/>
      <c r="K2" s="1200"/>
      <c r="L2" s="1201"/>
      <c r="M2" s="1200"/>
      <c r="N2" s="1201"/>
      <c r="O2" s="1200"/>
      <c r="P2" s="634"/>
    </row>
    <row r="3" spans="1:16" ht="14.25" customHeight="1">
      <c r="A3" s="377" t="str">
        <f>IFERROR(VLOOKUP(B3,Map!$B:$F,4,0),"")&amp;IFERROR(VLOOKUP(B3,Map!$B:$F,5,0),"")</f>
        <v/>
      </c>
      <c r="B3" s="412" t="str">
        <f>C3&amp;F37</f>
        <v/>
      </c>
      <c r="C3" s="369"/>
      <c r="D3" s="369"/>
      <c r="E3" s="369"/>
      <c r="F3" s="803"/>
      <c r="G3" s="625"/>
      <c r="H3" s="554"/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/>
      </c>
      <c r="C4" s="369"/>
      <c r="D4" s="369"/>
      <c r="E4" s="554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10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/>
      </c>
      <c r="B2" s="540" t="str">
        <f>IF(MID(C2,10,2)="99",C2&amp;E2,LEFT(C2,14))</f>
        <v/>
      </c>
      <c r="C2" s="369"/>
      <c r="D2" s="369"/>
      <c r="E2" s="369"/>
      <c r="F2" s="803"/>
      <c r="G2" s="625"/>
      <c r="H2" s="554"/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/>
      </c>
      <c r="C3" s="369"/>
      <c r="D3" s="369"/>
      <c r="E3" s="554"/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/>
      <c r="E4" s="369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048576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2165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2166</v>
      </c>
      <c r="K3" s="369" t="s">
        <v>2167</v>
      </c>
      <c r="L3" s="593" t="e">
        <f>+H3/F3</f>
        <v>#DIV/0!</v>
      </c>
      <c r="M3" s="369" t="s">
        <v>2168</v>
      </c>
      <c r="N3" s="369" t="s">
        <v>2169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2170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761"/>
      <c r="F17" s="369"/>
      <c r="G17" s="369"/>
      <c r="H17" s="369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2166</v>
      </c>
      <c r="K21" s="369" t="s">
        <v>2167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2171</v>
      </c>
      <c r="B1" s="801" t="s">
        <v>2172</v>
      </c>
      <c r="C1" s="800" t="s">
        <v>2173</v>
      </c>
      <c r="D1" s="800" t="s">
        <v>2174</v>
      </c>
      <c r="E1" s="800" t="s">
        <v>2175</v>
      </c>
      <c r="F1" s="800" t="s">
        <v>35</v>
      </c>
      <c r="G1" s="800" t="s">
        <v>2176</v>
      </c>
      <c r="H1" s="800" t="s">
        <v>2177</v>
      </c>
      <c r="I1" s="800" t="s">
        <v>2178</v>
      </c>
      <c r="J1" s="801" t="s">
        <v>2179</v>
      </c>
      <c r="K1" s="801" t="s">
        <v>2180</v>
      </c>
      <c r="L1" s="801" t="s">
        <v>2181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2182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2183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2184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2185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2186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2185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2184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2185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2187</v>
      </c>
      <c r="U90" t="s">
        <v>2184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2188</v>
      </c>
      <c r="U91" t="s">
        <v>2185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2189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2190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2191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2192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2193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2194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2195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2196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2197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2198</v>
      </c>
      <c r="B2" s="428" t="s">
        <v>2199</v>
      </c>
      <c r="C2" t="s">
        <v>2200</v>
      </c>
      <c r="D2" s="17" t="s">
        <v>2201</v>
      </c>
      <c r="E2" s="442" t="s">
        <v>2202</v>
      </c>
      <c r="F2" s="442"/>
      <c r="G2" s="14"/>
      <c r="M2" s="536"/>
    </row>
    <row r="3" spans="1:13">
      <c r="A3" t="s">
        <v>2203</v>
      </c>
      <c r="B3" s="428">
        <v>302</v>
      </c>
      <c r="C3" t="s">
        <v>2204</v>
      </c>
      <c r="D3" s="17" t="s">
        <v>2201</v>
      </c>
      <c r="E3" s="442" t="s">
        <v>2205</v>
      </c>
      <c r="F3" s="442"/>
      <c r="G3" s="14"/>
      <c r="M3" s="536"/>
    </row>
    <row r="4" spans="1:13">
      <c r="A4" t="s">
        <v>2206</v>
      </c>
      <c r="B4" s="428" t="s">
        <v>2207</v>
      </c>
      <c r="C4" t="s">
        <v>2208</v>
      </c>
      <c r="D4" s="17" t="s">
        <v>2201</v>
      </c>
      <c r="E4" s="442" t="s">
        <v>2209</v>
      </c>
      <c r="G4" s="14"/>
      <c r="M4" s="536"/>
    </row>
    <row r="5" spans="1:13">
      <c r="A5" t="s">
        <v>2210</v>
      </c>
      <c r="B5" s="428" t="s">
        <v>2211</v>
      </c>
      <c r="C5" t="s">
        <v>2212</v>
      </c>
      <c r="D5" s="17" t="s">
        <v>2201</v>
      </c>
      <c r="E5" s="442" t="s">
        <v>2213</v>
      </c>
      <c r="G5" s="14"/>
      <c r="M5" s="536"/>
    </row>
    <row r="6" spans="1:13">
      <c r="A6" t="s">
        <v>2214</v>
      </c>
      <c r="B6" s="428">
        <v>384</v>
      </c>
      <c r="C6" t="s">
        <v>2215</v>
      </c>
      <c r="D6" s="17" t="s">
        <v>2201</v>
      </c>
      <c r="E6" s="442" t="s">
        <v>2216</v>
      </c>
      <c r="F6" s="442"/>
      <c r="G6" s="14"/>
      <c r="M6" s="536"/>
    </row>
    <row r="7" spans="1:13">
      <c r="A7" t="s">
        <v>2217</v>
      </c>
      <c r="B7" s="428" t="s">
        <v>131</v>
      </c>
      <c r="C7" t="s">
        <v>2218</v>
      </c>
      <c r="D7" s="17" t="s">
        <v>2201</v>
      </c>
      <c r="E7" s="442" t="s">
        <v>2219</v>
      </c>
      <c r="F7" s="442"/>
      <c r="G7" s="14"/>
      <c r="M7" s="536"/>
    </row>
    <row r="8" spans="1:13">
      <c r="A8" t="s">
        <v>2220</v>
      </c>
      <c r="B8" s="428">
        <v>510</v>
      </c>
      <c r="C8" t="s">
        <v>2221</v>
      </c>
      <c r="D8" s="17" t="s">
        <v>2201</v>
      </c>
      <c r="E8" s="442" t="s">
        <v>2222</v>
      </c>
      <c r="F8" s="442"/>
      <c r="G8" s="14"/>
      <c r="M8" s="536"/>
    </row>
    <row r="9" spans="1:13">
      <c r="A9" t="s">
        <v>2223</v>
      </c>
      <c r="B9" s="428" t="s">
        <v>135</v>
      </c>
      <c r="C9" t="s">
        <v>2224</v>
      </c>
      <c r="D9" s="17">
        <v>25</v>
      </c>
      <c r="E9" s="442" t="s">
        <v>2225</v>
      </c>
      <c r="F9" s="442"/>
      <c r="G9" s="14"/>
      <c r="M9" s="536"/>
    </row>
    <row r="10" spans="1:13">
      <c r="A10" t="s">
        <v>2226</v>
      </c>
      <c r="B10" s="428" t="s">
        <v>134</v>
      </c>
      <c r="C10" t="s">
        <v>2227</v>
      </c>
      <c r="D10" s="17" t="s">
        <v>2201</v>
      </c>
      <c r="E10" s="442" t="s">
        <v>2228</v>
      </c>
      <c r="F10" s="442"/>
      <c r="G10" s="14"/>
      <c r="M10" s="536"/>
    </row>
    <row r="11" spans="1:13">
      <c r="A11" t="s">
        <v>2229</v>
      </c>
      <c r="B11" s="428" t="s">
        <v>2230</v>
      </c>
      <c r="C11" t="s">
        <v>2231</v>
      </c>
      <c r="D11" s="17" t="s">
        <v>2201</v>
      </c>
      <c r="E11" s="442" t="s">
        <v>2232</v>
      </c>
      <c r="F11" s="442"/>
      <c r="G11" s="14"/>
      <c r="M11" s="536"/>
    </row>
    <row r="12" spans="1:13">
      <c r="A12" t="s">
        <v>2233</v>
      </c>
      <c r="B12" s="428" t="s">
        <v>139</v>
      </c>
      <c r="C12" t="s">
        <v>2234</v>
      </c>
      <c r="D12" s="17" t="s">
        <v>2201</v>
      </c>
      <c r="E12" s="442" t="s">
        <v>2235</v>
      </c>
      <c r="F12" s="442"/>
      <c r="G12" s="14"/>
      <c r="M12" s="536"/>
    </row>
    <row r="13" spans="1:13">
      <c r="A13" t="s">
        <v>2236</v>
      </c>
      <c r="B13" s="428" t="s">
        <v>142</v>
      </c>
      <c r="C13" t="s">
        <v>2237</v>
      </c>
      <c r="D13" s="17" t="s">
        <v>2201</v>
      </c>
      <c r="E13" s="442" t="s">
        <v>2238</v>
      </c>
      <c r="F13" s="442"/>
      <c r="G13" s="14"/>
      <c r="M13" s="536"/>
    </row>
    <row r="14" spans="1:13">
      <c r="A14" t="s">
        <v>2239</v>
      </c>
      <c r="B14" s="428" t="s">
        <v>143</v>
      </c>
      <c r="C14" t="s">
        <v>2240</v>
      </c>
      <c r="D14" s="17" t="s">
        <v>2201</v>
      </c>
      <c r="E14" s="442" t="s">
        <v>2241</v>
      </c>
      <c r="F14" s="442"/>
      <c r="G14" s="14"/>
      <c r="M14" s="536"/>
    </row>
    <row r="15" spans="1:13">
      <c r="A15" t="s">
        <v>2242</v>
      </c>
      <c r="B15" s="428" t="s">
        <v>136</v>
      </c>
      <c r="C15" t="s">
        <v>2243</v>
      </c>
      <c r="D15" s="17" t="s">
        <v>2201</v>
      </c>
      <c r="E15" s="442" t="s">
        <v>2244</v>
      </c>
      <c r="F15" s="442"/>
      <c r="G15" s="14"/>
      <c r="M15" s="536"/>
    </row>
    <row r="16" spans="1:13">
      <c r="A16" t="s">
        <v>2245</v>
      </c>
      <c r="B16" s="428" t="s">
        <v>138</v>
      </c>
      <c r="C16" t="s">
        <v>2246</v>
      </c>
      <c r="D16" s="17" t="s">
        <v>2201</v>
      </c>
      <c r="E16" s="442" t="s">
        <v>2247</v>
      </c>
      <c r="F16" s="442"/>
      <c r="G16" s="14"/>
      <c r="M16" s="536"/>
    </row>
    <row r="17" spans="1:13">
      <c r="A17" t="s">
        <v>2248</v>
      </c>
      <c r="B17" s="428" t="s">
        <v>2249</v>
      </c>
      <c r="C17" t="s">
        <v>2250</v>
      </c>
      <c r="D17" s="17" t="s">
        <v>2201</v>
      </c>
      <c r="E17" s="442" t="s">
        <v>2251</v>
      </c>
      <c r="G17" s="14"/>
      <c r="M17" s="536"/>
    </row>
    <row r="18" spans="1:13">
      <c r="A18" t="s">
        <v>2252</v>
      </c>
      <c r="B18" s="428" t="s">
        <v>2253</v>
      </c>
      <c r="C18" t="s">
        <v>2254</v>
      </c>
      <c r="D18" s="17">
        <v>25</v>
      </c>
      <c r="E18" s="442" t="s">
        <v>2255</v>
      </c>
      <c r="F18" s="442"/>
      <c r="G18" s="14"/>
      <c r="M18" s="536"/>
    </row>
    <row r="19" spans="1:13">
      <c r="A19" t="s">
        <v>2256</v>
      </c>
      <c r="B19" s="428" t="s">
        <v>2257</v>
      </c>
      <c r="C19" t="s">
        <v>2258</v>
      </c>
      <c r="D19" s="17">
        <v>25</v>
      </c>
      <c r="E19" s="442" t="s">
        <v>2259</v>
      </c>
      <c r="F19" s="442"/>
      <c r="G19" s="14"/>
      <c r="M19" s="536"/>
    </row>
    <row r="20" spans="1:13">
      <c r="A20" t="s">
        <v>2260</v>
      </c>
      <c r="B20" s="428" t="s">
        <v>2261</v>
      </c>
      <c r="C20" t="s">
        <v>2262</v>
      </c>
      <c r="D20" s="17" t="s">
        <v>2201</v>
      </c>
      <c r="E20" s="442" t="s">
        <v>2263</v>
      </c>
      <c r="F20" s="442"/>
      <c r="G20" s="14"/>
      <c r="M20" s="536"/>
    </row>
    <row r="21" spans="1:13">
      <c r="A21" t="s">
        <v>2264</v>
      </c>
      <c r="B21" s="428" t="s">
        <v>2265</v>
      </c>
      <c r="C21" t="s">
        <v>2266</v>
      </c>
      <c r="D21" s="17">
        <v>25</v>
      </c>
      <c r="E21" s="442" t="s">
        <v>2267</v>
      </c>
      <c r="F21" s="442"/>
      <c r="G21" s="14"/>
      <c r="M21" s="536"/>
    </row>
    <row r="22" spans="1:13">
      <c r="A22" t="s">
        <v>2268</v>
      </c>
      <c r="B22" s="428" t="s">
        <v>2269</v>
      </c>
      <c r="C22" t="s">
        <v>2270</v>
      </c>
      <c r="D22" s="17" t="s">
        <v>2201</v>
      </c>
      <c r="E22" s="442" t="s">
        <v>2271</v>
      </c>
      <c r="F22" s="442"/>
      <c r="G22" s="14"/>
    </row>
    <row r="23" spans="1:13">
      <c r="A23" t="s">
        <v>2268</v>
      </c>
      <c r="B23" s="428" t="s">
        <v>2269</v>
      </c>
      <c r="C23" t="s">
        <v>2270</v>
      </c>
      <c r="D23" s="17" t="s">
        <v>2201</v>
      </c>
      <c r="E23" s="442" t="s">
        <v>2272</v>
      </c>
      <c r="G23" s="14"/>
    </row>
    <row r="24" spans="1:13">
      <c r="A24" t="s">
        <v>2273</v>
      </c>
      <c r="B24" s="428" t="s">
        <v>2274</v>
      </c>
      <c r="C24" t="s">
        <v>2275</v>
      </c>
      <c r="D24" s="17" t="s">
        <v>2201</v>
      </c>
      <c r="E24" s="442" t="s">
        <v>2276</v>
      </c>
      <c r="F24" s="442"/>
      <c r="G24" s="14"/>
    </row>
    <row r="25" spans="1:13">
      <c r="A25" t="s">
        <v>2277</v>
      </c>
      <c r="B25" s="428" t="s">
        <v>2278</v>
      </c>
      <c r="C25" t="s">
        <v>2279</v>
      </c>
      <c r="D25" s="17" t="s">
        <v>2201</v>
      </c>
      <c r="E25" s="442" t="s">
        <v>2280</v>
      </c>
      <c r="F25" s="442"/>
      <c r="G25" s="14"/>
    </row>
    <row r="26" spans="1:13">
      <c r="A26" t="s">
        <v>2281</v>
      </c>
      <c r="B26" s="428" t="s">
        <v>2282</v>
      </c>
      <c r="C26" t="s">
        <v>2283</v>
      </c>
      <c r="D26" s="17" t="s">
        <v>2201</v>
      </c>
      <c r="E26" s="442" t="s">
        <v>2284</v>
      </c>
      <c r="F26" s="442"/>
      <c r="G26" s="14"/>
    </row>
    <row r="27" spans="1:13">
      <c r="A27" t="s">
        <v>2285</v>
      </c>
      <c r="B27" s="428" t="s">
        <v>2286</v>
      </c>
      <c r="C27" t="s">
        <v>2287</v>
      </c>
      <c r="D27" s="17">
        <v>25</v>
      </c>
      <c r="E27" s="442" t="s">
        <v>2288</v>
      </c>
      <c r="F27" s="442"/>
      <c r="G27" s="14"/>
    </row>
    <row r="28" spans="1:13">
      <c r="A28" t="s">
        <v>2289</v>
      </c>
      <c r="B28" s="428" t="s">
        <v>2290</v>
      </c>
      <c r="C28" t="s">
        <v>2291</v>
      </c>
      <c r="D28" s="17" t="s">
        <v>2201</v>
      </c>
      <c r="E28" s="442" t="s">
        <v>2292</v>
      </c>
      <c r="G28" s="14"/>
    </row>
    <row r="29" spans="1:13">
      <c r="A29" t="s">
        <v>2293</v>
      </c>
      <c r="B29" s="428" t="s">
        <v>154</v>
      </c>
      <c r="C29" t="s">
        <v>2294</v>
      </c>
      <c r="D29" s="17" t="s">
        <v>2201</v>
      </c>
      <c r="E29" s="442" t="s">
        <v>2295</v>
      </c>
      <c r="F29" s="442"/>
      <c r="G29" s="14"/>
    </row>
    <row r="30" spans="1:13">
      <c r="A30" t="s">
        <v>2296</v>
      </c>
      <c r="B30" s="428" t="s">
        <v>2297</v>
      </c>
      <c r="C30" t="s">
        <v>2298</v>
      </c>
      <c r="D30" s="17" t="s">
        <v>2201</v>
      </c>
      <c r="E30" s="442" t="s">
        <v>2299</v>
      </c>
      <c r="G30" s="14"/>
    </row>
    <row r="31" spans="1:13">
      <c r="A31" t="s">
        <v>2300</v>
      </c>
      <c r="B31" s="428" t="s">
        <v>2134</v>
      </c>
      <c r="C31" t="s">
        <v>2301</v>
      </c>
      <c r="D31" s="17" t="s">
        <v>2201</v>
      </c>
      <c r="E31" s="442" t="s">
        <v>2302</v>
      </c>
      <c r="G31" s="14"/>
    </row>
    <row r="32" spans="1:13">
      <c r="A32" t="s">
        <v>2303</v>
      </c>
      <c r="B32" s="428" t="s">
        <v>157</v>
      </c>
      <c r="C32" t="s">
        <v>2304</v>
      </c>
      <c r="D32" s="17" t="s">
        <v>2201</v>
      </c>
      <c r="E32" s="442" t="s">
        <v>2305</v>
      </c>
      <c r="F32" s="442"/>
      <c r="G32" s="14"/>
    </row>
    <row r="33" spans="1:13">
      <c r="A33" t="s">
        <v>2306</v>
      </c>
      <c r="B33" s="428" t="s">
        <v>2307</v>
      </c>
      <c r="C33" t="s">
        <v>2308</v>
      </c>
      <c r="D33" s="17" t="s">
        <v>2201</v>
      </c>
      <c r="E33" s="442" t="s">
        <v>2309</v>
      </c>
      <c r="G33" s="14"/>
    </row>
    <row r="34" spans="1:13">
      <c r="A34" t="s">
        <v>2310</v>
      </c>
      <c r="B34" s="428" t="s">
        <v>159</v>
      </c>
      <c r="C34" t="s">
        <v>2311</v>
      </c>
      <c r="D34" s="17" t="s">
        <v>2201</v>
      </c>
      <c r="E34" s="442" t="s">
        <v>2312</v>
      </c>
      <c r="G34" s="14"/>
    </row>
    <row r="35" spans="1:13">
      <c r="A35" t="s">
        <v>2313</v>
      </c>
      <c r="B35" s="428" t="s">
        <v>2137</v>
      </c>
      <c r="C35" t="s">
        <v>2314</v>
      </c>
      <c r="D35" s="17" t="s">
        <v>2201</v>
      </c>
      <c r="E35" s="442" t="s">
        <v>2315</v>
      </c>
      <c r="F35" s="442"/>
      <c r="G35" s="14"/>
    </row>
    <row r="36" spans="1:13">
      <c r="A36" t="s">
        <v>2316</v>
      </c>
      <c r="B36" s="428" t="s">
        <v>160</v>
      </c>
      <c r="C36" t="s">
        <v>2317</v>
      </c>
      <c r="D36" s="17">
        <v>25</v>
      </c>
      <c r="E36" s="442" t="s">
        <v>2318</v>
      </c>
      <c r="F36" s="442"/>
      <c r="G36" s="14"/>
    </row>
    <row r="37" spans="1:13">
      <c r="A37" t="s">
        <v>2319</v>
      </c>
      <c r="B37" s="428" t="s">
        <v>2320</v>
      </c>
      <c r="C37" t="s">
        <v>2321</v>
      </c>
      <c r="D37" s="17" t="s">
        <v>2201</v>
      </c>
      <c r="E37" s="442" t="s">
        <v>2322</v>
      </c>
      <c r="F37" s="442"/>
      <c r="G37" s="14"/>
    </row>
    <row r="38" spans="1:13">
      <c r="A38" t="s">
        <v>2323</v>
      </c>
      <c r="B38" s="428" t="s">
        <v>162</v>
      </c>
      <c r="C38" t="s">
        <v>2324</v>
      </c>
      <c r="D38" s="17" t="s">
        <v>2201</v>
      </c>
      <c r="E38" s="442" t="s">
        <v>2325</v>
      </c>
      <c r="F38" s="442"/>
      <c r="G38" s="14"/>
    </row>
    <row r="39" spans="1:13">
      <c r="A39" t="s">
        <v>2326</v>
      </c>
      <c r="B39" s="428" t="s">
        <v>163</v>
      </c>
      <c r="C39" t="s">
        <v>2327</v>
      </c>
      <c r="D39" s="17" t="s">
        <v>2201</v>
      </c>
      <c r="E39" s="442" t="s">
        <v>2328</v>
      </c>
      <c r="F39" s="442"/>
      <c r="G39" s="14"/>
    </row>
    <row r="40" spans="1:13">
      <c r="A40" t="s">
        <v>2329</v>
      </c>
      <c r="B40" s="428" t="s">
        <v>164</v>
      </c>
      <c r="C40" t="s">
        <v>2330</v>
      </c>
      <c r="D40" s="17">
        <v>25</v>
      </c>
      <c r="E40" s="442" t="s">
        <v>2331</v>
      </c>
      <c r="F40" s="442"/>
      <c r="G40" s="14"/>
      <c r="M40" s="536"/>
    </row>
    <row r="41" spans="1:13">
      <c r="A41" t="s">
        <v>2332</v>
      </c>
      <c r="B41" s="428" t="s">
        <v>2333</v>
      </c>
      <c r="C41" t="s">
        <v>2334</v>
      </c>
      <c r="D41" s="17" t="s">
        <v>2201</v>
      </c>
      <c r="E41" s="442" t="s">
        <v>2335</v>
      </c>
      <c r="F41" s="442"/>
      <c r="G41" s="14"/>
      <c r="M41" s="536"/>
    </row>
    <row r="42" spans="1:13">
      <c r="A42" t="s">
        <v>2336</v>
      </c>
      <c r="B42" s="428" t="s">
        <v>165</v>
      </c>
      <c r="C42" t="s">
        <v>2337</v>
      </c>
      <c r="D42" s="17" t="s">
        <v>2201</v>
      </c>
      <c r="E42" s="442" t="s">
        <v>2338</v>
      </c>
      <c r="G42" s="14"/>
      <c r="M42" s="536"/>
    </row>
    <row r="43" spans="1:13">
      <c r="A43" t="s">
        <v>2339</v>
      </c>
      <c r="B43" s="428" t="s">
        <v>2340</v>
      </c>
      <c r="C43" t="s">
        <v>2341</v>
      </c>
      <c r="D43" s="17" t="s">
        <v>2201</v>
      </c>
      <c r="E43" s="442" t="s">
        <v>2342</v>
      </c>
      <c r="G43" s="14"/>
      <c r="M43" s="536"/>
    </row>
    <row r="44" spans="1:13">
      <c r="A44" t="s">
        <v>2343</v>
      </c>
      <c r="B44" s="428" t="s">
        <v>166</v>
      </c>
      <c r="C44" t="s">
        <v>2344</v>
      </c>
      <c r="D44" s="17" t="s">
        <v>2201</v>
      </c>
      <c r="E44" s="442" t="s">
        <v>2345</v>
      </c>
      <c r="F44" s="442"/>
      <c r="G44" s="14"/>
      <c r="M44" s="536"/>
    </row>
    <row r="45" spans="1:13">
      <c r="A45" t="s">
        <v>2346</v>
      </c>
      <c r="B45" s="428" t="s">
        <v>2347</v>
      </c>
      <c r="C45" t="s">
        <v>2348</v>
      </c>
      <c r="D45" s="17" t="s">
        <v>2201</v>
      </c>
      <c r="E45" s="442" t="s">
        <v>2349</v>
      </c>
      <c r="F45" s="442"/>
      <c r="G45" s="14"/>
      <c r="M45" s="536"/>
    </row>
    <row r="46" spans="1:13">
      <c r="A46" t="s">
        <v>2350</v>
      </c>
      <c r="B46" s="428" t="s">
        <v>2351</v>
      </c>
      <c r="C46" t="s">
        <v>2352</v>
      </c>
      <c r="D46" s="17" t="s">
        <v>2201</v>
      </c>
      <c r="E46" s="442" t="s">
        <v>2353</v>
      </c>
      <c r="F46" s="442"/>
      <c r="G46" s="14"/>
    </row>
    <row r="47" spans="1:13">
      <c r="A47" t="s">
        <v>2354</v>
      </c>
      <c r="B47" s="428" t="s">
        <v>167</v>
      </c>
      <c r="C47" t="s">
        <v>2355</v>
      </c>
      <c r="D47" s="17" t="s">
        <v>2201</v>
      </c>
      <c r="E47" s="14" t="s">
        <v>2356</v>
      </c>
      <c r="F47" s="442"/>
      <c r="G47" s="442"/>
    </row>
    <row r="48" spans="1:13">
      <c r="A48" t="s">
        <v>2357</v>
      </c>
      <c r="B48" s="428" t="s">
        <v>2358</v>
      </c>
      <c r="C48" t="s">
        <v>2359</v>
      </c>
      <c r="D48" s="17" t="s">
        <v>2201</v>
      </c>
      <c r="E48" t="s">
        <v>2360</v>
      </c>
      <c r="F48" s="442"/>
      <c r="G48" s="14"/>
    </row>
    <row r="49" spans="1:13">
      <c r="A49" t="s">
        <v>2361</v>
      </c>
      <c r="B49" s="428" t="s">
        <v>2362</v>
      </c>
      <c r="C49" t="s">
        <v>2363</v>
      </c>
      <c r="D49" s="17" t="s">
        <v>2201</v>
      </c>
      <c r="E49" s="442" t="s">
        <v>2364</v>
      </c>
      <c r="F49" s="442"/>
      <c r="G49" s="14"/>
      <c r="M49" s="536"/>
    </row>
    <row r="50" spans="1:13">
      <c r="A50" t="s">
        <v>2365</v>
      </c>
      <c r="B50" s="428" t="s">
        <v>170</v>
      </c>
      <c r="C50" t="s">
        <v>2366</v>
      </c>
      <c r="D50" s="17" t="s">
        <v>2201</v>
      </c>
      <c r="E50" s="442" t="s">
        <v>2367</v>
      </c>
      <c r="F50" s="442"/>
      <c r="G50" s="14"/>
      <c r="M50" s="536"/>
    </row>
    <row r="51" spans="1:13" ht="12" customHeight="1">
      <c r="A51" t="s">
        <v>2368</v>
      </c>
      <c r="B51" s="428" t="s">
        <v>2369</v>
      </c>
      <c r="C51" t="s">
        <v>2370</v>
      </c>
      <c r="D51" s="17" t="s">
        <v>2201</v>
      </c>
      <c r="E51" s="442" t="s">
        <v>2371</v>
      </c>
      <c r="F51" s="442"/>
      <c r="G51" s="14"/>
      <c r="M51" s="536"/>
    </row>
    <row r="52" spans="1:13">
      <c r="A52" t="s">
        <v>2372</v>
      </c>
      <c r="B52" s="428" t="s">
        <v>2148</v>
      </c>
      <c r="C52" t="s">
        <v>2373</v>
      </c>
      <c r="D52" s="17">
        <v>25</v>
      </c>
      <c r="E52" s="442" t="s">
        <v>2374</v>
      </c>
      <c r="G52" s="14"/>
      <c r="M52" s="536"/>
    </row>
    <row r="53" spans="1:13">
      <c r="A53" t="s">
        <v>2375</v>
      </c>
      <c r="B53" s="428" t="s">
        <v>2376</v>
      </c>
      <c r="C53" t="s">
        <v>2377</v>
      </c>
      <c r="D53" s="17" t="s">
        <v>2201</v>
      </c>
      <c r="E53" s="442" t="s">
        <v>2378</v>
      </c>
      <c r="G53" s="14"/>
      <c r="M53" s="536"/>
    </row>
    <row r="54" spans="1:13">
      <c r="A54" t="s">
        <v>2379</v>
      </c>
      <c r="B54" s="428" t="s">
        <v>2150</v>
      </c>
      <c r="C54" t="s">
        <v>2380</v>
      </c>
      <c r="D54" s="17" t="s">
        <v>2201</v>
      </c>
      <c r="E54" s="442" t="s">
        <v>2381</v>
      </c>
      <c r="G54" s="14"/>
      <c r="M54" s="536"/>
    </row>
    <row r="55" spans="1:13">
      <c r="A55" t="s">
        <v>2382</v>
      </c>
      <c r="B55" s="428" t="s">
        <v>152</v>
      </c>
      <c r="C55" t="s">
        <v>2383</v>
      </c>
      <c r="D55" s="17" t="s">
        <v>2201</v>
      </c>
      <c r="E55" t="s">
        <v>2384</v>
      </c>
      <c r="G55" s="14"/>
    </row>
    <row r="56" spans="1:13">
      <c r="A56" t="s">
        <v>2385</v>
      </c>
      <c r="B56" s="428" t="s">
        <v>2278</v>
      </c>
      <c r="C56" t="s">
        <v>2386</v>
      </c>
      <c r="D56" s="17">
        <v>40</v>
      </c>
      <c r="E56" t="s">
        <v>2387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2201</v>
      </c>
      <c r="D59" s="17" t="s">
        <v>2201</v>
      </c>
      <c r="F59" s="442"/>
      <c r="G59" s="14"/>
    </row>
    <row r="60" spans="1:13">
      <c r="A60" t="s">
        <v>2201</v>
      </c>
      <c r="D60" s="17" t="s">
        <v>2201</v>
      </c>
      <c r="F60" s="442"/>
      <c r="G60" s="14"/>
    </row>
    <row r="61" spans="1:13">
      <c r="A61" t="s">
        <v>2388</v>
      </c>
      <c r="B61" s="428" t="s">
        <v>2152</v>
      </c>
      <c r="C61" t="s">
        <v>2389</v>
      </c>
      <c r="D61" s="17" t="s">
        <v>2201</v>
      </c>
      <c r="E61" t="s">
        <v>2390</v>
      </c>
      <c r="F61" s="442"/>
      <c r="G61" s="14"/>
    </row>
    <row r="62" spans="1:13">
      <c r="A62" t="s">
        <v>2391</v>
      </c>
      <c r="B62" s="428" t="s">
        <v>179</v>
      </c>
      <c r="C62" t="s">
        <v>2392</v>
      </c>
      <c r="D62" s="17" t="s">
        <v>2201</v>
      </c>
      <c r="E62" t="s">
        <v>2393</v>
      </c>
      <c r="F62" s="442"/>
      <c r="G62" s="14"/>
    </row>
    <row r="63" spans="1:13">
      <c r="A63" t="s">
        <v>2394</v>
      </c>
      <c r="B63" s="428" t="s">
        <v>2395</v>
      </c>
      <c r="C63" t="s">
        <v>2396</v>
      </c>
      <c r="D63" s="17" t="s">
        <v>2201</v>
      </c>
      <c r="E63" t="s">
        <v>2397</v>
      </c>
      <c r="F63" s="442"/>
      <c r="G63" s="14"/>
    </row>
    <row r="64" spans="1:13">
      <c r="A64" t="s">
        <v>2398</v>
      </c>
      <c r="B64" s="428" t="s">
        <v>2399</v>
      </c>
      <c r="C64" t="s">
        <v>2400</v>
      </c>
      <c r="D64" s="17" t="s">
        <v>2201</v>
      </c>
      <c r="E64" t="s">
        <v>2401</v>
      </c>
      <c r="G64" s="14"/>
    </row>
    <row r="65" spans="1:7">
      <c r="A65" t="s">
        <v>2402</v>
      </c>
      <c r="B65" s="428" t="s">
        <v>2403</v>
      </c>
      <c r="C65" t="s">
        <v>2404</v>
      </c>
      <c r="D65" s="17" t="s">
        <v>2201</v>
      </c>
      <c r="E65" t="s">
        <v>2405</v>
      </c>
      <c r="F65" s="442"/>
      <c r="G65" s="14"/>
    </row>
    <row r="66" spans="1:7">
      <c r="A66" t="s">
        <v>2406</v>
      </c>
      <c r="B66" s="428" t="s">
        <v>2407</v>
      </c>
      <c r="C66" t="s">
        <v>2408</v>
      </c>
      <c r="D66" s="17" t="s">
        <v>2201</v>
      </c>
      <c r="E66" t="s">
        <v>2409</v>
      </c>
      <c r="F66" s="442"/>
      <c r="G66" s="14"/>
    </row>
    <row r="67" spans="1:7">
      <c r="A67" t="s">
        <v>2410</v>
      </c>
      <c r="B67" s="428" t="s">
        <v>2154</v>
      </c>
      <c r="C67" t="s">
        <v>2411</v>
      </c>
      <c r="D67" s="17" t="s">
        <v>2201</v>
      </c>
      <c r="E67" t="s">
        <v>2412</v>
      </c>
      <c r="G67" s="14"/>
    </row>
    <row r="68" spans="1:7">
      <c r="A68" t="s">
        <v>2413</v>
      </c>
      <c r="B68" s="428" t="s">
        <v>182</v>
      </c>
      <c r="C68" t="s">
        <v>2414</v>
      </c>
      <c r="D68" s="17" t="s">
        <v>2201</v>
      </c>
      <c r="E68" t="s">
        <v>2415</v>
      </c>
      <c r="F68" s="442"/>
      <c r="G68" s="14"/>
    </row>
    <row r="69" spans="1:7">
      <c r="A69" t="s">
        <v>2416</v>
      </c>
      <c r="B69" s="428" t="s">
        <v>184</v>
      </c>
      <c r="C69" t="s">
        <v>2417</v>
      </c>
      <c r="D69" s="17" t="s">
        <v>2201</v>
      </c>
      <c r="E69" t="s">
        <v>2418</v>
      </c>
      <c r="F69" s="442"/>
      <c r="G69" s="14"/>
    </row>
    <row r="70" spans="1:7">
      <c r="A70" t="s">
        <v>2419</v>
      </c>
      <c r="B70" s="428" t="s">
        <v>185</v>
      </c>
      <c r="C70" t="s">
        <v>2420</v>
      </c>
      <c r="D70" s="17" t="s">
        <v>2201</v>
      </c>
      <c r="E70" t="s">
        <v>2421</v>
      </c>
      <c r="F70" s="442"/>
      <c r="G70" s="14"/>
    </row>
    <row r="71" spans="1:7">
      <c r="A71" t="s">
        <v>2422</v>
      </c>
      <c r="B71" s="428" t="s">
        <v>2423</v>
      </c>
      <c r="C71" t="s">
        <v>2424</v>
      </c>
      <c r="D71" s="17" t="s">
        <v>2201</v>
      </c>
      <c r="E71" t="s">
        <v>2425</v>
      </c>
      <c r="F71" s="442"/>
      <c r="G71" s="14"/>
    </row>
    <row r="72" spans="1:7">
      <c r="A72" t="s">
        <v>2426</v>
      </c>
      <c r="B72" s="428" t="s">
        <v>186</v>
      </c>
      <c r="C72" t="s">
        <v>2427</v>
      </c>
      <c r="D72" s="17" t="s">
        <v>2201</v>
      </c>
      <c r="E72" t="s">
        <v>2428</v>
      </c>
      <c r="G72" s="14"/>
    </row>
    <row r="73" spans="1:7">
      <c r="A73" t="s">
        <v>2429</v>
      </c>
      <c r="B73" s="428" t="s">
        <v>2430</v>
      </c>
      <c r="C73" t="s">
        <v>2431</v>
      </c>
      <c r="D73" s="17" t="s">
        <v>2201</v>
      </c>
      <c r="E73" t="s">
        <v>2432</v>
      </c>
      <c r="F73" s="442"/>
      <c r="G73" s="14"/>
    </row>
    <row r="74" spans="1:7">
      <c r="A74" t="s">
        <v>2433</v>
      </c>
      <c r="B74" s="428" t="s">
        <v>2434</v>
      </c>
      <c r="C74" t="s">
        <v>2435</v>
      </c>
      <c r="D74" s="17" t="s">
        <v>2201</v>
      </c>
      <c r="E74" t="s">
        <v>2436</v>
      </c>
      <c r="F74" s="442"/>
      <c r="G74" s="14"/>
    </row>
    <row r="75" spans="1:7">
      <c r="A75" t="s">
        <v>2437</v>
      </c>
      <c r="B75" s="428" t="s">
        <v>187</v>
      </c>
      <c r="C75" t="s">
        <v>2438</v>
      </c>
      <c r="D75" s="17" t="s">
        <v>2201</v>
      </c>
      <c r="E75" t="s">
        <v>2439</v>
      </c>
      <c r="F75" s="442"/>
      <c r="G75" s="14"/>
    </row>
    <row r="76" spans="1:7">
      <c r="A76" t="s">
        <v>2440</v>
      </c>
      <c r="B76" s="428" t="s">
        <v>2156</v>
      </c>
      <c r="C76" t="s">
        <v>2441</v>
      </c>
      <c r="D76" s="17">
        <v>25</v>
      </c>
      <c r="E76" t="s">
        <v>2442</v>
      </c>
      <c r="F76" s="442"/>
      <c r="G76" s="14"/>
    </row>
    <row r="77" spans="1:7">
      <c r="A77" t="s">
        <v>2443</v>
      </c>
      <c r="B77" s="428" t="s">
        <v>189</v>
      </c>
      <c r="C77" t="s">
        <v>2444</v>
      </c>
      <c r="D77" s="17">
        <v>25</v>
      </c>
      <c r="E77" t="s">
        <v>2445</v>
      </c>
      <c r="F77" s="442"/>
      <c r="G77" s="14"/>
    </row>
    <row r="78" spans="1:7">
      <c r="A78" t="s">
        <v>2446</v>
      </c>
      <c r="B78" s="428" t="s">
        <v>190</v>
      </c>
      <c r="C78" t="s">
        <v>2447</v>
      </c>
      <c r="D78" s="17" t="s">
        <v>2201</v>
      </c>
      <c r="E78" t="s">
        <v>2448</v>
      </c>
      <c r="F78" s="442"/>
      <c r="G78" s="14"/>
    </row>
    <row r="79" spans="1:7">
      <c r="F79" s="442"/>
      <c r="G79" s="14"/>
    </row>
    <row r="80" spans="1:7">
      <c r="D80" s="17" t="s">
        <v>2201</v>
      </c>
      <c r="F80" s="442"/>
      <c r="G80" s="14"/>
    </row>
    <row r="81" spans="1:7">
      <c r="D81" s="17" t="s">
        <v>2201</v>
      </c>
      <c r="F81" s="442"/>
      <c r="G81" s="14"/>
    </row>
    <row r="82" spans="1:7">
      <c r="A82" t="s">
        <v>2449</v>
      </c>
      <c r="B82" s="428" t="s">
        <v>2195</v>
      </c>
      <c r="C82" t="s">
        <v>2450</v>
      </c>
      <c r="D82" s="17" t="s">
        <v>2201</v>
      </c>
      <c r="E82" t="s">
        <v>2451</v>
      </c>
    </row>
    <row r="83" spans="1:7">
      <c r="A83" t="s">
        <v>2452</v>
      </c>
      <c r="B83" s="428" t="s">
        <v>2196</v>
      </c>
      <c r="C83" t="s">
        <v>2453</v>
      </c>
      <c r="D83" s="17" t="s">
        <v>2201</v>
      </c>
      <c r="E83" t="s">
        <v>2454</v>
      </c>
    </row>
    <row r="84" spans="1:7">
      <c r="A84" t="s">
        <v>2455</v>
      </c>
      <c r="B84" s="428" t="s">
        <v>2456</v>
      </c>
      <c r="C84" t="s">
        <v>2457</v>
      </c>
      <c r="D84" s="17" t="s">
        <v>2201</v>
      </c>
      <c r="E84" t="s">
        <v>2458</v>
      </c>
    </row>
    <row r="85" spans="1:7">
      <c r="A85" t="s">
        <v>2459</v>
      </c>
      <c r="B85" s="428" t="s">
        <v>227</v>
      </c>
      <c r="C85" t="s">
        <v>2460</v>
      </c>
      <c r="D85" s="17" t="s">
        <v>2201</v>
      </c>
      <c r="E85" t="s">
        <v>2461</v>
      </c>
    </row>
    <row r="86" spans="1:7">
      <c r="A86" t="s">
        <v>2462</v>
      </c>
      <c r="B86" s="428" t="s">
        <v>231</v>
      </c>
      <c r="C86" t="s">
        <v>2463</v>
      </c>
      <c r="D86" s="17" t="s">
        <v>2201</v>
      </c>
      <c r="E86" t="s">
        <v>2464</v>
      </c>
    </row>
    <row r="87" spans="1:7">
      <c r="A87" t="s">
        <v>2465</v>
      </c>
      <c r="B87" s="428" t="s">
        <v>233</v>
      </c>
      <c r="C87" t="s">
        <v>2466</v>
      </c>
      <c r="D87" s="17" t="s">
        <v>2201</v>
      </c>
      <c r="E87" t="s">
        <v>2467</v>
      </c>
    </row>
    <row r="88" spans="1:7">
      <c r="A88" t="s">
        <v>2468</v>
      </c>
      <c r="B88" s="428" t="s">
        <v>234</v>
      </c>
      <c r="C88" t="s">
        <v>2469</v>
      </c>
      <c r="D88" s="17" t="s">
        <v>2201</v>
      </c>
      <c r="E88" t="s">
        <v>2470</v>
      </c>
    </row>
    <row r="89" spans="1:7">
      <c r="A89" t="s">
        <v>2471</v>
      </c>
      <c r="B89" s="428" t="s">
        <v>236</v>
      </c>
      <c r="C89" t="s">
        <v>2472</v>
      </c>
      <c r="D89" s="17" t="s">
        <v>2201</v>
      </c>
      <c r="E89" t="s">
        <v>2473</v>
      </c>
    </row>
    <row r="90" spans="1:7">
      <c r="A90" t="s">
        <v>2474</v>
      </c>
      <c r="B90" s="428" t="s">
        <v>237</v>
      </c>
      <c r="C90" t="s">
        <v>2475</v>
      </c>
      <c r="D90" s="17" t="s">
        <v>2201</v>
      </c>
      <c r="E90" t="s">
        <v>2476</v>
      </c>
    </row>
    <row r="91" spans="1:7">
      <c r="A91" t="s">
        <v>2477</v>
      </c>
      <c r="B91" s="428" t="s">
        <v>238</v>
      </c>
      <c r="C91" t="s">
        <v>2478</v>
      </c>
      <c r="D91" s="17" t="s">
        <v>2201</v>
      </c>
      <c r="E91" t="s">
        <v>2479</v>
      </c>
    </row>
    <row r="92" spans="1:7">
      <c r="A92" t="s">
        <v>2480</v>
      </c>
      <c r="B92" s="428" t="s">
        <v>239</v>
      </c>
      <c r="C92" t="s">
        <v>2481</v>
      </c>
      <c r="D92" s="17" t="s">
        <v>2201</v>
      </c>
      <c r="E92" t="s">
        <v>2482</v>
      </c>
    </row>
    <row r="93" spans="1:7">
      <c r="A93" t="s">
        <v>2483</v>
      </c>
      <c r="B93" s="428" t="s">
        <v>240</v>
      </c>
      <c r="C93" t="s">
        <v>2484</v>
      </c>
      <c r="D93" s="17" t="s">
        <v>2201</v>
      </c>
      <c r="E93" t="s">
        <v>2485</v>
      </c>
    </row>
    <row r="94" spans="1:7">
      <c r="A94" t="s">
        <v>2486</v>
      </c>
      <c r="B94" s="428" t="s">
        <v>244</v>
      </c>
      <c r="C94" t="s">
        <v>2487</v>
      </c>
      <c r="D94" s="17" t="s">
        <v>2201</v>
      </c>
      <c r="E94" t="s">
        <v>2488</v>
      </c>
    </row>
    <row r="95" spans="1:7">
      <c r="A95" t="s">
        <v>2489</v>
      </c>
      <c r="B95" s="428" t="s">
        <v>242</v>
      </c>
      <c r="C95" t="s">
        <v>2490</v>
      </c>
      <c r="D95" s="17" t="s">
        <v>2201</v>
      </c>
      <c r="E95" t="s">
        <v>2491</v>
      </c>
    </row>
    <row r="96" spans="1:7">
      <c r="A96" t="s">
        <v>2492</v>
      </c>
      <c r="B96" s="428" t="s">
        <v>228</v>
      </c>
      <c r="C96" t="s">
        <v>2493</v>
      </c>
      <c r="D96" s="17" t="s">
        <v>2201</v>
      </c>
      <c r="E96" t="s">
        <v>2494</v>
      </c>
    </row>
    <row r="97" spans="1:5">
      <c r="A97" t="s">
        <v>2495</v>
      </c>
      <c r="B97" s="428" t="s">
        <v>229</v>
      </c>
      <c r="C97" t="s">
        <v>2496</v>
      </c>
      <c r="D97" s="17" t="s">
        <v>2201</v>
      </c>
      <c r="E97" t="s">
        <v>2497</v>
      </c>
    </row>
    <row r="98" spans="1:5">
      <c r="A98" t="s">
        <v>2498</v>
      </c>
      <c r="B98" s="428" t="s">
        <v>193</v>
      </c>
      <c r="C98" t="s">
        <v>2499</v>
      </c>
      <c r="D98" s="17" t="s">
        <v>2201</v>
      </c>
      <c r="E98" t="s">
        <v>2500</v>
      </c>
    </row>
    <row r="99" spans="1:5">
      <c r="A99" t="s">
        <v>2501</v>
      </c>
      <c r="B99" s="428" t="s">
        <v>196</v>
      </c>
      <c r="C99" t="s">
        <v>2502</v>
      </c>
      <c r="D99" s="17" t="s">
        <v>2201</v>
      </c>
      <c r="E99" t="s">
        <v>2503</v>
      </c>
    </row>
    <row r="100" spans="1:5">
      <c r="A100" t="s">
        <v>2501</v>
      </c>
      <c r="B100" s="428" t="s">
        <v>196</v>
      </c>
      <c r="C100" t="s">
        <v>2502</v>
      </c>
      <c r="D100" s="17" t="s">
        <v>2201</v>
      </c>
      <c r="E100" t="s">
        <v>2504</v>
      </c>
    </row>
    <row r="101" spans="1:5">
      <c r="A101" t="s">
        <v>2505</v>
      </c>
      <c r="B101" s="428" t="s">
        <v>203</v>
      </c>
      <c r="C101" t="s">
        <v>2506</v>
      </c>
      <c r="D101" s="17" t="s">
        <v>2201</v>
      </c>
      <c r="E101" t="s">
        <v>2507</v>
      </c>
    </row>
    <row r="102" spans="1:5">
      <c r="A102" t="s">
        <v>2508</v>
      </c>
      <c r="B102" s="428" t="s">
        <v>204</v>
      </c>
      <c r="C102" t="s">
        <v>2509</v>
      </c>
      <c r="D102" s="17" t="s">
        <v>2201</v>
      </c>
      <c r="E102" t="s">
        <v>2510</v>
      </c>
    </row>
    <row r="103" spans="1:5">
      <c r="A103" t="s">
        <v>2511</v>
      </c>
      <c r="B103" s="428" t="s">
        <v>205</v>
      </c>
      <c r="C103" t="s">
        <v>2512</v>
      </c>
      <c r="D103" s="17" t="s">
        <v>2201</v>
      </c>
      <c r="E103" t="s">
        <v>2513</v>
      </c>
    </row>
    <row r="104" spans="1:5">
      <c r="A104" t="s">
        <v>2514</v>
      </c>
      <c r="B104" s="428" t="s">
        <v>211</v>
      </c>
      <c r="C104" t="s">
        <v>2515</v>
      </c>
      <c r="D104" s="17" t="s">
        <v>2201</v>
      </c>
      <c r="E104" t="s">
        <v>2516</v>
      </c>
    </row>
    <row r="105" spans="1:5">
      <c r="A105" t="s">
        <v>2514</v>
      </c>
      <c r="B105" s="428" t="s">
        <v>211</v>
      </c>
      <c r="C105" t="s">
        <v>2515</v>
      </c>
      <c r="D105" s="17" t="s">
        <v>2201</v>
      </c>
      <c r="E105" t="s">
        <v>2517</v>
      </c>
    </row>
    <row r="106" spans="1:5">
      <c r="A106" t="s">
        <v>2518</v>
      </c>
      <c r="B106" s="428" t="s">
        <v>212</v>
      </c>
      <c r="C106" t="s">
        <v>2519</v>
      </c>
      <c r="D106" s="17" t="s">
        <v>2201</v>
      </c>
      <c r="E106" t="s">
        <v>2520</v>
      </c>
    </row>
    <row r="107" spans="1:5">
      <c r="A107" t="s">
        <v>2521</v>
      </c>
      <c r="B107" s="428" t="s">
        <v>213</v>
      </c>
      <c r="C107" t="s">
        <v>2522</v>
      </c>
      <c r="D107" s="17" t="s">
        <v>2201</v>
      </c>
      <c r="E107" t="s">
        <v>2523</v>
      </c>
    </row>
    <row r="108" spans="1:5">
      <c r="A108" t="s">
        <v>2524</v>
      </c>
      <c r="B108" s="428" t="s">
        <v>207</v>
      </c>
      <c r="C108" t="s">
        <v>2525</v>
      </c>
      <c r="D108" s="17" t="s">
        <v>2201</v>
      </c>
      <c r="E108" t="s">
        <v>2526</v>
      </c>
    </row>
    <row r="109" spans="1:5">
      <c r="A109" t="s">
        <v>2527</v>
      </c>
      <c r="B109" s="428" t="s">
        <v>206</v>
      </c>
      <c r="C109" t="s">
        <v>2528</v>
      </c>
      <c r="D109" s="17" t="s">
        <v>2201</v>
      </c>
      <c r="E109" t="s">
        <v>2529</v>
      </c>
    </row>
    <row r="110" spans="1:5">
      <c r="A110" t="s">
        <v>2530</v>
      </c>
    </row>
    <row r="111" spans="1:5">
      <c r="D111" s="17" t="s">
        <v>2201</v>
      </c>
    </row>
    <row r="112" spans="1:5">
      <c r="D112" s="17" t="s">
        <v>2201</v>
      </c>
    </row>
    <row r="113" spans="1:5">
      <c r="D113" s="17" t="s">
        <v>2201</v>
      </c>
    </row>
    <row r="114" spans="1:5">
      <c r="A114" t="s">
        <v>2531</v>
      </c>
      <c r="B114" s="428" t="s">
        <v>2532</v>
      </c>
      <c r="C114" t="s">
        <v>2533</v>
      </c>
      <c r="D114" s="17" t="s">
        <v>2201</v>
      </c>
      <c r="E114" t="s">
        <v>2534</v>
      </c>
    </row>
    <row r="115" spans="1:5">
      <c r="A115" t="s">
        <v>2535</v>
      </c>
      <c r="B115" s="428" t="s">
        <v>2536</v>
      </c>
      <c r="C115" t="s">
        <v>2537</v>
      </c>
      <c r="D115" s="17" t="s">
        <v>2201</v>
      </c>
      <c r="E115" t="s">
        <v>2538</v>
      </c>
    </row>
    <row r="116" spans="1:5">
      <c r="A116" t="s">
        <v>2539</v>
      </c>
      <c r="B116" s="428" t="s">
        <v>2540</v>
      </c>
      <c r="C116" t="s">
        <v>2541</v>
      </c>
      <c r="D116" s="17" t="s">
        <v>2201</v>
      </c>
      <c r="E116" t="s">
        <v>2542</v>
      </c>
    </row>
    <row r="117" spans="1:5">
      <c r="A117" t="s">
        <v>2543</v>
      </c>
      <c r="B117" s="428" t="s">
        <v>2544</v>
      </c>
      <c r="C117" t="s">
        <v>2545</v>
      </c>
      <c r="D117" s="17" t="s">
        <v>2201</v>
      </c>
      <c r="E117" t="s">
        <v>2546</v>
      </c>
    </row>
    <row r="118" spans="1:5">
      <c r="A118" t="s">
        <v>2547</v>
      </c>
      <c r="B118" s="428" t="s">
        <v>2161</v>
      </c>
      <c r="C118" t="s">
        <v>2548</v>
      </c>
      <c r="D118" s="17" t="s">
        <v>2201</v>
      </c>
      <c r="E118" t="s">
        <v>2549</v>
      </c>
    </row>
    <row r="119" spans="1:5">
      <c r="C119" t="s">
        <v>2550</v>
      </c>
      <c r="D119" s="17">
        <v>25</v>
      </c>
      <c r="E119" t="s">
        <v>2551</v>
      </c>
    </row>
    <row r="120" spans="1:5">
      <c r="A120" t="s">
        <v>2552</v>
      </c>
      <c r="B120" s="428" t="s">
        <v>2553</v>
      </c>
      <c r="C120" t="s">
        <v>2554</v>
      </c>
      <c r="D120" s="17" t="s">
        <v>2201</v>
      </c>
      <c r="E120" t="s">
        <v>2555</v>
      </c>
    </row>
    <row r="121" spans="1:5">
      <c r="A121" t="s">
        <v>2556</v>
      </c>
      <c r="B121" s="428" t="s">
        <v>2557</v>
      </c>
      <c r="C121" t="s">
        <v>2558</v>
      </c>
      <c r="D121" s="17" t="s">
        <v>2201</v>
      </c>
      <c r="E121" t="s">
        <v>2559</v>
      </c>
    </row>
    <row r="122" spans="1:5">
      <c r="A122" t="s">
        <v>2560</v>
      </c>
      <c r="B122" s="428" t="s">
        <v>2561</v>
      </c>
      <c r="C122" t="s">
        <v>2562</v>
      </c>
      <c r="D122" s="17" t="s">
        <v>2201</v>
      </c>
      <c r="E122" t="s">
        <v>2563</v>
      </c>
    </row>
    <row r="123" spans="1:5">
      <c r="A123" t="s">
        <v>2564</v>
      </c>
      <c r="B123" s="428" t="s">
        <v>2565</v>
      </c>
      <c r="C123" t="s">
        <v>2566</v>
      </c>
      <c r="D123" s="17" t="s">
        <v>2201</v>
      </c>
      <c r="E123" t="s">
        <v>2567</v>
      </c>
    </row>
    <row r="124" spans="1:5">
      <c r="C124" t="s">
        <v>2566</v>
      </c>
      <c r="E124" t="s">
        <v>2567</v>
      </c>
    </row>
    <row r="127" spans="1:5">
      <c r="A127" t="s">
        <v>2568</v>
      </c>
      <c r="B127" s="428" t="s">
        <v>2569</v>
      </c>
      <c r="C127" t="s">
        <v>2570</v>
      </c>
      <c r="D127" s="17" t="s">
        <v>2201</v>
      </c>
      <c r="E127" t="s">
        <v>2571</v>
      </c>
    </row>
    <row r="128" spans="1:5">
      <c r="A128" t="s">
        <v>2572</v>
      </c>
      <c r="B128" s="428" t="s">
        <v>2573</v>
      </c>
      <c r="C128" t="s">
        <v>2574</v>
      </c>
      <c r="D128" s="17" t="s">
        <v>2201</v>
      </c>
      <c r="E128" t="s">
        <v>2575</v>
      </c>
    </row>
    <row r="129" spans="1:5">
      <c r="A129" t="s">
        <v>2576</v>
      </c>
      <c r="B129" s="428" t="s">
        <v>249</v>
      </c>
      <c r="C129" t="s">
        <v>2577</v>
      </c>
      <c r="D129" s="17" t="s">
        <v>2201</v>
      </c>
      <c r="E129" t="s">
        <v>2578</v>
      </c>
    </row>
    <row r="130" spans="1:5">
      <c r="A130" t="s">
        <v>2579</v>
      </c>
      <c r="B130" s="428" t="s">
        <v>2580</v>
      </c>
      <c r="C130" t="s">
        <v>2581</v>
      </c>
      <c r="D130" s="17" t="s">
        <v>2201</v>
      </c>
      <c r="E130" t="s">
        <v>2582</v>
      </c>
    </row>
    <row r="131" spans="1:5">
      <c r="A131" t="s">
        <v>2583</v>
      </c>
      <c r="B131" s="428" t="s">
        <v>2584</v>
      </c>
      <c r="C131" t="s">
        <v>2585</v>
      </c>
      <c r="D131" s="17" t="s">
        <v>2201</v>
      </c>
      <c r="E131" t="s">
        <v>2586</v>
      </c>
    </row>
    <row r="135" spans="1:5">
      <c r="A135" t="s">
        <v>2587</v>
      </c>
      <c r="B135" s="428" t="s">
        <v>263</v>
      </c>
      <c r="C135" t="s">
        <v>2588</v>
      </c>
      <c r="D135" s="17">
        <v>50</v>
      </c>
      <c r="E135" t="s">
        <v>2589</v>
      </c>
    </row>
    <row r="136" spans="1:5">
      <c r="A136" t="s">
        <v>2590</v>
      </c>
      <c r="B136" s="428" t="s">
        <v>282</v>
      </c>
      <c r="C136" t="s">
        <v>2591</v>
      </c>
      <c r="D136" s="17">
        <v>50</v>
      </c>
      <c r="E136" t="s">
        <v>2592</v>
      </c>
    </row>
    <row r="137" spans="1:5">
      <c r="A137" t="s">
        <v>2593</v>
      </c>
      <c r="B137" s="428" t="s">
        <v>299</v>
      </c>
      <c r="C137" t="s">
        <v>2594</v>
      </c>
      <c r="D137" s="17">
        <v>50</v>
      </c>
      <c r="E137" t="s">
        <v>2595</v>
      </c>
    </row>
    <row r="138" spans="1:5">
      <c r="A138" t="s">
        <v>2596</v>
      </c>
      <c r="B138" s="428" t="s">
        <v>309</v>
      </c>
      <c r="C138" t="s">
        <v>2597</v>
      </c>
      <c r="D138" s="17">
        <v>50</v>
      </c>
      <c r="E138" t="s">
        <v>2598</v>
      </c>
    </row>
    <row r="139" spans="1:5">
      <c r="A139" t="s">
        <v>2599</v>
      </c>
      <c r="B139" s="428" t="s">
        <v>322</v>
      </c>
      <c r="C139" t="s">
        <v>2600</v>
      </c>
      <c r="D139" s="17">
        <v>50</v>
      </c>
      <c r="E139" t="s">
        <v>2601</v>
      </c>
    </row>
    <row r="140" spans="1:5">
      <c r="A140" t="s">
        <v>2602</v>
      </c>
      <c r="B140" s="428" t="s">
        <v>324</v>
      </c>
      <c r="C140" t="s">
        <v>2603</v>
      </c>
      <c r="D140" s="17">
        <v>50</v>
      </c>
      <c r="E140" t="s">
        <v>2604</v>
      </c>
    </row>
    <row r="141" spans="1:5">
      <c r="A141" t="s">
        <v>2605</v>
      </c>
      <c r="B141" s="428" t="s">
        <v>329</v>
      </c>
      <c r="C141" t="s">
        <v>2606</v>
      </c>
      <c r="D141" s="17">
        <v>50</v>
      </c>
      <c r="E141" t="s">
        <v>2607</v>
      </c>
    </row>
    <row r="142" spans="1:5">
      <c r="A142" t="s">
        <v>2608</v>
      </c>
      <c r="B142" s="428" t="s">
        <v>344</v>
      </c>
      <c r="C142" t="s">
        <v>2609</v>
      </c>
      <c r="D142" s="17">
        <v>50</v>
      </c>
      <c r="E142" t="s">
        <v>2610</v>
      </c>
    </row>
    <row r="143" spans="1:5">
      <c r="A143" t="s">
        <v>2611</v>
      </c>
      <c r="B143" s="428" t="s">
        <v>356</v>
      </c>
      <c r="C143" t="s">
        <v>2612</v>
      </c>
      <c r="D143" s="17">
        <v>50</v>
      </c>
      <c r="E143" t="s">
        <v>2613</v>
      </c>
    </row>
    <row r="144" spans="1:5">
      <c r="A144" t="s">
        <v>2614</v>
      </c>
      <c r="B144" s="428" t="s">
        <v>368</v>
      </c>
      <c r="C144" t="s">
        <v>2615</v>
      </c>
      <c r="D144" s="17">
        <v>50</v>
      </c>
      <c r="E144" t="s">
        <v>2616</v>
      </c>
    </row>
    <row r="145" spans="1:5">
      <c r="A145" t="s">
        <v>2617</v>
      </c>
      <c r="B145" s="428" t="s">
        <v>382</v>
      </c>
      <c r="C145" t="s">
        <v>2618</v>
      </c>
      <c r="D145" s="17">
        <v>50</v>
      </c>
      <c r="E145" t="s">
        <v>2619</v>
      </c>
    </row>
    <row r="146" spans="1:5">
      <c r="A146" t="s">
        <v>2620</v>
      </c>
      <c r="B146" s="428" t="s">
        <v>393</v>
      </c>
      <c r="C146" t="s">
        <v>2621</v>
      </c>
      <c r="D146" s="17">
        <v>50</v>
      </c>
      <c r="E146" t="s">
        <v>2622</v>
      </c>
    </row>
    <row r="147" spans="1:5">
      <c r="A147" t="s">
        <v>2623</v>
      </c>
      <c r="B147" s="428" t="s">
        <v>403</v>
      </c>
      <c r="C147" t="s">
        <v>2624</v>
      </c>
      <c r="D147" s="17">
        <v>50</v>
      </c>
      <c r="E147" t="s">
        <v>2625</v>
      </c>
    </row>
    <row r="148" spans="1:5">
      <c r="A148" t="s">
        <v>2626</v>
      </c>
      <c r="B148" s="428" t="s">
        <v>410</v>
      </c>
      <c r="C148" t="s">
        <v>2627</v>
      </c>
      <c r="D148" s="17">
        <v>50</v>
      </c>
      <c r="E148" t="s">
        <v>2628</v>
      </c>
    </row>
    <row r="149" spans="1:5">
      <c r="A149" t="s">
        <v>2629</v>
      </c>
      <c r="B149" s="428" t="s">
        <v>413</v>
      </c>
      <c r="C149" t="s">
        <v>2630</v>
      </c>
      <c r="D149" s="17">
        <v>50</v>
      </c>
      <c r="E149" t="s">
        <v>2631</v>
      </c>
    </row>
    <row r="150" spans="1:5">
      <c r="A150" t="s">
        <v>2632</v>
      </c>
      <c r="B150" s="428" t="s">
        <v>419</v>
      </c>
      <c r="C150" t="s">
        <v>2633</v>
      </c>
      <c r="D150" s="17">
        <v>50</v>
      </c>
      <c r="E150" t="s">
        <v>2634</v>
      </c>
    </row>
    <row r="151" spans="1:5">
      <c r="A151" t="s">
        <v>2635</v>
      </c>
      <c r="B151" s="428" t="s">
        <v>426</v>
      </c>
      <c r="C151" t="s">
        <v>2636</v>
      </c>
      <c r="D151" s="17">
        <v>50</v>
      </c>
      <c r="E151" t="s">
        <v>2637</v>
      </c>
    </row>
    <row r="152" spans="1:5">
      <c r="A152" t="s">
        <v>2530</v>
      </c>
    </row>
    <row r="153" spans="1:5">
      <c r="A153" t="s">
        <v>2530</v>
      </c>
    </row>
    <row r="154" spans="1:5">
      <c r="A154" t="s">
        <v>2530</v>
      </c>
      <c r="E154" t="s">
        <v>2638</v>
      </c>
    </row>
    <row r="155" spans="1:5">
      <c r="A155" t="s">
        <v>2530</v>
      </c>
      <c r="E155" t="s">
        <v>309</v>
      </c>
    </row>
    <row r="156" spans="1:5">
      <c r="A156" t="s">
        <v>2639</v>
      </c>
      <c r="B156" s="428" t="s">
        <v>301</v>
      </c>
      <c r="C156" t="s">
        <v>2594</v>
      </c>
      <c r="D156" s="17">
        <v>50</v>
      </c>
      <c r="E156" t="s">
        <v>2595</v>
      </c>
    </row>
    <row r="157" spans="1:5">
      <c r="A157" t="s">
        <v>2640</v>
      </c>
      <c r="B157" s="428" t="s">
        <v>266</v>
      </c>
      <c r="C157" t="s">
        <v>2588</v>
      </c>
      <c r="D157" s="17">
        <v>50</v>
      </c>
      <c r="E157" t="s">
        <v>2589</v>
      </c>
    </row>
    <row r="158" spans="1:5">
      <c r="A158" t="s">
        <v>2641</v>
      </c>
      <c r="B158" s="428" t="s">
        <v>285</v>
      </c>
      <c r="C158" t="s">
        <v>2591</v>
      </c>
      <c r="D158" s="17">
        <v>50</v>
      </c>
      <c r="E158" t="s">
        <v>2592</v>
      </c>
    </row>
    <row r="159" spans="1:5">
      <c r="A159" t="s">
        <v>2642</v>
      </c>
      <c r="B159" s="428" t="s">
        <v>308</v>
      </c>
      <c r="C159" t="s">
        <v>2597</v>
      </c>
      <c r="D159" s="17">
        <v>50</v>
      </c>
      <c r="E159" t="s">
        <v>2595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2643</v>
      </c>
      <c r="H2" s="14"/>
      <c r="K2" s="442"/>
    </row>
    <row r="3" spans="1:15">
      <c r="A3" s="807" t="s">
        <v>2644</v>
      </c>
      <c r="D3" s="14"/>
      <c r="K3" s="442"/>
    </row>
    <row r="4" spans="1:15">
      <c r="A4" s="807" t="s">
        <v>2645</v>
      </c>
      <c r="D4" s="14"/>
      <c r="H4" s="535"/>
      <c r="K4" s="442"/>
      <c r="O4" s="536"/>
    </row>
    <row r="5" spans="1:15">
      <c r="A5" s="807" t="s">
        <v>2646</v>
      </c>
      <c r="D5" s="14"/>
      <c r="H5" s="535"/>
      <c r="K5" s="442"/>
      <c r="O5" s="536"/>
    </row>
    <row r="6" spans="1:15">
      <c r="A6" s="807" t="s">
        <v>2647</v>
      </c>
      <c r="D6" s="14"/>
      <c r="H6" s="535"/>
      <c r="I6" s="535"/>
      <c r="K6" s="442"/>
      <c r="O6" s="536"/>
    </row>
    <row r="7" spans="1:15">
      <c r="A7" s="807" t="s">
        <v>2647</v>
      </c>
      <c r="D7" s="14"/>
      <c r="H7" s="535"/>
      <c r="I7" s="535"/>
      <c r="K7" s="442"/>
      <c r="O7" s="536"/>
    </row>
    <row r="8" spans="1:15">
      <c r="A8" s="807" t="s">
        <v>2648</v>
      </c>
      <c r="D8" s="14"/>
      <c r="H8" s="535"/>
      <c r="I8" s="535"/>
      <c r="K8" s="442"/>
      <c r="O8" s="536"/>
    </row>
    <row r="9" spans="1:15">
      <c r="A9" s="807" t="s">
        <v>2649</v>
      </c>
      <c r="C9" s="504"/>
      <c r="D9" s="14"/>
      <c r="H9" s="535"/>
      <c r="K9" s="442"/>
      <c r="O9" s="536"/>
    </row>
    <row r="10" spans="1:15">
      <c r="A10" s="807" t="s">
        <v>2650</v>
      </c>
      <c r="D10" s="14"/>
      <c r="H10" s="535"/>
      <c r="I10" s="535"/>
      <c r="K10" s="442"/>
      <c r="O10" s="536"/>
    </row>
    <row r="11" spans="1:15">
      <c r="A11" s="807" t="s">
        <v>2651</v>
      </c>
      <c r="D11" s="14"/>
      <c r="H11" s="535"/>
      <c r="I11" s="535"/>
      <c r="K11" s="442"/>
      <c r="M11" s="535"/>
      <c r="O11" s="536"/>
    </row>
    <row r="12" spans="1:15">
      <c r="A12" s="810" t="s">
        <v>2652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2653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2654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2655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2656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2657</v>
      </c>
      <c r="E17" s="503"/>
      <c r="K17" s="442"/>
      <c r="O17" s="536"/>
    </row>
    <row r="18" spans="1:15">
      <c r="A18" s="575" t="s">
        <v>2658</v>
      </c>
      <c r="K18" s="442"/>
      <c r="O18" s="536"/>
    </row>
    <row r="19" spans="1:15">
      <c r="A19" s="575" t="s">
        <v>2659</v>
      </c>
      <c r="E19" s="503"/>
      <c r="K19" s="442"/>
      <c r="O19" s="536"/>
    </row>
    <row r="20" spans="1:15">
      <c r="A20" s="575" t="s">
        <v>2660</v>
      </c>
      <c r="B20">
        <v>10004123110732</v>
      </c>
      <c r="C20" s="17" t="s">
        <v>393</v>
      </c>
      <c r="D20" s="14" t="s">
        <v>2141</v>
      </c>
      <c r="E20" t="s">
        <v>2661</v>
      </c>
      <c r="F20">
        <v>1510504600</v>
      </c>
      <c r="G20" t="s">
        <v>2662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2141</v>
      </c>
      <c r="N20" t="s">
        <v>2663</v>
      </c>
      <c r="O20" s="536"/>
    </row>
    <row r="21" spans="1:15">
      <c r="A21" s="575" t="s">
        <v>2664</v>
      </c>
      <c r="B21">
        <v>10004123110731</v>
      </c>
      <c r="C21" s="17" t="s">
        <v>393</v>
      </c>
      <c r="D21" t="s">
        <v>2141</v>
      </c>
      <c r="E21" t="s">
        <v>2661</v>
      </c>
      <c r="F21">
        <v>1510515700</v>
      </c>
      <c r="G21" t="s">
        <v>2665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2141</v>
      </c>
      <c r="N21" t="s">
        <v>2663</v>
      </c>
      <c r="O21" s="536"/>
    </row>
    <row r="22" spans="1:15">
      <c r="A22" s="575" t="s">
        <v>2666</v>
      </c>
      <c r="B22">
        <v>10004123110732</v>
      </c>
      <c r="C22" s="17" t="s">
        <v>393</v>
      </c>
      <c r="D22" t="s">
        <v>2141</v>
      </c>
      <c r="E22" s="503" t="s">
        <v>2661</v>
      </c>
      <c r="F22">
        <v>1510515700</v>
      </c>
      <c r="G22" t="s">
        <v>2665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2141</v>
      </c>
      <c r="N22" t="s">
        <v>2663</v>
      </c>
      <c r="O22" s="536"/>
    </row>
    <row r="23" spans="1:15">
      <c r="A23" s="807" t="s">
        <v>2667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2668</v>
      </c>
      <c r="E24" s="503"/>
      <c r="I24">
        <f>SUM(I20:I23)</f>
        <v>1469</v>
      </c>
      <c r="O24" s="536"/>
    </row>
    <row r="25" spans="1:15">
      <c r="A25" s="807" t="s">
        <v>2669</v>
      </c>
      <c r="E25" s="503"/>
      <c r="O25" s="536"/>
    </row>
    <row r="26" spans="1:15">
      <c r="A26" s="807" t="s">
        <v>2670</v>
      </c>
      <c r="O26" s="536"/>
    </row>
    <row r="27" spans="1:15">
      <c r="A27" s="807" t="s">
        <v>2671</v>
      </c>
      <c r="O27" s="536"/>
    </row>
    <row r="28" spans="1:15">
      <c r="A28" s="807" t="s">
        <v>2672</v>
      </c>
      <c r="O28" s="536"/>
    </row>
    <row r="29" spans="1:15">
      <c r="A29" s="807" t="s">
        <v>2672</v>
      </c>
      <c r="I29">
        <f>1628-I24</f>
        <v>159</v>
      </c>
      <c r="O29" s="536"/>
    </row>
    <row r="30" spans="1:15">
      <c r="A30" s="807" t="s">
        <v>2673</v>
      </c>
      <c r="O30" s="536"/>
    </row>
    <row r="31" spans="1:15">
      <c r="A31" s="807" t="s">
        <v>2674</v>
      </c>
      <c r="O31" s="536"/>
    </row>
    <row r="32" spans="1:15">
      <c r="A32" s="807" t="s">
        <v>2675</v>
      </c>
      <c r="O32" s="536"/>
    </row>
    <row r="33" spans="1:15">
      <c r="A33" s="807" t="s">
        <v>2676</v>
      </c>
      <c r="O33" s="536"/>
    </row>
    <row r="34" spans="1:15">
      <c r="A34" s="807" t="s">
        <v>2677</v>
      </c>
      <c r="O34" s="536"/>
    </row>
    <row r="35" spans="1:15">
      <c r="A35" s="807" t="s">
        <v>2678</v>
      </c>
      <c r="O35" s="536"/>
    </row>
    <row r="36" spans="1:15">
      <c r="A36" s="807" t="s">
        <v>2679</v>
      </c>
    </row>
    <row r="37" spans="1:15">
      <c r="A37" s="807" t="s">
        <v>2680</v>
      </c>
    </row>
    <row r="38" spans="1:15">
      <c r="A38" s="807" t="s">
        <v>2681</v>
      </c>
    </row>
    <row r="39" spans="1:15">
      <c r="A39" s="807" t="s">
        <v>2682</v>
      </c>
    </row>
    <row r="40" spans="1:15">
      <c r="A40" s="807" t="s">
        <v>2683</v>
      </c>
    </row>
    <row r="41" spans="1:15">
      <c r="A41" s="807" t="s">
        <v>2684</v>
      </c>
    </row>
    <row r="42" spans="1:15">
      <c r="A42" s="807" t="s">
        <v>2685</v>
      </c>
    </row>
    <row r="43" spans="1:15">
      <c r="A43" s="807" t="s">
        <v>2686</v>
      </c>
    </row>
    <row r="44" spans="1:15">
      <c r="A44" s="807" t="s">
        <v>2686</v>
      </c>
    </row>
    <row r="45" spans="1:15">
      <c r="A45" s="809" t="s">
        <v>2687</v>
      </c>
    </row>
    <row r="46" spans="1:15">
      <c r="A46" s="809" t="s">
        <v>2688</v>
      </c>
    </row>
    <row r="47" spans="1:15">
      <c r="A47" s="807" t="s">
        <v>2689</v>
      </c>
    </row>
    <row r="48" spans="1:15">
      <c r="A48" s="807" t="s">
        <v>2689</v>
      </c>
    </row>
    <row r="49" spans="1:1">
      <c r="A49" s="807" t="s">
        <v>2690</v>
      </c>
    </row>
    <row r="50" spans="1:1">
      <c r="A50" s="807" t="s">
        <v>2691</v>
      </c>
    </row>
    <row r="51" spans="1:1">
      <c r="A51" s="807" t="s">
        <v>2692</v>
      </c>
    </row>
    <row r="52" spans="1:1">
      <c r="A52" s="807" t="s">
        <v>2692</v>
      </c>
    </row>
    <row r="53" spans="1:1">
      <c r="A53" s="807" t="s">
        <v>2693</v>
      </c>
    </row>
    <row r="54" spans="1:1">
      <c r="A54" s="807" t="s">
        <v>2694</v>
      </c>
    </row>
    <row r="55" spans="1:1">
      <c r="A55" s="807" t="s">
        <v>2695</v>
      </c>
    </row>
    <row r="56" spans="1:1">
      <c r="A56" s="807" t="s">
        <v>2696</v>
      </c>
    </row>
    <row r="57" spans="1:1">
      <c r="A57" s="807" t="s">
        <v>2697</v>
      </c>
    </row>
    <row r="58" spans="1:1">
      <c r="A58" s="807" t="s">
        <v>2697</v>
      </c>
    </row>
    <row r="59" spans="1:1">
      <c r="A59" s="807" t="s">
        <v>2698</v>
      </c>
    </row>
    <row r="60" spans="1:1">
      <c r="A60" s="807" t="s">
        <v>2698</v>
      </c>
    </row>
    <row r="61" spans="1:1">
      <c r="A61" s="807" t="s">
        <v>2699</v>
      </c>
    </row>
    <row r="62" spans="1:1">
      <c r="A62" s="807" t="s">
        <v>2700</v>
      </c>
    </row>
    <row r="63" spans="1:1">
      <c r="A63" s="807" t="s">
        <v>2701</v>
      </c>
    </row>
    <row r="64" spans="1:1">
      <c r="A64" s="807" t="s">
        <v>2702</v>
      </c>
    </row>
    <row r="65" spans="1:1">
      <c r="A65" s="807" t="s">
        <v>2703</v>
      </c>
    </row>
    <row r="66" spans="1:1">
      <c r="A66" s="807" t="s">
        <v>2703</v>
      </c>
    </row>
    <row r="67" spans="1:1">
      <c r="A67" s="807" t="s">
        <v>2704</v>
      </c>
    </row>
    <row r="68" spans="1:1">
      <c r="A68" s="807" t="s">
        <v>2705</v>
      </c>
    </row>
    <row r="69" spans="1:1">
      <c r="A69" s="807" t="s">
        <v>2705</v>
      </c>
    </row>
    <row r="70" spans="1:1">
      <c r="A70" s="807" t="s">
        <v>2706</v>
      </c>
    </row>
    <row r="71" spans="1:1">
      <c r="A71" s="807" t="s">
        <v>2706</v>
      </c>
    </row>
    <row r="72" spans="1:1">
      <c r="A72" s="807" t="s">
        <v>2707</v>
      </c>
    </row>
    <row r="73" spans="1:1">
      <c r="A73" s="807" t="s">
        <v>2708</v>
      </c>
    </row>
    <row r="74" spans="1:1">
      <c r="A74" s="807" t="s">
        <v>2709</v>
      </c>
    </row>
    <row r="75" spans="1:1">
      <c r="A75" s="807" t="s">
        <v>2710</v>
      </c>
    </row>
    <row r="76" spans="1:1">
      <c r="A76" s="807" t="s">
        <v>2711</v>
      </c>
    </row>
    <row r="77" spans="1:1">
      <c r="A77" s="807" t="s">
        <v>2712</v>
      </c>
    </row>
    <row r="78" spans="1:1">
      <c r="A78" s="807" t="s">
        <v>2713</v>
      </c>
    </row>
    <row r="79" spans="1:1">
      <c r="A79" s="807" t="s">
        <v>2714</v>
      </c>
    </row>
    <row r="80" spans="1:1">
      <c r="A80" s="807" t="s">
        <v>2715</v>
      </c>
    </row>
    <row r="81" spans="1:1">
      <c r="A81" s="807" t="s">
        <v>2716</v>
      </c>
    </row>
    <row r="82" spans="1:1">
      <c r="A82" s="807" t="s">
        <v>2717</v>
      </c>
    </row>
    <row r="83" spans="1:1">
      <c r="A83" s="807" t="s">
        <v>2718</v>
      </c>
    </row>
    <row r="84" spans="1:1">
      <c r="A84" s="807" t="s">
        <v>2719</v>
      </c>
    </row>
    <row r="85" spans="1:1">
      <c r="A85" s="807" t="s">
        <v>2719</v>
      </c>
    </row>
    <row r="86" spans="1:1">
      <c r="A86" s="807" t="s">
        <v>2720</v>
      </c>
    </row>
    <row r="87" spans="1:1">
      <c r="A87" s="807" t="s">
        <v>2721</v>
      </c>
    </row>
    <row r="88" spans="1:1">
      <c r="A88" s="807" t="s">
        <v>2722</v>
      </c>
    </row>
    <row r="89" spans="1:1">
      <c r="A89" s="807" t="s">
        <v>2723</v>
      </c>
    </row>
    <row r="90" spans="1:1">
      <c r="A90" s="807" t="s">
        <v>2724</v>
      </c>
    </row>
    <row r="91" spans="1:1">
      <c r="A91" s="807" t="s">
        <v>2725</v>
      </c>
    </row>
    <row r="92" spans="1:1">
      <c r="A92" s="807" t="s">
        <v>2726</v>
      </c>
    </row>
    <row r="93" spans="1:1">
      <c r="A93" s="807" t="s">
        <v>2727</v>
      </c>
    </row>
    <row r="94" spans="1:1">
      <c r="A94" s="807" t="s">
        <v>2728</v>
      </c>
    </row>
    <row r="95" spans="1:1">
      <c r="A95" s="807" t="s">
        <v>2729</v>
      </c>
    </row>
    <row r="96" spans="1:1">
      <c r="A96" s="807" t="s">
        <v>2729</v>
      </c>
    </row>
    <row r="97" spans="1:1">
      <c r="A97" s="807" t="s">
        <v>2730</v>
      </c>
    </row>
    <row r="98" spans="1:1">
      <c r="A98" s="807" t="s">
        <v>2730</v>
      </c>
    </row>
    <row r="99" spans="1:1">
      <c r="A99" s="807" t="s">
        <v>2731</v>
      </c>
    </row>
    <row r="100" spans="1:1">
      <c r="A100" s="807" t="s">
        <v>2731</v>
      </c>
    </row>
    <row r="101" spans="1:1">
      <c r="A101" s="807" t="s">
        <v>2732</v>
      </c>
    </row>
    <row r="102" spans="1:1">
      <c r="A102" s="807" t="s">
        <v>2733</v>
      </c>
    </row>
    <row r="103" spans="1:1">
      <c r="A103" s="807" t="s">
        <v>2733</v>
      </c>
    </row>
    <row r="104" spans="1:1">
      <c r="A104" s="807" t="s">
        <v>2734</v>
      </c>
    </row>
    <row r="105" spans="1:1">
      <c r="A105" s="807" t="s">
        <v>2735</v>
      </c>
    </row>
    <row r="106" spans="1:1">
      <c r="A106" s="807" t="s">
        <v>2736</v>
      </c>
    </row>
    <row r="107" spans="1:1">
      <c r="A107" s="807" t="s">
        <v>2736</v>
      </c>
    </row>
    <row r="108" spans="1:1">
      <c r="A108" s="807" t="s">
        <v>2737</v>
      </c>
    </row>
    <row r="109" spans="1:1">
      <c r="A109" s="807" t="s">
        <v>2738</v>
      </c>
    </row>
    <row r="110" spans="1:1">
      <c r="A110" s="807" t="s">
        <v>2738</v>
      </c>
    </row>
    <row r="111" spans="1:1">
      <c r="A111" s="807" t="s">
        <v>2739</v>
      </c>
    </row>
    <row r="112" spans="1:1">
      <c r="A112" s="807" t="s">
        <v>2740</v>
      </c>
    </row>
    <row r="113" spans="1:1">
      <c r="A113" s="807" t="s">
        <v>2741</v>
      </c>
    </row>
    <row r="114" spans="1:1">
      <c r="A114" s="807" t="s">
        <v>2742</v>
      </c>
    </row>
    <row r="115" spans="1:1">
      <c r="A115" s="807" t="s">
        <v>2743</v>
      </c>
    </row>
    <row r="116" spans="1:1">
      <c r="A116" s="807" t="s">
        <v>2744</v>
      </c>
    </row>
    <row r="117" spans="1:1">
      <c r="A117" s="807" t="s">
        <v>2745</v>
      </c>
    </row>
    <row r="118" spans="1:1">
      <c r="A118" s="807" t="s">
        <v>2746</v>
      </c>
    </row>
    <row r="119" spans="1:1">
      <c r="A119" s="807" t="s">
        <v>2747</v>
      </c>
    </row>
    <row r="120" spans="1:1">
      <c r="A120" s="807" t="s">
        <v>2748</v>
      </c>
    </row>
    <row r="121" spans="1:1">
      <c r="A121" s="807" t="s">
        <v>2749</v>
      </c>
    </row>
    <row r="122" spans="1:1">
      <c r="A122" s="807" t="s">
        <v>2750</v>
      </c>
    </row>
    <row r="123" spans="1:1">
      <c r="A123" s="807" t="s">
        <v>2751</v>
      </c>
    </row>
    <row r="124" spans="1:1">
      <c r="A124" s="807" t="s">
        <v>2752</v>
      </c>
    </row>
    <row r="125" spans="1:1">
      <c r="A125" s="807" t="s">
        <v>2753</v>
      </c>
    </row>
    <row r="126" spans="1:1">
      <c r="A126" s="807" t="s">
        <v>2754</v>
      </c>
    </row>
    <row r="127" spans="1:1">
      <c r="A127" s="807" t="s">
        <v>2755</v>
      </c>
    </row>
    <row r="128" spans="1:1">
      <c r="A128" s="807" t="s">
        <v>2756</v>
      </c>
    </row>
    <row r="129" spans="1:1">
      <c r="A129" s="807" t="s">
        <v>2757</v>
      </c>
    </row>
    <row r="130" spans="1:1">
      <c r="A130" s="807" t="s">
        <v>2758</v>
      </c>
    </row>
    <row r="131" spans="1:1">
      <c r="A131" s="807" t="s">
        <v>2759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1AB190A1-16A8-48FD-9FFF-69BCB3D153F6}"/>
</file>

<file path=customXml/itemProps2.xml><?xml version="1.0" encoding="utf-8"?>
<ds:datastoreItem xmlns:ds="http://schemas.openxmlformats.org/officeDocument/2006/customXml" ds:itemID="{453401F0-1302-410B-B72E-531641659F2A}"/>
</file>

<file path=customXml/itemProps3.xml><?xml version="1.0" encoding="utf-8"?>
<ds:datastoreItem xmlns:ds="http://schemas.openxmlformats.org/officeDocument/2006/customXml" ds:itemID="{B0D09241-EBB5-49C6-BE7D-B88E3B4BEC81}"/>
</file>

<file path=customXml/itemProps4.xml><?xml version="1.0" encoding="utf-8"?>
<ds:datastoreItem xmlns:ds="http://schemas.openxmlformats.org/officeDocument/2006/customXml" ds:itemID="{167F7A21-A4A6-4A3A-8FC4-84BCD9AA430D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2026-05-13T07:35:32Z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