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vn-my.sharepoint.com/personal/anhtuancp_cp_com_vn/Documents/Desktop/"/>
    </mc:Choice>
  </mc:AlternateContent>
  <xr:revisionPtr revIDLastSave="4772" documentId="8_{498E504B-F132-4879-86E7-5B06CEF8F407}" xr6:coauthVersionLast="47" xr6:coauthVersionMax="47" xr10:uidLastSave="{EF450DD4-B05D-460D-AB1A-E922CEB2C014}"/>
  <bookViews>
    <workbookView xWindow="-120" yWindow="-120" windowWidth="20640" windowHeight="11040" firstSheet="19" activeTab="20" xr2:uid="{31AF4805-F588-449E-8CCF-8216CC9BC79D}"/>
  </bookViews>
  <sheets>
    <sheet name="29-03-01-2026" sheetId="1" state="hidden" r:id="rId1"/>
    <sheet name="05-10-01-2026" sheetId="2" state="hidden" r:id="rId2"/>
    <sheet name="12-17-01-2026" sheetId="3" state="hidden" r:id="rId3"/>
    <sheet name="19-24-01-2026" sheetId="4" state="hidden" r:id="rId4"/>
    <sheet name="25-31-01-2026" sheetId="5" state="hidden" r:id="rId5"/>
    <sheet name="01-07-02-2026 " sheetId="6" state="hidden" r:id="rId6"/>
    <sheet name="08-15-01-2026" sheetId="7" state="hidden" r:id="rId7"/>
    <sheet name="20-21-02-2026  " sheetId="8" state="hidden" r:id="rId8"/>
    <sheet name="23-28-02-2026 " sheetId="9" state="hidden" r:id="rId9"/>
    <sheet name="02-07-03-2026" sheetId="10" state="hidden" r:id="rId10"/>
    <sheet name="09-14-02-2026" sheetId="11" state="hidden" r:id="rId11"/>
    <sheet name="16-21-03-2026" sheetId="12" state="hidden" r:id="rId12"/>
    <sheet name="23-28-03-2026" sheetId="13" state="hidden" r:id="rId13"/>
    <sheet name="30-04-04-2026" sheetId="14" state="hidden" r:id="rId14"/>
    <sheet name="06-11-04-2026 " sheetId="15" state="hidden" r:id="rId15"/>
    <sheet name="13-18-04-2026" sheetId="16" state="hidden" r:id="rId16"/>
    <sheet name="20-25-04-2026 " sheetId="17" state="hidden" r:id="rId17"/>
    <sheet name="27-03-05-2026 " sheetId="18" state="hidden" r:id="rId18"/>
    <sheet name="04-09-05-2026" sheetId="19" state="hidden" r:id="rId19"/>
    <sheet name="11-16-05-2026" sheetId="20" r:id="rId20"/>
    <sheet name="18-23-05-2026 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21" l="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0" i="21"/>
  <c r="I49" i="21"/>
  <c r="I48" i="21"/>
  <c r="I47" i="21"/>
  <c r="I46" i="21"/>
  <c r="I45" i="21"/>
  <c r="I44" i="21"/>
  <c r="I43" i="21"/>
  <c r="I42" i="21"/>
  <c r="I41" i="21"/>
  <c r="F40" i="21"/>
  <c r="F70" i="21" s="1"/>
  <c r="E40" i="21"/>
  <c r="E70" i="21" s="1"/>
  <c r="D40" i="21"/>
  <c r="D70" i="21" s="1"/>
  <c r="C40" i="21"/>
  <c r="C70" i="21" s="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4" i="21"/>
  <c r="I13" i="21"/>
  <c r="I12" i="21"/>
  <c r="I11" i="21"/>
  <c r="I10" i="21"/>
  <c r="I9" i="21"/>
  <c r="I8" i="21"/>
  <c r="I7" i="21"/>
  <c r="I6" i="21"/>
  <c r="C27" i="20"/>
  <c r="C21" i="20"/>
  <c r="I23" i="19"/>
  <c r="I58" i="20"/>
  <c r="I57" i="20"/>
  <c r="I56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H32" i="20"/>
  <c r="H60" i="20" s="1"/>
  <c r="G32" i="20"/>
  <c r="F32" i="20"/>
  <c r="F60" i="20" s="1"/>
  <c r="E32" i="20"/>
  <c r="E60" i="20" s="1"/>
  <c r="D32" i="20"/>
  <c r="C32" i="20"/>
  <c r="C60" i="20" s="1"/>
  <c r="I31" i="20"/>
  <c r="I30" i="20"/>
  <c r="I29" i="20"/>
  <c r="I28" i="20"/>
  <c r="I27" i="20"/>
  <c r="I26" i="20"/>
  <c r="I25" i="20"/>
  <c r="I24" i="20"/>
  <c r="I23" i="20"/>
  <c r="I22" i="20"/>
  <c r="I21" i="20"/>
  <c r="I20" i="20"/>
  <c r="I18" i="20"/>
  <c r="I17" i="20"/>
  <c r="I16" i="20"/>
  <c r="I14" i="20"/>
  <c r="I13" i="20"/>
  <c r="I12" i="20"/>
  <c r="I11" i="20"/>
  <c r="I10" i="20"/>
  <c r="I9" i="20"/>
  <c r="I8" i="20"/>
  <c r="I7" i="20"/>
  <c r="I6" i="20"/>
  <c r="I29" i="18"/>
  <c r="I27" i="18"/>
  <c r="E29" i="18"/>
  <c r="D29" i="18"/>
  <c r="D27" i="18"/>
  <c r="J27" i="18" s="1"/>
  <c r="D25" i="18"/>
  <c r="J25" i="18" s="1"/>
  <c r="D21" i="18"/>
  <c r="J21" i="18" s="1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1" i="19"/>
  <c r="I50" i="19"/>
  <c r="I49" i="19"/>
  <c r="I48" i="19"/>
  <c r="I47" i="19"/>
  <c r="I46" i="19"/>
  <c r="I45" i="19"/>
  <c r="I44" i="19"/>
  <c r="I43" i="19"/>
  <c r="I42" i="19"/>
  <c r="I41" i="19"/>
  <c r="F40" i="19"/>
  <c r="F72" i="19" s="1"/>
  <c r="E40" i="19"/>
  <c r="E72" i="19" s="1"/>
  <c r="D40" i="19"/>
  <c r="D72" i="19" s="1"/>
  <c r="C40" i="19"/>
  <c r="C72" i="19" s="1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2" i="19"/>
  <c r="I21" i="19"/>
  <c r="I20" i="19"/>
  <c r="I19" i="19"/>
  <c r="I18" i="19"/>
  <c r="I17" i="19"/>
  <c r="I16" i="19"/>
  <c r="I14" i="19"/>
  <c r="I13" i="19"/>
  <c r="I12" i="19"/>
  <c r="I11" i="19"/>
  <c r="I10" i="19"/>
  <c r="I9" i="19"/>
  <c r="I8" i="19"/>
  <c r="I7" i="19"/>
  <c r="I6" i="19"/>
  <c r="D32" i="18"/>
  <c r="E32" i="18"/>
  <c r="E59" i="18" s="1"/>
  <c r="F32" i="18"/>
  <c r="F59" i="18" s="1"/>
  <c r="G32" i="18"/>
  <c r="H32" i="18"/>
  <c r="H59" i="18" s="1"/>
  <c r="I32" i="18"/>
  <c r="I59" i="18" s="1"/>
  <c r="J28" i="18"/>
  <c r="J26" i="18"/>
  <c r="J24" i="18"/>
  <c r="J22" i="18"/>
  <c r="J20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C32" i="18"/>
  <c r="C59" i="18" s="1"/>
  <c r="J31" i="18"/>
  <c r="J30" i="18"/>
  <c r="J23" i="18"/>
  <c r="J18" i="18"/>
  <c r="J17" i="18"/>
  <c r="J16" i="18"/>
  <c r="J14" i="18"/>
  <c r="J13" i="18"/>
  <c r="J12" i="18"/>
  <c r="J11" i="18"/>
  <c r="J10" i="18"/>
  <c r="J9" i="18"/>
  <c r="J8" i="18"/>
  <c r="J7" i="18"/>
  <c r="J6" i="18"/>
  <c r="D27" i="17"/>
  <c r="C27" i="17"/>
  <c r="I27" i="17" s="1"/>
  <c r="C25" i="17"/>
  <c r="H31" i="16"/>
  <c r="I31" i="16" s="1"/>
  <c r="I57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D40" i="17"/>
  <c r="D71" i="17" s="1"/>
  <c r="I39" i="17"/>
  <c r="I38" i="17"/>
  <c r="I37" i="17"/>
  <c r="I36" i="17"/>
  <c r="I35" i="17"/>
  <c r="F40" i="17"/>
  <c r="F71" i="17" s="1"/>
  <c r="E40" i="17"/>
  <c r="E71" i="17" s="1"/>
  <c r="C40" i="17"/>
  <c r="C71" i="17" s="1"/>
  <c r="I33" i="17"/>
  <c r="I32" i="17"/>
  <c r="I31" i="17"/>
  <c r="I30" i="17"/>
  <c r="I29" i="17"/>
  <c r="I28" i="17"/>
  <c r="I26" i="17"/>
  <c r="I25" i="17"/>
  <c r="I24" i="17"/>
  <c r="I22" i="17"/>
  <c r="I21" i="17"/>
  <c r="I20" i="17"/>
  <c r="I19" i="17"/>
  <c r="I18" i="17"/>
  <c r="I17" i="17"/>
  <c r="I16" i="17"/>
  <c r="I14" i="17"/>
  <c r="I13" i="17"/>
  <c r="I12" i="17"/>
  <c r="I11" i="17"/>
  <c r="I10" i="17"/>
  <c r="I9" i="17"/>
  <c r="I8" i="17"/>
  <c r="I7" i="17"/>
  <c r="I6" i="17"/>
  <c r="C23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H34" i="16"/>
  <c r="H61" i="16" s="1"/>
  <c r="G34" i="16"/>
  <c r="G61" i="16" s="1"/>
  <c r="F34" i="16"/>
  <c r="F61" i="16" s="1"/>
  <c r="E34" i="16"/>
  <c r="E61" i="16" s="1"/>
  <c r="D34" i="16"/>
  <c r="C34" i="16"/>
  <c r="C61" i="16" s="1"/>
  <c r="I33" i="16"/>
  <c r="I32" i="16"/>
  <c r="I30" i="16"/>
  <c r="I29" i="16"/>
  <c r="I28" i="16"/>
  <c r="I27" i="16"/>
  <c r="I26" i="16"/>
  <c r="I25" i="16"/>
  <c r="I24" i="16"/>
  <c r="I23" i="16"/>
  <c r="I22" i="16"/>
  <c r="I21" i="16"/>
  <c r="I20" i="16"/>
  <c r="I18" i="16"/>
  <c r="I17" i="16"/>
  <c r="I16" i="16"/>
  <c r="I14" i="16"/>
  <c r="I13" i="16"/>
  <c r="I12" i="16"/>
  <c r="I11" i="16"/>
  <c r="I10" i="16"/>
  <c r="I9" i="16"/>
  <c r="I8" i="16"/>
  <c r="I7" i="16"/>
  <c r="I6" i="16"/>
  <c r="C37" i="15"/>
  <c r="C27" i="15"/>
  <c r="H31" i="14"/>
  <c r="H23" i="14"/>
  <c r="I22" i="15"/>
  <c r="G36" i="15"/>
  <c r="F36" i="15"/>
  <c r="E36" i="15"/>
  <c r="D36" i="15"/>
  <c r="H34" i="15"/>
  <c r="G34" i="15"/>
  <c r="F34" i="15"/>
  <c r="E34" i="15"/>
  <c r="C34" i="15"/>
  <c r="J29" i="18" l="1"/>
  <c r="I34" i="17"/>
  <c r="I36" i="15"/>
  <c r="I34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E40" i="15"/>
  <c r="E72" i="15" s="1"/>
  <c r="D40" i="15"/>
  <c r="D72" i="15" s="1"/>
  <c r="C40" i="15"/>
  <c r="C72" i="15" s="1"/>
  <c r="I39" i="15"/>
  <c r="I38" i="15"/>
  <c r="I37" i="15"/>
  <c r="I35" i="15"/>
  <c r="I33" i="15"/>
  <c r="I32" i="15"/>
  <c r="I31" i="15"/>
  <c r="I30" i="15"/>
  <c r="I29" i="15"/>
  <c r="I28" i="15"/>
  <c r="I27" i="15"/>
  <c r="I26" i="15"/>
  <c r="I25" i="15"/>
  <c r="I24" i="15"/>
  <c r="I21" i="15"/>
  <c r="I20" i="15"/>
  <c r="I19" i="15"/>
  <c r="I18" i="15"/>
  <c r="I17" i="15"/>
  <c r="I16" i="15"/>
  <c r="I14" i="15"/>
  <c r="I13" i="15"/>
  <c r="I12" i="15"/>
  <c r="I11" i="15"/>
  <c r="I10" i="15"/>
  <c r="I9" i="15"/>
  <c r="I8" i="15"/>
  <c r="I7" i="15"/>
  <c r="I6" i="15"/>
  <c r="C31" i="14"/>
  <c r="C29" i="14"/>
  <c r="C27" i="14"/>
  <c r="C23" i="14"/>
  <c r="F40" i="15" l="1"/>
  <c r="F72" i="15" s="1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H34" i="14"/>
  <c r="H61" i="14" s="1"/>
  <c r="G34" i="14"/>
  <c r="G61" i="14" s="1"/>
  <c r="F34" i="14"/>
  <c r="F61" i="14" s="1"/>
  <c r="E34" i="14"/>
  <c r="E61" i="14" s="1"/>
  <c r="D34" i="14"/>
  <c r="C34" i="14"/>
  <c r="C61" i="14" s="1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8" i="14"/>
  <c r="I17" i="14"/>
  <c r="I16" i="14"/>
  <c r="I14" i="14"/>
  <c r="I13" i="14"/>
  <c r="I12" i="14"/>
  <c r="I11" i="14"/>
  <c r="I10" i="14"/>
  <c r="I9" i="14"/>
  <c r="I8" i="14"/>
  <c r="I7" i="14"/>
  <c r="I6" i="14"/>
  <c r="C35" i="13"/>
  <c r="H31" i="12"/>
  <c r="I57" i="13"/>
  <c r="I60" i="13"/>
  <c r="I42" i="13" l="1"/>
  <c r="I70" i="13"/>
  <c r="I69" i="13"/>
  <c r="I68" i="13"/>
  <c r="I67" i="13"/>
  <c r="I66" i="13"/>
  <c r="I65" i="13"/>
  <c r="I64" i="13"/>
  <c r="I63" i="13"/>
  <c r="I62" i="13"/>
  <c r="I61" i="13"/>
  <c r="I59" i="13"/>
  <c r="I58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1" i="13"/>
  <c r="F40" i="13"/>
  <c r="F72" i="13" s="1"/>
  <c r="E40" i="13"/>
  <c r="E72" i="13" s="1"/>
  <c r="D40" i="13"/>
  <c r="D72" i="13" s="1"/>
  <c r="C40" i="13"/>
  <c r="C72" i="13" s="1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1" i="13"/>
  <c r="I20" i="13"/>
  <c r="I19" i="13"/>
  <c r="I18" i="13"/>
  <c r="I17" i="13"/>
  <c r="I16" i="13"/>
  <c r="I14" i="13"/>
  <c r="I13" i="13"/>
  <c r="I12" i="13"/>
  <c r="I11" i="13"/>
  <c r="I10" i="13"/>
  <c r="I9" i="13"/>
  <c r="I8" i="13"/>
  <c r="I7" i="13"/>
  <c r="I6" i="13"/>
  <c r="C23" i="12"/>
  <c r="I35" i="12"/>
  <c r="I36" i="12"/>
  <c r="I47" i="12" l="1"/>
  <c r="I59" i="12"/>
  <c r="I58" i="12"/>
  <c r="I57" i="12"/>
  <c r="I56" i="12"/>
  <c r="I55" i="12"/>
  <c r="I54" i="12"/>
  <c r="I53" i="12"/>
  <c r="I52" i="12"/>
  <c r="I51" i="12"/>
  <c r="I50" i="12"/>
  <c r="I49" i="12"/>
  <c r="I48" i="12"/>
  <c r="I46" i="12"/>
  <c r="I45" i="12"/>
  <c r="I44" i="12"/>
  <c r="I43" i="12"/>
  <c r="I42" i="12"/>
  <c r="I41" i="12"/>
  <c r="I40" i="12"/>
  <c r="I39" i="12"/>
  <c r="I38" i="12"/>
  <c r="I37" i="12"/>
  <c r="H34" i="12"/>
  <c r="H61" i="12" s="1"/>
  <c r="G34" i="12"/>
  <c r="G61" i="12" s="1"/>
  <c r="F34" i="12"/>
  <c r="F61" i="12" s="1"/>
  <c r="E34" i="12"/>
  <c r="E61" i="12" s="1"/>
  <c r="D34" i="12"/>
  <c r="C34" i="12"/>
  <c r="C61" i="12" s="1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8" i="12"/>
  <c r="I17" i="12"/>
  <c r="I16" i="12"/>
  <c r="I14" i="12"/>
  <c r="I13" i="12"/>
  <c r="I12" i="12"/>
  <c r="I11" i="12"/>
  <c r="I10" i="12"/>
  <c r="I9" i="12"/>
  <c r="I8" i="12"/>
  <c r="I7" i="12"/>
  <c r="I6" i="12"/>
  <c r="C35" i="11"/>
  <c r="C25" i="11"/>
  <c r="C27" i="11"/>
  <c r="I54" i="11"/>
  <c r="I50" i="11"/>
  <c r="I36" i="11" l="1"/>
  <c r="I37" i="11"/>
  <c r="I42" i="11"/>
  <c r="I67" i="11" l="1"/>
  <c r="I66" i="11"/>
  <c r="I65" i="11"/>
  <c r="I64" i="11"/>
  <c r="I63" i="11"/>
  <c r="I62" i="11"/>
  <c r="I61" i="11"/>
  <c r="I60" i="11"/>
  <c r="I59" i="11"/>
  <c r="I58" i="11"/>
  <c r="I57" i="11"/>
  <c r="I56" i="11"/>
  <c r="I55" i="11"/>
  <c r="I53" i="11"/>
  <c r="I52" i="11"/>
  <c r="I51" i="11"/>
  <c r="I49" i="11"/>
  <c r="I48" i="11"/>
  <c r="I47" i="11"/>
  <c r="I46" i="11"/>
  <c r="I45" i="11"/>
  <c r="I44" i="11"/>
  <c r="I43" i="11"/>
  <c r="I41" i="11"/>
  <c r="F40" i="11"/>
  <c r="F69" i="11" s="1"/>
  <c r="E40" i="11"/>
  <c r="E69" i="11" s="1"/>
  <c r="D40" i="11"/>
  <c r="D69" i="11" s="1"/>
  <c r="C40" i="11"/>
  <c r="C69" i="11" s="1"/>
  <c r="I39" i="11"/>
  <c r="I38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1" i="11"/>
  <c r="I20" i="11"/>
  <c r="I19" i="11"/>
  <c r="I18" i="11"/>
  <c r="I17" i="11"/>
  <c r="I16" i="11"/>
  <c r="I14" i="11"/>
  <c r="I13" i="11"/>
  <c r="I12" i="11"/>
  <c r="I11" i="11"/>
  <c r="I10" i="11"/>
  <c r="I9" i="11"/>
  <c r="I8" i="11"/>
  <c r="I7" i="11"/>
  <c r="I6" i="11"/>
  <c r="C29" i="10"/>
  <c r="C27" i="10"/>
  <c r="I41" i="10"/>
  <c r="I57" i="10" l="1"/>
  <c r="I56" i="10"/>
  <c r="I55" i="10"/>
  <c r="I54" i="10"/>
  <c r="I53" i="10"/>
  <c r="I52" i="10"/>
  <c r="I51" i="10"/>
  <c r="I50" i="10"/>
  <c r="I49" i="10"/>
  <c r="I48" i="10"/>
  <c r="I47" i="10"/>
  <c r="I46" i="10"/>
  <c r="I44" i="10"/>
  <c r="I43" i="10"/>
  <c r="I42" i="10"/>
  <c r="I40" i="10"/>
  <c r="I39" i="10"/>
  <c r="I38" i="10"/>
  <c r="I37" i="10"/>
  <c r="I36" i="10"/>
  <c r="I35" i="10"/>
  <c r="H34" i="10"/>
  <c r="H59" i="10" s="1"/>
  <c r="G34" i="10"/>
  <c r="G59" i="10" s="1"/>
  <c r="F34" i="10"/>
  <c r="F59" i="10" s="1"/>
  <c r="E34" i="10"/>
  <c r="E59" i="10" s="1"/>
  <c r="D34" i="10"/>
  <c r="C34" i="10"/>
  <c r="C59" i="10" s="1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8" i="10"/>
  <c r="I17" i="10"/>
  <c r="I16" i="10"/>
  <c r="I14" i="10"/>
  <c r="I13" i="10"/>
  <c r="I12" i="10"/>
  <c r="I11" i="10"/>
  <c r="I10" i="10"/>
  <c r="I9" i="10"/>
  <c r="I8" i="10"/>
  <c r="I7" i="10"/>
  <c r="I6" i="10"/>
  <c r="I13" i="8"/>
  <c r="I58" i="9"/>
  <c r="I59" i="9"/>
  <c r="I48" i="9"/>
  <c r="I14" i="9"/>
  <c r="I64" i="9"/>
  <c r="I63" i="9"/>
  <c r="I62" i="9"/>
  <c r="I61" i="9"/>
  <c r="I60" i="9"/>
  <c r="I57" i="9"/>
  <c r="I56" i="9"/>
  <c r="I55" i="9"/>
  <c r="I54" i="9"/>
  <c r="I53" i="9"/>
  <c r="I52" i="9"/>
  <c r="I51" i="9"/>
  <c r="I50" i="9"/>
  <c r="I49" i="9"/>
  <c r="I47" i="9"/>
  <c r="I46" i="9"/>
  <c r="I45" i="9"/>
  <c r="I44" i="9"/>
  <c r="I43" i="9"/>
  <c r="I42" i="9"/>
  <c r="I41" i="9"/>
  <c r="I40" i="9"/>
  <c r="I39" i="9"/>
  <c r="F38" i="9"/>
  <c r="F66" i="9" s="1"/>
  <c r="E38" i="9"/>
  <c r="E66" i="9" s="1"/>
  <c r="D38" i="9"/>
  <c r="D66" i="9" s="1"/>
  <c r="C38" i="9"/>
  <c r="C66" i="9" s="1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3" i="9"/>
  <c r="I12" i="9"/>
  <c r="I11" i="9"/>
  <c r="I10" i="9"/>
  <c r="I9" i="9"/>
  <c r="I8" i="9"/>
  <c r="I7" i="9"/>
  <c r="I6" i="9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H34" i="8"/>
  <c r="H58" i="8" s="1"/>
  <c r="G34" i="8"/>
  <c r="G58" i="8" s="1"/>
  <c r="F34" i="8"/>
  <c r="F58" i="8" s="1"/>
  <c r="E34" i="8"/>
  <c r="E58" i="8" s="1"/>
  <c r="D34" i="8"/>
  <c r="C34" i="8"/>
  <c r="C58" i="8" s="1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8" i="8"/>
  <c r="I17" i="8"/>
  <c r="I16" i="8"/>
  <c r="I14" i="8"/>
  <c r="I12" i="8"/>
  <c r="I11" i="8"/>
  <c r="I10" i="8"/>
  <c r="I9" i="8"/>
  <c r="I8" i="8"/>
  <c r="I7" i="8"/>
  <c r="I6" i="8"/>
  <c r="K44" i="7"/>
  <c r="K46" i="7"/>
  <c r="K42" i="7"/>
  <c r="K45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1" i="7"/>
  <c r="K40" i="7"/>
  <c r="K39" i="7"/>
  <c r="K38" i="7"/>
  <c r="K37" i="7"/>
  <c r="J36" i="7"/>
  <c r="G36" i="7"/>
  <c r="G63" i="7" s="1"/>
  <c r="F36" i="7"/>
  <c r="F63" i="7" s="1"/>
  <c r="E36" i="7"/>
  <c r="E63" i="7" s="1"/>
  <c r="D36" i="7"/>
  <c r="D63" i="7" s="1"/>
  <c r="C36" i="7"/>
  <c r="C63" i="7" s="1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J14" i="6"/>
  <c r="I34" i="6"/>
  <c r="D34" i="6"/>
  <c r="E34" i="6"/>
  <c r="E58" i="6" s="1"/>
  <c r="F34" i="6"/>
  <c r="F58" i="6" s="1"/>
  <c r="G34" i="6"/>
  <c r="G58" i="6" s="1"/>
  <c r="H34" i="6"/>
  <c r="H58" i="6" s="1"/>
  <c r="C34" i="6"/>
  <c r="C58" i="6" s="1"/>
  <c r="J38" i="6"/>
  <c r="J39" i="6"/>
  <c r="J40" i="6"/>
  <c r="J41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37" i="6"/>
  <c r="J36" i="6"/>
  <c r="J35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8" i="6"/>
  <c r="J17" i="6"/>
  <c r="J16" i="6"/>
  <c r="J13" i="6"/>
  <c r="J12" i="6"/>
  <c r="J11" i="6"/>
  <c r="J10" i="6"/>
  <c r="J9" i="6"/>
  <c r="J8" i="6"/>
  <c r="J7" i="6"/>
  <c r="J6" i="6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I36" i="5"/>
  <c r="G36" i="5"/>
  <c r="G59" i="5" s="1"/>
  <c r="F36" i="5"/>
  <c r="F59" i="5" s="1"/>
  <c r="E36" i="5"/>
  <c r="E59" i="5" s="1"/>
  <c r="D36" i="5"/>
  <c r="D59" i="5" s="1"/>
  <c r="C36" i="5"/>
  <c r="C59" i="5" s="1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I15" i="3"/>
  <c r="I19" i="3"/>
  <c r="I16" i="4"/>
  <c r="I8" i="4" l="1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H32" i="4"/>
  <c r="G32" i="4"/>
  <c r="G55" i="4" s="1"/>
  <c r="F32" i="4"/>
  <c r="F55" i="4" s="1"/>
  <c r="E32" i="4"/>
  <c r="E55" i="4" s="1"/>
  <c r="D32" i="4"/>
  <c r="D55" i="4" s="1"/>
  <c r="C32" i="4"/>
  <c r="C55" i="4" s="1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5" i="4"/>
  <c r="I14" i="4"/>
  <c r="I13" i="4"/>
  <c r="I12" i="4"/>
  <c r="I11" i="4"/>
  <c r="I10" i="4"/>
  <c r="I9" i="4"/>
  <c r="I7" i="4"/>
  <c r="I6" i="4"/>
  <c r="I19" i="2"/>
  <c r="I18" i="3"/>
  <c r="I16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H36" i="3"/>
  <c r="G36" i="3"/>
  <c r="G59" i="3" s="1"/>
  <c r="F36" i="3"/>
  <c r="F59" i="3" s="1"/>
  <c r="E36" i="3"/>
  <c r="E59" i="3" s="1"/>
  <c r="D36" i="3"/>
  <c r="D59" i="3" s="1"/>
  <c r="C36" i="3"/>
  <c r="C59" i="3" s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7" i="3"/>
  <c r="I14" i="3"/>
  <c r="I13" i="3"/>
  <c r="I12" i="3"/>
  <c r="I11" i="3"/>
  <c r="I10" i="3"/>
  <c r="I9" i="3"/>
  <c r="I8" i="3"/>
  <c r="I7" i="3"/>
  <c r="I6" i="3"/>
  <c r="I18" i="2"/>
  <c r="I51" i="2" l="1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H30" i="2"/>
  <c r="G30" i="2"/>
  <c r="G53" i="2" s="1"/>
  <c r="F30" i="2"/>
  <c r="F53" i="2" s="1"/>
  <c r="E30" i="2"/>
  <c r="E53" i="2" s="1"/>
  <c r="D30" i="2"/>
  <c r="D53" i="2" s="1"/>
  <c r="C30" i="2"/>
  <c r="C53" i="2" s="1"/>
  <c r="I29" i="2"/>
  <c r="I28" i="2"/>
  <c r="I27" i="2"/>
  <c r="I26" i="2"/>
  <c r="I25" i="2"/>
  <c r="I24" i="2"/>
  <c r="I23" i="2"/>
  <c r="I22" i="2"/>
  <c r="I21" i="2"/>
  <c r="I20" i="2"/>
  <c r="I17" i="2"/>
  <c r="I16" i="2"/>
  <c r="I15" i="2"/>
  <c r="I14" i="2"/>
  <c r="I13" i="2"/>
  <c r="I12" i="2"/>
  <c r="I11" i="2"/>
  <c r="I10" i="2"/>
  <c r="I9" i="2"/>
  <c r="I8" i="2"/>
  <c r="I7" i="2"/>
  <c r="I6" i="2"/>
  <c r="H32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G32" i="1"/>
  <c r="G55" i="1" s="1"/>
  <c r="F32" i="1"/>
  <c r="F55" i="1" s="1"/>
  <c r="E32" i="1"/>
  <c r="E55" i="1" s="1"/>
  <c r="D32" i="1"/>
  <c r="D55" i="1" s="1"/>
  <c r="C32" i="1"/>
  <c r="C55" i="1" s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5" authorId="0" shapeId="0" xr:uid="{B0607FCC-889C-4166-B1CB-C77188A70171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3" authorId="0" shapeId="0" xr:uid="{9D0C64E2-1F14-4D26-AD82-49025F0022D0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9" authorId="0" shapeId="0" xr:uid="{6587B7F6-6E70-4229-BFFF-823D63CBDF68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49" authorId="0" shapeId="0" xr:uid="{88AC79A2-C24A-41A1-AA6E-9F9E836BE2BB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53" authorId="0" shapeId="0" xr:uid="{7BB40191-E883-4723-B523-8EDB2FA973DD}">
      <text>
        <r>
          <rPr>
            <b/>
            <sz val="11"/>
            <color indexed="81"/>
            <rFont val="Tahoma"/>
            <family val="2"/>
          </rPr>
          <t>Le Anh Tuan:</t>
        </r>
        <r>
          <rPr>
            <sz val="11"/>
            <color indexed="81"/>
            <rFont val="Tahoma"/>
            <family val="2"/>
          </rPr>
          <t xml:space="preserve">
BC+ MTT
</t>
        </r>
      </text>
    </comment>
  </commentList>
</comments>
</file>

<file path=xl/sharedStrings.xml><?xml version="1.0" encoding="utf-8"?>
<sst xmlns="http://schemas.openxmlformats.org/spreadsheetml/2006/main" count="1116" uniqueCount="129">
  <si>
    <t>CTY CỔ PHẦN CHĂN NUÔI C.P VIỆT NAM</t>
  </si>
  <si>
    <t>CHI NHÁNH TẠI BÌNH DƯƠNG</t>
  </si>
  <si>
    <t>NGÀY</t>
  </si>
  <si>
    <t>PELLET SIZE</t>
  </si>
  <si>
    <t>549F</t>
  </si>
  <si>
    <t>540F</t>
  </si>
  <si>
    <t>550SFS31</t>
  </si>
  <si>
    <t>551FS54</t>
  </si>
  <si>
    <t>566F</t>
  </si>
  <si>
    <t>567SF</t>
  </si>
  <si>
    <t>CÁM HEO</t>
  </si>
  <si>
    <t>551GPFS54</t>
  </si>
  <si>
    <t>562PF</t>
  </si>
  <si>
    <t>552SF</t>
  </si>
  <si>
    <t>552F</t>
  </si>
  <si>
    <t>553MF</t>
  </si>
  <si>
    <t>SỐ LƯỢNG XE FARM</t>
  </si>
  <si>
    <t>GD14AP32</t>
  </si>
  <si>
    <t>522P32PRO</t>
  </si>
  <si>
    <t>MC</t>
  </si>
  <si>
    <t>GT11S</t>
  </si>
  <si>
    <t>GT12</t>
  </si>
  <si>
    <t>511S</t>
  </si>
  <si>
    <t>550S</t>
  </si>
  <si>
    <t>551PRO</t>
  </si>
  <si>
    <t>551GP</t>
  </si>
  <si>
    <t>HT11</t>
  </si>
  <si>
    <t>ĐAI  LÝ MỚI!</t>
  </si>
  <si>
    <t>HT12SX</t>
  </si>
  <si>
    <t>HT13S</t>
  </si>
  <si>
    <t>562PXS72</t>
  </si>
  <si>
    <t>562P</t>
  </si>
  <si>
    <t>HG16</t>
  </si>
  <si>
    <t>HG16XS74</t>
  </si>
  <si>
    <t>HG17SXS74</t>
  </si>
  <si>
    <t>HG17S</t>
  </si>
  <si>
    <t>SỐ LƯỢNG XE ĐL</t>
  </si>
  <si>
    <t>TỔNG CỘNG SỐ LƯỢNG XE</t>
  </si>
  <si>
    <t>BÁ CANG</t>
  </si>
  <si>
    <t>VIÊTSSWAN- MAI THI THƯỚC</t>
  </si>
  <si>
    <t>CÔNG DỰ</t>
  </si>
  <si>
    <t>BÁ CANG- MAI THI THUOC</t>
  </si>
  <si>
    <t>KẾ HOẠCH CÁM SILO TUẦN 01</t>
  </si>
  <si>
    <t>TỪ NGÀY 29/12/2025 =&gt; 03/01/2026</t>
  </si>
  <si>
    <t>550SF</t>
  </si>
  <si>
    <t>KẾ HOẠCH CÁM SILO TUẦN 02</t>
  </si>
  <si>
    <t>TỪ NGÀY 05/01/2026 =&gt; 10/01/2026</t>
  </si>
  <si>
    <t>566FS25</t>
  </si>
  <si>
    <t>566FS31</t>
  </si>
  <si>
    <t>567SFS25</t>
  </si>
  <si>
    <t>567SFS31</t>
  </si>
  <si>
    <t>552SFS90</t>
  </si>
  <si>
    <t>552FS90</t>
  </si>
  <si>
    <t>552S</t>
  </si>
  <si>
    <t>KẾ HOẠCH CÁM SILO TUẦN 03</t>
  </si>
  <si>
    <t>TỪ NGÀY 12/01/2026 =&gt; 17/01/2026</t>
  </si>
  <si>
    <t>551GPFS13</t>
  </si>
  <si>
    <t>HT12S</t>
  </si>
  <si>
    <t>548F</t>
  </si>
  <si>
    <t>GT12A</t>
  </si>
  <si>
    <t>TỪ NGÀY 25/01/2026 =&gt; 31/01/2026</t>
  </si>
  <si>
    <t>TỪ NGÀY 01/02/2026 =&gt; 07/02/2026</t>
  </si>
  <si>
    <t>551FS31</t>
  </si>
  <si>
    <t xml:space="preserve">550XPRO </t>
  </si>
  <si>
    <t>550XS52PRO</t>
  </si>
  <si>
    <t>TỪ NGÀY 08/02/2026 =&gt;15/02/2026</t>
  </si>
  <si>
    <t>TỪ NGÀY 23/02/2026 =&gt;28/02/2026</t>
  </si>
  <si>
    <t>GT12B</t>
  </si>
  <si>
    <t>551GPFS31</t>
  </si>
  <si>
    <t>562PXS34</t>
  </si>
  <si>
    <t>HG16XS34</t>
  </si>
  <si>
    <t>HG17SXS34</t>
  </si>
  <si>
    <t>KẾ HOẠCH CÁM SILO TUẦN 09</t>
  </si>
  <si>
    <t>TỪ NGÀY 02/03/2026 =&gt; 07/03/2026</t>
  </si>
  <si>
    <t>KẾ HOẠCH CÁM SILO TUẦN 10</t>
  </si>
  <si>
    <t>550SX</t>
  </si>
  <si>
    <t xml:space="preserve">550XS52PRO </t>
  </si>
  <si>
    <t>553S</t>
  </si>
  <si>
    <t>GD14AP</t>
  </si>
  <si>
    <t>HT11XS72</t>
  </si>
  <si>
    <t>KẾ HOẠCH CÁM SILO TUẦN 11</t>
  </si>
  <si>
    <t>TỪ NGÀY 09/03/2026 =&gt;14/03/2026</t>
  </si>
  <si>
    <t>0807</t>
  </si>
  <si>
    <t>M</t>
  </si>
  <si>
    <t>0809</t>
  </si>
  <si>
    <t>KẾ HOẠCH CÁM SILO TUẦN 12</t>
  </si>
  <si>
    <t>BS07</t>
  </si>
  <si>
    <t>BS09</t>
  </si>
  <si>
    <t>KẾ HOẠCH CÁM SILO TUẦN 13</t>
  </si>
  <si>
    <t>TỪ NGÀY 23/03/2026 =&gt;28/03/2026</t>
  </si>
  <si>
    <t>BS07LD</t>
  </si>
  <si>
    <t>BS09TA</t>
  </si>
  <si>
    <t>HT12SX54 ( VP)</t>
  </si>
  <si>
    <t>HT12SXS13</t>
  </si>
  <si>
    <t>HG16XS13</t>
  </si>
  <si>
    <t>HT11XS13</t>
  </si>
  <si>
    <t>BS07TA</t>
  </si>
  <si>
    <t>KẾ HOẠCH CÁM SILO TUẦN 14</t>
  </si>
  <si>
    <t>TỪ NGÀY 30/03/2026 =&gt; 04/04/2026</t>
  </si>
  <si>
    <t>562PXS13(MINI)</t>
  </si>
  <si>
    <t>HG17SXS13(MINI)</t>
  </si>
  <si>
    <t>GT12AS</t>
  </si>
  <si>
    <t>550PRO(NHẬN ỐNG 02)</t>
  </si>
  <si>
    <t>HG17S       (NHẬN ỐNG 02)</t>
  </si>
  <si>
    <t>KẾ HOẠCH CÁM SILO TUẦN 16</t>
  </si>
  <si>
    <t>TỪ NGÀY 13/04/2026 =&gt; 16/04/2026</t>
  </si>
  <si>
    <t>HT12SXS88</t>
  </si>
  <si>
    <t>550PRO</t>
  </si>
  <si>
    <t>KẾ HOẠCH CÁM SILO TUẦN 17</t>
  </si>
  <si>
    <t>TỪ NGÀY 20/04/2026 =&gt;25/04/2026</t>
  </si>
  <si>
    <t>GD14A</t>
  </si>
  <si>
    <t>566       (NHẬN ỐNG 02)</t>
  </si>
  <si>
    <t>551X</t>
  </si>
  <si>
    <t>TỪ NGÀY 27/04/2026 =&gt; 03/05/2026</t>
  </si>
  <si>
    <t>550PRO XE NHẬN ỐNG 2</t>
  </si>
  <si>
    <t xml:space="preserve">566 MINI </t>
  </si>
  <si>
    <t>KẾ HOẠCH CÁM SILO TUẦN 19</t>
  </si>
  <si>
    <t>TỪ NGÀY 04/05/2026 =&gt;09/05/2026</t>
  </si>
  <si>
    <t xml:space="preserve">                          -  </t>
  </si>
  <si>
    <t>567S MINI</t>
  </si>
  <si>
    <t>566 MINI</t>
  </si>
  <si>
    <t>550XS54PRO</t>
  </si>
  <si>
    <t>KẾ HOẠCH CÁM SILO TUẦN 20</t>
  </si>
  <si>
    <t>TỪ NGÀY 11/05/2026 =&gt; 16/05/2026</t>
  </si>
  <si>
    <t>HG16XS90</t>
  </si>
  <si>
    <t>HG17SXS90</t>
  </si>
  <si>
    <t>562PFS90</t>
  </si>
  <si>
    <t>KẾ HOẠCH CÁM SILO TUẦN 21</t>
  </si>
  <si>
    <t>TỪ NGÀY 18/05/2026 =&gt;23/05/2026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</si>
</sst>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[$-1010000]d/m/yyyy;@"/>
    <numFmt numFmtId="166" formatCode="_(* #,##0_);_(* \(#,##0\);_(* &quot;-&quot;??_);_(@_)"/>
    <numFmt numFmtId="167" formatCode="_-* #,##0_-;\-* #,##0_-;_-* &quot;-&quot;??_-;_-@_-"/>
  </numFmts>
  <fonts count="3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b/>
      <sz val="12"/>
      <color rgb="FF00B050"/>
      <name val="Times New Roman"/>
      <family val="1"/>
    </font>
    <font>
      <b/>
      <sz val="10"/>
      <color rgb="FF00B050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3" tint="-0.499984740745262"/>
      <name val="Times New Roman"/>
      <family val="1"/>
    </font>
    <font>
      <b/>
      <sz val="14"/>
      <color rgb="FF00206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theme="2" tint="-0.89999084444715716"/>
      <name val="Times New Roman"/>
      <family val="1"/>
    </font>
    <font>
      <b/>
      <sz val="12"/>
      <color rgb="FF00B0F0"/>
      <name val="Times New Roman"/>
      <family val="1"/>
    </font>
    <font>
      <b/>
      <sz val="12"/>
      <color theme="4" tint="-0.499984740745262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20"/>
      <color rgb="FF92D050"/>
      <name val="Times New Roman"/>
      <family val="1"/>
    </font>
    <font>
      <b/>
      <sz val="12"/>
      <color rgb="FF92D05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9"/>
      <name val="Times New Roman"/>
      <family val="1"/>
    </font>
    <font>
      <b/>
      <sz val="12"/>
      <color theme="9"/>
      <name val="Times New Roman"/>
      <family val="1"/>
    </font>
    <font>
      <b/>
      <sz val="16"/>
      <name val="Times New Roman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 tint="0.14999847407452621"/>
      <name val="Times New Roman"/>
      <family val="1"/>
    </font>
    <font>
      <b/>
      <sz val="12"/>
      <color theme="1"/>
      <name val="Arial"/>
      <family val="2"/>
    </font>
    <font>
      <b/>
      <sz val="14"/>
      <color rgb="FF00B0F0"/>
      <name val="Times New Roman"/>
      <family val="1"/>
    </font>
    <font>
      <sz val="12"/>
      <color rgb="FF00B050"/>
      <name val="Times New Roman"/>
      <family val="1"/>
    </font>
    <font>
      <b/>
      <sz val="10"/>
      <color rgb="FF00B0F0"/>
      <name val="Times New Roman"/>
      <family val="1"/>
    </font>
    <font>
      <b/>
      <sz val="11"/>
      <color rgb="FF00B0F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8" fillId="0" borderId="0"/>
  </cellStyleXfs>
  <cellXfs count="183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5" fontId="6" fillId="2" borderId="1" xfId="0" quotePrefix="1" applyNumberFormat="1" applyFont="1" applyFill="1" applyBorder="1" applyAlignment="1">
      <alignment horizontal="center" vertical="center"/>
    </xf>
    <xf numFmtId="165" fontId="8" fillId="2" borderId="1" xfId="0" quotePrefix="1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6" fontId="11" fillId="2" borderId="1" xfId="1" quotePrefix="1" applyNumberFormat="1" applyFont="1" applyFill="1" applyBorder="1" applyAlignment="1">
      <alignment vertical="center"/>
    </xf>
    <xf numFmtId="167" fontId="2" fillId="2" borderId="0" xfId="0" applyNumberFormat="1" applyFont="1" applyFill="1"/>
    <xf numFmtId="0" fontId="2" fillId="2" borderId="0" xfId="0" applyFont="1" applyFill="1"/>
    <xf numFmtId="164" fontId="6" fillId="0" borderId="1" xfId="0" applyNumberFormat="1" applyFont="1" applyBorder="1" applyAlignment="1">
      <alignment horizontal="center" vertical="center"/>
    </xf>
    <xf numFmtId="166" fontId="6" fillId="2" borderId="1" xfId="1" quotePrefix="1" applyNumberFormat="1" applyFont="1" applyFill="1" applyBorder="1" applyAlignment="1">
      <alignment horizontal="center" vertical="center"/>
    </xf>
    <xf numFmtId="167" fontId="6" fillId="0" borderId="1" xfId="1" applyNumberFormat="1" applyFont="1" applyBorder="1" applyAlignment="1"/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6" fontId="13" fillId="5" borderId="1" xfId="1" quotePrefix="1" applyNumberFormat="1" applyFont="1" applyFill="1" applyBorder="1" applyAlignment="1">
      <alignment vertical="center"/>
    </xf>
    <xf numFmtId="166" fontId="11" fillId="5" borderId="1" xfId="1" quotePrefix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6" fontId="6" fillId="2" borderId="1" xfId="1" quotePrefix="1" applyNumberFormat="1" applyFont="1" applyFill="1" applyBorder="1" applyAlignment="1">
      <alignment vertical="center"/>
    </xf>
    <xf numFmtId="167" fontId="6" fillId="2" borderId="1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166" fontId="2" fillId="5" borderId="1" xfId="1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/>
    <xf numFmtId="167" fontId="12" fillId="0" borderId="0" xfId="1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6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6" fontId="15" fillId="2" borderId="0" xfId="1" applyNumberFormat="1" applyFont="1" applyFill="1" applyBorder="1" applyAlignment="1">
      <alignment horizontal="center" vertical="center"/>
    </xf>
    <xf numFmtId="166" fontId="13" fillId="5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7" fontId="13" fillId="5" borderId="1" xfId="1" applyNumberFormat="1" applyFont="1" applyFill="1" applyBorder="1" applyAlignment="1">
      <alignment horizontal="center" vertical="center"/>
    </xf>
    <xf numFmtId="167" fontId="2" fillId="0" borderId="0" xfId="1" applyNumberFormat="1" applyFont="1" applyBorder="1" applyAlignment="1"/>
    <xf numFmtId="166" fontId="2" fillId="3" borderId="1" xfId="1" applyNumberFormat="1" applyFont="1" applyFill="1" applyBorder="1" applyAlignment="1">
      <alignment horizontal="left" vertical="center"/>
    </xf>
    <xf numFmtId="166" fontId="16" fillId="3" borderId="1" xfId="1" applyNumberFormat="1" applyFont="1" applyFill="1" applyBorder="1" applyAlignment="1">
      <alignment horizontal="left" vertical="center"/>
    </xf>
    <xf numFmtId="167" fontId="2" fillId="0" borderId="2" xfId="1" applyNumberFormat="1" applyFont="1" applyBorder="1" applyAlignment="1"/>
    <xf numFmtId="167" fontId="3" fillId="0" borderId="0" xfId="0" applyNumberFormat="1" applyFont="1"/>
    <xf numFmtId="0" fontId="17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6" fontId="6" fillId="0" borderId="1" xfId="1" applyNumberFormat="1" applyFont="1" applyBorder="1"/>
    <xf numFmtId="3" fontId="6" fillId="0" borderId="1" xfId="0" applyNumberFormat="1" applyFont="1" applyBorder="1"/>
    <xf numFmtId="0" fontId="9" fillId="3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6" fontId="2" fillId="3" borderId="1" xfId="1" applyNumberFormat="1" applyFont="1" applyFill="1" applyBorder="1"/>
    <xf numFmtId="0" fontId="8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center" vertical="center"/>
    </xf>
    <xf numFmtId="166" fontId="12" fillId="7" borderId="1" xfId="1" applyNumberFormat="1" applyFont="1" applyFill="1" applyBorder="1" applyAlignment="1">
      <alignment horizontal="center" vertical="center"/>
    </xf>
    <xf numFmtId="166" fontId="8" fillId="0" borderId="1" xfId="0" applyNumberFormat="1" applyFont="1" applyBorder="1"/>
    <xf numFmtId="164" fontId="2" fillId="4" borderId="1" xfId="0" applyNumberFormat="1" applyFont="1" applyFill="1" applyBorder="1" applyAlignment="1">
      <alignment horizontal="center" vertical="center"/>
    </xf>
    <xf numFmtId="166" fontId="9" fillId="7" borderId="1" xfId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center" vertical="center" wrapText="1"/>
    </xf>
    <xf numFmtId="0" fontId="9" fillId="7" borderId="0" xfId="0" applyFont="1" applyFill="1"/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6" fillId="7" borderId="1" xfId="1" applyNumberFormat="1" applyFont="1" applyFill="1" applyBorder="1" applyAlignment="1">
      <alignment horizontal="center" vertical="center"/>
    </xf>
    <xf numFmtId="166" fontId="6" fillId="7" borderId="0" xfId="1" applyNumberFormat="1" applyFont="1" applyFill="1"/>
    <xf numFmtId="166" fontId="6" fillId="7" borderId="1" xfId="1" applyNumberFormat="1" applyFont="1" applyFill="1" applyBorder="1"/>
    <xf numFmtId="166" fontId="9" fillId="4" borderId="1" xfId="1" applyNumberFormat="1" applyFont="1" applyFill="1" applyBorder="1" applyAlignment="1">
      <alignment horizontal="center" vertical="center"/>
    </xf>
    <xf numFmtId="166" fontId="6" fillId="4" borderId="0" xfId="1" applyNumberFormat="1" applyFont="1" applyFill="1"/>
    <xf numFmtId="166" fontId="6" fillId="4" borderId="1" xfId="1" applyNumberFormat="1" applyFont="1" applyFill="1" applyBorder="1"/>
    <xf numFmtId="0" fontId="5" fillId="4" borderId="0" xfId="0" applyFont="1" applyFill="1"/>
    <xf numFmtId="0" fontId="2" fillId="4" borderId="0" xfId="0" applyFont="1" applyFill="1"/>
    <xf numFmtId="166" fontId="6" fillId="7" borderId="1" xfId="1" applyNumberFormat="1" applyFont="1" applyFill="1" applyBorder="1" applyAlignment="1">
      <alignment horizontal="center" vertical="center" wrapText="1"/>
    </xf>
    <xf numFmtId="166" fontId="9" fillId="7" borderId="1" xfId="1" applyNumberFormat="1" applyFont="1" applyFill="1" applyBorder="1"/>
    <xf numFmtId="166" fontId="9" fillId="7" borderId="1" xfId="1" applyNumberFormat="1" applyFont="1" applyFill="1" applyBorder="1" applyAlignment="1">
      <alignment horizontal="center" vertical="center" wrapText="1"/>
    </xf>
    <xf numFmtId="166" fontId="15" fillId="7" borderId="1" xfId="1" applyNumberFormat="1" applyFont="1" applyFill="1" applyBorder="1" applyAlignment="1">
      <alignment horizontal="center" vertical="center"/>
    </xf>
    <xf numFmtId="0" fontId="19" fillId="6" borderId="0" xfId="0" applyFont="1" applyFill="1"/>
    <xf numFmtId="0" fontId="2" fillId="4" borderId="1" xfId="0" applyFont="1" applyFill="1" applyBorder="1" applyAlignment="1">
      <alignment horizontal="center" vertical="center"/>
    </xf>
    <xf numFmtId="166" fontId="20" fillId="7" borderId="1" xfId="1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/>
    <xf numFmtId="0" fontId="21" fillId="8" borderId="1" xfId="0" applyFont="1" applyFill="1" applyBorder="1"/>
    <xf numFmtId="164" fontId="21" fillId="8" borderId="1" xfId="0" applyNumberFormat="1" applyFont="1" applyFill="1" applyBorder="1"/>
    <xf numFmtId="0" fontId="21" fillId="8" borderId="1" xfId="0" applyFont="1" applyFill="1" applyBorder="1" applyAlignment="1">
      <alignment horizontal="center"/>
    </xf>
    <xf numFmtId="166" fontId="21" fillId="8" borderId="1" xfId="1" applyNumberFormat="1" applyFont="1" applyFill="1" applyBorder="1" applyAlignment="1">
      <alignment horizontal="center"/>
    </xf>
    <xf numFmtId="0" fontId="5" fillId="0" borderId="1" xfId="0" applyFont="1" applyBorder="1"/>
    <xf numFmtId="0" fontId="3" fillId="9" borderId="1" xfId="0" applyFont="1" applyFill="1" applyBorder="1"/>
    <xf numFmtId="164" fontId="3" fillId="9" borderId="1" xfId="0" applyNumberFormat="1" applyFont="1" applyFill="1" applyBorder="1"/>
    <xf numFmtId="166" fontId="3" fillId="9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22" fillId="6" borderId="0" xfId="0" applyFont="1" applyFill="1"/>
    <xf numFmtId="164" fontId="22" fillId="6" borderId="0" xfId="0" applyNumberFormat="1" applyFont="1" applyFill="1"/>
    <xf numFmtId="0" fontId="23" fillId="0" borderId="0" xfId="0" applyFont="1"/>
    <xf numFmtId="0" fontId="5" fillId="10" borderId="0" xfId="0" applyFont="1" applyFill="1"/>
    <xf numFmtId="0" fontId="5" fillId="8" borderId="0" xfId="0" applyFont="1" applyFill="1"/>
    <xf numFmtId="164" fontId="5" fillId="8" borderId="0" xfId="0" applyNumberFormat="1" applyFont="1" applyFill="1"/>
    <xf numFmtId="0" fontId="15" fillId="0" borderId="0" xfId="0" applyFont="1"/>
    <xf numFmtId="0" fontId="5" fillId="11" borderId="0" xfId="0" applyFont="1" applyFill="1"/>
    <xf numFmtId="0" fontId="13" fillId="0" borderId="0" xfId="0" applyFont="1"/>
    <xf numFmtId="0" fontId="5" fillId="0" borderId="0" xfId="0" applyFont="1" applyAlignment="1">
      <alignment horizontal="center"/>
    </xf>
    <xf numFmtId="0" fontId="24" fillId="0" borderId="0" xfId="2" applyFont="1" applyAlignment="1">
      <alignment horizontal="left" vertical="center"/>
    </xf>
    <xf numFmtId="164" fontId="24" fillId="0" borderId="0" xfId="2" applyNumberFormat="1" applyFont="1" applyAlignment="1">
      <alignment horizontal="left" vertical="center"/>
    </xf>
    <xf numFmtId="3" fontId="8" fillId="0" borderId="0" xfId="2" applyNumberFormat="1" applyFont="1" applyAlignment="1">
      <alignment horizontal="left" vertical="center"/>
    </xf>
    <xf numFmtId="167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6" fontId="12" fillId="5" borderId="1" xfId="1" quotePrefix="1" applyNumberFormat="1" applyFont="1" applyFill="1" applyBorder="1" applyAlignment="1">
      <alignment horizontal="center" vertical="center"/>
    </xf>
    <xf numFmtId="166" fontId="10" fillId="5" borderId="1" xfId="1" quotePrefix="1" applyNumberFormat="1" applyFont="1" applyFill="1" applyBorder="1" applyAlignment="1">
      <alignment horizontal="center" vertical="center"/>
    </xf>
    <xf numFmtId="166" fontId="10" fillId="5" borderId="1" xfId="1" quotePrefix="1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66" fontId="12" fillId="5" borderId="1" xfId="1" quotePrefix="1" applyNumberFormat="1" applyFont="1" applyFill="1" applyBorder="1" applyAlignment="1">
      <alignment vertical="center"/>
    </xf>
    <xf numFmtId="166" fontId="14" fillId="5" borderId="1" xfId="1" quotePrefix="1" applyNumberFormat="1" applyFont="1" applyFill="1" applyBorder="1" applyAlignment="1">
      <alignment vertical="center"/>
    </xf>
    <xf numFmtId="166" fontId="2" fillId="5" borderId="1" xfId="1" quotePrefix="1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/>
    </xf>
    <xf numFmtId="166" fontId="14" fillId="5" borderId="1" xfId="1" applyNumberFormat="1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center"/>
    </xf>
    <xf numFmtId="0" fontId="5" fillId="12" borderId="0" xfId="0" applyFont="1" applyFill="1"/>
    <xf numFmtId="166" fontId="2" fillId="12" borderId="1" xfId="1" applyNumberFormat="1" applyFont="1" applyFill="1" applyBorder="1"/>
    <xf numFmtId="167" fontId="13" fillId="12" borderId="1" xfId="1" applyNumberFormat="1" applyFont="1" applyFill="1" applyBorder="1" applyAlignment="1"/>
    <xf numFmtId="166" fontId="2" fillId="2" borderId="1" xfId="1" applyNumberFormat="1" applyFont="1" applyFill="1" applyBorder="1"/>
    <xf numFmtId="164" fontId="9" fillId="2" borderId="1" xfId="0" applyNumberFormat="1" applyFont="1" applyFill="1" applyBorder="1" applyAlignment="1">
      <alignment horizontal="center" vertical="center"/>
    </xf>
    <xf numFmtId="166" fontId="12" fillId="2" borderId="1" xfId="1" quotePrefix="1" applyNumberFormat="1" applyFont="1" applyFill="1" applyBorder="1" applyAlignment="1">
      <alignment vertical="center"/>
    </xf>
    <xf numFmtId="166" fontId="14" fillId="2" borderId="1" xfId="1" quotePrefix="1" applyNumberFormat="1" applyFont="1" applyFill="1" applyBorder="1" applyAlignment="1">
      <alignment vertical="center"/>
    </xf>
    <xf numFmtId="166" fontId="13" fillId="2" borderId="1" xfId="1" quotePrefix="1" applyNumberFormat="1" applyFont="1" applyFill="1" applyBorder="1" applyAlignment="1">
      <alignment vertical="center"/>
    </xf>
    <xf numFmtId="3" fontId="2" fillId="12" borderId="0" xfId="0" applyNumberFormat="1" applyFont="1" applyFill="1"/>
    <xf numFmtId="166" fontId="15" fillId="7" borderId="1" xfId="1" applyNumberFormat="1" applyFont="1" applyFill="1" applyBorder="1"/>
    <xf numFmtId="166" fontId="9" fillId="7" borderId="0" xfId="1" applyNumberFormat="1" applyFont="1" applyFill="1"/>
    <xf numFmtId="165" fontId="9" fillId="2" borderId="1" xfId="0" quotePrefix="1" applyNumberFormat="1" applyFont="1" applyFill="1" applyBorder="1" applyAlignment="1">
      <alignment horizontal="center" vertical="center"/>
    </xf>
    <xf numFmtId="166" fontId="15" fillId="7" borderId="1" xfId="1" applyNumberFormat="1" applyFont="1" applyFill="1" applyBorder="1" applyAlignment="1">
      <alignment horizontal="center" vertical="center" wrapText="1"/>
    </xf>
    <xf numFmtId="166" fontId="9" fillId="4" borderId="0" xfId="1" applyNumberFormat="1" applyFont="1" applyFill="1" applyBorder="1" applyAlignment="1">
      <alignment horizontal="center" vertical="center"/>
    </xf>
    <xf numFmtId="166" fontId="9" fillId="7" borderId="0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/>
    <xf numFmtId="166" fontId="29" fillId="2" borderId="1" xfId="1" applyNumberFormat="1" applyFont="1" applyFill="1" applyBorder="1" applyAlignment="1">
      <alignment horizontal="left" vertical="center"/>
    </xf>
    <xf numFmtId="166" fontId="13" fillId="7" borderId="1" xfId="1" applyNumberFormat="1" applyFont="1" applyFill="1" applyBorder="1" applyAlignment="1">
      <alignment horizontal="center" vertical="center"/>
    </xf>
    <xf numFmtId="49" fontId="9" fillId="13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/>
    <xf numFmtId="166" fontId="2" fillId="2" borderId="1" xfId="1" applyNumberFormat="1" applyFont="1" applyFill="1" applyBorder="1" applyAlignment="1">
      <alignment horizontal="left" vertical="center"/>
    </xf>
    <xf numFmtId="166" fontId="30" fillId="5" borderId="1" xfId="1" quotePrefix="1" applyNumberFormat="1" applyFont="1" applyFill="1" applyBorder="1" applyAlignment="1">
      <alignment vertical="center"/>
    </xf>
    <xf numFmtId="167" fontId="6" fillId="5" borderId="1" xfId="1" applyNumberFormat="1" applyFont="1" applyFill="1" applyBorder="1" applyAlignment="1"/>
    <xf numFmtId="166" fontId="13" fillId="4" borderId="0" xfId="1" applyNumberFormat="1" applyFont="1" applyFill="1"/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13" fillId="7" borderId="1" xfId="1" applyNumberFormat="1" applyFont="1" applyFill="1" applyBorder="1" applyAlignment="1">
      <alignment horizontal="center" vertical="center" wrapText="1"/>
    </xf>
    <xf numFmtId="3" fontId="6" fillId="0" borderId="0" xfId="0" applyNumberFormat="1" applyFont="1"/>
    <xf numFmtId="166" fontId="6" fillId="2" borderId="1" xfId="1" applyNumberFormat="1" applyFont="1" applyFill="1" applyBorder="1" applyAlignment="1">
      <alignment horizontal="left" vertical="center"/>
    </xf>
    <xf numFmtId="166" fontId="31" fillId="12" borderId="1" xfId="1" applyNumberFormat="1" applyFont="1" applyFill="1" applyBorder="1" applyAlignment="1">
      <alignment horizontal="left" vertical="center"/>
    </xf>
    <xf numFmtId="166" fontId="12" fillId="4" borderId="1" xfId="1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/>
    <xf numFmtId="166" fontId="13" fillId="5" borderId="1" xfId="1" quotePrefix="1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6" fontId="32" fillId="0" borderId="1" xfId="0" applyNumberFormat="1" applyFont="1" applyBorder="1"/>
    <xf numFmtId="166" fontId="33" fillId="2" borderId="1" xfId="1" applyNumberFormat="1" applyFont="1" applyFill="1" applyBorder="1" applyAlignment="1">
      <alignment horizontal="left" vertical="center"/>
    </xf>
    <xf numFmtId="166" fontId="13" fillId="7" borderId="1" xfId="1" applyNumberFormat="1" applyFont="1" applyFill="1" applyBorder="1"/>
    <xf numFmtId="0" fontId="34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166" fontId="13" fillId="0" borderId="1" xfId="1" applyNumberFormat="1" applyFont="1" applyBorder="1"/>
    <xf numFmtId="166" fontId="12" fillId="0" borderId="1" xfId="1" applyNumberFormat="1" applyFont="1" applyBorder="1"/>
    <xf numFmtId="3" fontId="12" fillId="0" borderId="1" xfId="0" applyNumberFormat="1" applyFont="1" applyBorder="1"/>
    <xf numFmtId="0" fontId="35" fillId="4" borderId="1" xfId="0" applyFont="1" applyFill="1" applyBorder="1" applyAlignment="1">
      <alignment horizontal="center" vertical="center" wrapText="1"/>
    </xf>
    <xf numFmtId="166" fontId="15" fillId="7" borderId="0" xfId="1" applyNumberFormat="1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/>
    </xf>
    <xf numFmtId="166" fontId="9" fillId="4" borderId="1" xfId="1" applyNumberFormat="1" applyFont="1" applyFill="1" applyBorder="1"/>
    <xf numFmtId="166" fontId="6" fillId="0" borderId="0" xfId="1" applyNumberFormat="1" applyFont="1"/>
    <xf numFmtId="0" fontId="1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6">
    <cellStyle name="Comma" xfId="1" builtinId="3"/>
    <cellStyle name="Normal" xfId="0" builtinId="0"/>
    <cellStyle name="Normal 2" xfId="3" xr:uid="{D476A963-EF9D-4E72-A15D-B695E2A2439E}"/>
    <cellStyle name="Normal 2 10" xfId="5" xr:uid="{59398C8D-7B67-4177-9839-FB78AE211138}"/>
    <cellStyle name="Normal 2 22" xfId="4" xr:uid="{5F402863-EEE2-4636-AD3C-7B3129235B55}"/>
    <cellStyle name="Normal 76" xfId="2" xr:uid="{C43585E3-4330-4428-949D-E077F2C1B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7D13-AB07-4270-BCB0-E80163EC3418}">
  <dimension ref="A1:AF75"/>
  <sheetViews>
    <sheetView topLeftCell="A2" workbookViewId="0">
      <pane ySplit="4" topLeftCell="A8" activePane="bottomLeft" state="frozen"/>
      <selection activeCell="A2" sqref="A2"/>
      <selection pane="bottomLeft" activeCell="F33" sqref="F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42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43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46020</v>
      </c>
      <c r="D5" s="7">
        <v>46021</v>
      </c>
      <c r="E5" s="7">
        <v>46022</v>
      </c>
      <c r="F5" s="7">
        <v>46023</v>
      </c>
      <c r="G5" s="7">
        <v>46024</v>
      </c>
      <c r="H5" s="7">
        <v>46025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31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14000</v>
      </c>
      <c r="D8" s="117"/>
      <c r="E8" s="117">
        <v>14000</v>
      </c>
      <c r="F8" s="117"/>
      <c r="G8" s="117">
        <v>14000</v>
      </c>
      <c r="H8" s="117">
        <v>14000</v>
      </c>
      <c r="I8" s="10">
        <f t="shared" si="0"/>
        <v>56000</v>
      </c>
      <c r="J8" s="1"/>
      <c r="K8" s="11"/>
    </row>
    <row r="9" spans="1:18" s="12" customFormat="1" ht="21.75" customHeight="1" x14ac:dyDescent="0.25">
      <c r="A9" s="5"/>
      <c r="B9" s="13"/>
      <c r="C9" s="14">
        <v>14670</v>
      </c>
      <c r="D9" s="14"/>
      <c r="E9" s="14">
        <v>14620</v>
      </c>
      <c r="F9" s="14"/>
      <c r="G9" s="14">
        <v>14660</v>
      </c>
      <c r="H9" s="14"/>
      <c r="I9" s="15">
        <f t="shared" si="0"/>
        <v>43950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>
        <v>16000</v>
      </c>
      <c r="I10" s="20">
        <f t="shared" si="0"/>
        <v>16000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/>
      <c r="I12" s="20">
        <f t="shared" si="0"/>
        <v>17000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17030</v>
      </c>
      <c r="E13" s="23"/>
      <c r="F13" s="23"/>
      <c r="G13" s="23"/>
      <c r="H13" s="23"/>
      <c r="I13" s="15">
        <f t="shared" si="0"/>
        <v>17030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/>
      <c r="D14" s="121"/>
      <c r="E14" s="122"/>
      <c r="F14" s="122"/>
      <c r="G14" s="19">
        <v>16000</v>
      </c>
      <c r="H14" s="19"/>
      <c r="I14" s="20">
        <f t="shared" si="0"/>
        <v>16000</v>
      </c>
      <c r="J14" s="1"/>
      <c r="K14" s="11"/>
    </row>
    <row r="15" spans="1:18" s="12" customFormat="1" ht="22.15" customHeight="1" x14ac:dyDescent="0.25">
      <c r="A15" s="21"/>
      <c r="B15" s="22"/>
      <c r="C15" s="24"/>
      <c r="D15" s="23"/>
      <c r="E15" s="23"/>
      <c r="F15" s="23"/>
      <c r="G15" s="23">
        <v>16490</v>
      </c>
      <c r="H15" s="23"/>
      <c r="I15" s="15">
        <f t="shared" si="0"/>
        <v>16490</v>
      </c>
      <c r="J15" s="1"/>
      <c r="K15" s="11"/>
    </row>
    <row r="16" spans="1:18" s="1" customFormat="1" ht="22.15" customHeight="1" x14ac:dyDescent="0.25">
      <c r="A16" s="25" t="s">
        <v>8</v>
      </c>
      <c r="B16" s="26">
        <v>4</v>
      </c>
      <c r="C16" s="27">
        <v>147000</v>
      </c>
      <c r="D16" s="27">
        <v>158000</v>
      </c>
      <c r="E16" s="27">
        <v>72000</v>
      </c>
      <c r="F16" s="27"/>
      <c r="G16" s="27">
        <v>58000</v>
      </c>
      <c r="H16" s="27">
        <v>29000</v>
      </c>
      <c r="I16" s="20">
        <f t="shared" si="0"/>
        <v>464000</v>
      </c>
      <c r="K16" s="11"/>
    </row>
    <row r="17" spans="1:32" s="1" customFormat="1" ht="22.15" customHeight="1" x14ac:dyDescent="0.25">
      <c r="A17" s="28"/>
      <c r="B17" s="29"/>
      <c r="C17" s="24">
        <v>115420</v>
      </c>
      <c r="D17" s="24">
        <v>84630</v>
      </c>
      <c r="E17" s="30">
        <v>85770</v>
      </c>
      <c r="F17" s="30"/>
      <c r="G17" s="30">
        <v>57340</v>
      </c>
      <c r="H17" s="30"/>
      <c r="I17" s="15">
        <f t="shared" si="0"/>
        <v>343160</v>
      </c>
      <c r="K17" s="11"/>
    </row>
    <row r="18" spans="1:32" s="33" customFormat="1" ht="22.15" customHeight="1" x14ac:dyDescent="0.25">
      <c r="A18" s="25" t="s">
        <v>9</v>
      </c>
      <c r="B18" s="26">
        <v>4</v>
      </c>
      <c r="C18" s="27">
        <v>90000</v>
      </c>
      <c r="D18" s="27">
        <v>86000</v>
      </c>
      <c r="E18" s="27">
        <v>141000</v>
      </c>
      <c r="F18" s="27"/>
      <c r="G18" s="27">
        <v>58000</v>
      </c>
      <c r="H18" s="27">
        <v>32000</v>
      </c>
      <c r="I18" s="31">
        <f t="shared" si="0"/>
        <v>407000</v>
      </c>
      <c r="J18" s="32"/>
      <c r="K18" s="11"/>
    </row>
    <row r="19" spans="1:32" s="33" customFormat="1" ht="22.15" customHeight="1" x14ac:dyDescent="0.25">
      <c r="A19" s="28"/>
      <c r="B19" s="29"/>
      <c r="C19" s="24">
        <v>90030</v>
      </c>
      <c r="D19" s="24">
        <v>88400</v>
      </c>
      <c r="E19" s="30">
        <v>98930</v>
      </c>
      <c r="F19" s="30"/>
      <c r="G19" s="30">
        <v>84450</v>
      </c>
      <c r="H19" s="30"/>
      <c r="I19" s="15">
        <f t="shared" si="0"/>
        <v>361810</v>
      </c>
      <c r="J19" s="32"/>
      <c r="K19" s="11"/>
      <c r="L19" s="34"/>
      <c r="M19" s="35"/>
      <c r="N19" s="35"/>
      <c r="O19" s="35"/>
      <c r="P19" s="35"/>
      <c r="Q19" s="35"/>
      <c r="R19" s="35"/>
      <c r="S19" s="36"/>
      <c r="T19" s="35"/>
      <c r="U19" s="37"/>
      <c r="V19" s="35"/>
      <c r="W19" s="35"/>
      <c r="X19" s="37"/>
      <c r="Y19" s="35"/>
      <c r="Z19" s="35"/>
      <c r="AA19" s="35"/>
    </row>
    <row r="20" spans="1:32" s="1" customFormat="1" ht="22.15" hidden="1" customHeight="1" x14ac:dyDescent="0.35">
      <c r="A20" s="25" t="s">
        <v>7</v>
      </c>
      <c r="B20" s="26">
        <v>2.8</v>
      </c>
      <c r="C20" s="38"/>
      <c r="D20" s="38"/>
      <c r="E20" s="38"/>
      <c r="F20" s="38"/>
      <c r="G20" s="38"/>
      <c r="H20" s="38"/>
      <c r="I20" s="31">
        <f t="shared" si="0"/>
        <v>0</v>
      </c>
      <c r="J20" s="32"/>
      <c r="K20" s="11"/>
      <c r="L20" s="4"/>
      <c r="M20" s="180" t="s">
        <v>10</v>
      </c>
      <c r="N20" s="180"/>
      <c r="P20" s="4"/>
      <c r="X20" s="4"/>
      <c r="Y20" s="4"/>
      <c r="Z20" s="4"/>
      <c r="AA20" s="4"/>
    </row>
    <row r="21" spans="1:32" s="1" customFormat="1" ht="22.15" hidden="1" customHeight="1" x14ac:dyDescent="0.35">
      <c r="A21" s="39"/>
      <c r="B21" s="40"/>
      <c r="C21" s="24"/>
      <c r="D21" s="24"/>
      <c r="E21" s="30"/>
      <c r="F21" s="30"/>
      <c r="G21" s="30"/>
      <c r="H21" s="30"/>
      <c r="I21" s="15">
        <f t="shared" si="0"/>
        <v>0</v>
      </c>
      <c r="J21" s="32"/>
      <c r="K21" s="11"/>
      <c r="L21" s="4"/>
      <c r="M21" s="180"/>
      <c r="N21" s="180"/>
      <c r="P21" s="4"/>
      <c r="X21" s="4"/>
      <c r="Y21" s="4"/>
      <c r="Z21" s="4"/>
      <c r="AA21" s="4"/>
    </row>
    <row r="22" spans="1:32" ht="24.75" hidden="1" customHeight="1" x14ac:dyDescent="0.35">
      <c r="A22" s="25" t="s">
        <v>11</v>
      </c>
      <c r="B22" s="26">
        <v>4</v>
      </c>
      <c r="C22" s="41"/>
      <c r="D22" s="41"/>
      <c r="E22" s="41"/>
      <c r="F22" s="41"/>
      <c r="G22" s="41"/>
      <c r="H22" s="41"/>
      <c r="I22" s="31">
        <f t="shared" si="0"/>
        <v>0</v>
      </c>
      <c r="J22" s="42"/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2" ht="24.75" hidden="1" customHeight="1" x14ac:dyDescent="0.35">
      <c r="A23" s="39"/>
      <c r="B23" s="40"/>
      <c r="C23" s="24"/>
      <c r="D23" s="24"/>
      <c r="E23" s="30"/>
      <c r="F23" s="30"/>
      <c r="G23" s="30"/>
      <c r="H23" s="30"/>
      <c r="I23" s="15">
        <f t="shared" si="0"/>
        <v>0</v>
      </c>
      <c r="J23" s="42"/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2" ht="24.75" hidden="1" customHeight="1" x14ac:dyDescent="0.35">
      <c r="A24" s="25" t="s">
        <v>12</v>
      </c>
      <c r="B24" s="26">
        <v>4</v>
      </c>
      <c r="C24" s="43"/>
      <c r="D24" s="43"/>
      <c r="E24" s="44"/>
      <c r="F24" s="43"/>
      <c r="G24" s="43"/>
      <c r="H24" s="43"/>
      <c r="I24" s="31">
        <f t="shared" si="0"/>
        <v>0</v>
      </c>
      <c r="J24" s="42"/>
      <c r="K24" s="4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6"/>
      <c r="AC24" s="46"/>
      <c r="AD24" s="46"/>
      <c r="AE24" s="46"/>
      <c r="AF24" s="46"/>
    </row>
    <row r="25" spans="1:32" ht="24.75" hidden="1" customHeight="1" x14ac:dyDescent="0.35">
      <c r="A25" s="47"/>
      <c r="B25" s="48"/>
      <c r="C25" s="24"/>
      <c r="D25" s="24"/>
      <c r="E25" s="30"/>
      <c r="F25" s="30"/>
      <c r="G25" s="30"/>
      <c r="H25" s="30"/>
      <c r="I25" s="15">
        <f t="shared" si="0"/>
        <v>0</v>
      </c>
      <c r="J25" s="42"/>
      <c r="K25" s="4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6"/>
      <c r="AC25" s="46"/>
      <c r="AD25" s="46"/>
      <c r="AE25" s="46"/>
      <c r="AF25" s="46"/>
    </row>
    <row r="26" spans="1:32" s="4" customFormat="1" ht="21.75" customHeight="1" x14ac:dyDescent="0.35">
      <c r="A26" s="25" t="s">
        <v>13</v>
      </c>
      <c r="B26" s="26">
        <v>4</v>
      </c>
      <c r="C26" s="27">
        <v>399000</v>
      </c>
      <c r="D26" s="27">
        <v>308000</v>
      </c>
      <c r="E26" s="27">
        <v>329000</v>
      </c>
      <c r="F26" s="27"/>
      <c r="G26" s="27">
        <v>306000</v>
      </c>
      <c r="H26" s="27">
        <v>120000</v>
      </c>
      <c r="I26" s="31">
        <f t="shared" si="0"/>
        <v>1462000</v>
      </c>
      <c r="J26" s="1"/>
    </row>
    <row r="27" spans="1:32" s="4" customFormat="1" ht="21.75" customHeight="1" x14ac:dyDescent="0.35">
      <c r="A27" s="39"/>
      <c r="B27" s="40"/>
      <c r="C27" s="24">
        <v>192390</v>
      </c>
      <c r="D27" s="24">
        <v>257750</v>
      </c>
      <c r="E27" s="30">
        <v>194000</v>
      </c>
      <c r="F27" s="30"/>
      <c r="G27" s="30">
        <v>255000</v>
      </c>
      <c r="H27" s="30"/>
      <c r="I27" s="15">
        <f t="shared" si="0"/>
        <v>899140</v>
      </c>
    </row>
    <row r="28" spans="1:32" s="4" customFormat="1" ht="21" customHeight="1" x14ac:dyDescent="0.35">
      <c r="A28" s="25" t="s">
        <v>14</v>
      </c>
      <c r="B28" s="26">
        <v>4</v>
      </c>
      <c r="C28" s="27">
        <v>60000</v>
      </c>
      <c r="D28" s="27">
        <v>46000</v>
      </c>
      <c r="E28" s="27">
        <v>60000</v>
      </c>
      <c r="F28" s="27"/>
      <c r="G28" s="27">
        <v>45000</v>
      </c>
      <c r="H28" s="27">
        <v>28000</v>
      </c>
      <c r="I28" s="31">
        <f t="shared" si="0"/>
        <v>239000</v>
      </c>
    </row>
    <row r="29" spans="1:32" s="4" customFormat="1" ht="20.45" customHeight="1" x14ac:dyDescent="0.35">
      <c r="A29" s="49"/>
      <c r="B29" s="50"/>
      <c r="C29" s="51"/>
      <c r="D29" s="51">
        <v>47660</v>
      </c>
      <c r="E29" s="51">
        <v>72290</v>
      </c>
      <c r="F29" s="52"/>
      <c r="G29" s="51">
        <v>29880</v>
      </c>
      <c r="H29" s="51"/>
      <c r="I29" s="15">
        <f t="shared" si="0"/>
        <v>149830</v>
      </c>
    </row>
    <row r="30" spans="1:32" s="4" customFormat="1" ht="20.45" hidden="1" customHeight="1" x14ac:dyDescent="0.35">
      <c r="A30" s="53" t="s">
        <v>15</v>
      </c>
      <c r="B30" s="54">
        <v>4</v>
      </c>
      <c r="C30" s="55"/>
      <c r="D30" s="55"/>
      <c r="E30" s="55"/>
      <c r="F30" s="55"/>
      <c r="G30" s="55"/>
      <c r="H30" s="55"/>
      <c r="I30" s="31">
        <f t="shared" si="0"/>
        <v>0</v>
      </c>
    </row>
    <row r="31" spans="1:32" s="4" customFormat="1" ht="20.45" hidden="1" customHeight="1" x14ac:dyDescent="0.35">
      <c r="A31" s="49"/>
      <c r="B31" s="50"/>
      <c r="C31" s="51"/>
      <c r="D31" s="51"/>
      <c r="E31" s="51"/>
      <c r="F31" s="52"/>
      <c r="G31" s="51"/>
      <c r="H31" s="51"/>
      <c r="I31" s="15">
        <f t="shared" si="0"/>
        <v>0</v>
      </c>
    </row>
    <row r="32" spans="1:32" s="4" customFormat="1" ht="19.149999999999999" customHeight="1" x14ac:dyDescent="0.35">
      <c r="A32" s="56" t="s">
        <v>16</v>
      </c>
      <c r="B32" s="57"/>
      <c r="C32" s="58">
        <f>(C12+C16+C18+C26+C28)/15000</f>
        <v>46.4</v>
      </c>
      <c r="D32" s="58">
        <f t="shared" ref="D32:H32" si="1">(D12+D16+D18+D26+D28)/15000</f>
        <v>41</v>
      </c>
      <c r="E32" s="58">
        <f t="shared" si="1"/>
        <v>40.133333333333333</v>
      </c>
      <c r="F32" s="58">
        <f t="shared" si="1"/>
        <v>0</v>
      </c>
      <c r="G32" s="58">
        <f t="shared" si="1"/>
        <v>31.133333333333333</v>
      </c>
      <c r="H32" s="58">
        <f t="shared" si="1"/>
        <v>13.933333333333334</v>
      </c>
      <c r="I32" s="59"/>
    </row>
    <row r="33" spans="1:27" s="4" customFormat="1" ht="20.45" customHeight="1" x14ac:dyDescent="0.35">
      <c r="A33" s="17" t="s">
        <v>17</v>
      </c>
      <c r="B33" s="60">
        <v>4</v>
      </c>
      <c r="C33" s="61">
        <v>14000</v>
      </c>
      <c r="D33" s="61">
        <v>14000</v>
      </c>
      <c r="E33" s="61">
        <v>14000</v>
      </c>
      <c r="F33" s="61"/>
      <c r="G33" s="61">
        <v>14000</v>
      </c>
      <c r="H33" s="61">
        <v>14000</v>
      </c>
      <c r="I33" s="62">
        <f t="shared" ref="I33:I53" si="2">SUM(C33:H33)</f>
        <v>70000</v>
      </c>
    </row>
    <row r="34" spans="1:27" s="4" customFormat="1" ht="21" hidden="1" customHeight="1" x14ac:dyDescent="0.35">
      <c r="A34" s="17" t="s">
        <v>18</v>
      </c>
      <c r="B34" s="63">
        <v>2.5</v>
      </c>
      <c r="C34" s="64"/>
      <c r="D34" s="64"/>
      <c r="E34" s="64"/>
      <c r="F34" s="64"/>
      <c r="G34" s="64"/>
      <c r="H34" s="64"/>
      <c r="I34" s="62">
        <f t="shared" si="2"/>
        <v>0</v>
      </c>
    </row>
    <row r="35" spans="1:27" s="4" customFormat="1" ht="23.25" customHeight="1" x14ac:dyDescent="0.35">
      <c r="A35" s="65">
        <v>502</v>
      </c>
      <c r="B35" s="66" t="s">
        <v>19</v>
      </c>
      <c r="C35" s="64"/>
      <c r="D35" s="64">
        <v>14000</v>
      </c>
      <c r="E35" s="64"/>
      <c r="F35" s="64"/>
      <c r="G35" s="64">
        <v>14000</v>
      </c>
      <c r="H35" s="64"/>
      <c r="I35" s="62">
        <f t="shared" si="2"/>
        <v>28000</v>
      </c>
    </row>
    <row r="36" spans="1:27" s="4" customFormat="1" ht="23.25" hidden="1" customHeight="1" x14ac:dyDescent="0.35">
      <c r="A36" s="67" t="s">
        <v>20</v>
      </c>
      <c r="B36" s="68">
        <v>2.5</v>
      </c>
      <c r="C36" s="64"/>
      <c r="D36" s="64"/>
      <c r="E36" s="69"/>
      <c r="F36" s="64"/>
      <c r="G36" s="64"/>
      <c r="H36" s="64"/>
      <c r="I36" s="62">
        <f t="shared" si="2"/>
        <v>0</v>
      </c>
    </row>
    <row r="37" spans="1:27" s="4" customFormat="1" ht="20.25" hidden="1" customHeight="1" x14ac:dyDescent="0.35">
      <c r="A37" s="67" t="s">
        <v>21</v>
      </c>
      <c r="B37" s="68">
        <v>3.5</v>
      </c>
      <c r="C37" s="64"/>
      <c r="D37" s="64"/>
      <c r="E37" s="64"/>
      <c r="F37" s="64"/>
      <c r="G37" s="64"/>
      <c r="H37" s="64"/>
      <c r="I37" s="62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t="20.25" hidden="1" customHeight="1" x14ac:dyDescent="0.35">
      <c r="A38" s="67" t="s">
        <v>22</v>
      </c>
      <c r="B38" s="68">
        <v>3.5</v>
      </c>
      <c r="C38" s="64"/>
      <c r="D38" s="64"/>
      <c r="E38" s="64"/>
      <c r="F38" s="64"/>
      <c r="G38" s="64"/>
      <c r="H38" s="64"/>
      <c r="I38" s="62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70" t="s">
        <v>23</v>
      </c>
      <c r="B39" s="71">
        <v>2.5</v>
      </c>
      <c r="C39" s="72">
        <v>14000</v>
      </c>
      <c r="D39" s="73"/>
      <c r="E39" s="74">
        <v>49000</v>
      </c>
      <c r="F39" s="72"/>
      <c r="G39" s="72">
        <v>14000</v>
      </c>
      <c r="H39" s="72"/>
      <c r="I39" s="62">
        <f t="shared" si="2"/>
        <v>77000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78" customFormat="1" ht="20.25" customHeight="1" x14ac:dyDescent="0.35">
      <c r="A40" s="17" t="s">
        <v>24</v>
      </c>
      <c r="B40" s="71">
        <v>2.8</v>
      </c>
      <c r="C40" s="75">
        <v>13000</v>
      </c>
      <c r="D40" s="76"/>
      <c r="E40" s="77"/>
      <c r="F40" s="75"/>
      <c r="G40" s="75"/>
      <c r="H40" s="75"/>
      <c r="I40" s="62">
        <f t="shared" si="2"/>
        <v>13000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s="4" customFormat="1" ht="18.75" customHeight="1" x14ac:dyDescent="0.35">
      <c r="A41" s="70" t="s">
        <v>25</v>
      </c>
      <c r="B41" s="71">
        <v>2.8</v>
      </c>
      <c r="C41" s="64">
        <v>4000</v>
      </c>
      <c r="D41" s="64"/>
      <c r="E41" s="80"/>
      <c r="F41" s="72"/>
      <c r="G41" s="72"/>
      <c r="H41" s="64"/>
      <c r="I41" s="62">
        <f t="shared" si="2"/>
        <v>4000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26</v>
      </c>
      <c r="B42" s="71">
        <v>2.8</v>
      </c>
      <c r="C42" s="64">
        <v>5000</v>
      </c>
      <c r="D42" s="81"/>
      <c r="E42" s="80">
        <v>7000</v>
      </c>
      <c r="F42" s="64"/>
      <c r="G42" s="72"/>
      <c r="H42" s="64">
        <v>11000</v>
      </c>
      <c r="I42" s="62">
        <f t="shared" si="2"/>
        <v>23000</v>
      </c>
      <c r="J42" s="84"/>
      <c r="K42" s="1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hidden="1" customHeight="1" x14ac:dyDescent="0.35">
      <c r="A43" s="70" t="s">
        <v>25</v>
      </c>
      <c r="B43" s="71">
        <v>2.8</v>
      </c>
      <c r="C43" s="72"/>
      <c r="D43" s="72"/>
      <c r="E43" s="80"/>
      <c r="F43" s="72"/>
      <c r="G43" s="72"/>
      <c r="H43" s="72"/>
      <c r="I43" s="62">
        <f t="shared" si="2"/>
        <v>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4" customFormat="1" ht="18.75" customHeight="1" x14ac:dyDescent="0.35">
      <c r="A44" s="70" t="s">
        <v>28</v>
      </c>
      <c r="B44" s="71">
        <v>2.8</v>
      </c>
      <c r="C44" s="64">
        <v>10000</v>
      </c>
      <c r="D44" s="64">
        <v>20000</v>
      </c>
      <c r="E44" s="82">
        <v>19000</v>
      </c>
      <c r="F44" s="64"/>
      <c r="G44" s="64"/>
      <c r="H44" s="64">
        <v>13000</v>
      </c>
      <c r="I44" s="62">
        <f t="shared" si="2"/>
        <v>62000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85">
        <v>552</v>
      </c>
      <c r="B45" s="63">
        <v>4</v>
      </c>
      <c r="C45" s="72">
        <v>24000</v>
      </c>
      <c r="D45" s="64"/>
      <c r="E45" s="82">
        <v>5000</v>
      </c>
      <c r="F45" s="86"/>
      <c r="G45" s="72">
        <v>19000</v>
      </c>
      <c r="H45" s="64">
        <v>5000</v>
      </c>
      <c r="I45" s="62">
        <f t="shared" si="2"/>
        <v>53000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3.25" hidden="1" customHeight="1" x14ac:dyDescent="0.3">
      <c r="A46" s="70">
        <v>553</v>
      </c>
      <c r="B46" s="71">
        <v>2.8</v>
      </c>
      <c r="C46" s="64"/>
      <c r="D46" s="64"/>
      <c r="E46" s="80"/>
      <c r="F46" s="83"/>
      <c r="G46" s="64"/>
      <c r="H46" s="64"/>
      <c r="I46" s="62">
        <f t="shared" si="2"/>
        <v>0</v>
      </c>
    </row>
    <row r="47" spans="1:27" s="1" customFormat="1" ht="21" customHeight="1" x14ac:dyDescent="0.3">
      <c r="A47" s="70" t="s">
        <v>29</v>
      </c>
      <c r="B47" s="71">
        <v>4</v>
      </c>
      <c r="C47" s="64">
        <v>10000</v>
      </c>
      <c r="D47" s="72"/>
      <c r="E47" s="82"/>
      <c r="F47" s="64"/>
      <c r="G47" s="64">
        <v>4000</v>
      </c>
      <c r="H47" s="64"/>
      <c r="I47" s="62">
        <f t="shared" si="2"/>
        <v>14000</v>
      </c>
      <c r="L47" s="87"/>
      <c r="M47" s="87"/>
      <c r="N47" s="87"/>
      <c r="O47" s="87"/>
      <c r="P47" s="87"/>
      <c r="Q47" s="87"/>
      <c r="R47" s="87"/>
      <c r="S47" s="3"/>
      <c r="T47" s="3"/>
      <c r="U47" s="3"/>
      <c r="V47" s="3"/>
      <c r="W47" s="3"/>
      <c r="X47" s="3"/>
      <c r="Y47" s="3"/>
      <c r="Z47" s="3"/>
      <c r="AA47" s="3"/>
    </row>
    <row r="48" spans="1:27" s="1" customFormat="1" ht="21" hidden="1" customHeight="1" x14ac:dyDescent="0.3">
      <c r="A48" s="17" t="s">
        <v>30</v>
      </c>
      <c r="B48" s="71">
        <v>4</v>
      </c>
      <c r="C48" s="64"/>
      <c r="D48" s="64"/>
      <c r="E48" s="82"/>
      <c r="F48" s="64"/>
      <c r="G48" s="64"/>
      <c r="H48" s="64"/>
      <c r="I48" s="62">
        <f t="shared" si="2"/>
        <v>0</v>
      </c>
      <c r="L48" s="87"/>
      <c r="M48" s="87"/>
      <c r="N48" s="87"/>
      <c r="O48" s="87"/>
      <c r="P48" s="87"/>
      <c r="Q48" s="87"/>
      <c r="R48" s="87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x14ac:dyDescent="0.3">
      <c r="A49" s="70" t="s">
        <v>31</v>
      </c>
      <c r="B49" s="71">
        <v>4</v>
      </c>
      <c r="C49" s="72"/>
      <c r="D49" s="72"/>
      <c r="E49" s="72"/>
      <c r="F49" s="72"/>
      <c r="G49" s="64"/>
      <c r="H49" s="72"/>
      <c r="I49" s="62">
        <f t="shared" si="2"/>
        <v>0</v>
      </c>
      <c r="L49" s="87"/>
      <c r="M49" s="87"/>
      <c r="N49" s="87"/>
      <c r="O49" s="87"/>
      <c r="P49" s="87"/>
      <c r="Q49" s="87"/>
      <c r="R49" s="87"/>
    </row>
    <row r="50" spans="1:27" ht="23.25" customHeight="1" x14ac:dyDescent="0.3">
      <c r="A50" s="70" t="s">
        <v>32</v>
      </c>
      <c r="B50" s="71">
        <v>4</v>
      </c>
      <c r="C50" s="64">
        <v>4000</v>
      </c>
      <c r="D50" s="64">
        <v>3000</v>
      </c>
      <c r="E50" s="64">
        <v>11000</v>
      </c>
      <c r="F50" s="83"/>
      <c r="G50" s="64">
        <v>8000</v>
      </c>
      <c r="H50" s="83"/>
      <c r="I50" s="62">
        <f t="shared" si="2"/>
        <v>26000</v>
      </c>
      <c r="L50" s="87"/>
      <c r="M50" s="87"/>
      <c r="N50" s="87"/>
      <c r="O50" s="87"/>
      <c r="P50" s="87"/>
      <c r="Q50" s="87"/>
      <c r="R50" s="87"/>
    </row>
    <row r="51" spans="1:27" ht="23.25" hidden="1" customHeight="1" x14ac:dyDescent="0.3">
      <c r="A51" s="17" t="s">
        <v>33</v>
      </c>
      <c r="B51" s="71">
        <v>4</v>
      </c>
      <c r="C51" s="64"/>
      <c r="D51" s="64"/>
      <c r="E51" s="64"/>
      <c r="F51" s="64"/>
      <c r="G51" s="64"/>
      <c r="H51" s="64"/>
      <c r="I51" s="62">
        <f t="shared" si="2"/>
        <v>0</v>
      </c>
      <c r="L51" s="87"/>
      <c r="M51" s="87"/>
      <c r="N51" s="87"/>
      <c r="O51" s="87"/>
      <c r="P51" s="87"/>
      <c r="Q51" s="87"/>
      <c r="R51" s="87"/>
    </row>
    <row r="52" spans="1:27" ht="23.25" hidden="1" customHeight="1" x14ac:dyDescent="0.3">
      <c r="A52" s="17" t="s">
        <v>34</v>
      </c>
      <c r="B52" s="71">
        <v>4</v>
      </c>
      <c r="C52" s="64"/>
      <c r="D52" s="64"/>
      <c r="E52" s="64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</row>
    <row r="53" spans="1:27" ht="22.5" customHeight="1" x14ac:dyDescent="0.3">
      <c r="A53" s="70" t="s">
        <v>35</v>
      </c>
      <c r="B53" s="71">
        <v>4</v>
      </c>
      <c r="C53" s="64">
        <v>2000</v>
      </c>
      <c r="D53" s="64"/>
      <c r="E53" s="64">
        <v>4000</v>
      </c>
      <c r="F53" s="83"/>
      <c r="G53" s="64">
        <v>8000</v>
      </c>
      <c r="H53" s="83"/>
      <c r="I53" s="62">
        <f t="shared" si="2"/>
        <v>14000</v>
      </c>
      <c r="L53" s="87"/>
      <c r="M53" s="87"/>
      <c r="N53" s="87"/>
      <c r="O53" s="87"/>
      <c r="P53" s="87"/>
      <c r="Q53" s="87"/>
      <c r="R53" s="87"/>
    </row>
    <row r="54" spans="1:27" s="4" customFormat="1" ht="19.149999999999999" customHeight="1" x14ac:dyDescent="0.35">
      <c r="A54" s="88" t="s">
        <v>36</v>
      </c>
      <c r="B54" s="89"/>
      <c r="C54" s="90">
        <v>3</v>
      </c>
      <c r="D54" s="90">
        <v>3</v>
      </c>
      <c r="E54" s="90">
        <v>5</v>
      </c>
      <c r="F54" s="91">
        <v>3</v>
      </c>
      <c r="G54" s="90">
        <v>4</v>
      </c>
      <c r="H54" s="90">
        <v>1</v>
      </c>
      <c r="I54" s="92"/>
    </row>
    <row r="55" spans="1:27" ht="24.75" customHeight="1" x14ac:dyDescent="0.25">
      <c r="A55" s="93" t="s">
        <v>37</v>
      </c>
      <c r="B55" s="94"/>
      <c r="C55" s="95">
        <f>C54+C32</f>
        <v>49.4</v>
      </c>
      <c r="D55" s="95">
        <f>D54+D32</f>
        <v>44</v>
      </c>
      <c r="E55" s="95">
        <f>E54+E32</f>
        <v>45.133333333333333</v>
      </c>
      <c r="F55" s="95">
        <f>F54+F32</f>
        <v>3</v>
      </c>
      <c r="G55" s="95">
        <f>G54+G32</f>
        <v>35.133333333333333</v>
      </c>
      <c r="H55" s="95"/>
      <c r="I55" s="96"/>
      <c r="L55" s="87"/>
      <c r="M55" s="87"/>
      <c r="N55" s="87"/>
      <c r="O55" s="87"/>
      <c r="P55" s="87"/>
      <c r="Q55" s="87"/>
      <c r="R55" s="87"/>
    </row>
    <row r="56" spans="1:27" s="1" customFormat="1" ht="25.5" x14ac:dyDescent="0.35">
      <c r="A56" s="97"/>
      <c r="B56" s="98"/>
      <c r="C56" s="99" t="s">
        <v>38</v>
      </c>
      <c r="D56" s="100"/>
      <c r="E56" s="33" t="s">
        <v>39</v>
      </c>
      <c r="F56" s="4"/>
      <c r="G56" s="4"/>
      <c r="H56" s="4"/>
      <c r="I56" s="3"/>
      <c r="L56" s="87"/>
      <c r="M56" s="87"/>
      <c r="N56" s="87"/>
      <c r="O56" s="87"/>
      <c r="P56" s="87"/>
      <c r="Q56" s="87"/>
      <c r="R56" s="87"/>
      <c r="S56" s="3"/>
      <c r="T56" s="3"/>
      <c r="U56" s="3"/>
      <c r="V56" s="3"/>
      <c r="W56" s="3"/>
      <c r="X56" s="3"/>
      <c r="Y56" s="3"/>
      <c r="Z56" s="3"/>
      <c r="AA56" s="3"/>
    </row>
    <row r="57" spans="1:27" ht="25.5" x14ac:dyDescent="0.35">
      <c r="A57" s="101"/>
      <c r="B57" s="102"/>
      <c r="C57" s="103" t="s">
        <v>40</v>
      </c>
      <c r="D57" s="104"/>
      <c r="E57" s="105" t="s">
        <v>41</v>
      </c>
      <c r="F57" s="4"/>
      <c r="G57" s="4"/>
      <c r="H57" s="4"/>
      <c r="J57" s="87"/>
      <c r="K57" s="87"/>
      <c r="L57" s="106"/>
      <c r="M57" s="106"/>
      <c r="N57" s="106"/>
      <c r="O57" s="106"/>
      <c r="P57" s="106"/>
      <c r="Q57" s="106"/>
      <c r="R57" s="106"/>
    </row>
    <row r="58" spans="1:27" ht="20.25" x14ac:dyDescent="0.25">
      <c r="A58" s="107"/>
      <c r="B58" s="108"/>
      <c r="C58" s="107"/>
      <c r="D58" s="107"/>
      <c r="E58" s="107"/>
      <c r="F58" s="109"/>
      <c r="G58" s="110"/>
      <c r="H58" s="110"/>
      <c r="I58" s="1"/>
      <c r="J58" s="87"/>
      <c r="K58" s="87"/>
      <c r="L58" s="111"/>
      <c r="M58" s="111"/>
      <c r="N58" s="111"/>
      <c r="O58" s="111"/>
      <c r="P58" s="111"/>
      <c r="Q58" s="111"/>
      <c r="R58" s="111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4"/>
      <c r="M59" s="114"/>
      <c r="N59" s="114"/>
      <c r="O59" s="114"/>
      <c r="P59" s="114"/>
      <c r="Q59" s="114"/>
      <c r="R59" s="114"/>
    </row>
    <row r="60" spans="1:27" x14ac:dyDescent="0.25">
      <c r="A60" s="112"/>
      <c r="B60" s="113"/>
      <c r="C60" s="112"/>
      <c r="D60" s="112"/>
      <c r="E60" s="112"/>
      <c r="F60" s="112"/>
      <c r="G60" s="87"/>
      <c r="H60" s="87"/>
      <c r="I60" s="87"/>
      <c r="J60" s="87"/>
      <c r="K60" s="87"/>
      <c r="L60" s="114"/>
      <c r="M60" s="114"/>
      <c r="N60" s="114"/>
      <c r="O60" s="114"/>
      <c r="P60" s="114"/>
      <c r="Q60" s="114"/>
      <c r="R60" s="114"/>
    </row>
    <row r="61" spans="1:27" x14ac:dyDescent="0.25">
      <c r="A61" s="112"/>
      <c r="B61" s="113"/>
      <c r="C61" s="112"/>
      <c r="D61" s="112"/>
      <c r="E61" s="112"/>
      <c r="F61" s="112"/>
      <c r="G61" s="87"/>
      <c r="H61" s="87"/>
      <c r="I61" s="87"/>
      <c r="J61" s="87"/>
      <c r="K61" s="87"/>
      <c r="L61" s="110"/>
      <c r="M61" s="110"/>
      <c r="N61" s="110"/>
      <c r="O61" s="110"/>
      <c r="P61" s="110"/>
      <c r="Q61" s="110"/>
      <c r="R61" s="110"/>
    </row>
    <row r="62" spans="1:27" x14ac:dyDescent="0.25"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27" ht="25.5" x14ac:dyDescent="0.35">
      <c r="A63" s="1"/>
      <c r="B63" s="2"/>
      <c r="C63" s="1"/>
      <c r="D63" s="1"/>
      <c r="E63" s="1"/>
      <c r="F63" s="1"/>
      <c r="G63" s="87"/>
      <c r="H63" s="87"/>
      <c r="I63" s="87"/>
      <c r="J63" s="106"/>
      <c r="K63" s="106"/>
      <c r="L63" s="110"/>
      <c r="M63" s="110"/>
      <c r="N63" s="110"/>
      <c r="O63" s="110"/>
      <c r="P63" s="110"/>
      <c r="Q63" s="110"/>
      <c r="R63" s="110"/>
    </row>
    <row r="64" spans="1:27" x14ac:dyDescent="0.25">
      <c r="A64" s="1"/>
      <c r="B64" s="2"/>
      <c r="C64" s="1"/>
      <c r="D64" s="1"/>
      <c r="E64" s="1"/>
      <c r="F64" s="1"/>
      <c r="G64" s="87"/>
      <c r="H64" s="87"/>
      <c r="I64" s="87"/>
      <c r="J64" s="111"/>
      <c r="K64" s="111"/>
      <c r="L64" s="110"/>
      <c r="M64" s="110"/>
      <c r="N64" s="110"/>
      <c r="O64" s="110"/>
      <c r="P64" s="110"/>
      <c r="Q64" s="110"/>
      <c r="R64" s="110"/>
    </row>
    <row r="65" spans="1:18" ht="25.5" x14ac:dyDescent="0.35">
      <c r="A65" s="181"/>
      <c r="B65" s="181"/>
      <c r="C65" s="181"/>
      <c r="D65" s="181"/>
      <c r="E65" s="181"/>
      <c r="F65" s="181"/>
      <c r="G65" s="106"/>
      <c r="H65" s="106"/>
      <c r="I65" s="106"/>
      <c r="J65" s="114"/>
      <c r="K65" s="114"/>
      <c r="L65" s="87"/>
      <c r="M65" s="87"/>
      <c r="N65" s="87"/>
      <c r="O65" s="87"/>
      <c r="P65" s="87"/>
      <c r="Q65" s="87"/>
      <c r="R65" s="87"/>
    </row>
    <row r="66" spans="1:18" x14ac:dyDescent="0.25">
      <c r="A66" s="111"/>
      <c r="B66" s="113"/>
      <c r="C66" s="111"/>
      <c r="D66" s="111"/>
      <c r="E66" s="111"/>
      <c r="F66" s="111"/>
      <c r="G66" s="111"/>
      <c r="H66" s="111"/>
      <c r="I66" s="111"/>
      <c r="J66" s="114"/>
      <c r="K66" s="114"/>
      <c r="L66" s="87"/>
      <c r="M66" s="87"/>
      <c r="N66" s="87"/>
      <c r="O66" s="87"/>
      <c r="P66" s="87"/>
      <c r="Q66" s="87"/>
      <c r="R66" s="87"/>
    </row>
    <row r="67" spans="1:18" x14ac:dyDescent="0.25">
      <c r="A67" s="182"/>
      <c r="B67" s="116"/>
      <c r="C67" s="114"/>
      <c r="D67" s="114"/>
      <c r="E67" s="114"/>
      <c r="F67" s="114"/>
      <c r="G67" s="114"/>
      <c r="H67" s="114"/>
      <c r="I67" s="114"/>
      <c r="J67" s="110"/>
      <c r="K67" s="110"/>
      <c r="L67" s="87"/>
      <c r="M67" s="87"/>
      <c r="N67" s="87"/>
      <c r="O67" s="87"/>
      <c r="P67" s="87"/>
      <c r="Q67" s="87"/>
      <c r="R67" s="87"/>
    </row>
    <row r="68" spans="1:18" x14ac:dyDescent="0.25">
      <c r="A68" s="182"/>
      <c r="B68" s="116"/>
      <c r="C68" s="114"/>
      <c r="D68" s="114"/>
      <c r="E68" s="114"/>
      <c r="F68" s="114"/>
      <c r="G68" s="114"/>
      <c r="H68" s="114"/>
      <c r="I68" s="114"/>
      <c r="J68" s="87"/>
      <c r="K68" s="87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110"/>
      <c r="K69" s="110"/>
    </row>
    <row r="70" spans="1:18" x14ac:dyDescent="0.25">
      <c r="A70" s="112"/>
      <c r="B70" s="113"/>
      <c r="C70" s="112"/>
      <c r="D70" s="112"/>
      <c r="E70" s="112"/>
      <c r="F70" s="112"/>
      <c r="G70" s="87"/>
      <c r="H70" s="87"/>
      <c r="I70" s="87"/>
      <c r="J70" s="110"/>
      <c r="K70" s="110"/>
    </row>
    <row r="71" spans="1:18" x14ac:dyDescent="0.25">
      <c r="A71" s="112"/>
      <c r="B71" s="113"/>
      <c r="C71" s="112"/>
      <c r="D71" s="112"/>
      <c r="E71" s="112"/>
      <c r="F71" s="112"/>
      <c r="G71" s="110"/>
      <c r="H71" s="110"/>
      <c r="I71" s="110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0"/>
      <c r="H72" s="110"/>
      <c r="I72" s="110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87"/>
      <c r="H73" s="87"/>
      <c r="I73" s="87"/>
      <c r="J73" s="87"/>
      <c r="K73" s="87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</row>
    <row r="75" spans="1:18" x14ac:dyDescent="0.25">
      <c r="A75" s="1"/>
      <c r="B75" s="2"/>
      <c r="C75" s="1"/>
      <c r="D75" s="1"/>
      <c r="E75" s="1"/>
      <c r="F75" s="1"/>
      <c r="G75" s="87"/>
      <c r="H75" s="87"/>
      <c r="I75" s="87"/>
    </row>
  </sheetData>
  <mergeCells count="6">
    <mergeCell ref="A67:A68"/>
    <mergeCell ref="A2:I2"/>
    <mergeCell ref="A3:R3"/>
    <mergeCell ref="A4:R4"/>
    <mergeCell ref="M20:N21"/>
    <mergeCell ref="A65:F6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EBBB-415A-4EE4-9CB6-2F48573B5F96}">
  <dimension ref="A1:AA73"/>
  <sheetViews>
    <sheetView topLeftCell="A2" workbookViewId="0">
      <pane ySplit="4" topLeftCell="A37" activePane="bottomLeft" state="frozen"/>
      <selection activeCell="A2" sqref="A2"/>
      <selection pane="bottomLeft" activeCell="C42" sqref="C42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45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46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46027</v>
      </c>
      <c r="D5" s="7">
        <v>46028</v>
      </c>
      <c r="E5" s="7">
        <v>46029</v>
      </c>
      <c r="F5" s="7">
        <v>46030</v>
      </c>
      <c r="G5" s="7">
        <v>46031</v>
      </c>
      <c r="H5" s="7">
        <v>46032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29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14000</v>
      </c>
      <c r="D8" s="117">
        <v>14000</v>
      </c>
      <c r="E8" s="117"/>
      <c r="F8" s="117">
        <v>14000</v>
      </c>
      <c r="G8" s="117"/>
      <c r="H8" s="117"/>
      <c r="I8" s="10">
        <f t="shared" si="0"/>
        <v>42000</v>
      </c>
      <c r="J8" s="1"/>
      <c r="K8" s="11"/>
    </row>
    <row r="9" spans="1:18" s="12" customFormat="1" ht="21.75" customHeight="1" x14ac:dyDescent="0.25">
      <c r="A9" s="5"/>
      <c r="B9" s="13"/>
      <c r="C9" s="14">
        <v>14750</v>
      </c>
      <c r="D9" s="14">
        <v>14740</v>
      </c>
      <c r="E9" s="14"/>
      <c r="F9" s="14">
        <v>14660</v>
      </c>
      <c r="G9" s="14"/>
      <c r="H9" s="14"/>
      <c r="I9" s="15">
        <f t="shared" si="0"/>
        <v>44150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>
        <v>16000</v>
      </c>
      <c r="F10" s="122"/>
      <c r="G10" s="122"/>
      <c r="H10" s="122"/>
      <c r="I10" s="20">
        <f t="shared" si="0"/>
        <v>16000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>
        <v>16320</v>
      </c>
      <c r="F11" s="23"/>
      <c r="G11" s="23"/>
      <c r="H11" s="23"/>
      <c r="I11" s="15">
        <f t="shared" si="0"/>
        <v>16320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8000</v>
      </c>
      <c r="E12" s="122"/>
      <c r="F12" s="123"/>
      <c r="G12" s="123"/>
      <c r="H12" s="123"/>
      <c r="I12" s="20">
        <f t="shared" si="0"/>
        <v>8000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17180</v>
      </c>
      <c r="E13" s="23"/>
      <c r="F13" s="23"/>
      <c r="G13" s="23"/>
      <c r="H13" s="23"/>
      <c r="I13" s="15">
        <f t="shared" si="0"/>
        <v>17180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16000</v>
      </c>
      <c r="D14" s="121">
        <v>16000</v>
      </c>
      <c r="E14" s="122"/>
      <c r="F14" s="122"/>
      <c r="G14" s="19"/>
      <c r="H14" s="19"/>
      <c r="I14" s="20">
        <f t="shared" si="0"/>
        <v>32000</v>
      </c>
      <c r="J14" s="1"/>
      <c r="K14" s="11"/>
    </row>
    <row r="15" spans="1:18" s="12" customFormat="1" ht="22.15" customHeight="1" x14ac:dyDescent="0.25">
      <c r="A15" s="21"/>
      <c r="B15" s="22"/>
      <c r="C15" s="24">
        <v>16430</v>
      </c>
      <c r="D15" s="23">
        <v>16350</v>
      </c>
      <c r="E15" s="23"/>
      <c r="F15" s="23"/>
      <c r="G15" s="23"/>
      <c r="H15" s="23"/>
      <c r="I15" s="15">
        <f t="shared" si="0"/>
        <v>32780</v>
      </c>
      <c r="J15" s="1"/>
      <c r="K15" s="11"/>
    </row>
    <row r="16" spans="1:18" s="1" customFormat="1" ht="22.15" customHeight="1" x14ac:dyDescent="0.25">
      <c r="A16" s="25" t="s">
        <v>47</v>
      </c>
      <c r="B16" s="26">
        <v>4</v>
      </c>
      <c r="C16" s="27">
        <v>28000</v>
      </c>
      <c r="D16" s="27">
        <v>44000</v>
      </c>
      <c r="E16" s="27"/>
      <c r="F16" s="27"/>
      <c r="G16" s="27">
        <v>14000</v>
      </c>
      <c r="H16" s="27"/>
      <c r="I16" s="20">
        <f>SUM(C16:H16)</f>
        <v>86000</v>
      </c>
      <c r="K16" s="11"/>
    </row>
    <row r="17" spans="1:27" s="1" customFormat="1" ht="22.15" customHeight="1" x14ac:dyDescent="0.25">
      <c r="A17" s="28"/>
      <c r="B17" s="29"/>
      <c r="C17" s="24">
        <v>42950</v>
      </c>
      <c r="D17" s="24">
        <v>27040</v>
      </c>
      <c r="E17" s="30"/>
      <c r="F17" s="30">
        <v>13680</v>
      </c>
      <c r="G17" s="30"/>
      <c r="H17" s="30"/>
      <c r="I17" s="15">
        <f t="shared" si="0"/>
        <v>83670</v>
      </c>
      <c r="K17" s="11"/>
    </row>
    <row r="18" spans="1:27" s="1" customFormat="1" ht="22.15" customHeight="1" x14ac:dyDescent="0.25">
      <c r="A18" s="124" t="s">
        <v>48</v>
      </c>
      <c r="B18" s="26">
        <v>4</v>
      </c>
      <c r="C18" s="27">
        <v>90000</v>
      </c>
      <c r="D18" s="27">
        <v>75000</v>
      </c>
      <c r="E18" s="27">
        <v>74000</v>
      </c>
      <c r="F18" s="27">
        <v>72000</v>
      </c>
      <c r="G18" s="27"/>
      <c r="H18" s="27"/>
      <c r="I18" s="20">
        <f>SUM(C18:H18)</f>
        <v>311000</v>
      </c>
      <c r="K18" s="11"/>
    </row>
    <row r="19" spans="1:27" s="1" customFormat="1" ht="22.15" customHeight="1" x14ac:dyDescent="0.25">
      <c r="A19" s="28"/>
      <c r="B19" s="29"/>
      <c r="C19" s="24">
        <v>59450</v>
      </c>
      <c r="D19" s="24">
        <v>43370</v>
      </c>
      <c r="E19" s="30">
        <v>71570</v>
      </c>
      <c r="F19" s="30">
        <v>43460</v>
      </c>
      <c r="G19" s="30">
        <v>29140</v>
      </c>
      <c r="H19" s="30"/>
      <c r="I19" s="15">
        <f t="shared" si="0"/>
        <v>246990</v>
      </c>
      <c r="K19" s="11"/>
    </row>
    <row r="20" spans="1:27" s="33" customFormat="1" ht="22.15" customHeight="1" x14ac:dyDescent="0.25">
      <c r="A20" s="25" t="s">
        <v>49</v>
      </c>
      <c r="B20" s="26">
        <v>4</v>
      </c>
      <c r="C20" s="27">
        <v>31000</v>
      </c>
      <c r="D20" s="27">
        <v>60000</v>
      </c>
      <c r="E20" s="27">
        <v>32000</v>
      </c>
      <c r="F20" s="27">
        <v>45000</v>
      </c>
      <c r="G20" s="27"/>
      <c r="H20" s="27"/>
      <c r="I20" s="31">
        <f t="shared" si="0"/>
        <v>168000</v>
      </c>
      <c r="J20" s="32"/>
      <c r="K20" s="11"/>
    </row>
    <row r="21" spans="1:27" s="33" customFormat="1" ht="22.15" customHeight="1" x14ac:dyDescent="0.25">
      <c r="A21" s="28"/>
      <c r="B21" s="29"/>
      <c r="C21" s="24">
        <v>30190</v>
      </c>
      <c r="D21" s="24">
        <v>44610</v>
      </c>
      <c r="E21" s="30">
        <v>41270</v>
      </c>
      <c r="F21" s="30">
        <v>28360</v>
      </c>
      <c r="G21" s="30">
        <v>13650</v>
      </c>
      <c r="H21" s="30"/>
      <c r="I21" s="15">
        <f t="shared" si="0"/>
        <v>158080</v>
      </c>
      <c r="J21" s="32"/>
      <c r="K21" s="11"/>
      <c r="L21" s="34"/>
      <c r="M21" s="35"/>
      <c r="N21" s="35"/>
      <c r="O21" s="35"/>
      <c r="P21" s="35"/>
      <c r="Q21" s="35"/>
      <c r="R21" s="35"/>
      <c r="S21" s="36"/>
      <c r="T21" s="35"/>
      <c r="U21" s="37"/>
      <c r="V21" s="35"/>
      <c r="W21" s="35"/>
      <c r="X21" s="37"/>
      <c r="Y21" s="35"/>
      <c r="Z21" s="35"/>
      <c r="AA21" s="35"/>
    </row>
    <row r="22" spans="1:27" s="1" customFormat="1" ht="22.15" customHeight="1" x14ac:dyDescent="0.35">
      <c r="A22" s="25" t="s">
        <v>50</v>
      </c>
      <c r="B22" s="26">
        <v>4</v>
      </c>
      <c r="C22" s="125">
        <v>28000</v>
      </c>
      <c r="D22" s="125">
        <v>86000</v>
      </c>
      <c r="E22" s="125">
        <v>57000</v>
      </c>
      <c r="F22" s="125">
        <v>43000</v>
      </c>
      <c r="G22" s="125">
        <v>43000</v>
      </c>
      <c r="H22" s="125"/>
      <c r="I22" s="31">
        <f t="shared" si="0"/>
        <v>257000</v>
      </c>
      <c r="J22" s="32"/>
      <c r="K22" s="11"/>
      <c r="L22" s="4"/>
      <c r="M22" s="180" t="s">
        <v>10</v>
      </c>
      <c r="N22" s="180"/>
      <c r="P22" s="4"/>
      <c r="X22" s="4"/>
      <c r="Y22" s="4"/>
      <c r="Z22" s="4"/>
      <c r="AA22" s="4"/>
    </row>
    <row r="23" spans="1:27" s="1" customFormat="1" ht="22.15" customHeight="1" x14ac:dyDescent="0.35">
      <c r="A23" s="39"/>
      <c r="B23" s="40"/>
      <c r="C23" s="24">
        <v>56160</v>
      </c>
      <c r="D23" s="24">
        <v>102530</v>
      </c>
      <c r="E23" s="30">
        <v>56510</v>
      </c>
      <c r="F23" s="30">
        <v>31660</v>
      </c>
      <c r="G23" s="30">
        <v>13710</v>
      </c>
      <c r="H23" s="30"/>
      <c r="I23" s="15">
        <f t="shared" si="0"/>
        <v>260570</v>
      </c>
      <c r="J23" s="32"/>
      <c r="K23" s="11"/>
      <c r="L23" s="4"/>
      <c r="M23" s="180"/>
      <c r="N23" s="180"/>
      <c r="P23" s="4"/>
      <c r="X23" s="4"/>
      <c r="Y23" s="4"/>
      <c r="Z23" s="4"/>
      <c r="AA23" s="4"/>
    </row>
    <row r="24" spans="1:27" s="4" customFormat="1" ht="21.75" customHeight="1" x14ac:dyDescent="0.35">
      <c r="A24" s="25" t="s">
        <v>51</v>
      </c>
      <c r="B24" s="26">
        <v>4</v>
      </c>
      <c r="C24" s="27">
        <v>130000</v>
      </c>
      <c r="D24" s="27">
        <v>336000</v>
      </c>
      <c r="E24" s="27">
        <v>148000</v>
      </c>
      <c r="F24" s="27">
        <v>287000</v>
      </c>
      <c r="G24" s="27">
        <v>212000</v>
      </c>
      <c r="H24" s="27">
        <v>90000</v>
      </c>
      <c r="I24" s="31">
        <f t="shared" si="0"/>
        <v>1203000</v>
      </c>
      <c r="J24" s="1"/>
    </row>
    <row r="25" spans="1:27" s="4" customFormat="1" ht="21.75" customHeight="1" x14ac:dyDescent="0.35">
      <c r="A25" s="39"/>
      <c r="B25" s="40"/>
      <c r="C25" s="24">
        <v>134220</v>
      </c>
      <c r="D25" s="24">
        <v>207750</v>
      </c>
      <c r="E25" s="30">
        <v>290960</v>
      </c>
      <c r="F25" s="30">
        <v>209260</v>
      </c>
      <c r="G25" s="30">
        <v>197630</v>
      </c>
      <c r="H25" s="30"/>
      <c r="I25" s="15">
        <f t="shared" si="0"/>
        <v>1039820</v>
      </c>
    </row>
    <row r="26" spans="1:27" s="4" customFormat="1" ht="21" customHeight="1" x14ac:dyDescent="0.35">
      <c r="A26" s="25" t="s">
        <v>52</v>
      </c>
      <c r="B26" s="26">
        <v>4</v>
      </c>
      <c r="C26" s="27">
        <v>31000</v>
      </c>
      <c r="D26" s="27">
        <v>81000</v>
      </c>
      <c r="E26" s="27">
        <v>45000</v>
      </c>
      <c r="F26" s="27">
        <v>60000</v>
      </c>
      <c r="G26" s="27">
        <v>14000</v>
      </c>
      <c r="H26" s="27"/>
      <c r="I26" s="31">
        <f t="shared" si="0"/>
        <v>231000</v>
      </c>
    </row>
    <row r="27" spans="1:27" s="4" customFormat="1" ht="20.45" customHeight="1" x14ac:dyDescent="0.35">
      <c r="A27" s="49"/>
      <c r="B27" s="50"/>
      <c r="C27" s="51"/>
      <c r="D27" s="51">
        <v>57120</v>
      </c>
      <c r="E27" s="51">
        <v>57560</v>
      </c>
      <c r="F27" s="52">
        <v>42870</v>
      </c>
      <c r="G27" s="51"/>
      <c r="H27" s="51"/>
      <c r="I27" s="15">
        <f t="shared" si="0"/>
        <v>157550</v>
      </c>
    </row>
    <row r="28" spans="1:27" s="4" customFormat="1" ht="20.45" customHeight="1" x14ac:dyDescent="0.35">
      <c r="A28" s="126" t="s">
        <v>14</v>
      </c>
      <c r="B28" s="127">
        <v>4</v>
      </c>
      <c r="C28" s="128"/>
      <c r="D28" s="129">
        <v>15000</v>
      </c>
      <c r="E28" s="129">
        <v>17000</v>
      </c>
      <c r="F28" s="129">
        <v>33000</v>
      </c>
      <c r="G28" s="129"/>
      <c r="H28" s="129">
        <v>16000</v>
      </c>
      <c r="I28" s="130">
        <f t="shared" si="0"/>
        <v>81000</v>
      </c>
    </row>
    <row r="29" spans="1:27" s="4" customFormat="1" ht="20.45" customHeight="1" x14ac:dyDescent="0.35">
      <c r="A29" s="49"/>
      <c r="B29" s="50"/>
      <c r="C29" s="51">
        <v>30800</v>
      </c>
      <c r="D29" s="131">
        <v>15010</v>
      </c>
      <c r="E29" s="51">
        <v>15250</v>
      </c>
      <c r="F29" s="52"/>
      <c r="G29" s="51">
        <v>15290</v>
      </c>
      <c r="H29" s="51"/>
      <c r="I29" s="15">
        <f t="shared" si="0"/>
        <v>76350</v>
      </c>
    </row>
    <row r="30" spans="1:27" s="4" customFormat="1" ht="19.149999999999999" customHeight="1" x14ac:dyDescent="0.35">
      <c r="A30" s="56" t="s">
        <v>16</v>
      </c>
      <c r="B30" s="57"/>
      <c r="C30" s="58">
        <f t="shared" ref="C30:H30" si="1">(C12+C16+C20+C24+C26)/15000</f>
        <v>14.666666666666666</v>
      </c>
      <c r="D30" s="58">
        <f t="shared" si="1"/>
        <v>35.266666666666666</v>
      </c>
      <c r="E30" s="58">
        <f t="shared" si="1"/>
        <v>15</v>
      </c>
      <c r="F30" s="58">
        <f t="shared" si="1"/>
        <v>26.133333333333333</v>
      </c>
      <c r="G30" s="58">
        <f t="shared" si="1"/>
        <v>16</v>
      </c>
      <c r="H30" s="58">
        <f t="shared" si="1"/>
        <v>6</v>
      </c>
      <c r="I30" s="59"/>
    </row>
    <row r="31" spans="1:27" s="4" customFormat="1" ht="20.45" customHeight="1" x14ac:dyDescent="0.35">
      <c r="A31" s="17" t="s">
        <v>17</v>
      </c>
      <c r="B31" s="60">
        <v>4</v>
      </c>
      <c r="C31" s="61">
        <v>14000</v>
      </c>
      <c r="D31" s="61">
        <v>14000</v>
      </c>
      <c r="E31" s="61">
        <v>14000</v>
      </c>
      <c r="F31" s="61">
        <v>14000</v>
      </c>
      <c r="G31" s="61">
        <v>14000</v>
      </c>
      <c r="H31" s="61">
        <v>14000</v>
      </c>
      <c r="I31" s="62">
        <f t="shared" ref="I31:I51" si="2">SUM(C31:H31)</f>
        <v>84000</v>
      </c>
    </row>
    <row r="32" spans="1:27" s="4" customFormat="1" ht="21" hidden="1" customHeight="1" x14ac:dyDescent="0.35">
      <c r="A32" s="17" t="s">
        <v>18</v>
      </c>
      <c r="B32" s="63">
        <v>2.5</v>
      </c>
      <c r="C32" s="64"/>
      <c r="D32" s="64"/>
      <c r="E32" s="64"/>
      <c r="F32" s="64"/>
      <c r="G32" s="64"/>
      <c r="H32" s="64"/>
      <c r="I32" s="62">
        <f t="shared" si="2"/>
        <v>0</v>
      </c>
    </row>
    <row r="33" spans="1:27" s="4" customFormat="1" ht="23.25" customHeight="1" x14ac:dyDescent="0.35">
      <c r="A33" s="65">
        <v>502</v>
      </c>
      <c r="B33" s="66" t="s">
        <v>19</v>
      </c>
      <c r="C33" s="64"/>
      <c r="D33" s="64"/>
      <c r="E33" s="64">
        <v>14000</v>
      </c>
      <c r="F33" s="64"/>
      <c r="G33" s="64"/>
      <c r="H33" s="64">
        <v>14000</v>
      </c>
      <c r="I33" s="62">
        <f t="shared" si="2"/>
        <v>28000</v>
      </c>
    </row>
    <row r="34" spans="1:27" s="4" customFormat="1" ht="23.25" hidden="1" customHeight="1" x14ac:dyDescent="0.35">
      <c r="A34" s="67" t="s">
        <v>20</v>
      </c>
      <c r="B34" s="68">
        <v>2.5</v>
      </c>
      <c r="C34" s="64"/>
      <c r="D34" s="64"/>
      <c r="E34" s="69"/>
      <c r="F34" s="64"/>
      <c r="G34" s="64"/>
      <c r="H34" s="64"/>
      <c r="I34" s="62">
        <f t="shared" si="2"/>
        <v>0</v>
      </c>
    </row>
    <row r="35" spans="1:27" s="4" customFormat="1" ht="20.25" hidden="1" customHeight="1" x14ac:dyDescent="0.35">
      <c r="A35" s="67" t="s">
        <v>21</v>
      </c>
      <c r="B35" s="68">
        <v>3.5</v>
      </c>
      <c r="C35" s="64"/>
      <c r="D35" s="64"/>
      <c r="E35" s="64"/>
      <c r="F35" s="64"/>
      <c r="G35" s="64"/>
      <c r="H35" s="64"/>
      <c r="I35" s="62">
        <f t="shared" si="2"/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4" customFormat="1" ht="20.25" hidden="1" customHeight="1" x14ac:dyDescent="0.35">
      <c r="A36" s="67" t="s">
        <v>22</v>
      </c>
      <c r="B36" s="68">
        <v>3.5</v>
      </c>
      <c r="C36" s="64"/>
      <c r="D36" s="64"/>
      <c r="E36" s="64"/>
      <c r="F36" s="64"/>
      <c r="G36" s="64"/>
      <c r="H36" s="64"/>
      <c r="I36" s="62">
        <f t="shared" si="2"/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t="20.25" customHeight="1" x14ac:dyDescent="0.35">
      <c r="A37" s="70" t="s">
        <v>23</v>
      </c>
      <c r="B37" s="71">
        <v>2.5</v>
      </c>
      <c r="C37" s="72">
        <v>19000</v>
      </c>
      <c r="D37" s="73"/>
      <c r="E37" s="74"/>
      <c r="F37" s="72">
        <v>35000</v>
      </c>
      <c r="G37" s="72"/>
      <c r="H37" s="72">
        <v>14000</v>
      </c>
      <c r="I37" s="62">
        <f t="shared" si="2"/>
        <v>68000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78" customFormat="1" ht="20.25" hidden="1" customHeight="1" x14ac:dyDescent="0.35">
      <c r="A38" s="17" t="s">
        <v>24</v>
      </c>
      <c r="B38" s="71">
        <v>2.8</v>
      </c>
      <c r="C38" s="75"/>
      <c r="D38" s="76"/>
      <c r="E38" s="77"/>
      <c r="F38" s="75"/>
      <c r="G38" s="75"/>
      <c r="H38" s="75"/>
      <c r="I38" s="62">
        <f t="shared" si="2"/>
        <v>0</v>
      </c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s="4" customFormat="1" ht="18.75" customHeight="1" x14ac:dyDescent="0.35">
      <c r="A39" s="70" t="s">
        <v>25</v>
      </c>
      <c r="B39" s="71">
        <v>2.8</v>
      </c>
      <c r="C39" s="64">
        <v>2000</v>
      </c>
      <c r="D39" s="64"/>
      <c r="E39" s="80"/>
      <c r="F39" s="72"/>
      <c r="G39" s="64">
        <v>4000</v>
      </c>
      <c r="H39" s="64"/>
      <c r="I39" s="62">
        <f t="shared" si="2"/>
        <v>6000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4" customFormat="1" ht="18.75" customHeight="1" x14ac:dyDescent="0.35">
      <c r="A40" s="70" t="s">
        <v>26</v>
      </c>
      <c r="B40" s="71">
        <v>2.8</v>
      </c>
      <c r="C40" s="64">
        <v>5000</v>
      </c>
      <c r="D40" s="81"/>
      <c r="E40" s="82"/>
      <c r="F40" s="64"/>
      <c r="G40" s="72"/>
      <c r="H40" s="72"/>
      <c r="I40" s="62">
        <f t="shared" si="2"/>
        <v>5000</v>
      </c>
      <c r="J40" s="84"/>
      <c r="K40" s="1" t="s">
        <v>27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4" customFormat="1" ht="18.75" customHeight="1" x14ac:dyDescent="0.35">
      <c r="A41" s="70" t="s">
        <v>53</v>
      </c>
      <c r="B41" s="71">
        <v>2.8</v>
      </c>
      <c r="C41" s="64">
        <v>9000</v>
      </c>
      <c r="D41" s="72"/>
      <c r="E41" s="80"/>
      <c r="F41" s="72"/>
      <c r="G41" s="64">
        <v>4000</v>
      </c>
      <c r="H41" s="72">
        <v>14000</v>
      </c>
      <c r="I41" s="62">
        <f t="shared" si="2"/>
        <v>27000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28</v>
      </c>
      <c r="B42" s="71">
        <v>2.8</v>
      </c>
      <c r="C42" s="64">
        <v>5000</v>
      </c>
      <c r="D42" s="64">
        <v>8000</v>
      </c>
      <c r="E42" s="82"/>
      <c r="F42" s="64"/>
      <c r="G42" s="64"/>
      <c r="H42" s="64"/>
      <c r="I42" s="62">
        <f>SUM(C42:H42)</f>
        <v>13000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customHeight="1" x14ac:dyDescent="0.35">
      <c r="A43" s="85">
        <v>552</v>
      </c>
      <c r="B43" s="63">
        <v>4</v>
      </c>
      <c r="C43" s="72"/>
      <c r="D43" s="64"/>
      <c r="E43" s="82"/>
      <c r="F43" s="86"/>
      <c r="G43" s="64">
        <v>14000</v>
      </c>
      <c r="H43" s="64"/>
      <c r="I43" s="62">
        <f t="shared" si="2"/>
        <v>14000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1" customFormat="1" ht="23.25" hidden="1" customHeight="1" x14ac:dyDescent="0.3">
      <c r="A44" s="70">
        <v>553</v>
      </c>
      <c r="B44" s="71">
        <v>2.8</v>
      </c>
      <c r="C44" s="64"/>
      <c r="D44" s="64"/>
      <c r="E44" s="80"/>
      <c r="F44" s="83"/>
      <c r="G44" s="64"/>
      <c r="H44" s="64"/>
      <c r="I44" s="62">
        <f t="shared" si="2"/>
        <v>0</v>
      </c>
    </row>
    <row r="45" spans="1:27" s="1" customFormat="1" ht="21" customHeight="1" x14ac:dyDescent="0.3">
      <c r="A45" s="70" t="s">
        <v>29</v>
      </c>
      <c r="B45" s="71">
        <v>4</v>
      </c>
      <c r="C45" s="64">
        <v>4000</v>
      </c>
      <c r="D45" s="72"/>
      <c r="E45" s="82">
        <v>4000</v>
      </c>
      <c r="F45" s="72">
        <v>7000</v>
      </c>
      <c r="G45" s="64">
        <v>16000</v>
      </c>
      <c r="H45" s="64"/>
      <c r="I45" s="62">
        <f t="shared" si="2"/>
        <v>31000</v>
      </c>
      <c r="L45" s="87"/>
      <c r="M45" s="87"/>
      <c r="N45" s="87"/>
      <c r="O45" s="87"/>
      <c r="P45" s="87"/>
      <c r="Q45" s="87"/>
      <c r="R45" s="87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1" hidden="1" customHeight="1" x14ac:dyDescent="0.3">
      <c r="A46" s="17" t="s">
        <v>30</v>
      </c>
      <c r="B46" s="71">
        <v>4</v>
      </c>
      <c r="C46" s="64"/>
      <c r="D46" s="64"/>
      <c r="E46" s="82"/>
      <c r="F46" s="64"/>
      <c r="G46" s="64"/>
      <c r="H46" s="64"/>
      <c r="I46" s="62">
        <f t="shared" si="2"/>
        <v>0</v>
      </c>
      <c r="L46" s="87"/>
      <c r="M46" s="87"/>
      <c r="N46" s="87"/>
      <c r="O46" s="87"/>
      <c r="P46" s="87"/>
      <c r="Q46" s="87"/>
      <c r="R46" s="87"/>
      <c r="S46" s="3"/>
      <c r="T46" s="3"/>
      <c r="U46" s="3"/>
      <c r="V46" s="3"/>
      <c r="W46" s="3"/>
      <c r="X46" s="3"/>
      <c r="Y46" s="3"/>
      <c r="Z46" s="3"/>
      <c r="AA46" s="3"/>
    </row>
    <row r="47" spans="1:27" ht="18.75" x14ac:dyDescent="0.3">
      <c r="A47" s="70" t="s">
        <v>31</v>
      </c>
      <c r="B47" s="71">
        <v>4</v>
      </c>
      <c r="C47" s="72">
        <v>14000</v>
      </c>
      <c r="D47" s="72"/>
      <c r="E47" s="72"/>
      <c r="F47" s="72"/>
      <c r="G47" s="64"/>
      <c r="H47" s="72"/>
      <c r="I47" s="62">
        <f t="shared" si="2"/>
        <v>14000</v>
      </c>
      <c r="L47" s="87"/>
      <c r="M47" s="87"/>
      <c r="N47" s="87"/>
      <c r="O47" s="87"/>
      <c r="P47" s="87"/>
      <c r="Q47" s="87"/>
      <c r="R47" s="87"/>
    </row>
    <row r="48" spans="1:27" ht="23.25" customHeight="1" x14ac:dyDescent="0.3">
      <c r="A48" s="70" t="s">
        <v>32</v>
      </c>
      <c r="B48" s="71">
        <v>4</v>
      </c>
      <c r="C48" s="64"/>
      <c r="D48" s="64"/>
      <c r="E48" s="72"/>
      <c r="F48" s="72">
        <v>14000</v>
      </c>
      <c r="G48" s="64">
        <v>14000</v>
      </c>
      <c r="H48" s="64">
        <v>3000</v>
      </c>
      <c r="I48" s="62">
        <f t="shared" si="2"/>
        <v>31000</v>
      </c>
      <c r="L48" s="87"/>
      <c r="M48" s="87"/>
      <c r="N48" s="87"/>
      <c r="O48" s="87"/>
      <c r="P48" s="87"/>
      <c r="Q48" s="87"/>
      <c r="R48" s="87"/>
    </row>
    <row r="49" spans="1:27" ht="23.25" hidden="1" customHeight="1" x14ac:dyDescent="0.3">
      <c r="A49" s="17" t="s">
        <v>33</v>
      </c>
      <c r="B49" s="71">
        <v>4</v>
      </c>
      <c r="C49" s="64"/>
      <c r="D49" s="64"/>
      <c r="E49" s="64"/>
      <c r="F49" s="64"/>
      <c r="G49" s="64"/>
      <c r="H49" s="64"/>
      <c r="I49" s="62">
        <f t="shared" si="2"/>
        <v>0</v>
      </c>
      <c r="L49" s="87"/>
      <c r="M49" s="87"/>
      <c r="N49" s="87"/>
      <c r="O49" s="87"/>
      <c r="P49" s="87"/>
      <c r="Q49" s="87"/>
      <c r="R49" s="87"/>
    </row>
    <row r="50" spans="1:27" ht="23.25" hidden="1" customHeight="1" x14ac:dyDescent="0.3">
      <c r="A50" s="17" t="s">
        <v>34</v>
      </c>
      <c r="B50" s="71">
        <v>4</v>
      </c>
      <c r="C50" s="64"/>
      <c r="D50" s="64"/>
      <c r="E50" s="64"/>
      <c r="F50" s="64"/>
      <c r="G50" s="64"/>
      <c r="H50" s="64"/>
      <c r="I50" s="62">
        <f t="shared" si="2"/>
        <v>0</v>
      </c>
      <c r="L50" s="87"/>
      <c r="M50" s="87"/>
      <c r="N50" s="87"/>
      <c r="O50" s="87"/>
      <c r="P50" s="87"/>
      <c r="Q50" s="87"/>
      <c r="R50" s="87"/>
    </row>
    <row r="51" spans="1:27" ht="22.5" customHeight="1" x14ac:dyDescent="0.3">
      <c r="A51" s="70" t="s">
        <v>35</v>
      </c>
      <c r="B51" s="71">
        <v>4</v>
      </c>
      <c r="C51" s="64"/>
      <c r="D51" s="64">
        <v>6000</v>
      </c>
      <c r="E51" s="64">
        <v>8000</v>
      </c>
      <c r="F51" s="83"/>
      <c r="G51" s="64">
        <v>4000</v>
      </c>
      <c r="H51" s="64">
        <v>6000</v>
      </c>
      <c r="I51" s="62">
        <f t="shared" si="2"/>
        <v>24000</v>
      </c>
      <c r="L51" s="87"/>
      <c r="M51" s="87"/>
      <c r="N51" s="87"/>
      <c r="O51" s="87"/>
      <c r="P51" s="87"/>
      <c r="Q51" s="87"/>
      <c r="R51" s="87"/>
    </row>
    <row r="52" spans="1:27" s="4" customFormat="1" ht="19.149999999999999" customHeight="1" x14ac:dyDescent="0.35">
      <c r="A52" s="88" t="s">
        <v>36</v>
      </c>
      <c r="B52" s="89"/>
      <c r="C52" s="90">
        <v>3</v>
      </c>
      <c r="D52" s="90">
        <v>3</v>
      </c>
      <c r="E52" s="90">
        <v>5</v>
      </c>
      <c r="F52" s="91">
        <v>3</v>
      </c>
      <c r="G52" s="90">
        <v>4</v>
      </c>
      <c r="H52" s="90">
        <v>1</v>
      </c>
      <c r="I52" s="92"/>
    </row>
    <row r="53" spans="1:27" ht="24.75" customHeight="1" x14ac:dyDescent="0.25">
      <c r="A53" s="93" t="s">
        <v>37</v>
      </c>
      <c r="B53" s="94"/>
      <c r="C53" s="95">
        <f>C52+C30</f>
        <v>17.666666666666664</v>
      </c>
      <c r="D53" s="95">
        <f>D52+D30</f>
        <v>38.266666666666666</v>
      </c>
      <c r="E53" s="95">
        <f>E52+E30</f>
        <v>20</v>
      </c>
      <c r="F53" s="95">
        <f>F52+F30</f>
        <v>29.133333333333333</v>
      </c>
      <c r="G53" s="95">
        <f>G52+G30</f>
        <v>20</v>
      </c>
      <c r="H53" s="95"/>
      <c r="I53" s="96"/>
      <c r="L53" s="87"/>
      <c r="M53" s="87"/>
      <c r="N53" s="87"/>
      <c r="O53" s="87"/>
      <c r="P53" s="87"/>
      <c r="Q53" s="87"/>
      <c r="R53" s="87"/>
    </row>
    <row r="54" spans="1:27" s="1" customFormat="1" ht="25.5" x14ac:dyDescent="0.35">
      <c r="A54" s="97"/>
      <c r="B54" s="98"/>
      <c r="C54" s="99" t="s">
        <v>38</v>
      </c>
      <c r="D54" s="100"/>
      <c r="E54" s="33" t="s">
        <v>39</v>
      </c>
      <c r="F54" s="4"/>
      <c r="G54" s="4"/>
      <c r="H54" s="4"/>
      <c r="I54" s="3"/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25.5" x14ac:dyDescent="0.35">
      <c r="A55" s="101"/>
      <c r="B55" s="102"/>
      <c r="C55" s="103" t="s">
        <v>40</v>
      </c>
      <c r="D55" s="104"/>
      <c r="E55" s="105" t="s">
        <v>41</v>
      </c>
      <c r="F55" s="4"/>
      <c r="G55" s="4"/>
      <c r="H55" s="4"/>
      <c r="J55" s="87"/>
      <c r="K55" s="87"/>
      <c r="L55" s="106"/>
      <c r="M55" s="106"/>
      <c r="N55" s="106"/>
      <c r="O55" s="106"/>
      <c r="P55" s="106"/>
      <c r="Q55" s="106"/>
      <c r="R55" s="106"/>
    </row>
    <row r="56" spans="1:27" ht="20.25" x14ac:dyDescent="0.25">
      <c r="A56" s="107"/>
      <c r="B56" s="108"/>
      <c r="C56" s="107"/>
      <c r="D56" s="107"/>
      <c r="E56" s="107"/>
      <c r="F56" s="109"/>
      <c r="G56" s="110"/>
      <c r="H56" s="110"/>
      <c r="I56" s="1"/>
      <c r="J56" s="87"/>
      <c r="K56" s="87"/>
      <c r="L56" s="111"/>
      <c r="M56" s="111"/>
      <c r="N56" s="111"/>
      <c r="O56" s="111"/>
      <c r="P56" s="111"/>
      <c r="Q56" s="111"/>
      <c r="R56" s="111"/>
    </row>
    <row r="57" spans="1:27" x14ac:dyDescent="0.25">
      <c r="A57" s="112"/>
      <c r="B57" s="113"/>
      <c r="C57" s="112"/>
      <c r="D57" s="112"/>
      <c r="E57" s="112"/>
      <c r="F57" s="112"/>
      <c r="G57" s="87"/>
      <c r="H57" s="87"/>
      <c r="I57" s="87"/>
      <c r="J57" s="87"/>
      <c r="K57" s="87"/>
      <c r="L57" s="114"/>
      <c r="M57" s="114"/>
      <c r="N57" s="114"/>
      <c r="O57" s="114"/>
      <c r="P57" s="114"/>
      <c r="Q57" s="114"/>
      <c r="R57" s="114"/>
    </row>
    <row r="58" spans="1:27" x14ac:dyDescent="0.25">
      <c r="A58" s="112"/>
      <c r="B58" s="113"/>
      <c r="C58" s="112"/>
      <c r="D58" s="112"/>
      <c r="E58" s="112"/>
      <c r="F58" s="112"/>
      <c r="G58" s="87"/>
      <c r="H58" s="87"/>
      <c r="I58" s="87"/>
      <c r="J58" s="87"/>
      <c r="K58" s="87"/>
      <c r="L58" s="114"/>
      <c r="M58" s="114"/>
      <c r="N58" s="114"/>
      <c r="O58" s="114"/>
      <c r="P58" s="114"/>
      <c r="Q58" s="114"/>
      <c r="R58" s="114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0"/>
      <c r="M59" s="110"/>
      <c r="N59" s="110"/>
      <c r="O59" s="110"/>
      <c r="P59" s="110"/>
      <c r="Q59" s="110"/>
      <c r="R59" s="110"/>
    </row>
    <row r="60" spans="1:27" x14ac:dyDescent="0.25"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</row>
    <row r="61" spans="1:27" ht="25.5" x14ac:dyDescent="0.35">
      <c r="A61" s="1"/>
      <c r="B61" s="2"/>
      <c r="C61" s="1"/>
      <c r="D61" s="1"/>
      <c r="E61" s="1"/>
      <c r="F61" s="1"/>
      <c r="G61" s="87"/>
      <c r="H61" s="87"/>
      <c r="I61" s="87"/>
      <c r="J61" s="106"/>
      <c r="K61" s="106"/>
      <c r="L61" s="110"/>
      <c r="M61" s="110"/>
      <c r="N61" s="110"/>
      <c r="O61" s="110"/>
      <c r="P61" s="110"/>
      <c r="Q61" s="110"/>
      <c r="R61" s="110"/>
    </row>
    <row r="62" spans="1:27" x14ac:dyDescent="0.25">
      <c r="A62" s="1"/>
      <c r="B62" s="2"/>
      <c r="C62" s="1"/>
      <c r="D62" s="1"/>
      <c r="E62" s="1"/>
      <c r="F62" s="1"/>
      <c r="G62" s="87"/>
      <c r="H62" s="87"/>
      <c r="I62" s="87"/>
      <c r="J62" s="111"/>
      <c r="K62" s="111"/>
      <c r="L62" s="110"/>
      <c r="M62" s="110"/>
      <c r="N62" s="110"/>
      <c r="O62" s="110"/>
      <c r="P62" s="110"/>
      <c r="Q62" s="110"/>
      <c r="R62" s="110"/>
    </row>
    <row r="63" spans="1:27" ht="25.5" x14ac:dyDescent="0.35">
      <c r="A63" s="181"/>
      <c r="B63" s="181"/>
      <c r="C63" s="181"/>
      <c r="D63" s="181"/>
      <c r="E63" s="181"/>
      <c r="F63" s="181"/>
      <c r="G63" s="106"/>
      <c r="H63" s="106"/>
      <c r="I63" s="106"/>
      <c r="J63" s="114"/>
      <c r="K63" s="114"/>
      <c r="L63" s="87"/>
      <c r="M63" s="87"/>
      <c r="N63" s="87"/>
      <c r="O63" s="87"/>
      <c r="P63" s="87"/>
      <c r="Q63" s="87"/>
      <c r="R63" s="87"/>
    </row>
    <row r="64" spans="1:27" x14ac:dyDescent="0.25">
      <c r="A64" s="111"/>
      <c r="B64" s="113"/>
      <c r="C64" s="111"/>
      <c r="D64" s="111"/>
      <c r="E64" s="111"/>
      <c r="F64" s="111"/>
      <c r="G64" s="111"/>
      <c r="H64" s="111"/>
      <c r="I64" s="111"/>
      <c r="J64" s="114"/>
      <c r="K64" s="114"/>
      <c r="L64" s="87"/>
      <c r="M64" s="87"/>
      <c r="N64" s="87"/>
      <c r="O64" s="87"/>
      <c r="P64" s="87"/>
      <c r="Q64" s="87"/>
      <c r="R64" s="87"/>
    </row>
    <row r="65" spans="1:18" x14ac:dyDescent="0.25">
      <c r="A65" s="182"/>
      <c r="B65" s="116"/>
      <c r="C65" s="114"/>
      <c r="D65" s="114"/>
      <c r="E65" s="114"/>
      <c r="F65" s="114"/>
      <c r="G65" s="114"/>
      <c r="H65" s="114"/>
      <c r="I65" s="114"/>
      <c r="J65" s="110"/>
      <c r="K65" s="110"/>
      <c r="L65" s="87"/>
      <c r="M65" s="87"/>
      <c r="N65" s="87"/>
      <c r="O65" s="87"/>
      <c r="P65" s="87"/>
      <c r="Q65" s="87"/>
      <c r="R65" s="87"/>
    </row>
    <row r="66" spans="1:18" x14ac:dyDescent="0.25">
      <c r="A66" s="182"/>
      <c r="B66" s="116"/>
      <c r="C66" s="114"/>
      <c r="D66" s="114"/>
      <c r="E66" s="114"/>
      <c r="F66" s="114"/>
      <c r="G66" s="114"/>
      <c r="H66" s="114"/>
      <c r="I66" s="114"/>
      <c r="J66" s="87"/>
      <c r="K66" s="87"/>
    </row>
    <row r="67" spans="1:18" x14ac:dyDescent="0.25">
      <c r="A67" s="112"/>
      <c r="B67" s="113"/>
      <c r="C67" s="112"/>
      <c r="D67" s="112"/>
      <c r="E67" s="112"/>
      <c r="F67" s="112"/>
      <c r="G67" s="110"/>
      <c r="H67" s="110"/>
      <c r="I67" s="110"/>
      <c r="J67" s="110"/>
      <c r="K67" s="110"/>
    </row>
    <row r="68" spans="1:18" x14ac:dyDescent="0.25">
      <c r="A68" s="112"/>
      <c r="B68" s="113"/>
      <c r="C68" s="112"/>
      <c r="D68" s="112"/>
      <c r="E68" s="112"/>
      <c r="F68" s="112"/>
      <c r="G68" s="87"/>
      <c r="H68" s="87"/>
      <c r="I68" s="87"/>
      <c r="J68" s="110"/>
      <c r="K68" s="110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87"/>
      <c r="K69" s="87"/>
    </row>
    <row r="70" spans="1:18" x14ac:dyDescent="0.25">
      <c r="A70" s="112"/>
      <c r="B70" s="113"/>
      <c r="C70" s="112"/>
      <c r="D70" s="112"/>
      <c r="E70" s="112"/>
      <c r="F70" s="112"/>
      <c r="G70" s="110"/>
      <c r="H70" s="110"/>
      <c r="I70" s="110"/>
      <c r="J70" s="87"/>
      <c r="K70" s="87"/>
    </row>
    <row r="71" spans="1:18" x14ac:dyDescent="0.25">
      <c r="A71" s="112"/>
      <c r="B71" s="113"/>
      <c r="C71" s="112"/>
      <c r="D71" s="112"/>
      <c r="E71" s="112"/>
      <c r="F71" s="112"/>
      <c r="G71" s="87"/>
      <c r="H71" s="87"/>
      <c r="I71" s="87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87"/>
      <c r="H72" s="87"/>
      <c r="I72" s="87"/>
    </row>
    <row r="73" spans="1:18" x14ac:dyDescent="0.25">
      <c r="A73" s="1"/>
      <c r="B73" s="2"/>
      <c r="C73" s="1"/>
      <c r="D73" s="1"/>
      <c r="E73" s="1"/>
      <c r="F73" s="1"/>
      <c r="G73" s="87"/>
      <c r="H73" s="87"/>
      <c r="I73" s="87"/>
    </row>
  </sheetData>
  <mergeCells count="6">
    <mergeCell ref="A65:A66"/>
    <mergeCell ref="A2:I2"/>
    <mergeCell ref="A3:R3"/>
    <mergeCell ref="A4:R4"/>
    <mergeCell ref="M22:N23"/>
    <mergeCell ref="A63:F6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BD38-7432-470A-9599-C55D35540BCA}">
  <dimension ref="A1:AF79"/>
  <sheetViews>
    <sheetView topLeftCell="A2" workbookViewId="0">
      <pane ySplit="4" topLeftCell="A33" activePane="bottomLeft" state="frozen"/>
      <selection activeCell="A2" sqref="A2"/>
      <selection pane="bottomLeft" activeCell="H13" sqref="H1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54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55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46034</v>
      </c>
      <c r="D5" s="7">
        <v>46035</v>
      </c>
      <c r="E5" s="7">
        <v>46036</v>
      </c>
      <c r="F5" s="7">
        <v>46037</v>
      </c>
      <c r="G5" s="7">
        <v>46038</v>
      </c>
      <c r="H5" s="7">
        <v>46039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9"/>
      <c r="E6" s="119"/>
      <c r="F6" s="119"/>
      <c r="G6" s="119"/>
      <c r="H6" s="119"/>
      <c r="I6" s="10">
        <f t="shared" ref="I6:I35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9">
        <v>5000</v>
      </c>
      <c r="D10" s="19"/>
      <c r="E10" s="19"/>
      <c r="F10" s="19">
        <v>16000</v>
      </c>
      <c r="G10" s="19">
        <v>16000</v>
      </c>
      <c r="H10" s="19"/>
      <c r="I10" s="20">
        <f t="shared" si="0"/>
        <v>37000</v>
      </c>
      <c r="J10" s="1"/>
      <c r="K10" s="11"/>
    </row>
    <row r="11" spans="1:18" s="12" customFormat="1" ht="22.15" customHeight="1" x14ac:dyDescent="0.25">
      <c r="A11" s="21"/>
      <c r="B11" s="22"/>
      <c r="C11" s="23">
        <v>4990</v>
      </c>
      <c r="D11" s="23"/>
      <c r="E11" s="23"/>
      <c r="F11" s="23">
        <v>16160</v>
      </c>
      <c r="G11" s="23">
        <v>16300</v>
      </c>
      <c r="H11" s="23"/>
      <c r="I11" s="15">
        <f t="shared" si="0"/>
        <v>37450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>
        <v>17000</v>
      </c>
      <c r="I12" s="20">
        <f t="shared" si="0"/>
        <v>34000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17320</v>
      </c>
      <c r="E13" s="23"/>
      <c r="F13" s="23"/>
      <c r="G13" s="23"/>
      <c r="H13" s="23"/>
      <c r="I13" s="15">
        <f t="shared" si="0"/>
        <v>17320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11000</v>
      </c>
      <c r="D14" s="121"/>
      <c r="E14" s="122">
        <v>8000</v>
      </c>
      <c r="F14" s="122"/>
      <c r="G14" s="19"/>
      <c r="H14" s="19">
        <v>5000</v>
      </c>
      <c r="I14" s="20">
        <f t="shared" si="0"/>
        <v>24000</v>
      </c>
      <c r="J14" s="1"/>
      <c r="K14" s="11"/>
    </row>
    <row r="15" spans="1:18" s="12" customFormat="1" ht="22.15" customHeight="1" x14ac:dyDescent="0.25">
      <c r="A15" s="16"/>
      <c r="B15" s="132"/>
      <c r="C15" s="23">
        <v>11460</v>
      </c>
      <c r="D15" s="133"/>
      <c r="E15" s="23">
        <v>7920</v>
      </c>
      <c r="F15" s="134"/>
      <c r="G15" s="135"/>
      <c r="H15" s="23">
        <v>4920</v>
      </c>
      <c r="I15" s="15">
        <f t="shared" si="0"/>
        <v>24300</v>
      </c>
      <c r="K15" s="11"/>
    </row>
    <row r="16" spans="1:18" s="12" customFormat="1" ht="22.15" customHeight="1" x14ac:dyDescent="0.25">
      <c r="A16" s="120" t="s">
        <v>56</v>
      </c>
      <c r="B16" s="18">
        <v>4</v>
      </c>
      <c r="C16" s="121"/>
      <c r="D16" s="121"/>
      <c r="E16" s="122"/>
      <c r="F16" s="122"/>
      <c r="G16" s="19">
        <v>28000</v>
      </c>
      <c r="H16" s="19"/>
      <c r="I16" s="20">
        <f t="shared" si="0"/>
        <v>28000</v>
      </c>
      <c r="J16" s="1"/>
      <c r="K16" s="11"/>
    </row>
    <row r="17" spans="1:32" s="12" customFormat="1" ht="22.15" customHeight="1" x14ac:dyDescent="0.25">
      <c r="A17" s="21"/>
      <c r="B17" s="22"/>
      <c r="C17" s="24"/>
      <c r="D17" s="23"/>
      <c r="E17" s="23"/>
      <c r="F17" s="23"/>
      <c r="G17" s="23">
        <v>28360</v>
      </c>
      <c r="H17" s="23"/>
      <c r="I17" s="15">
        <f t="shared" si="0"/>
        <v>28360</v>
      </c>
      <c r="J17" s="1"/>
      <c r="K17" s="11"/>
    </row>
    <row r="18" spans="1:32" s="12" customFormat="1" ht="22.15" customHeight="1" x14ac:dyDescent="0.25">
      <c r="A18" s="120" t="s">
        <v>11</v>
      </c>
      <c r="B18" s="18">
        <v>4</v>
      </c>
      <c r="C18" s="41"/>
      <c r="D18" s="19"/>
      <c r="E18" s="19">
        <v>8000</v>
      </c>
      <c r="F18" s="19"/>
      <c r="G18" s="19"/>
      <c r="H18" s="19">
        <v>11000</v>
      </c>
      <c r="I18" s="20">
        <f t="shared" si="0"/>
        <v>19000</v>
      </c>
      <c r="J18" s="1"/>
      <c r="K18" s="11"/>
    </row>
    <row r="19" spans="1:32" s="12" customFormat="1" ht="22.15" customHeight="1" x14ac:dyDescent="0.25">
      <c r="A19" s="21"/>
      <c r="B19" s="22"/>
      <c r="C19" s="24"/>
      <c r="D19" s="23"/>
      <c r="E19" s="23">
        <v>8280</v>
      </c>
      <c r="F19" s="23"/>
      <c r="G19" s="23"/>
      <c r="H19" s="23">
        <v>11340</v>
      </c>
      <c r="I19" s="15">
        <f t="shared" si="0"/>
        <v>19620</v>
      </c>
      <c r="J19" s="1"/>
      <c r="K19" s="11"/>
    </row>
    <row r="20" spans="1:32" s="1" customFormat="1" ht="22.15" customHeight="1" x14ac:dyDescent="0.25">
      <c r="A20" s="25" t="s">
        <v>8</v>
      </c>
      <c r="B20" s="26">
        <v>4</v>
      </c>
      <c r="C20" s="27">
        <v>88000</v>
      </c>
      <c r="D20" s="27">
        <v>144000</v>
      </c>
      <c r="E20" s="27">
        <v>100000</v>
      </c>
      <c r="F20" s="27">
        <v>29000</v>
      </c>
      <c r="G20" s="27">
        <v>59000</v>
      </c>
      <c r="H20" s="27"/>
      <c r="I20" s="20">
        <f t="shared" si="0"/>
        <v>420000</v>
      </c>
      <c r="K20" s="11"/>
    </row>
    <row r="21" spans="1:32" s="1" customFormat="1" ht="22.15" customHeight="1" x14ac:dyDescent="0.25">
      <c r="A21" s="28"/>
      <c r="B21" s="29"/>
      <c r="C21" s="24">
        <v>72630</v>
      </c>
      <c r="D21" s="24">
        <v>159830</v>
      </c>
      <c r="E21" s="30">
        <v>60410</v>
      </c>
      <c r="F21" s="30">
        <v>59140</v>
      </c>
      <c r="G21" s="30">
        <v>56550</v>
      </c>
      <c r="H21" s="30">
        <v>55680</v>
      </c>
      <c r="I21" s="15">
        <f t="shared" si="0"/>
        <v>464240</v>
      </c>
      <c r="K21" s="11"/>
    </row>
    <row r="22" spans="1:32" s="33" customFormat="1" ht="22.15" customHeight="1" x14ac:dyDescent="0.25">
      <c r="A22" s="25" t="s">
        <v>9</v>
      </c>
      <c r="B22" s="26">
        <v>4</v>
      </c>
      <c r="C22" s="27">
        <v>71000</v>
      </c>
      <c r="D22" s="27">
        <v>104000</v>
      </c>
      <c r="E22" s="27">
        <v>78000</v>
      </c>
      <c r="F22" s="27">
        <v>55000</v>
      </c>
      <c r="G22" s="27">
        <v>88000</v>
      </c>
      <c r="H22" s="27">
        <v>28000</v>
      </c>
      <c r="I22" s="31">
        <f t="shared" si="0"/>
        <v>424000</v>
      </c>
      <c r="J22" s="32"/>
      <c r="K22" s="11"/>
    </row>
    <row r="23" spans="1:32" s="33" customFormat="1" ht="22.15" customHeight="1" x14ac:dyDescent="0.25">
      <c r="A23" s="28"/>
      <c r="B23" s="29"/>
      <c r="C23" s="24">
        <v>71330</v>
      </c>
      <c r="D23" s="24">
        <v>104180</v>
      </c>
      <c r="E23" s="30">
        <v>86410</v>
      </c>
      <c r="F23" s="30">
        <v>86990</v>
      </c>
      <c r="G23" s="30">
        <v>26790</v>
      </c>
      <c r="H23" s="30">
        <v>13780</v>
      </c>
      <c r="I23" s="15">
        <f t="shared" si="0"/>
        <v>389480</v>
      </c>
      <c r="J23" s="32"/>
      <c r="K23" s="11"/>
      <c r="L23" s="34"/>
      <c r="M23" s="35"/>
      <c r="N23" s="35"/>
      <c r="O23" s="35"/>
      <c r="P23" s="35"/>
      <c r="Q23" s="35"/>
      <c r="R23" s="35"/>
      <c r="S23" s="36"/>
      <c r="T23" s="35"/>
      <c r="U23" s="37"/>
      <c r="V23" s="35"/>
      <c r="W23" s="35"/>
      <c r="X23" s="37"/>
      <c r="Y23" s="35"/>
      <c r="Z23" s="35"/>
      <c r="AA23" s="35"/>
    </row>
    <row r="24" spans="1:32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1">
        <f t="shared" si="0"/>
        <v>0</v>
      </c>
      <c r="J24" s="32"/>
      <c r="K24" s="11"/>
      <c r="L24" s="4"/>
      <c r="M24" s="180" t="s">
        <v>10</v>
      </c>
      <c r="N24" s="180"/>
      <c r="P24" s="4"/>
      <c r="X24" s="4"/>
      <c r="Y24" s="4"/>
      <c r="Z24" s="4"/>
      <c r="AA24" s="4"/>
    </row>
    <row r="25" spans="1:32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15">
        <f t="shared" si="0"/>
        <v>0</v>
      </c>
      <c r="J25" s="32"/>
      <c r="K25" s="11"/>
      <c r="L25" s="4"/>
      <c r="M25" s="180"/>
      <c r="N25" s="180"/>
      <c r="P25" s="4"/>
      <c r="X25" s="4"/>
      <c r="Y25" s="4"/>
      <c r="Z25" s="4"/>
      <c r="AA25" s="4"/>
    </row>
    <row r="26" spans="1:32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31">
        <f t="shared" si="0"/>
        <v>0</v>
      </c>
      <c r="J26" s="42"/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2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15">
        <f t="shared" si="0"/>
        <v>0</v>
      </c>
      <c r="J27" s="42"/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2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31">
        <f t="shared" si="0"/>
        <v>0</v>
      </c>
      <c r="J28" s="42"/>
      <c r="K28" s="4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6"/>
      <c r="AC28" s="46"/>
      <c r="AD28" s="46"/>
      <c r="AE28" s="46"/>
      <c r="AF28" s="46"/>
    </row>
    <row r="29" spans="1:32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15">
        <f t="shared" si="0"/>
        <v>0</v>
      </c>
      <c r="J29" s="42"/>
      <c r="K29" s="4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6"/>
      <c r="AC29" s="46"/>
      <c r="AD29" s="46"/>
      <c r="AE29" s="46"/>
      <c r="AF29" s="46"/>
    </row>
    <row r="30" spans="1:32" s="4" customFormat="1" ht="21.75" customHeight="1" x14ac:dyDescent="0.35">
      <c r="A30" s="25" t="s">
        <v>13</v>
      </c>
      <c r="B30" s="26">
        <v>4</v>
      </c>
      <c r="C30" s="27">
        <v>181000</v>
      </c>
      <c r="D30" s="27">
        <v>257000</v>
      </c>
      <c r="E30" s="27">
        <v>251000</v>
      </c>
      <c r="F30" s="27">
        <v>293000</v>
      </c>
      <c r="G30" s="27">
        <v>242000</v>
      </c>
      <c r="H30" s="27">
        <v>72000</v>
      </c>
      <c r="I30" s="31">
        <f t="shared" si="0"/>
        <v>1296000</v>
      </c>
      <c r="J30" s="1"/>
    </row>
    <row r="31" spans="1:32" s="4" customFormat="1" ht="21.75" customHeight="1" x14ac:dyDescent="0.35">
      <c r="A31" s="39"/>
      <c r="B31" s="40"/>
      <c r="C31" s="24">
        <v>140180</v>
      </c>
      <c r="D31" s="24">
        <v>170900</v>
      </c>
      <c r="E31" s="30">
        <v>227060</v>
      </c>
      <c r="F31" s="30">
        <v>335460</v>
      </c>
      <c r="G31" s="30">
        <v>222880</v>
      </c>
      <c r="H31" s="30">
        <v>101500</v>
      </c>
      <c r="I31" s="15">
        <f t="shared" si="0"/>
        <v>1197980</v>
      </c>
    </row>
    <row r="32" spans="1:32" s="4" customFormat="1" ht="21" customHeight="1" x14ac:dyDescent="0.35">
      <c r="A32" s="25" t="s">
        <v>14</v>
      </c>
      <c r="B32" s="26">
        <v>4</v>
      </c>
      <c r="C32" s="27">
        <v>42000</v>
      </c>
      <c r="D32" s="27">
        <v>45000</v>
      </c>
      <c r="E32" s="27">
        <v>58000</v>
      </c>
      <c r="F32" s="27">
        <v>62000</v>
      </c>
      <c r="G32" s="27">
        <v>116000</v>
      </c>
      <c r="H32" s="27"/>
      <c r="I32" s="31">
        <f t="shared" si="0"/>
        <v>323000</v>
      </c>
    </row>
    <row r="33" spans="1:27" s="4" customFormat="1" ht="20.45" customHeight="1" x14ac:dyDescent="0.35">
      <c r="A33" s="49"/>
      <c r="B33" s="50"/>
      <c r="C33" s="51">
        <v>27980</v>
      </c>
      <c r="D33" s="51">
        <v>116310</v>
      </c>
      <c r="E33" s="51">
        <v>29620</v>
      </c>
      <c r="F33" s="52">
        <v>14480</v>
      </c>
      <c r="G33" s="51">
        <v>58540</v>
      </c>
      <c r="H33" s="51"/>
      <c r="I33" s="15">
        <f t="shared" si="0"/>
        <v>246930</v>
      </c>
    </row>
    <row r="34" spans="1:27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31">
        <f t="shared" si="0"/>
        <v>0</v>
      </c>
    </row>
    <row r="35" spans="1:27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15">
        <f t="shared" si="0"/>
        <v>0</v>
      </c>
    </row>
    <row r="36" spans="1:27" s="4" customFormat="1" ht="19.149999999999999" customHeight="1" x14ac:dyDescent="0.35">
      <c r="A36" s="56" t="s">
        <v>16</v>
      </c>
      <c r="B36" s="57"/>
      <c r="C36" s="58">
        <f>(C12+C20+C22+C30+C32)/15000</f>
        <v>25.466666666666665</v>
      </c>
      <c r="D36" s="58">
        <f t="shared" ref="D36:H36" si="1">(D12+D20+D22+D30+D32)/15000</f>
        <v>37.799999999999997</v>
      </c>
      <c r="E36" s="58">
        <f t="shared" si="1"/>
        <v>32.466666666666669</v>
      </c>
      <c r="F36" s="58">
        <f t="shared" si="1"/>
        <v>29.266666666666666</v>
      </c>
      <c r="G36" s="58">
        <f t="shared" si="1"/>
        <v>33.666666666666664</v>
      </c>
      <c r="H36" s="58">
        <f t="shared" si="1"/>
        <v>7.8</v>
      </c>
      <c r="I36" s="59"/>
    </row>
    <row r="37" spans="1:27" s="4" customFormat="1" ht="20.45" customHeight="1" x14ac:dyDescent="0.35">
      <c r="A37" s="17" t="s">
        <v>17</v>
      </c>
      <c r="B37" s="60">
        <v>4</v>
      </c>
      <c r="C37" s="61">
        <v>14000</v>
      </c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2">
        <f t="shared" ref="I37:I57" si="2">SUM(C37:H37)</f>
        <v>84000</v>
      </c>
    </row>
    <row r="38" spans="1:27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2">
        <f t="shared" si="2"/>
        <v>0</v>
      </c>
    </row>
    <row r="39" spans="1:27" s="4" customFormat="1" ht="23.25" customHeight="1" x14ac:dyDescent="0.35">
      <c r="A39" s="65">
        <v>502</v>
      </c>
      <c r="B39" s="66" t="s">
        <v>19</v>
      </c>
      <c r="C39" s="64"/>
      <c r="D39" s="64"/>
      <c r="E39" s="64">
        <v>14000</v>
      </c>
      <c r="F39" s="64"/>
      <c r="G39" s="64"/>
      <c r="H39" s="64">
        <v>14000</v>
      </c>
      <c r="I39" s="62">
        <f t="shared" si="2"/>
        <v>28000</v>
      </c>
    </row>
    <row r="40" spans="1:27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2">
        <f t="shared" si="2"/>
        <v>0</v>
      </c>
    </row>
    <row r="41" spans="1:27" s="4" customFormat="1" ht="20.25" customHeight="1" x14ac:dyDescent="0.35">
      <c r="A41" s="67" t="s">
        <v>21</v>
      </c>
      <c r="B41" s="68">
        <v>3.5</v>
      </c>
      <c r="C41" s="64">
        <v>14000</v>
      </c>
      <c r="D41" s="64"/>
      <c r="E41" s="64"/>
      <c r="F41" s="64"/>
      <c r="G41" s="64"/>
      <c r="H41" s="64"/>
      <c r="I41" s="62">
        <f t="shared" si="2"/>
        <v>14000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hidden="1" customHeight="1" x14ac:dyDescent="0.35">
      <c r="A42" s="67" t="s">
        <v>22</v>
      </c>
      <c r="B42" s="68">
        <v>3.5</v>
      </c>
      <c r="C42" s="64"/>
      <c r="D42" s="64"/>
      <c r="E42" s="64"/>
      <c r="F42" s="64"/>
      <c r="G42" s="64"/>
      <c r="H42" s="64"/>
      <c r="I42" s="62">
        <f t="shared" si="2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70" t="s">
        <v>23</v>
      </c>
      <c r="B43" s="71">
        <v>2.5</v>
      </c>
      <c r="C43" s="72">
        <v>19000</v>
      </c>
      <c r="D43" s="73"/>
      <c r="E43" s="74"/>
      <c r="F43" s="72">
        <v>21000</v>
      </c>
      <c r="G43" s="72">
        <v>14000</v>
      </c>
      <c r="H43" s="72"/>
      <c r="I43" s="62">
        <f t="shared" si="2"/>
        <v>54000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78" customFormat="1" ht="20.25" hidden="1" customHeight="1" x14ac:dyDescent="0.35">
      <c r="A44" s="17" t="s">
        <v>24</v>
      </c>
      <c r="B44" s="71">
        <v>2.8</v>
      </c>
      <c r="C44" s="75"/>
      <c r="D44" s="76"/>
      <c r="E44" s="77"/>
      <c r="F44" s="75"/>
      <c r="G44" s="75"/>
      <c r="H44" s="75"/>
      <c r="I44" s="62">
        <f t="shared" si="2"/>
        <v>0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 spans="1:27" s="4" customFormat="1" ht="18.75" hidden="1" customHeight="1" x14ac:dyDescent="0.35">
      <c r="A45" s="70" t="s">
        <v>25</v>
      </c>
      <c r="B45" s="71">
        <v>2.8</v>
      </c>
      <c r="C45" s="64"/>
      <c r="D45" s="64"/>
      <c r="E45" s="80"/>
      <c r="F45" s="72"/>
      <c r="G45" s="72"/>
      <c r="H45" s="64"/>
      <c r="I45" s="62">
        <f t="shared" si="2"/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26</v>
      </c>
      <c r="B46" s="71">
        <v>2.8</v>
      </c>
      <c r="C46" s="64">
        <v>13000</v>
      </c>
      <c r="D46" s="74">
        <v>14000</v>
      </c>
      <c r="E46" s="80"/>
      <c r="F46" s="64"/>
      <c r="G46" s="72">
        <v>14000</v>
      </c>
      <c r="H46" s="64">
        <v>5000</v>
      </c>
      <c r="I46" s="62">
        <f t="shared" si="2"/>
        <v>46000</v>
      </c>
      <c r="J46" s="84"/>
      <c r="K46" s="1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70" t="s">
        <v>25</v>
      </c>
      <c r="B47" s="71">
        <v>2.8</v>
      </c>
      <c r="C47" s="72"/>
      <c r="D47" s="72"/>
      <c r="E47" s="80"/>
      <c r="F47" s="72"/>
      <c r="G47" s="72"/>
      <c r="H47" s="72"/>
      <c r="I47" s="62">
        <f t="shared" si="2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57</v>
      </c>
      <c r="B48" s="71">
        <v>2.8</v>
      </c>
      <c r="C48" s="64">
        <v>24000</v>
      </c>
      <c r="D48" s="64"/>
      <c r="E48" s="80"/>
      <c r="F48" s="64"/>
      <c r="G48" s="64">
        <v>8000</v>
      </c>
      <c r="H48" s="64">
        <v>10000</v>
      </c>
      <c r="I48" s="62">
        <f t="shared" si="2"/>
        <v>42000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85">
        <v>552</v>
      </c>
      <c r="B49" s="63">
        <v>4</v>
      </c>
      <c r="C49" s="72"/>
      <c r="D49" s="64"/>
      <c r="E49" s="82">
        <v>14000</v>
      </c>
      <c r="F49" s="72">
        <v>7000</v>
      </c>
      <c r="G49" s="64">
        <v>15000</v>
      </c>
      <c r="H49" s="64"/>
      <c r="I49" s="62">
        <f t="shared" si="2"/>
        <v>36000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" customFormat="1" ht="23.25" hidden="1" customHeight="1" x14ac:dyDescent="0.3">
      <c r="A50" s="70">
        <v>553</v>
      </c>
      <c r="B50" s="71">
        <v>2.8</v>
      </c>
      <c r="C50" s="64"/>
      <c r="D50" s="64"/>
      <c r="E50" s="80"/>
      <c r="F50" s="83"/>
      <c r="G50" s="64"/>
      <c r="H50" s="64"/>
      <c r="I50" s="62">
        <f t="shared" si="2"/>
        <v>0</v>
      </c>
    </row>
    <row r="51" spans="1:27" s="1" customFormat="1" ht="21" customHeight="1" x14ac:dyDescent="0.3">
      <c r="A51" s="70" t="s">
        <v>29</v>
      </c>
      <c r="B51" s="71">
        <v>4</v>
      </c>
      <c r="C51" s="64">
        <v>4000</v>
      </c>
      <c r="D51" s="72"/>
      <c r="E51" s="82"/>
      <c r="F51" s="64"/>
      <c r="G51" s="64"/>
      <c r="H51" s="64">
        <v>8000</v>
      </c>
      <c r="I51" s="62">
        <f t="shared" si="2"/>
        <v>12000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1" hidden="1" customHeight="1" x14ac:dyDescent="0.3">
      <c r="A52" s="17" t="s">
        <v>30</v>
      </c>
      <c r="B52" s="71">
        <v>4</v>
      </c>
      <c r="C52" s="64"/>
      <c r="D52" s="64"/>
      <c r="E52" s="82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x14ac:dyDescent="0.3">
      <c r="A53" s="70" t="s">
        <v>31</v>
      </c>
      <c r="B53" s="71">
        <v>4</v>
      </c>
      <c r="C53" s="72"/>
      <c r="D53" s="72">
        <v>14000</v>
      </c>
      <c r="E53" s="72"/>
      <c r="F53" s="72"/>
      <c r="G53" s="64"/>
      <c r="H53" s="72"/>
      <c r="I53" s="62">
        <f t="shared" si="2"/>
        <v>14000</v>
      </c>
      <c r="L53" s="87"/>
      <c r="M53" s="87"/>
      <c r="N53" s="87"/>
      <c r="O53" s="87"/>
      <c r="P53" s="87"/>
      <c r="Q53" s="87"/>
      <c r="R53" s="87"/>
    </row>
    <row r="54" spans="1:27" ht="23.25" customHeight="1" x14ac:dyDescent="0.3">
      <c r="A54" s="70" t="s">
        <v>32</v>
      </c>
      <c r="B54" s="71">
        <v>4</v>
      </c>
      <c r="C54" s="72">
        <v>18000</v>
      </c>
      <c r="D54" s="64"/>
      <c r="E54" s="64"/>
      <c r="F54" s="64">
        <v>6000</v>
      </c>
      <c r="G54" s="64">
        <v>6000</v>
      </c>
      <c r="H54" s="64">
        <v>2000</v>
      </c>
      <c r="I54" s="62">
        <f t="shared" si="2"/>
        <v>32000</v>
      </c>
      <c r="L54" s="87"/>
      <c r="M54" s="87"/>
      <c r="N54" s="87"/>
      <c r="O54" s="87"/>
      <c r="P54" s="87"/>
      <c r="Q54" s="87"/>
      <c r="R54" s="87"/>
    </row>
    <row r="55" spans="1:27" ht="23.25" hidden="1" customHeight="1" x14ac:dyDescent="0.3">
      <c r="A55" s="17" t="s">
        <v>33</v>
      </c>
      <c r="B55" s="71">
        <v>4</v>
      </c>
      <c r="C55" s="64"/>
      <c r="D55" s="64"/>
      <c r="E55" s="64"/>
      <c r="F55" s="64"/>
      <c r="G55" s="64"/>
      <c r="H55" s="64"/>
      <c r="I55" s="62">
        <f t="shared" si="2"/>
        <v>0</v>
      </c>
      <c r="L55" s="87"/>
      <c r="M55" s="87"/>
      <c r="N55" s="87"/>
      <c r="O55" s="87"/>
      <c r="P55" s="87"/>
      <c r="Q55" s="87"/>
      <c r="R55" s="87"/>
    </row>
    <row r="56" spans="1:27" ht="23.25" hidden="1" customHeight="1" x14ac:dyDescent="0.3">
      <c r="A56" s="17" t="s">
        <v>34</v>
      </c>
      <c r="B56" s="71">
        <v>4</v>
      </c>
      <c r="C56" s="64"/>
      <c r="D56" s="64"/>
      <c r="E56" s="64"/>
      <c r="F56" s="64"/>
      <c r="G56" s="64"/>
      <c r="H56" s="64"/>
      <c r="I56" s="62">
        <f t="shared" si="2"/>
        <v>0</v>
      </c>
      <c r="L56" s="87"/>
      <c r="M56" s="87"/>
      <c r="N56" s="87"/>
      <c r="O56" s="87"/>
      <c r="P56" s="87"/>
      <c r="Q56" s="87"/>
      <c r="R56" s="87"/>
    </row>
    <row r="57" spans="1:27" ht="22.5" customHeight="1" x14ac:dyDescent="0.3">
      <c r="A57" s="70" t="s">
        <v>35</v>
      </c>
      <c r="B57" s="71">
        <v>4</v>
      </c>
      <c r="C57" s="64">
        <v>6000</v>
      </c>
      <c r="D57" s="64"/>
      <c r="E57" s="64"/>
      <c r="F57" s="64">
        <v>6000</v>
      </c>
      <c r="G57" s="64"/>
      <c r="H57" s="64">
        <v>4000</v>
      </c>
      <c r="I57" s="62">
        <f t="shared" si="2"/>
        <v>16000</v>
      </c>
      <c r="L57" s="87"/>
      <c r="M57" s="87"/>
      <c r="N57" s="87"/>
      <c r="O57" s="87"/>
      <c r="P57" s="87"/>
      <c r="Q57" s="87"/>
      <c r="R57" s="87"/>
    </row>
    <row r="58" spans="1:27" s="4" customFormat="1" ht="19.149999999999999" customHeight="1" x14ac:dyDescent="0.35">
      <c r="A58" s="88" t="s">
        <v>36</v>
      </c>
      <c r="B58" s="89"/>
      <c r="C58" s="90">
        <v>3</v>
      </c>
      <c r="D58" s="90">
        <v>3</v>
      </c>
      <c r="E58" s="90">
        <v>5</v>
      </c>
      <c r="F58" s="91">
        <v>3</v>
      </c>
      <c r="G58" s="90">
        <v>4</v>
      </c>
      <c r="H58" s="90">
        <v>1</v>
      </c>
      <c r="I58" s="92"/>
    </row>
    <row r="59" spans="1:27" ht="24.75" customHeight="1" x14ac:dyDescent="0.25">
      <c r="A59" s="93" t="s">
        <v>37</v>
      </c>
      <c r="B59" s="94"/>
      <c r="C59" s="95">
        <f>C58+C36</f>
        <v>28.466666666666665</v>
      </c>
      <c r="D59" s="95">
        <f>D58+D36</f>
        <v>40.799999999999997</v>
      </c>
      <c r="E59" s="95">
        <f>E58+E36</f>
        <v>37.466666666666669</v>
      </c>
      <c r="F59" s="95">
        <f>F58+F36</f>
        <v>32.266666666666666</v>
      </c>
      <c r="G59" s="95">
        <f>G58+G36</f>
        <v>37.666666666666664</v>
      </c>
      <c r="H59" s="95"/>
      <c r="I59" s="96"/>
      <c r="L59" s="87"/>
      <c r="M59" s="87"/>
      <c r="N59" s="87"/>
      <c r="O59" s="87"/>
      <c r="P59" s="87"/>
      <c r="Q59" s="87"/>
      <c r="R59" s="87"/>
    </row>
    <row r="60" spans="1:27" s="1" customFormat="1" ht="25.5" x14ac:dyDescent="0.35">
      <c r="A60" s="97"/>
      <c r="B60" s="98"/>
      <c r="C60" s="99" t="s">
        <v>38</v>
      </c>
      <c r="D60" s="100"/>
      <c r="E60" s="33" t="s">
        <v>39</v>
      </c>
      <c r="F60" s="4"/>
      <c r="G60" s="4"/>
      <c r="H60" s="4"/>
      <c r="I60" s="3"/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ht="25.5" x14ac:dyDescent="0.35">
      <c r="A61" s="101"/>
      <c r="B61" s="102"/>
      <c r="C61" s="103" t="s">
        <v>40</v>
      </c>
      <c r="D61" s="104"/>
      <c r="E61" s="105" t="s">
        <v>41</v>
      </c>
      <c r="F61" s="4"/>
      <c r="G61" s="4"/>
      <c r="H61" s="4"/>
      <c r="J61" s="87"/>
      <c r="K61" s="87"/>
      <c r="L61" s="106"/>
      <c r="M61" s="106"/>
      <c r="N61" s="106"/>
      <c r="O61" s="106"/>
      <c r="P61" s="106"/>
      <c r="Q61" s="106"/>
      <c r="R61" s="106"/>
    </row>
    <row r="62" spans="1:27" ht="20.25" x14ac:dyDescent="0.25">
      <c r="A62" s="107"/>
      <c r="B62" s="108"/>
      <c r="C62" s="107"/>
      <c r="D62" s="107"/>
      <c r="E62" s="107"/>
      <c r="F62" s="109"/>
      <c r="G62" s="110"/>
      <c r="H62" s="110"/>
      <c r="I62" s="1"/>
      <c r="J62" s="87"/>
      <c r="K62" s="87"/>
      <c r="L62" s="111"/>
      <c r="M62" s="111"/>
      <c r="N62" s="111"/>
      <c r="O62" s="111"/>
      <c r="P62" s="111"/>
      <c r="Q62" s="111"/>
      <c r="R62" s="111"/>
    </row>
    <row r="63" spans="1:27" x14ac:dyDescent="0.25">
      <c r="A63" s="112"/>
      <c r="B63" s="113"/>
      <c r="C63" s="112"/>
      <c r="D63" s="112"/>
      <c r="E63" s="112"/>
      <c r="F63" s="112"/>
      <c r="G63" s="87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87"/>
      <c r="H64" s="87"/>
      <c r="I64" s="87"/>
      <c r="J64" s="87"/>
      <c r="K64" s="87"/>
      <c r="L64" s="114"/>
      <c r="M64" s="114"/>
      <c r="N64" s="114"/>
      <c r="O64" s="114"/>
      <c r="P64" s="114"/>
      <c r="Q64" s="114"/>
      <c r="R64" s="114"/>
    </row>
    <row r="65" spans="1:18" x14ac:dyDescent="0.25">
      <c r="A65" s="112"/>
      <c r="B65" s="113"/>
      <c r="C65" s="112"/>
      <c r="D65" s="112"/>
      <c r="E65" s="112"/>
      <c r="F65" s="112"/>
      <c r="G65" s="87"/>
      <c r="H65" s="87"/>
      <c r="I65" s="87"/>
      <c r="J65" s="87"/>
      <c r="K65" s="87"/>
      <c r="L65" s="110"/>
      <c r="M65" s="110"/>
      <c r="N65" s="110"/>
      <c r="O65" s="110"/>
      <c r="P65" s="110"/>
      <c r="Q65" s="110"/>
      <c r="R65" s="110"/>
    </row>
    <row r="66" spans="1:18" x14ac:dyDescent="0.25"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 ht="25.5" x14ac:dyDescent="0.35">
      <c r="A67" s="1"/>
      <c r="B67" s="2"/>
      <c r="C67" s="1"/>
      <c r="D67" s="1"/>
      <c r="E67" s="1"/>
      <c r="F67" s="1"/>
      <c r="G67" s="87"/>
      <c r="H67" s="87"/>
      <c r="I67" s="87"/>
      <c r="J67" s="106"/>
      <c r="K67" s="106"/>
      <c r="L67" s="110"/>
      <c r="M67" s="110"/>
      <c r="N67" s="110"/>
      <c r="O67" s="110"/>
      <c r="P67" s="110"/>
      <c r="Q67" s="110"/>
      <c r="R67" s="110"/>
    </row>
    <row r="68" spans="1:18" x14ac:dyDescent="0.25">
      <c r="A68" s="1"/>
      <c r="B68" s="2"/>
      <c r="C68" s="1"/>
      <c r="D68" s="1"/>
      <c r="E68" s="1"/>
      <c r="F68" s="1"/>
      <c r="G68" s="87"/>
      <c r="H68" s="87"/>
      <c r="I68" s="87"/>
      <c r="J68" s="111"/>
      <c r="K68" s="111"/>
      <c r="L68" s="110"/>
      <c r="M68" s="110"/>
      <c r="N68" s="110"/>
      <c r="O68" s="110"/>
      <c r="P68" s="110"/>
      <c r="Q68" s="110"/>
      <c r="R68" s="110"/>
    </row>
    <row r="69" spans="1:18" ht="25.5" x14ac:dyDescent="0.35">
      <c r="A69" s="181"/>
      <c r="B69" s="181"/>
      <c r="C69" s="181"/>
      <c r="D69" s="181"/>
      <c r="E69" s="181"/>
      <c r="F69" s="181"/>
      <c r="G69" s="106"/>
      <c r="H69" s="106"/>
      <c r="I69" s="106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4"/>
      <c r="K70" s="114"/>
      <c r="L70" s="87"/>
      <c r="M70" s="87"/>
      <c r="N70" s="87"/>
      <c r="O70" s="87"/>
      <c r="P70" s="87"/>
      <c r="Q70" s="87"/>
      <c r="R70" s="87"/>
    </row>
    <row r="71" spans="1:18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110"/>
      <c r="K71" s="110"/>
      <c r="L71" s="87"/>
      <c r="M71" s="87"/>
      <c r="N71" s="87"/>
      <c r="O71" s="87"/>
      <c r="P71" s="87"/>
      <c r="Q71" s="87"/>
      <c r="R71" s="87"/>
    </row>
    <row r="72" spans="1:18" x14ac:dyDescent="0.25">
      <c r="A72" s="182"/>
      <c r="B72" s="116"/>
      <c r="C72" s="114"/>
      <c r="D72" s="114"/>
      <c r="E72" s="114"/>
      <c r="F72" s="114"/>
      <c r="G72" s="114"/>
      <c r="H72" s="114"/>
      <c r="I72" s="114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110"/>
      <c r="H73" s="110"/>
      <c r="I73" s="110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  <c r="J74" s="110"/>
      <c r="K74" s="110"/>
    </row>
    <row r="75" spans="1:18" x14ac:dyDescent="0.25">
      <c r="A75" s="112"/>
      <c r="B75" s="113"/>
      <c r="C75" s="112"/>
      <c r="D75" s="112"/>
      <c r="E75" s="112"/>
      <c r="F75" s="112"/>
      <c r="G75" s="110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0"/>
      <c r="H76" s="110"/>
      <c r="I76" s="110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87"/>
      <c r="H77" s="87"/>
      <c r="I77" s="87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87"/>
      <c r="H78" s="87"/>
      <c r="I78" s="87"/>
    </row>
    <row r="79" spans="1:18" x14ac:dyDescent="0.25">
      <c r="A79" s="1"/>
      <c r="B79" s="2"/>
      <c r="C79" s="1"/>
      <c r="D79" s="1"/>
      <c r="E79" s="1"/>
      <c r="F79" s="1"/>
      <c r="G79" s="87"/>
      <c r="H79" s="87"/>
      <c r="I79" s="87"/>
    </row>
  </sheetData>
  <mergeCells count="6">
    <mergeCell ref="A71:A72"/>
    <mergeCell ref="A2:I2"/>
    <mergeCell ref="A3:R3"/>
    <mergeCell ref="A4:R4"/>
    <mergeCell ref="M24:N25"/>
    <mergeCell ref="A69:F6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5BD4-BE20-4D3D-A088-CD03E6077B16}">
  <dimension ref="A1:AA75"/>
  <sheetViews>
    <sheetView topLeftCell="A2" zoomScale="90" zoomScaleNormal="90" workbookViewId="0">
      <pane ySplit="4" topLeftCell="A16" activePane="bottomLeft" state="frozen"/>
      <selection activeCell="A2" sqref="A2"/>
      <selection pane="bottomLeft" activeCell="G31" sqref="G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45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46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46041</v>
      </c>
      <c r="D5" s="7">
        <v>46042</v>
      </c>
      <c r="E5" s="7">
        <v>46043</v>
      </c>
      <c r="F5" s="7">
        <v>46044</v>
      </c>
      <c r="G5" s="7">
        <v>46045</v>
      </c>
      <c r="H5" s="7">
        <v>46046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9"/>
      <c r="E6" s="119"/>
      <c r="F6" s="119">
        <v>14000</v>
      </c>
      <c r="G6" s="119"/>
      <c r="H6" s="119"/>
      <c r="I6" s="10">
        <f t="shared" ref="I6:I31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14100</v>
      </c>
      <c r="D7" s="14"/>
      <c r="E7" s="14"/>
      <c r="F7" s="14">
        <v>14050</v>
      </c>
      <c r="G7" s="14"/>
      <c r="H7" s="14"/>
      <c r="I7" s="15">
        <f t="shared" si="0"/>
        <v>28150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>
        <v>11000</v>
      </c>
      <c r="I10" s="20">
        <f t="shared" si="0"/>
        <v>11000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>
        <v>16540</v>
      </c>
      <c r="G11" s="23"/>
      <c r="H11" s="23"/>
      <c r="I11" s="15">
        <f t="shared" si="0"/>
        <v>16540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>
        <v>17000</v>
      </c>
      <c r="E12" s="122"/>
      <c r="F12" s="123"/>
      <c r="G12" s="123"/>
      <c r="H12" s="123">
        <v>17000</v>
      </c>
      <c r="I12" s="20">
        <f t="shared" si="0"/>
        <v>34000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>
        <v>17070</v>
      </c>
      <c r="E13" s="23"/>
      <c r="F13" s="23"/>
      <c r="G13" s="23"/>
      <c r="H13" s="23"/>
      <c r="I13" s="15">
        <f t="shared" si="0"/>
        <v>17070</v>
      </c>
      <c r="J13" s="1"/>
      <c r="K13" s="11"/>
    </row>
    <row r="14" spans="1:18" s="12" customFormat="1" ht="22.15" customHeight="1" x14ac:dyDescent="0.25">
      <c r="A14" s="120" t="s">
        <v>7</v>
      </c>
      <c r="B14" s="18">
        <v>2.8</v>
      </c>
      <c r="C14" s="121">
        <v>16000</v>
      </c>
      <c r="D14" s="121"/>
      <c r="E14" s="122"/>
      <c r="F14" s="122">
        <v>16000</v>
      </c>
      <c r="G14" s="122">
        <v>24000</v>
      </c>
      <c r="H14" s="122">
        <v>5000</v>
      </c>
      <c r="I14" s="20">
        <f t="shared" si="0"/>
        <v>61000</v>
      </c>
      <c r="J14" s="1"/>
      <c r="K14" s="11"/>
    </row>
    <row r="15" spans="1:18" s="12" customFormat="1" ht="22.15" customHeight="1" x14ac:dyDescent="0.25">
      <c r="A15" s="21"/>
      <c r="B15" s="22"/>
      <c r="C15" s="24">
        <v>16240</v>
      </c>
      <c r="D15" s="23"/>
      <c r="E15" s="23"/>
      <c r="F15" s="23">
        <v>16540</v>
      </c>
      <c r="G15" s="23">
        <v>19730</v>
      </c>
      <c r="H15" s="23"/>
      <c r="I15" s="15">
        <f t="shared" si="0"/>
        <v>52510</v>
      </c>
      <c r="J15" s="1"/>
      <c r="K15" s="11"/>
    </row>
    <row r="16" spans="1:18" s="12" customFormat="1" ht="22.15" customHeight="1" x14ac:dyDescent="0.25">
      <c r="A16" s="9" t="s">
        <v>11</v>
      </c>
      <c r="B16" s="26">
        <v>4</v>
      </c>
      <c r="C16" s="121"/>
      <c r="D16" s="121">
        <v>16000</v>
      </c>
      <c r="E16" s="121">
        <v>16000</v>
      </c>
      <c r="F16" s="121"/>
      <c r="G16" s="121">
        <v>8000</v>
      </c>
      <c r="H16" s="121"/>
      <c r="I16" s="20">
        <f t="shared" si="0"/>
        <v>40000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3">
        <v>16420</v>
      </c>
      <c r="E17" s="23">
        <v>16320</v>
      </c>
      <c r="F17" s="23"/>
      <c r="G17" s="23">
        <v>9580</v>
      </c>
      <c r="H17" s="23"/>
      <c r="I17" s="15"/>
      <c r="J17" s="1"/>
      <c r="K17" s="11"/>
    </row>
    <row r="18" spans="1:27" s="1" customFormat="1" ht="22.15" customHeight="1" x14ac:dyDescent="0.25">
      <c r="A18" s="25" t="s">
        <v>47</v>
      </c>
      <c r="B18" s="26">
        <v>4</v>
      </c>
      <c r="C18" s="27">
        <v>14000</v>
      </c>
      <c r="D18" s="27">
        <v>30000</v>
      </c>
      <c r="E18" s="27">
        <v>31000</v>
      </c>
      <c r="F18" s="27">
        <v>14000</v>
      </c>
      <c r="G18" s="27">
        <v>14000</v>
      </c>
      <c r="H18" s="27"/>
      <c r="I18" s="20">
        <f>SUM(C18:H18)</f>
        <v>103000</v>
      </c>
      <c r="K18" s="11"/>
    </row>
    <row r="19" spans="1:27" s="1" customFormat="1" ht="22.15" customHeight="1" x14ac:dyDescent="0.25">
      <c r="A19" s="28"/>
      <c r="B19" s="29"/>
      <c r="C19" s="24">
        <v>13970</v>
      </c>
      <c r="D19" s="24">
        <v>13790</v>
      </c>
      <c r="E19" s="30">
        <v>13340</v>
      </c>
      <c r="F19" s="30">
        <v>14330</v>
      </c>
      <c r="G19" s="30">
        <v>13460</v>
      </c>
      <c r="H19" s="30"/>
      <c r="I19" s="15">
        <f t="shared" si="0"/>
        <v>68890</v>
      </c>
      <c r="K19" s="11"/>
    </row>
    <row r="20" spans="1:27" s="1" customFormat="1" ht="22.15" customHeight="1" x14ac:dyDescent="0.25">
      <c r="A20" s="124" t="s">
        <v>48</v>
      </c>
      <c r="B20" s="26">
        <v>4</v>
      </c>
      <c r="C20" s="27">
        <v>102000</v>
      </c>
      <c r="D20" s="27">
        <v>102000</v>
      </c>
      <c r="E20" s="27">
        <v>84000</v>
      </c>
      <c r="F20" s="27"/>
      <c r="G20" s="27">
        <v>15000</v>
      </c>
      <c r="H20" s="27"/>
      <c r="I20" s="20">
        <f>SUM(C20:H20)</f>
        <v>303000</v>
      </c>
      <c r="K20" s="11"/>
    </row>
    <row r="21" spans="1:27" s="1" customFormat="1" ht="22.15" customHeight="1" x14ac:dyDescent="0.25">
      <c r="A21" s="28"/>
      <c r="B21" s="29"/>
      <c r="C21" s="24">
        <v>85350</v>
      </c>
      <c r="D21" s="24">
        <v>59320</v>
      </c>
      <c r="E21" s="30">
        <v>53090</v>
      </c>
      <c r="F21" s="30">
        <v>27720</v>
      </c>
      <c r="G21" s="30">
        <v>28540</v>
      </c>
      <c r="H21" s="30"/>
      <c r="I21" s="15">
        <f t="shared" si="0"/>
        <v>254020</v>
      </c>
      <c r="K21" s="11"/>
    </row>
    <row r="22" spans="1:27" s="33" customFormat="1" ht="22.15" customHeight="1" x14ac:dyDescent="0.25">
      <c r="A22" s="25" t="s">
        <v>49</v>
      </c>
      <c r="B22" s="26">
        <v>4</v>
      </c>
      <c r="C22" s="27"/>
      <c r="D22" s="27">
        <v>45000</v>
      </c>
      <c r="E22" s="27">
        <v>32000</v>
      </c>
      <c r="F22" s="27">
        <v>14000</v>
      </c>
      <c r="G22" s="27">
        <v>61000</v>
      </c>
      <c r="H22" s="27">
        <v>28000</v>
      </c>
      <c r="I22" s="31">
        <f t="shared" si="0"/>
        <v>180000</v>
      </c>
      <c r="J22" s="32"/>
      <c r="K22" s="11"/>
    </row>
    <row r="23" spans="1:27" s="33" customFormat="1" ht="22.15" customHeight="1" x14ac:dyDescent="0.25">
      <c r="A23" s="28"/>
      <c r="B23" s="29"/>
      <c r="C23" s="24"/>
      <c r="D23" s="24">
        <v>13550</v>
      </c>
      <c r="E23" s="30">
        <v>15230</v>
      </c>
      <c r="F23" s="30">
        <v>13830</v>
      </c>
      <c r="G23" s="30">
        <v>40260</v>
      </c>
      <c r="H23" s="30"/>
      <c r="I23" s="15">
        <f t="shared" si="0"/>
        <v>82870</v>
      </c>
      <c r="J23" s="32"/>
      <c r="K23" s="11"/>
      <c r="L23" s="34"/>
      <c r="M23" s="35"/>
      <c r="N23" s="35"/>
      <c r="O23" s="35"/>
      <c r="P23" s="35"/>
      <c r="Q23" s="35"/>
      <c r="R23" s="35"/>
      <c r="S23" s="36"/>
      <c r="T23" s="35"/>
      <c r="U23" s="37"/>
      <c r="V23" s="35"/>
      <c r="W23" s="35"/>
      <c r="X23" s="37"/>
      <c r="Y23" s="35"/>
      <c r="Z23" s="35"/>
      <c r="AA23" s="35"/>
    </row>
    <row r="24" spans="1:27" s="1" customFormat="1" ht="22.15" customHeight="1" x14ac:dyDescent="0.35">
      <c r="A24" s="25" t="s">
        <v>50</v>
      </c>
      <c r="B24" s="26">
        <v>4</v>
      </c>
      <c r="C24" s="125">
        <v>29000</v>
      </c>
      <c r="D24" s="125">
        <v>117000</v>
      </c>
      <c r="E24" s="125">
        <v>67000</v>
      </c>
      <c r="F24" s="125">
        <v>70000</v>
      </c>
      <c r="G24" s="125"/>
      <c r="H24" s="125">
        <v>14000</v>
      </c>
      <c r="I24" s="31">
        <f t="shared" si="0"/>
        <v>297000</v>
      </c>
      <c r="J24" s="32"/>
      <c r="K24" s="11"/>
      <c r="L24" s="4"/>
      <c r="M24" s="180" t="s">
        <v>10</v>
      </c>
      <c r="N24" s="180"/>
      <c r="P24" s="4"/>
      <c r="X24" s="4"/>
      <c r="Y24" s="4"/>
      <c r="Z24" s="4"/>
      <c r="AA24" s="4"/>
    </row>
    <row r="25" spans="1:27" s="1" customFormat="1" ht="22.15" customHeight="1" x14ac:dyDescent="0.35">
      <c r="A25" s="39"/>
      <c r="B25" s="40"/>
      <c r="C25" s="24">
        <v>56580</v>
      </c>
      <c r="D25" s="24">
        <v>86350</v>
      </c>
      <c r="E25" s="30">
        <v>64160</v>
      </c>
      <c r="F25" s="30">
        <v>43080</v>
      </c>
      <c r="G25" s="30">
        <v>92100</v>
      </c>
      <c r="H25" s="30"/>
      <c r="I25" s="15">
        <f t="shared" si="0"/>
        <v>342270</v>
      </c>
      <c r="J25" s="32"/>
      <c r="K25" s="11"/>
      <c r="L25" s="4"/>
      <c r="M25" s="180"/>
      <c r="N25" s="180"/>
      <c r="P25" s="4"/>
      <c r="X25" s="4"/>
      <c r="Y25" s="4"/>
      <c r="Z25" s="4"/>
      <c r="AA25" s="4"/>
    </row>
    <row r="26" spans="1:27" s="4" customFormat="1" ht="21.75" customHeight="1" x14ac:dyDescent="0.35">
      <c r="A26" s="25" t="s">
        <v>51</v>
      </c>
      <c r="B26" s="26">
        <v>4</v>
      </c>
      <c r="C26" s="27">
        <v>163000</v>
      </c>
      <c r="D26" s="27">
        <v>304000</v>
      </c>
      <c r="E26" s="27">
        <v>315000</v>
      </c>
      <c r="F26" s="27">
        <v>245000</v>
      </c>
      <c r="G26" s="27">
        <v>256000</v>
      </c>
      <c r="H26" s="27">
        <v>90000</v>
      </c>
      <c r="I26" s="31">
        <f t="shared" si="0"/>
        <v>1373000</v>
      </c>
      <c r="J26" s="1"/>
    </row>
    <row r="27" spans="1:27" s="4" customFormat="1" ht="21.75" customHeight="1" x14ac:dyDescent="0.35">
      <c r="A27" s="39"/>
      <c r="B27" s="40"/>
      <c r="C27" s="24">
        <v>177720</v>
      </c>
      <c r="D27" s="24">
        <v>192000</v>
      </c>
      <c r="E27" s="30">
        <v>297500</v>
      </c>
      <c r="F27" s="30">
        <v>173980</v>
      </c>
      <c r="G27" s="30">
        <v>298550</v>
      </c>
      <c r="H27" s="30"/>
      <c r="I27" s="15">
        <f t="shared" si="0"/>
        <v>1139750</v>
      </c>
    </row>
    <row r="28" spans="1:27" s="4" customFormat="1" ht="21" customHeight="1" x14ac:dyDescent="0.35">
      <c r="A28" s="25" t="s">
        <v>52</v>
      </c>
      <c r="B28" s="26">
        <v>4</v>
      </c>
      <c r="C28" s="27">
        <v>14000</v>
      </c>
      <c r="D28" s="27">
        <v>89000</v>
      </c>
      <c r="E28" s="27">
        <v>45000</v>
      </c>
      <c r="F28" s="27">
        <v>90000</v>
      </c>
      <c r="G28" s="27">
        <v>45000</v>
      </c>
      <c r="H28" s="27">
        <v>17000</v>
      </c>
      <c r="I28" s="31">
        <f t="shared" si="0"/>
        <v>300000</v>
      </c>
    </row>
    <row r="29" spans="1:27" s="4" customFormat="1" ht="20.45" customHeight="1" x14ac:dyDescent="0.35">
      <c r="A29" s="49"/>
      <c r="B29" s="50"/>
      <c r="C29" s="51">
        <v>13700</v>
      </c>
      <c r="D29" s="51">
        <v>44720</v>
      </c>
      <c r="E29" s="51">
        <v>59290</v>
      </c>
      <c r="F29" s="52">
        <v>60740</v>
      </c>
      <c r="G29" s="51">
        <v>57520</v>
      </c>
      <c r="H29" s="51"/>
      <c r="I29" s="15">
        <f t="shared" si="0"/>
        <v>235970</v>
      </c>
    </row>
    <row r="30" spans="1:27" s="4" customFormat="1" ht="20.45" customHeight="1" x14ac:dyDescent="0.35">
      <c r="A30" s="126" t="s">
        <v>14</v>
      </c>
      <c r="B30" s="127">
        <v>4</v>
      </c>
      <c r="C30" s="136">
        <v>15000</v>
      </c>
      <c r="D30" s="129">
        <v>31000</v>
      </c>
      <c r="E30" s="129">
        <v>14000</v>
      </c>
      <c r="F30" s="129">
        <v>16000</v>
      </c>
      <c r="G30" s="129">
        <v>30000</v>
      </c>
      <c r="H30" s="129"/>
      <c r="I30" s="130">
        <f t="shared" si="0"/>
        <v>106000</v>
      </c>
    </row>
    <row r="31" spans="1:27" s="4" customFormat="1" ht="20.45" customHeight="1" x14ac:dyDescent="0.35">
      <c r="A31" s="49"/>
      <c r="B31" s="50"/>
      <c r="C31" s="51">
        <v>31770</v>
      </c>
      <c r="D31" s="131"/>
      <c r="E31" s="51">
        <v>28700</v>
      </c>
      <c r="F31" s="52">
        <v>36260</v>
      </c>
      <c r="G31" s="51">
        <v>15220</v>
      </c>
      <c r="H31" s="51"/>
      <c r="I31" s="15">
        <f t="shared" si="0"/>
        <v>111950</v>
      </c>
    </row>
    <row r="32" spans="1:27" s="4" customFormat="1" ht="19.149999999999999" customHeight="1" x14ac:dyDescent="0.35">
      <c r="A32" s="56" t="s">
        <v>16</v>
      </c>
      <c r="B32" s="57"/>
      <c r="C32" s="58">
        <f t="shared" ref="C32:H32" si="1">(C12+C18+C22+C26+C28)/15000</f>
        <v>12.733333333333333</v>
      </c>
      <c r="D32" s="58">
        <f t="shared" si="1"/>
        <v>32.333333333333336</v>
      </c>
      <c r="E32" s="58">
        <f t="shared" si="1"/>
        <v>28.2</v>
      </c>
      <c r="F32" s="58">
        <f t="shared" si="1"/>
        <v>24.2</v>
      </c>
      <c r="G32" s="58">
        <f t="shared" si="1"/>
        <v>25.066666666666666</v>
      </c>
      <c r="H32" s="58">
        <f t="shared" si="1"/>
        <v>10.133333333333333</v>
      </c>
      <c r="I32" s="59"/>
    </row>
    <row r="33" spans="1:27" s="4" customFormat="1" ht="20.45" customHeight="1" x14ac:dyDescent="0.35">
      <c r="A33" s="17" t="s">
        <v>17</v>
      </c>
      <c r="B33" s="60">
        <v>4</v>
      </c>
      <c r="C33" s="61">
        <v>14000</v>
      </c>
      <c r="D33" s="61">
        <v>14000</v>
      </c>
      <c r="E33" s="61">
        <v>14000</v>
      </c>
      <c r="F33" s="61">
        <v>14000</v>
      </c>
      <c r="G33" s="61">
        <v>14000</v>
      </c>
      <c r="H33" s="61">
        <v>14000</v>
      </c>
      <c r="I33" s="62">
        <f t="shared" ref="I33:I53" si="2">SUM(C33:H33)</f>
        <v>84000</v>
      </c>
    </row>
    <row r="34" spans="1:27" s="4" customFormat="1" ht="21" hidden="1" customHeight="1" x14ac:dyDescent="0.35">
      <c r="A34" s="17" t="s">
        <v>18</v>
      </c>
      <c r="B34" s="63">
        <v>2.5</v>
      </c>
      <c r="C34" s="64"/>
      <c r="D34" s="64"/>
      <c r="E34" s="64"/>
      <c r="F34" s="64"/>
      <c r="G34" s="64"/>
      <c r="H34" s="64"/>
      <c r="I34" s="62">
        <f t="shared" si="2"/>
        <v>0</v>
      </c>
    </row>
    <row r="35" spans="1:27" s="4" customFormat="1" ht="23.25" customHeight="1" x14ac:dyDescent="0.35">
      <c r="A35" s="65">
        <v>502</v>
      </c>
      <c r="B35" s="66" t="s">
        <v>19</v>
      </c>
      <c r="C35" s="64"/>
      <c r="D35" s="64"/>
      <c r="E35" s="64">
        <v>14000</v>
      </c>
      <c r="F35" s="64"/>
      <c r="G35" s="64"/>
      <c r="H35" s="64">
        <v>14000</v>
      </c>
      <c r="I35" s="62">
        <f t="shared" si="2"/>
        <v>28000</v>
      </c>
    </row>
    <row r="36" spans="1:27" s="4" customFormat="1" ht="23.25" customHeight="1" x14ac:dyDescent="0.35">
      <c r="A36" s="67" t="s">
        <v>59</v>
      </c>
      <c r="B36" s="68">
        <v>2.5</v>
      </c>
      <c r="C36" s="64"/>
      <c r="D36" s="64">
        <v>14000</v>
      </c>
      <c r="E36" s="69"/>
      <c r="F36" s="64"/>
      <c r="G36" s="64"/>
      <c r="H36" s="64"/>
      <c r="I36" s="62">
        <f t="shared" si="2"/>
        <v>14000</v>
      </c>
    </row>
    <row r="37" spans="1:27" s="4" customFormat="1" ht="20.25" hidden="1" customHeight="1" x14ac:dyDescent="0.35">
      <c r="A37" s="67" t="s">
        <v>21</v>
      </c>
      <c r="B37" s="68">
        <v>3.5</v>
      </c>
      <c r="C37" s="64"/>
      <c r="D37" s="64"/>
      <c r="E37" s="64"/>
      <c r="F37" s="64"/>
      <c r="G37" s="64"/>
      <c r="H37" s="64"/>
      <c r="I37" s="62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t="20.25" hidden="1" customHeight="1" x14ac:dyDescent="0.35">
      <c r="A38" s="67" t="s">
        <v>22</v>
      </c>
      <c r="B38" s="68">
        <v>3.5</v>
      </c>
      <c r="C38" s="64"/>
      <c r="D38" s="64"/>
      <c r="E38" s="64"/>
      <c r="F38" s="64"/>
      <c r="G38" s="64"/>
      <c r="H38" s="64"/>
      <c r="I38" s="62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70" t="s">
        <v>23</v>
      </c>
      <c r="B39" s="71">
        <v>2.5</v>
      </c>
      <c r="C39" s="72"/>
      <c r="D39" s="138">
        <v>19000</v>
      </c>
      <c r="E39" s="74"/>
      <c r="F39" s="72">
        <v>14000</v>
      </c>
      <c r="G39" s="64">
        <v>5000</v>
      </c>
      <c r="H39" s="72">
        <v>14000</v>
      </c>
      <c r="I39" s="62">
        <f t="shared" si="2"/>
        <v>52000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78" customFormat="1" ht="20.25" hidden="1" customHeight="1" x14ac:dyDescent="0.35">
      <c r="A40" s="17" t="s">
        <v>24</v>
      </c>
      <c r="B40" s="71">
        <v>2.8</v>
      </c>
      <c r="C40" s="75"/>
      <c r="D40" s="76"/>
      <c r="E40" s="77"/>
      <c r="F40" s="75"/>
      <c r="G40" s="75"/>
      <c r="H40" s="75"/>
      <c r="I40" s="62">
        <f t="shared" si="2"/>
        <v>0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s="4" customFormat="1" ht="18.75" customHeight="1" x14ac:dyDescent="0.35">
      <c r="A41" s="70" t="s">
        <v>25</v>
      </c>
      <c r="B41" s="71">
        <v>2.8</v>
      </c>
      <c r="C41" s="64"/>
      <c r="D41" s="64"/>
      <c r="E41" s="80"/>
      <c r="F41" s="72"/>
      <c r="G41" s="64"/>
      <c r="H41" s="72">
        <v>14000</v>
      </c>
      <c r="I41" s="62">
        <f t="shared" si="2"/>
        <v>14000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18.75" customHeight="1" x14ac:dyDescent="0.35">
      <c r="A42" s="70" t="s">
        <v>26</v>
      </c>
      <c r="B42" s="71">
        <v>2.8</v>
      </c>
      <c r="C42" s="72">
        <v>14000</v>
      </c>
      <c r="D42" s="137">
        <v>13000</v>
      </c>
      <c r="E42" s="80"/>
      <c r="F42" s="64"/>
      <c r="G42" s="64">
        <v>5000</v>
      </c>
      <c r="H42" s="72"/>
      <c r="I42" s="62">
        <f t="shared" si="2"/>
        <v>32000</v>
      </c>
      <c r="J42" s="84"/>
      <c r="K42" s="1" t="s">
        <v>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18.75" customHeight="1" x14ac:dyDescent="0.35">
      <c r="A43" s="70" t="s">
        <v>53</v>
      </c>
      <c r="B43" s="71">
        <v>2.8</v>
      </c>
      <c r="C43" s="64"/>
      <c r="D43" s="83">
        <v>11000</v>
      </c>
      <c r="E43" s="80"/>
      <c r="F43" s="72"/>
      <c r="G43" s="64">
        <v>5000</v>
      </c>
      <c r="H43" s="72"/>
      <c r="I43" s="62">
        <f t="shared" si="2"/>
        <v>16000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4" customFormat="1" ht="18.75" customHeight="1" x14ac:dyDescent="0.35">
      <c r="A44" s="70" t="s">
        <v>28</v>
      </c>
      <c r="B44" s="71">
        <v>2.8</v>
      </c>
      <c r="C44" s="64"/>
      <c r="D44" s="64"/>
      <c r="E44" s="82"/>
      <c r="F44" s="64"/>
      <c r="G44" s="64"/>
      <c r="H44" s="64"/>
      <c r="I44" s="62">
        <f>SUM(C44:H44)</f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85">
        <v>552</v>
      </c>
      <c r="B45" s="63">
        <v>4</v>
      </c>
      <c r="C45" s="64">
        <v>5000</v>
      </c>
      <c r="D45" s="64"/>
      <c r="E45" s="82">
        <v>5000</v>
      </c>
      <c r="F45" s="64">
        <v>4000</v>
      </c>
      <c r="G45" s="64"/>
      <c r="H45" s="64">
        <v>5000</v>
      </c>
      <c r="I45" s="62">
        <f t="shared" si="2"/>
        <v>19000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1" customFormat="1" ht="23.25" hidden="1" customHeight="1" x14ac:dyDescent="0.3">
      <c r="A46" s="70">
        <v>553</v>
      </c>
      <c r="B46" s="71">
        <v>2.8</v>
      </c>
      <c r="C46" s="64"/>
      <c r="D46" s="64"/>
      <c r="E46" s="80"/>
      <c r="F46" s="83"/>
      <c r="G46" s="64"/>
      <c r="H46" s="64"/>
      <c r="I46" s="62">
        <f t="shared" si="2"/>
        <v>0</v>
      </c>
    </row>
    <row r="47" spans="1:27" s="1" customFormat="1" ht="21" customHeight="1" x14ac:dyDescent="0.3">
      <c r="A47" s="70" t="s">
        <v>29</v>
      </c>
      <c r="B47" s="71">
        <v>4</v>
      </c>
      <c r="C47" s="64">
        <v>8000</v>
      </c>
      <c r="D47" s="72"/>
      <c r="E47" s="82">
        <v>8000</v>
      </c>
      <c r="F47" s="72">
        <v>38000</v>
      </c>
      <c r="G47" s="64"/>
      <c r="H47" s="64">
        <v>12000</v>
      </c>
      <c r="I47" s="62">
        <f t="shared" si="2"/>
        <v>66000</v>
      </c>
      <c r="L47" s="87"/>
      <c r="M47" s="87"/>
      <c r="N47" s="87"/>
      <c r="O47" s="87"/>
      <c r="P47" s="87"/>
      <c r="Q47" s="87"/>
      <c r="R47" s="87"/>
      <c r="S47" s="3"/>
      <c r="T47" s="3"/>
      <c r="U47" s="3"/>
      <c r="V47" s="3"/>
      <c r="W47" s="3"/>
      <c r="X47" s="3"/>
      <c r="Y47" s="3"/>
      <c r="Z47" s="3"/>
      <c r="AA47" s="3"/>
    </row>
    <row r="48" spans="1:27" s="1" customFormat="1" ht="21" hidden="1" customHeight="1" x14ac:dyDescent="0.3">
      <c r="A48" s="17" t="s">
        <v>30</v>
      </c>
      <c r="B48" s="71">
        <v>4</v>
      </c>
      <c r="C48" s="64"/>
      <c r="D48" s="64"/>
      <c r="E48" s="82"/>
      <c r="F48" s="64"/>
      <c r="G48" s="64"/>
      <c r="H48" s="64"/>
      <c r="I48" s="62">
        <f t="shared" si="2"/>
        <v>0</v>
      </c>
      <c r="L48" s="87"/>
      <c r="M48" s="87"/>
      <c r="N48" s="87"/>
      <c r="O48" s="87"/>
      <c r="P48" s="87"/>
      <c r="Q48" s="87"/>
      <c r="R48" s="87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x14ac:dyDescent="0.3">
      <c r="A49" s="70" t="s">
        <v>31</v>
      </c>
      <c r="B49" s="71">
        <v>4</v>
      </c>
      <c r="C49" s="72">
        <v>14000</v>
      </c>
      <c r="D49" s="72"/>
      <c r="E49" s="72"/>
      <c r="F49" s="72"/>
      <c r="G49" s="64"/>
      <c r="H49" s="72"/>
      <c r="I49" s="62">
        <f t="shared" si="2"/>
        <v>14000</v>
      </c>
      <c r="L49" s="87"/>
      <c r="M49" s="87"/>
      <c r="N49" s="87"/>
      <c r="O49" s="87"/>
      <c r="P49" s="87"/>
      <c r="Q49" s="87"/>
      <c r="R49" s="87"/>
    </row>
    <row r="50" spans="1:27" ht="23.25" customHeight="1" x14ac:dyDescent="0.3">
      <c r="A50" s="70" t="s">
        <v>32</v>
      </c>
      <c r="B50" s="71">
        <v>4</v>
      </c>
      <c r="C50" s="64">
        <v>8000</v>
      </c>
      <c r="D50" s="64">
        <v>14000</v>
      </c>
      <c r="E50" s="72"/>
      <c r="F50" s="64">
        <v>4000</v>
      </c>
      <c r="G50" s="64"/>
      <c r="H50" s="64">
        <v>4000</v>
      </c>
      <c r="I50" s="62">
        <f t="shared" si="2"/>
        <v>30000</v>
      </c>
      <c r="L50" s="87"/>
      <c r="M50" s="87"/>
      <c r="N50" s="87"/>
      <c r="O50" s="87"/>
      <c r="P50" s="87"/>
      <c r="Q50" s="87"/>
      <c r="R50" s="87"/>
    </row>
    <row r="51" spans="1:27" ht="23.25" hidden="1" customHeight="1" x14ac:dyDescent="0.3">
      <c r="A51" s="17" t="s">
        <v>33</v>
      </c>
      <c r="B51" s="71">
        <v>4</v>
      </c>
      <c r="C51" s="64"/>
      <c r="D51" s="64"/>
      <c r="E51" s="64"/>
      <c r="F51" s="64"/>
      <c r="G51" s="64"/>
      <c r="H51" s="64"/>
      <c r="I51" s="62">
        <f t="shared" si="2"/>
        <v>0</v>
      </c>
      <c r="L51" s="87"/>
      <c r="M51" s="87"/>
      <c r="N51" s="87"/>
      <c r="O51" s="87"/>
      <c r="P51" s="87"/>
      <c r="Q51" s="87"/>
      <c r="R51" s="87"/>
    </row>
    <row r="52" spans="1:27" ht="23.25" hidden="1" customHeight="1" x14ac:dyDescent="0.3">
      <c r="A52" s="17" t="s">
        <v>34</v>
      </c>
      <c r="B52" s="71">
        <v>4</v>
      </c>
      <c r="C52" s="64"/>
      <c r="D52" s="64"/>
      <c r="E52" s="64"/>
      <c r="F52" s="64"/>
      <c r="G52" s="64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</row>
    <row r="53" spans="1:27" ht="22.5" customHeight="1" x14ac:dyDescent="0.3">
      <c r="A53" s="70" t="s">
        <v>35</v>
      </c>
      <c r="B53" s="71">
        <v>4</v>
      </c>
      <c r="C53" s="64">
        <v>6000</v>
      </c>
      <c r="D53" s="64"/>
      <c r="E53" s="64"/>
      <c r="F53" s="64">
        <v>19000</v>
      </c>
      <c r="G53" s="64"/>
      <c r="H53" s="64">
        <v>4000</v>
      </c>
      <c r="I53" s="62">
        <f t="shared" si="2"/>
        <v>29000</v>
      </c>
      <c r="L53" s="87"/>
      <c r="M53" s="87"/>
      <c r="N53" s="87"/>
      <c r="O53" s="87"/>
      <c r="P53" s="87"/>
      <c r="Q53" s="87"/>
      <c r="R53" s="87"/>
    </row>
    <row r="54" spans="1:27" s="4" customFormat="1" ht="19.149999999999999" customHeight="1" x14ac:dyDescent="0.35">
      <c r="A54" s="88" t="s">
        <v>36</v>
      </c>
      <c r="B54" s="89"/>
      <c r="C54" s="90">
        <v>3</v>
      </c>
      <c r="D54" s="90">
        <v>3</v>
      </c>
      <c r="E54" s="90">
        <v>5</v>
      </c>
      <c r="F54" s="91">
        <v>3</v>
      </c>
      <c r="G54" s="90">
        <v>4</v>
      </c>
      <c r="H54" s="90">
        <v>1</v>
      </c>
      <c r="I54" s="92"/>
    </row>
    <row r="55" spans="1:27" ht="24.75" customHeight="1" x14ac:dyDescent="0.25">
      <c r="A55" s="93" t="s">
        <v>37</v>
      </c>
      <c r="B55" s="94"/>
      <c r="C55" s="95">
        <f>C54+C32</f>
        <v>15.733333333333333</v>
      </c>
      <c r="D55" s="95">
        <f>D54+D32</f>
        <v>35.333333333333336</v>
      </c>
      <c r="E55" s="95">
        <f>E54+E32</f>
        <v>33.200000000000003</v>
      </c>
      <c r="F55" s="95">
        <f>F54+F32</f>
        <v>27.2</v>
      </c>
      <c r="G55" s="95">
        <f>G54+G32</f>
        <v>29.066666666666666</v>
      </c>
      <c r="H55" s="95"/>
      <c r="I55" s="96"/>
      <c r="L55" s="87"/>
      <c r="M55" s="87"/>
      <c r="N55" s="87"/>
      <c r="O55" s="87"/>
      <c r="P55" s="87"/>
      <c r="Q55" s="87"/>
      <c r="R55" s="87"/>
    </row>
    <row r="56" spans="1:27" s="1" customFormat="1" ht="25.5" x14ac:dyDescent="0.35">
      <c r="A56" s="97"/>
      <c r="B56" s="98"/>
      <c r="C56" s="99" t="s">
        <v>38</v>
      </c>
      <c r="D56" s="100"/>
      <c r="E56" s="33" t="s">
        <v>39</v>
      </c>
      <c r="F56" s="4"/>
      <c r="G56" s="4"/>
      <c r="H56" s="4"/>
      <c r="I56" s="3"/>
      <c r="L56" s="87"/>
      <c r="M56" s="87"/>
      <c r="N56" s="87"/>
      <c r="O56" s="87"/>
      <c r="P56" s="87"/>
      <c r="Q56" s="87"/>
      <c r="R56" s="87"/>
      <c r="S56" s="3"/>
      <c r="T56" s="3"/>
      <c r="U56" s="3"/>
      <c r="V56" s="3"/>
      <c r="W56" s="3"/>
      <c r="X56" s="3"/>
      <c r="Y56" s="3"/>
      <c r="Z56" s="3"/>
      <c r="AA56" s="3"/>
    </row>
    <row r="57" spans="1:27" ht="25.5" x14ac:dyDescent="0.35">
      <c r="A57" s="101"/>
      <c r="B57" s="102"/>
      <c r="C57" s="103" t="s">
        <v>40</v>
      </c>
      <c r="D57" s="104"/>
      <c r="E57" s="105" t="s">
        <v>41</v>
      </c>
      <c r="F57" s="4"/>
      <c r="G57" s="4"/>
      <c r="H57" s="4"/>
      <c r="J57" s="87"/>
      <c r="K57" s="87"/>
      <c r="L57" s="106"/>
      <c r="M57" s="106"/>
      <c r="N57" s="106"/>
      <c r="O57" s="106"/>
      <c r="P57" s="106"/>
      <c r="Q57" s="106"/>
      <c r="R57" s="106"/>
    </row>
    <row r="58" spans="1:27" ht="20.25" x14ac:dyDescent="0.25">
      <c r="A58" s="107"/>
      <c r="B58" s="108"/>
      <c r="C58" s="107"/>
      <c r="D58" s="107"/>
      <c r="E58" s="107"/>
      <c r="F58" s="109"/>
      <c r="G58" s="110"/>
      <c r="H58" s="110"/>
      <c r="I58" s="1"/>
      <c r="J58" s="87"/>
      <c r="K58" s="87"/>
      <c r="L58" s="111"/>
      <c r="M58" s="111"/>
      <c r="N58" s="111"/>
      <c r="O58" s="111"/>
      <c r="P58" s="111"/>
      <c r="Q58" s="111"/>
      <c r="R58" s="111"/>
    </row>
    <row r="59" spans="1:27" x14ac:dyDescent="0.25">
      <c r="A59" s="112"/>
      <c r="B59" s="113"/>
      <c r="C59" s="112"/>
      <c r="D59" s="112"/>
      <c r="E59" s="112"/>
      <c r="F59" s="112"/>
      <c r="G59" s="87"/>
      <c r="H59" s="87"/>
      <c r="I59" s="87"/>
      <c r="J59" s="87"/>
      <c r="K59" s="87"/>
      <c r="L59" s="114"/>
      <c r="M59" s="114"/>
      <c r="N59" s="114"/>
      <c r="O59" s="114"/>
      <c r="P59" s="114"/>
      <c r="Q59" s="114"/>
      <c r="R59" s="114"/>
    </row>
    <row r="60" spans="1:27" x14ac:dyDescent="0.25">
      <c r="A60" s="112"/>
      <c r="B60" s="113"/>
      <c r="C60" s="112"/>
      <c r="D60" s="112"/>
      <c r="E60" s="112"/>
      <c r="F60" s="112"/>
      <c r="G60" s="87"/>
      <c r="H60" s="87"/>
      <c r="I60" s="87"/>
      <c r="J60" s="87"/>
      <c r="K60" s="87"/>
      <c r="L60" s="114"/>
      <c r="M60" s="114"/>
      <c r="N60" s="114"/>
      <c r="O60" s="114"/>
      <c r="P60" s="114"/>
      <c r="Q60" s="114"/>
      <c r="R60" s="114"/>
    </row>
    <row r="61" spans="1:27" x14ac:dyDescent="0.25">
      <c r="A61" s="112"/>
      <c r="B61" s="113"/>
      <c r="C61" s="112"/>
      <c r="D61" s="112"/>
      <c r="E61" s="112"/>
      <c r="F61" s="112"/>
      <c r="G61" s="87"/>
      <c r="H61" s="87"/>
      <c r="I61" s="87"/>
      <c r="J61" s="87"/>
      <c r="K61" s="87"/>
      <c r="L61" s="110"/>
      <c r="M61" s="110"/>
      <c r="N61" s="110"/>
      <c r="O61" s="110"/>
      <c r="P61" s="110"/>
      <c r="Q61" s="110"/>
      <c r="R61" s="110"/>
    </row>
    <row r="62" spans="1:27" x14ac:dyDescent="0.25"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27" ht="25.5" x14ac:dyDescent="0.35">
      <c r="A63" s="1"/>
      <c r="B63" s="2"/>
      <c r="C63" s="1"/>
      <c r="D63" s="1"/>
      <c r="E63" s="1"/>
      <c r="F63" s="1"/>
      <c r="G63" s="87"/>
      <c r="H63" s="87"/>
      <c r="I63" s="87"/>
      <c r="J63" s="106"/>
      <c r="K63" s="106"/>
      <c r="L63" s="110"/>
      <c r="M63" s="110"/>
      <c r="N63" s="110"/>
      <c r="O63" s="110"/>
      <c r="P63" s="110"/>
      <c r="Q63" s="110"/>
      <c r="R63" s="110"/>
    </row>
    <row r="64" spans="1:27" x14ac:dyDescent="0.25">
      <c r="A64" s="1"/>
      <c r="B64" s="2"/>
      <c r="C64" s="1"/>
      <c r="D64" s="1"/>
      <c r="E64" s="1"/>
      <c r="F64" s="1"/>
      <c r="G64" s="87"/>
      <c r="H64" s="87"/>
      <c r="I64" s="87"/>
      <c r="J64" s="111"/>
      <c r="K64" s="111"/>
      <c r="L64" s="110"/>
      <c r="M64" s="110"/>
      <c r="N64" s="110"/>
      <c r="O64" s="110"/>
      <c r="P64" s="110"/>
      <c r="Q64" s="110"/>
      <c r="R64" s="110"/>
    </row>
    <row r="65" spans="1:18" ht="25.5" x14ac:dyDescent="0.35">
      <c r="A65" s="181"/>
      <c r="B65" s="181"/>
      <c r="C65" s="181"/>
      <c r="D65" s="181"/>
      <c r="E65" s="181"/>
      <c r="F65" s="181"/>
      <c r="G65" s="106"/>
      <c r="H65" s="106"/>
      <c r="I65" s="106"/>
      <c r="J65" s="114"/>
      <c r="K65" s="114"/>
      <c r="L65" s="87"/>
      <c r="M65" s="87"/>
      <c r="N65" s="87"/>
      <c r="O65" s="87"/>
      <c r="P65" s="87"/>
      <c r="Q65" s="87"/>
      <c r="R65" s="87"/>
    </row>
    <row r="66" spans="1:18" x14ac:dyDescent="0.25">
      <c r="A66" s="111"/>
      <c r="B66" s="113"/>
      <c r="C66" s="111"/>
      <c r="D66" s="111"/>
      <c r="E66" s="111"/>
      <c r="F66" s="111"/>
      <c r="G66" s="111"/>
      <c r="H66" s="111"/>
      <c r="I66" s="111"/>
      <c r="J66" s="114"/>
      <c r="K66" s="114"/>
      <c r="L66" s="87"/>
      <c r="M66" s="87"/>
      <c r="N66" s="87"/>
      <c r="O66" s="87"/>
      <c r="P66" s="87"/>
      <c r="Q66" s="87"/>
      <c r="R66" s="87"/>
    </row>
    <row r="67" spans="1:18" x14ac:dyDescent="0.25">
      <c r="A67" s="182"/>
      <c r="B67" s="116"/>
      <c r="C67" s="114"/>
      <c r="D67" s="114"/>
      <c r="E67" s="114"/>
      <c r="F67" s="114"/>
      <c r="G67" s="114"/>
      <c r="H67" s="114"/>
      <c r="I67" s="114"/>
      <c r="J67" s="110"/>
      <c r="K67" s="110"/>
      <c r="L67" s="87"/>
      <c r="M67" s="87"/>
      <c r="N67" s="87"/>
      <c r="O67" s="87"/>
      <c r="P67" s="87"/>
      <c r="Q67" s="87"/>
      <c r="R67" s="87"/>
    </row>
    <row r="68" spans="1:18" x14ac:dyDescent="0.25">
      <c r="A68" s="182"/>
      <c r="B68" s="116"/>
      <c r="C68" s="114"/>
      <c r="D68" s="114"/>
      <c r="E68" s="114"/>
      <c r="F68" s="114"/>
      <c r="G68" s="114"/>
      <c r="H68" s="114"/>
      <c r="I68" s="114"/>
      <c r="J68" s="87"/>
      <c r="K68" s="87"/>
    </row>
    <row r="69" spans="1:18" x14ac:dyDescent="0.25">
      <c r="A69" s="112"/>
      <c r="B69" s="113"/>
      <c r="C69" s="112"/>
      <c r="D69" s="112"/>
      <c r="E69" s="112"/>
      <c r="F69" s="112"/>
      <c r="G69" s="110"/>
      <c r="H69" s="110"/>
      <c r="I69" s="110"/>
      <c r="J69" s="110"/>
      <c r="K69" s="110"/>
    </row>
    <row r="70" spans="1:18" x14ac:dyDescent="0.25">
      <c r="A70" s="112"/>
      <c r="B70" s="113"/>
      <c r="C70" s="112"/>
      <c r="D70" s="112"/>
      <c r="E70" s="112"/>
      <c r="F70" s="112"/>
      <c r="G70" s="87"/>
      <c r="H70" s="87"/>
      <c r="I70" s="87"/>
      <c r="J70" s="110"/>
      <c r="K70" s="110"/>
    </row>
    <row r="71" spans="1:18" x14ac:dyDescent="0.25">
      <c r="A71" s="112"/>
      <c r="B71" s="113"/>
      <c r="C71" s="112"/>
      <c r="D71" s="112"/>
      <c r="E71" s="112"/>
      <c r="F71" s="112"/>
      <c r="G71" s="110"/>
      <c r="H71" s="110"/>
      <c r="I71" s="110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0"/>
      <c r="H72" s="110"/>
      <c r="I72" s="110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87"/>
      <c r="H73" s="87"/>
      <c r="I73" s="87"/>
      <c r="J73" s="87"/>
      <c r="K73" s="87"/>
    </row>
    <row r="74" spans="1:18" x14ac:dyDescent="0.25">
      <c r="A74" s="112"/>
      <c r="B74" s="113"/>
      <c r="C74" s="112"/>
      <c r="D74" s="112"/>
      <c r="E74" s="112"/>
      <c r="F74" s="112"/>
      <c r="G74" s="87"/>
      <c r="H74" s="87"/>
      <c r="I74" s="87"/>
    </row>
    <row r="75" spans="1:18" x14ac:dyDescent="0.25">
      <c r="A75" s="1"/>
      <c r="B75" s="2"/>
      <c r="C75" s="1"/>
      <c r="D75" s="1"/>
      <c r="E75" s="1"/>
      <c r="F75" s="1"/>
      <c r="G75" s="87"/>
      <c r="H75" s="87"/>
      <c r="I75" s="87"/>
    </row>
  </sheetData>
  <mergeCells count="6">
    <mergeCell ref="A67:A68"/>
    <mergeCell ref="A2:I2"/>
    <mergeCell ref="A3:R3"/>
    <mergeCell ref="A4:R4"/>
    <mergeCell ref="M24:N25"/>
    <mergeCell ref="A65:F6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197-F941-4CB4-8FB9-3DCECFE9738C}">
  <dimension ref="A1:AG79"/>
  <sheetViews>
    <sheetView topLeftCell="A2" workbookViewId="0">
      <pane ySplit="4" topLeftCell="A31" activePane="bottomLeft" state="frozen"/>
      <selection activeCell="A2" sqref="A2"/>
      <selection pane="bottomLeft" activeCell="I36" sqref="I36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</row>
    <row r="2" spans="1:19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  <c r="J2" s="177"/>
    </row>
    <row r="3" spans="1:19" s="4" customFormat="1" ht="27" customHeight="1" x14ac:dyDescent="0.35">
      <c r="A3" s="178" t="s">
        <v>54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</row>
    <row r="4" spans="1:19" ht="21.75" customHeight="1" x14ac:dyDescent="0.25">
      <c r="A4" s="179" t="s">
        <v>60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</row>
    <row r="5" spans="1:19" s="1" customFormat="1" ht="18.75" x14ac:dyDescent="0.25">
      <c r="A5" s="5" t="s">
        <v>2</v>
      </c>
      <c r="B5" s="6" t="s">
        <v>3</v>
      </c>
      <c r="C5" s="139">
        <v>46047</v>
      </c>
      <c r="D5" s="7">
        <v>46048</v>
      </c>
      <c r="E5" s="7">
        <v>46049</v>
      </c>
      <c r="F5" s="7">
        <v>46050</v>
      </c>
      <c r="G5" s="7">
        <v>46051</v>
      </c>
      <c r="H5" s="7">
        <v>46052</v>
      </c>
      <c r="I5" s="7">
        <v>46053</v>
      </c>
      <c r="J5" s="8"/>
    </row>
    <row r="6" spans="1:19" s="12" customFormat="1" ht="21.75" customHeight="1" x14ac:dyDescent="0.25">
      <c r="A6" s="9" t="s">
        <v>58</v>
      </c>
      <c r="B6" s="18">
        <v>2.5</v>
      </c>
      <c r="C6" s="118"/>
      <c r="D6" s="119">
        <v>14000</v>
      </c>
      <c r="E6" s="119"/>
      <c r="F6" s="119"/>
      <c r="G6" s="119">
        <v>14000</v>
      </c>
      <c r="H6" s="119">
        <v>14000</v>
      </c>
      <c r="I6" s="119"/>
      <c r="J6" s="10">
        <f t="shared" ref="J6:J35" si="0">SUM(C6:I6)</f>
        <v>42000</v>
      </c>
      <c r="K6" s="1"/>
      <c r="L6" s="11"/>
    </row>
    <row r="7" spans="1:19" s="12" customFormat="1" ht="22.5" customHeight="1" x14ac:dyDescent="0.25">
      <c r="A7" s="5"/>
      <c r="B7" s="13"/>
      <c r="C7" s="14"/>
      <c r="D7" s="14">
        <v>13950</v>
      </c>
      <c r="E7" s="14"/>
      <c r="F7" s="14"/>
      <c r="G7" s="14">
        <v>14090</v>
      </c>
      <c r="H7" s="14">
        <v>13920</v>
      </c>
      <c r="I7" s="14"/>
      <c r="J7" s="15">
        <f t="shared" si="0"/>
        <v>41960</v>
      </c>
      <c r="K7" s="1"/>
      <c r="L7" s="11"/>
    </row>
    <row r="8" spans="1:19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0">
        <f t="shared" si="0"/>
        <v>0</v>
      </c>
      <c r="K8" s="1"/>
      <c r="L8" s="11"/>
    </row>
    <row r="9" spans="1:19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5">
        <f t="shared" si="0"/>
        <v>0</v>
      </c>
      <c r="K9" s="1"/>
      <c r="L9" s="11"/>
    </row>
    <row r="10" spans="1:19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19"/>
      <c r="J10" s="20">
        <f t="shared" si="0"/>
        <v>0</v>
      </c>
      <c r="K10" s="1"/>
      <c r="L10" s="11"/>
    </row>
    <row r="11" spans="1:19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15">
        <f t="shared" si="0"/>
        <v>0</v>
      </c>
      <c r="K11" s="1"/>
      <c r="L11" s="11"/>
    </row>
    <row r="12" spans="1:19" s="12" customFormat="1" ht="22.15" customHeight="1" x14ac:dyDescent="0.25">
      <c r="A12" s="120" t="s">
        <v>6</v>
      </c>
      <c r="B12" s="18">
        <v>2.8</v>
      </c>
      <c r="C12" s="123"/>
      <c r="D12" s="123"/>
      <c r="E12" s="122">
        <v>17000</v>
      </c>
      <c r="F12" s="123"/>
      <c r="G12" s="123"/>
      <c r="H12" s="123">
        <v>14000</v>
      </c>
      <c r="I12" s="123"/>
      <c r="J12" s="20">
        <f t="shared" si="0"/>
        <v>31000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/>
      <c r="E13" s="23">
        <v>17000</v>
      </c>
      <c r="F13" s="23"/>
      <c r="G13" s="23"/>
      <c r="H13" s="23">
        <v>13460</v>
      </c>
      <c r="I13" s="23"/>
      <c r="J13" s="15">
        <f t="shared" si="0"/>
        <v>30460</v>
      </c>
      <c r="K13" s="1"/>
      <c r="L13" s="11"/>
    </row>
    <row r="14" spans="1:19" s="12" customFormat="1" ht="22.15" customHeight="1" x14ac:dyDescent="0.25">
      <c r="A14" s="120" t="s">
        <v>7</v>
      </c>
      <c r="B14" s="18">
        <v>2.8</v>
      </c>
      <c r="C14" s="121"/>
      <c r="D14" s="121"/>
      <c r="E14" s="122">
        <v>6000</v>
      </c>
      <c r="F14" s="122"/>
      <c r="G14" s="19"/>
      <c r="H14" s="19">
        <v>16000</v>
      </c>
      <c r="I14" s="19"/>
      <c r="J14" s="20">
        <f t="shared" si="0"/>
        <v>22000</v>
      </c>
      <c r="K14" s="1"/>
      <c r="L14" s="11"/>
    </row>
    <row r="15" spans="1:19" s="12" customFormat="1" ht="22.15" customHeight="1" x14ac:dyDescent="0.25">
      <c r="A15" s="16"/>
      <c r="B15" s="132"/>
      <c r="C15" s="23"/>
      <c r="D15" s="133"/>
      <c r="E15" s="23">
        <v>5660</v>
      </c>
      <c r="F15" s="134"/>
      <c r="G15" s="135"/>
      <c r="H15" s="135">
        <v>16420</v>
      </c>
      <c r="I15" s="23"/>
      <c r="J15" s="15">
        <f t="shared" si="0"/>
        <v>22080</v>
      </c>
      <c r="L15" s="11"/>
    </row>
    <row r="16" spans="1:19" s="12" customFormat="1" ht="22.15" customHeight="1" x14ac:dyDescent="0.25">
      <c r="A16" s="120" t="s">
        <v>56</v>
      </c>
      <c r="B16" s="18">
        <v>4</v>
      </c>
      <c r="C16" s="121"/>
      <c r="D16" s="121"/>
      <c r="E16" s="122">
        <v>22000</v>
      </c>
      <c r="F16" s="122"/>
      <c r="G16" s="19">
        <v>16000</v>
      </c>
      <c r="H16" s="19"/>
      <c r="I16" s="19"/>
      <c r="J16" s="20">
        <f t="shared" si="0"/>
        <v>38000</v>
      </c>
      <c r="K16" s="1"/>
      <c r="L16" s="11"/>
    </row>
    <row r="17" spans="1:33" s="12" customFormat="1" ht="22.15" customHeight="1" x14ac:dyDescent="0.25">
      <c r="A17" s="21"/>
      <c r="B17" s="22"/>
      <c r="C17" s="24"/>
      <c r="D17" s="23"/>
      <c r="E17" s="23">
        <v>22200</v>
      </c>
      <c r="F17" s="23"/>
      <c r="G17" s="23">
        <v>16960</v>
      </c>
      <c r="H17" s="23"/>
      <c r="I17" s="23"/>
      <c r="J17" s="15">
        <f t="shared" si="0"/>
        <v>39160</v>
      </c>
      <c r="K17" s="1"/>
      <c r="L17" s="11"/>
    </row>
    <row r="18" spans="1:33" s="12" customFormat="1" ht="22.15" customHeight="1" x14ac:dyDescent="0.25">
      <c r="A18" s="120" t="s">
        <v>11</v>
      </c>
      <c r="B18" s="18">
        <v>4</v>
      </c>
      <c r="C18" s="41"/>
      <c r="D18" s="19">
        <v>16000</v>
      </c>
      <c r="E18" s="19"/>
      <c r="F18" s="19">
        <v>22000</v>
      </c>
      <c r="G18" s="19"/>
      <c r="H18" s="19"/>
      <c r="I18" s="19"/>
      <c r="J18" s="20">
        <f t="shared" si="0"/>
        <v>38000</v>
      </c>
      <c r="K18" s="1"/>
      <c r="L18" s="11"/>
    </row>
    <row r="19" spans="1:33" s="12" customFormat="1" ht="22.15" customHeight="1" x14ac:dyDescent="0.25">
      <c r="A19" s="21"/>
      <c r="B19" s="22"/>
      <c r="C19" s="24"/>
      <c r="D19" s="23">
        <v>16170</v>
      </c>
      <c r="E19" s="23"/>
      <c r="F19" s="23">
        <v>19420</v>
      </c>
      <c r="G19" s="23"/>
      <c r="H19" s="23"/>
      <c r="I19" s="23"/>
      <c r="J19" s="15">
        <f t="shared" si="0"/>
        <v>35590</v>
      </c>
      <c r="K19" s="1"/>
      <c r="L19" s="11"/>
    </row>
    <row r="20" spans="1:33" s="1" customFormat="1" ht="22.15" customHeight="1" x14ac:dyDescent="0.25">
      <c r="A20" s="25" t="s">
        <v>8</v>
      </c>
      <c r="B20" s="26">
        <v>4</v>
      </c>
      <c r="C20" s="27">
        <v>31000</v>
      </c>
      <c r="D20" s="27">
        <v>118000</v>
      </c>
      <c r="E20" s="27">
        <v>90000</v>
      </c>
      <c r="F20" s="27">
        <v>120000</v>
      </c>
      <c r="G20" s="27">
        <v>44000</v>
      </c>
      <c r="H20" s="27">
        <v>29000</v>
      </c>
      <c r="I20" s="27"/>
      <c r="J20" s="20">
        <f t="shared" si="0"/>
        <v>432000</v>
      </c>
      <c r="L20" s="11"/>
    </row>
    <row r="21" spans="1:33" s="1" customFormat="1" ht="22.15" customHeight="1" x14ac:dyDescent="0.25">
      <c r="A21" s="28"/>
      <c r="B21" s="29"/>
      <c r="C21" s="24">
        <v>27480</v>
      </c>
      <c r="D21" s="24">
        <v>117630</v>
      </c>
      <c r="E21" s="30">
        <v>99910</v>
      </c>
      <c r="F21" s="30">
        <v>99500</v>
      </c>
      <c r="G21" s="30">
        <v>30890</v>
      </c>
      <c r="H21" s="30">
        <v>16730</v>
      </c>
      <c r="I21" s="30">
        <v>30060</v>
      </c>
      <c r="J21" s="15">
        <f t="shared" si="0"/>
        <v>422200</v>
      </c>
      <c r="L21" s="11"/>
    </row>
    <row r="22" spans="1:33" s="33" customFormat="1" ht="22.15" customHeight="1" x14ac:dyDescent="0.25">
      <c r="A22" s="25" t="s">
        <v>9</v>
      </c>
      <c r="B22" s="26">
        <v>4</v>
      </c>
      <c r="C22" s="27">
        <v>29000</v>
      </c>
      <c r="D22" s="27">
        <v>42000</v>
      </c>
      <c r="E22" s="27">
        <v>102000</v>
      </c>
      <c r="F22" s="27">
        <v>73000</v>
      </c>
      <c r="G22" s="27">
        <v>28000</v>
      </c>
      <c r="H22" s="27">
        <v>57000</v>
      </c>
      <c r="I22" s="27">
        <v>32000</v>
      </c>
      <c r="J22" s="31">
        <f t="shared" si="0"/>
        <v>363000</v>
      </c>
      <c r="K22" s="32"/>
      <c r="L22" s="11"/>
    </row>
    <row r="23" spans="1:33" s="33" customFormat="1" ht="22.15" customHeight="1" x14ac:dyDescent="0.25">
      <c r="A23" s="28"/>
      <c r="B23" s="29"/>
      <c r="C23" s="24"/>
      <c r="D23" s="24">
        <v>57050</v>
      </c>
      <c r="E23" s="30">
        <v>117620</v>
      </c>
      <c r="F23" s="30">
        <v>69290</v>
      </c>
      <c r="G23" s="30">
        <v>73540</v>
      </c>
      <c r="H23" s="30">
        <v>40090</v>
      </c>
      <c r="I23" s="30">
        <v>13620</v>
      </c>
      <c r="J23" s="15">
        <f t="shared" si="0"/>
        <v>371210</v>
      </c>
      <c r="K23" s="32"/>
      <c r="L23" s="11"/>
      <c r="M23" s="34"/>
      <c r="N23" s="35"/>
      <c r="O23" s="35"/>
      <c r="P23" s="35"/>
      <c r="Q23" s="35"/>
      <c r="R23" s="35"/>
      <c r="S23" s="35"/>
      <c r="T23" s="36"/>
      <c r="U23" s="35"/>
      <c r="V23" s="37"/>
      <c r="W23" s="35"/>
      <c r="X23" s="35"/>
      <c r="Y23" s="37"/>
      <c r="Z23" s="35"/>
      <c r="AA23" s="35"/>
      <c r="AB23" s="35"/>
    </row>
    <row r="24" spans="1:33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8"/>
      <c r="J24" s="31">
        <f t="shared" si="0"/>
        <v>0</v>
      </c>
      <c r="K24" s="32"/>
      <c r="L24" s="11"/>
      <c r="M24" s="4"/>
      <c r="N24" s="180" t="s">
        <v>10</v>
      </c>
      <c r="O24" s="180"/>
      <c r="Q24" s="4"/>
      <c r="Y24" s="4"/>
      <c r="Z24" s="4"/>
      <c r="AA24" s="4"/>
      <c r="AB24" s="4"/>
    </row>
    <row r="25" spans="1:33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30"/>
      <c r="J25" s="15">
        <f t="shared" si="0"/>
        <v>0</v>
      </c>
      <c r="K25" s="32"/>
      <c r="L25" s="11"/>
      <c r="M25" s="4"/>
      <c r="N25" s="180"/>
      <c r="O25" s="180"/>
      <c r="Q25" s="4"/>
      <c r="Y25" s="4"/>
      <c r="Z25" s="4"/>
      <c r="AA25" s="4"/>
      <c r="AB25" s="4"/>
    </row>
    <row r="26" spans="1:33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41"/>
      <c r="J26" s="31">
        <f t="shared" si="0"/>
        <v>0</v>
      </c>
      <c r="K26" s="42"/>
      <c r="L26" s="1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33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30"/>
      <c r="J27" s="15">
        <f t="shared" si="0"/>
        <v>0</v>
      </c>
      <c r="K27" s="42"/>
      <c r="L27" s="1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33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43"/>
      <c r="J28" s="31">
        <f t="shared" si="0"/>
        <v>0</v>
      </c>
      <c r="K28" s="42"/>
      <c r="L28" s="4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6"/>
      <c r="AD28" s="46"/>
      <c r="AE28" s="46"/>
      <c r="AF28" s="46"/>
      <c r="AG28" s="46"/>
    </row>
    <row r="29" spans="1:33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30"/>
      <c r="J29" s="15">
        <f t="shared" si="0"/>
        <v>0</v>
      </c>
      <c r="K29" s="42"/>
      <c r="L29" s="4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6"/>
      <c r="AD29" s="46"/>
      <c r="AE29" s="46"/>
      <c r="AF29" s="46"/>
      <c r="AG29" s="46"/>
    </row>
    <row r="30" spans="1:33" s="4" customFormat="1" ht="21.75" customHeight="1" x14ac:dyDescent="0.35">
      <c r="A30" s="25" t="s">
        <v>13</v>
      </c>
      <c r="B30" s="26">
        <v>4</v>
      </c>
      <c r="C30" s="27">
        <v>132000</v>
      </c>
      <c r="D30" s="27">
        <v>235000</v>
      </c>
      <c r="E30" s="27">
        <v>198000</v>
      </c>
      <c r="F30" s="27">
        <v>300000</v>
      </c>
      <c r="G30" s="27">
        <v>215000</v>
      </c>
      <c r="H30" s="27">
        <v>244000</v>
      </c>
      <c r="I30" s="27">
        <v>166000</v>
      </c>
      <c r="J30" s="31">
        <f t="shared" si="0"/>
        <v>1490000</v>
      </c>
      <c r="K30" s="1"/>
    </row>
    <row r="31" spans="1:33" s="4" customFormat="1" ht="21.75" customHeight="1" x14ac:dyDescent="0.35">
      <c r="A31" s="39"/>
      <c r="B31" s="40"/>
      <c r="C31" s="24">
        <v>73100</v>
      </c>
      <c r="D31" s="24">
        <v>175660</v>
      </c>
      <c r="E31" s="30">
        <v>238170</v>
      </c>
      <c r="F31" s="30">
        <v>190200</v>
      </c>
      <c r="G31" s="30">
        <v>237560</v>
      </c>
      <c r="H31" s="30">
        <v>241340</v>
      </c>
      <c r="I31" s="30">
        <v>166150</v>
      </c>
      <c r="J31" s="15">
        <f t="shared" si="0"/>
        <v>1322180</v>
      </c>
    </row>
    <row r="32" spans="1:33" s="4" customFormat="1" ht="21" customHeight="1" x14ac:dyDescent="0.35">
      <c r="A32" s="25" t="s">
        <v>14</v>
      </c>
      <c r="B32" s="26">
        <v>4</v>
      </c>
      <c r="C32" s="27">
        <v>15000</v>
      </c>
      <c r="D32" s="27">
        <v>61000</v>
      </c>
      <c r="E32" s="27">
        <v>62000</v>
      </c>
      <c r="F32" s="27">
        <v>61000</v>
      </c>
      <c r="G32" s="27">
        <v>88000</v>
      </c>
      <c r="H32" s="27">
        <v>44000</v>
      </c>
      <c r="I32" s="27">
        <v>43000</v>
      </c>
      <c r="J32" s="31">
        <f t="shared" si="0"/>
        <v>374000</v>
      </c>
    </row>
    <row r="33" spans="1:28" s="4" customFormat="1" ht="20.45" customHeight="1" x14ac:dyDescent="0.35">
      <c r="A33" s="49"/>
      <c r="B33" s="50"/>
      <c r="C33" s="51"/>
      <c r="D33" s="51">
        <v>14800</v>
      </c>
      <c r="E33" s="51">
        <v>14010</v>
      </c>
      <c r="F33" s="52">
        <v>58440</v>
      </c>
      <c r="G33" s="51">
        <v>46460</v>
      </c>
      <c r="H33" s="51">
        <v>70020</v>
      </c>
      <c r="I33" s="51">
        <v>166150</v>
      </c>
      <c r="J33" s="15">
        <f t="shared" si="0"/>
        <v>369880</v>
      </c>
    </row>
    <row r="34" spans="1:28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55"/>
      <c r="J34" s="31">
        <f t="shared" si="0"/>
        <v>0</v>
      </c>
    </row>
    <row r="35" spans="1:28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51"/>
      <c r="J35" s="15">
        <f t="shared" si="0"/>
        <v>0</v>
      </c>
    </row>
    <row r="36" spans="1:28" s="4" customFormat="1" ht="19.149999999999999" customHeight="1" x14ac:dyDescent="0.35">
      <c r="A36" s="56" t="s">
        <v>16</v>
      </c>
      <c r="B36" s="57"/>
      <c r="C36" s="58">
        <f>(C12+C20+C22+C30+C32)/15000</f>
        <v>13.8</v>
      </c>
      <c r="D36" s="58">
        <f t="shared" ref="D36:I36" si="1">(D12+D20+D22+D30+D32)/15000</f>
        <v>30.4</v>
      </c>
      <c r="E36" s="58">
        <f t="shared" si="1"/>
        <v>31.266666666666666</v>
      </c>
      <c r="F36" s="58">
        <f t="shared" si="1"/>
        <v>36.93333333333333</v>
      </c>
      <c r="G36" s="58">
        <f t="shared" si="1"/>
        <v>25</v>
      </c>
      <c r="H36" s="58"/>
      <c r="I36" s="58">
        <f t="shared" si="1"/>
        <v>16.066666666666666</v>
      </c>
      <c r="J36" s="59"/>
    </row>
    <row r="37" spans="1:28" s="4" customFormat="1" ht="20.45" customHeight="1" x14ac:dyDescent="0.35">
      <c r="A37" s="17" t="s">
        <v>17</v>
      </c>
      <c r="B37" s="60">
        <v>4</v>
      </c>
      <c r="C37" s="61"/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1">
        <v>14000</v>
      </c>
      <c r="J37" s="62">
        <f t="shared" ref="J37:J57" si="2">SUM(C37:I37)</f>
        <v>84000</v>
      </c>
    </row>
    <row r="38" spans="1:28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4"/>
      <c r="J38" s="62">
        <f t="shared" si="2"/>
        <v>0</v>
      </c>
    </row>
    <row r="39" spans="1:28" s="4" customFormat="1" ht="23.25" customHeight="1" x14ac:dyDescent="0.35">
      <c r="A39" s="65">
        <v>502</v>
      </c>
      <c r="B39" s="66" t="s">
        <v>19</v>
      </c>
      <c r="C39" s="64"/>
      <c r="D39" s="64"/>
      <c r="E39" s="64"/>
      <c r="F39" s="64">
        <v>14000</v>
      </c>
      <c r="G39" s="64"/>
      <c r="H39" s="64"/>
      <c r="I39" s="64">
        <v>14000</v>
      </c>
      <c r="J39" s="62">
        <f t="shared" si="2"/>
        <v>28000</v>
      </c>
    </row>
    <row r="40" spans="1:28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4"/>
      <c r="J40" s="62">
        <f t="shared" si="2"/>
        <v>0</v>
      </c>
    </row>
    <row r="41" spans="1:28" s="4" customFormat="1" ht="20.25" customHeight="1" x14ac:dyDescent="0.35">
      <c r="A41" s="67" t="s">
        <v>59</v>
      </c>
      <c r="B41" s="68">
        <v>2.5</v>
      </c>
      <c r="C41" s="64"/>
      <c r="D41" s="64"/>
      <c r="E41" s="64"/>
      <c r="F41" s="64"/>
      <c r="G41" s="64"/>
      <c r="H41" s="64"/>
      <c r="I41" s="64">
        <v>14000</v>
      </c>
      <c r="J41" s="62">
        <f t="shared" si="2"/>
        <v>14000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hidden="1" customHeight="1" x14ac:dyDescent="0.35">
      <c r="A42" s="67" t="s">
        <v>22</v>
      </c>
      <c r="B42" s="68">
        <v>3.5</v>
      </c>
      <c r="C42" s="64"/>
      <c r="D42" s="64"/>
      <c r="E42" s="64"/>
      <c r="F42" s="64"/>
      <c r="G42" s="64"/>
      <c r="H42" s="64"/>
      <c r="I42" s="64"/>
      <c r="J42" s="62">
        <f t="shared" si="2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4" customFormat="1" ht="20.25" customHeight="1" x14ac:dyDescent="0.35">
      <c r="A43" s="70" t="s">
        <v>23</v>
      </c>
      <c r="B43" s="71">
        <v>2.5</v>
      </c>
      <c r="C43" s="72"/>
      <c r="D43" s="73">
        <v>19000</v>
      </c>
      <c r="E43" s="74"/>
      <c r="F43" s="72"/>
      <c r="G43" s="72">
        <v>14000</v>
      </c>
      <c r="H43" s="72">
        <v>28000</v>
      </c>
      <c r="I43" s="64">
        <v>5000</v>
      </c>
      <c r="J43" s="62">
        <f t="shared" si="2"/>
        <v>66000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s="78" customFormat="1" ht="20.25" customHeight="1" x14ac:dyDescent="0.35">
      <c r="A44" s="17" t="s">
        <v>24</v>
      </c>
      <c r="B44" s="71">
        <v>2.8</v>
      </c>
      <c r="C44" s="75"/>
      <c r="D44" s="76"/>
      <c r="E44" s="77"/>
      <c r="F44" s="75"/>
      <c r="G44" s="75"/>
      <c r="H44" s="75"/>
      <c r="I44" s="75">
        <v>13000</v>
      </c>
      <c r="J44" s="62">
        <f t="shared" si="2"/>
        <v>13000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 spans="1:28" s="4" customFormat="1" ht="18.75" customHeight="1" x14ac:dyDescent="0.35">
      <c r="A45" s="70" t="s">
        <v>25</v>
      </c>
      <c r="B45" s="71">
        <v>2.8</v>
      </c>
      <c r="C45" s="64"/>
      <c r="D45" s="64"/>
      <c r="E45" s="80"/>
      <c r="F45" s="72"/>
      <c r="G45" s="72"/>
      <c r="H45" s="72"/>
      <c r="I45" s="64"/>
      <c r="J45" s="62">
        <f t="shared" si="2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26</v>
      </c>
      <c r="B46" s="71">
        <v>2.8</v>
      </c>
      <c r="C46" s="64"/>
      <c r="D46" s="74">
        <v>19000</v>
      </c>
      <c r="E46" s="140">
        <v>8000</v>
      </c>
      <c r="F46" s="64"/>
      <c r="G46" s="72">
        <v>24000</v>
      </c>
      <c r="H46" s="72"/>
      <c r="I46" s="64"/>
      <c r="J46" s="62">
        <f t="shared" si="2"/>
        <v>51000</v>
      </c>
      <c r="K46" s="84"/>
      <c r="L46" s="1" t="s">
        <v>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hidden="1" customHeight="1" x14ac:dyDescent="0.35">
      <c r="A47" s="70" t="s">
        <v>25</v>
      </c>
      <c r="B47" s="71">
        <v>2.8</v>
      </c>
      <c r="C47" s="72"/>
      <c r="D47" s="72"/>
      <c r="E47" s="80"/>
      <c r="F47" s="72"/>
      <c r="G47" s="72"/>
      <c r="H47" s="72"/>
      <c r="I47" s="72"/>
      <c r="J47" s="62">
        <f t="shared" si="2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customHeight="1" x14ac:dyDescent="0.35">
      <c r="A48" s="70" t="s">
        <v>57</v>
      </c>
      <c r="B48" s="71">
        <v>2.8</v>
      </c>
      <c r="C48" s="64"/>
      <c r="D48" s="64">
        <v>5000</v>
      </c>
      <c r="E48" s="140">
        <v>6000</v>
      </c>
      <c r="F48" s="83">
        <v>8000</v>
      </c>
      <c r="G48" s="83">
        <v>18000</v>
      </c>
      <c r="H48" s="64"/>
      <c r="I48" s="64">
        <v>13000</v>
      </c>
      <c r="J48" s="62">
        <f t="shared" si="2"/>
        <v>50000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4" customFormat="1" ht="18.75" customHeight="1" x14ac:dyDescent="0.35">
      <c r="A49" s="85">
        <v>552</v>
      </c>
      <c r="B49" s="63">
        <v>4</v>
      </c>
      <c r="C49" s="72"/>
      <c r="D49" s="64"/>
      <c r="E49" s="82">
        <v>7000</v>
      </c>
      <c r="F49" s="72"/>
      <c r="G49" s="64">
        <v>5000</v>
      </c>
      <c r="H49" s="64">
        <v>9000</v>
      </c>
      <c r="I49" s="64">
        <v>5000</v>
      </c>
      <c r="J49" s="62">
        <f t="shared" si="2"/>
        <v>26000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s="1" customFormat="1" ht="23.25" hidden="1" customHeight="1" x14ac:dyDescent="0.3">
      <c r="A50" s="70">
        <v>553</v>
      </c>
      <c r="B50" s="71">
        <v>2.8</v>
      </c>
      <c r="C50" s="64"/>
      <c r="D50" s="64"/>
      <c r="E50" s="80"/>
      <c r="F50" s="83"/>
      <c r="G50" s="64"/>
      <c r="H50" s="64"/>
      <c r="I50" s="64"/>
      <c r="J50" s="62">
        <f t="shared" si="2"/>
        <v>0</v>
      </c>
    </row>
    <row r="51" spans="1:28" s="1" customFormat="1" ht="21" customHeight="1" x14ac:dyDescent="0.3">
      <c r="A51" s="70" t="s">
        <v>29</v>
      </c>
      <c r="B51" s="71">
        <v>4</v>
      </c>
      <c r="C51" s="64"/>
      <c r="D51" s="72"/>
      <c r="E51" s="82">
        <v>9000</v>
      </c>
      <c r="F51" s="64"/>
      <c r="G51" s="64">
        <v>5000</v>
      </c>
      <c r="H51" s="64"/>
      <c r="I51" s="64">
        <v>13000</v>
      </c>
      <c r="J51" s="62">
        <f t="shared" si="2"/>
        <v>27000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s="1" customFormat="1" ht="21" hidden="1" customHeight="1" x14ac:dyDescent="0.3">
      <c r="A52" s="17" t="s">
        <v>30</v>
      </c>
      <c r="B52" s="71">
        <v>4</v>
      </c>
      <c r="C52" s="64"/>
      <c r="D52" s="64"/>
      <c r="E52" s="82"/>
      <c r="F52" s="64"/>
      <c r="G52" s="64"/>
      <c r="H52" s="64"/>
      <c r="I52" s="64"/>
      <c r="J52" s="62">
        <f t="shared" si="2"/>
        <v>0</v>
      </c>
      <c r="M52" s="87"/>
      <c r="N52" s="87"/>
      <c r="O52" s="87"/>
      <c r="P52" s="87"/>
      <c r="Q52" s="87"/>
      <c r="R52" s="87"/>
      <c r="S52" s="87"/>
      <c r="T52" s="3"/>
      <c r="U52" s="3"/>
      <c r="V52" s="3"/>
      <c r="W52" s="3"/>
      <c r="X52" s="3"/>
      <c r="Y52" s="3"/>
      <c r="Z52" s="3"/>
      <c r="AA52" s="3"/>
      <c r="AB52" s="3"/>
    </row>
    <row r="53" spans="1:28" ht="18.75" x14ac:dyDescent="0.3">
      <c r="A53" s="70" t="s">
        <v>31</v>
      </c>
      <c r="B53" s="71">
        <v>4</v>
      </c>
      <c r="C53" s="72"/>
      <c r="D53" s="72"/>
      <c r="E53" s="72">
        <v>28000</v>
      </c>
      <c r="F53" s="72"/>
      <c r="G53" s="64"/>
      <c r="H53" s="64"/>
      <c r="I53" s="72"/>
      <c r="J53" s="62">
        <f t="shared" si="2"/>
        <v>28000</v>
      </c>
      <c r="M53" s="87"/>
      <c r="N53" s="87"/>
      <c r="O53" s="87"/>
      <c r="P53" s="87"/>
      <c r="Q53" s="87"/>
      <c r="R53" s="87"/>
      <c r="S53" s="87"/>
    </row>
    <row r="54" spans="1:28" ht="23.25" customHeight="1" x14ac:dyDescent="0.3">
      <c r="A54" s="70" t="s">
        <v>32</v>
      </c>
      <c r="B54" s="71">
        <v>4</v>
      </c>
      <c r="C54" s="72"/>
      <c r="D54" s="64"/>
      <c r="E54" s="64">
        <v>4000</v>
      </c>
      <c r="F54" s="64">
        <v>14000</v>
      </c>
      <c r="G54" s="64"/>
      <c r="H54" s="64"/>
      <c r="I54" s="64">
        <v>14000</v>
      </c>
      <c r="J54" s="62">
        <f t="shared" si="2"/>
        <v>32000</v>
      </c>
      <c r="M54" s="87"/>
      <c r="N54" s="87"/>
      <c r="O54" s="87"/>
      <c r="P54" s="87"/>
      <c r="Q54" s="87"/>
      <c r="R54" s="87"/>
      <c r="S54" s="87"/>
    </row>
    <row r="55" spans="1:28" ht="23.25" hidden="1" customHeight="1" x14ac:dyDescent="0.3">
      <c r="A55" s="17" t="s">
        <v>33</v>
      </c>
      <c r="B55" s="71">
        <v>4</v>
      </c>
      <c r="C55" s="64"/>
      <c r="D55" s="64"/>
      <c r="E55" s="64"/>
      <c r="F55" s="64"/>
      <c r="G55" s="64"/>
      <c r="H55" s="64"/>
      <c r="I55" s="64"/>
      <c r="J55" s="62">
        <f t="shared" si="2"/>
        <v>0</v>
      </c>
      <c r="M55" s="87"/>
      <c r="N55" s="87"/>
      <c r="O55" s="87"/>
      <c r="P55" s="87"/>
      <c r="Q55" s="87"/>
      <c r="R55" s="87"/>
      <c r="S55" s="87"/>
    </row>
    <row r="56" spans="1:28" ht="23.25" hidden="1" customHeight="1" x14ac:dyDescent="0.3">
      <c r="A56" s="17" t="s">
        <v>34</v>
      </c>
      <c r="B56" s="71">
        <v>4</v>
      </c>
      <c r="C56" s="64"/>
      <c r="D56" s="64"/>
      <c r="E56" s="64"/>
      <c r="F56" s="64"/>
      <c r="G56" s="64"/>
      <c r="H56" s="64"/>
      <c r="I56" s="64"/>
      <c r="J56" s="62">
        <f t="shared" si="2"/>
        <v>0</v>
      </c>
      <c r="M56" s="87"/>
      <c r="N56" s="87"/>
      <c r="O56" s="87"/>
      <c r="P56" s="87"/>
      <c r="Q56" s="87"/>
      <c r="R56" s="87"/>
      <c r="S56" s="87"/>
    </row>
    <row r="57" spans="1:28" ht="22.5" customHeight="1" x14ac:dyDescent="0.3">
      <c r="A57" s="70" t="s">
        <v>35</v>
      </c>
      <c r="B57" s="71">
        <v>4</v>
      </c>
      <c r="C57" s="64"/>
      <c r="D57" s="64"/>
      <c r="E57" s="64">
        <v>8000</v>
      </c>
      <c r="F57" s="64">
        <v>6000</v>
      </c>
      <c r="G57" s="64"/>
      <c r="H57" s="64"/>
      <c r="I57" s="64">
        <v>10000</v>
      </c>
      <c r="J57" s="62">
        <f t="shared" si="2"/>
        <v>24000</v>
      </c>
      <c r="M57" s="87"/>
      <c r="N57" s="87"/>
      <c r="O57" s="87"/>
      <c r="P57" s="87"/>
      <c r="Q57" s="87"/>
      <c r="R57" s="87"/>
      <c r="S57" s="87"/>
    </row>
    <row r="58" spans="1:28" s="4" customFormat="1" ht="19.149999999999999" customHeight="1" x14ac:dyDescent="0.35">
      <c r="A58" s="88" t="s">
        <v>36</v>
      </c>
      <c r="B58" s="89"/>
      <c r="C58" s="90">
        <v>3</v>
      </c>
      <c r="D58" s="90">
        <v>3</v>
      </c>
      <c r="E58" s="90">
        <v>5</v>
      </c>
      <c r="F58" s="91">
        <v>3</v>
      </c>
      <c r="G58" s="90">
        <v>4</v>
      </c>
      <c r="H58" s="90"/>
      <c r="I58" s="90">
        <v>1</v>
      </c>
      <c r="J58" s="92"/>
    </row>
    <row r="59" spans="1:28" ht="24.75" customHeight="1" x14ac:dyDescent="0.25">
      <c r="A59" s="93" t="s">
        <v>37</v>
      </c>
      <c r="B59" s="94"/>
      <c r="C59" s="95">
        <f>C58+C36</f>
        <v>16.8</v>
      </c>
      <c r="D59" s="95">
        <f>D58+D36</f>
        <v>33.4</v>
      </c>
      <c r="E59" s="95">
        <f>E58+E36</f>
        <v>36.266666666666666</v>
      </c>
      <c r="F59" s="95">
        <f>F58+F36</f>
        <v>39.93333333333333</v>
      </c>
      <c r="G59" s="95">
        <f>G58+G36</f>
        <v>29</v>
      </c>
      <c r="H59" s="95"/>
      <c r="I59" s="95"/>
      <c r="J59" s="96"/>
      <c r="M59" s="87"/>
      <c r="N59" s="87"/>
      <c r="O59" s="87"/>
      <c r="P59" s="87"/>
      <c r="Q59" s="87"/>
      <c r="R59" s="87"/>
      <c r="S59" s="87"/>
    </row>
    <row r="60" spans="1:28" s="1" customFormat="1" ht="25.5" x14ac:dyDescent="0.35">
      <c r="A60" s="97"/>
      <c r="B60" s="98"/>
      <c r="C60" s="99" t="s">
        <v>38</v>
      </c>
      <c r="D60" s="100"/>
      <c r="E60" s="33" t="s">
        <v>39</v>
      </c>
      <c r="F60" s="4"/>
      <c r="G60" s="4"/>
      <c r="H60" s="4"/>
      <c r="I60" s="4"/>
      <c r="J60" s="3"/>
      <c r="M60" s="87"/>
      <c r="N60" s="87"/>
      <c r="O60" s="87"/>
      <c r="P60" s="87"/>
      <c r="Q60" s="87"/>
      <c r="R60" s="87"/>
      <c r="S60" s="87"/>
      <c r="T60" s="3"/>
      <c r="U60" s="3"/>
      <c r="V60" s="3"/>
      <c r="W60" s="3"/>
      <c r="X60" s="3"/>
      <c r="Y60" s="3"/>
      <c r="Z60" s="3"/>
      <c r="AA60" s="3"/>
      <c r="AB60" s="3"/>
    </row>
    <row r="61" spans="1:28" ht="25.5" x14ac:dyDescent="0.35">
      <c r="A61" s="101"/>
      <c r="B61" s="102"/>
      <c r="C61" s="103" t="s">
        <v>40</v>
      </c>
      <c r="D61" s="104"/>
      <c r="E61" s="105" t="s">
        <v>41</v>
      </c>
      <c r="F61" s="4"/>
      <c r="G61" s="4"/>
      <c r="H61" s="4"/>
      <c r="I61" s="4"/>
      <c r="K61" s="87"/>
      <c r="L61" s="87"/>
      <c r="M61" s="106"/>
      <c r="N61" s="106"/>
      <c r="O61" s="106"/>
      <c r="P61" s="106"/>
      <c r="Q61" s="106"/>
      <c r="R61" s="106"/>
      <c r="S61" s="106"/>
    </row>
    <row r="62" spans="1:28" ht="20.25" x14ac:dyDescent="0.25">
      <c r="A62" s="107"/>
      <c r="B62" s="108"/>
      <c r="C62" s="107"/>
      <c r="D62" s="107"/>
      <c r="E62" s="107"/>
      <c r="F62" s="109"/>
      <c r="G62" s="110"/>
      <c r="H62" s="110"/>
      <c r="I62" s="110"/>
      <c r="J62" s="1"/>
      <c r="K62" s="87"/>
      <c r="L62" s="87"/>
      <c r="M62" s="111"/>
      <c r="N62" s="111"/>
      <c r="O62" s="111"/>
      <c r="P62" s="111"/>
      <c r="Q62" s="111"/>
      <c r="R62" s="111"/>
      <c r="S62" s="111"/>
    </row>
    <row r="63" spans="1:28" x14ac:dyDescent="0.25">
      <c r="A63" s="112"/>
      <c r="B63" s="113"/>
      <c r="C63" s="112"/>
      <c r="D63" s="112"/>
      <c r="E63" s="112"/>
      <c r="F63" s="112"/>
      <c r="G63" s="87"/>
      <c r="H63" s="87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87"/>
      <c r="H64" s="87"/>
      <c r="I64" s="87"/>
      <c r="J64" s="87"/>
      <c r="K64" s="87"/>
      <c r="L64" s="87"/>
      <c r="M64" s="114"/>
      <c r="N64" s="114"/>
      <c r="O64" s="114"/>
      <c r="P64" s="114"/>
      <c r="Q64" s="114"/>
      <c r="R64" s="114"/>
      <c r="S64" s="114"/>
    </row>
    <row r="65" spans="1:19" x14ac:dyDescent="0.25">
      <c r="A65" s="112"/>
      <c r="B65" s="113"/>
      <c r="C65" s="112"/>
      <c r="D65" s="112"/>
      <c r="E65" s="112"/>
      <c r="F65" s="112"/>
      <c r="G65" s="87"/>
      <c r="H65" s="87"/>
      <c r="I65" s="87"/>
      <c r="J65" s="87"/>
      <c r="K65" s="87"/>
      <c r="L65" s="87"/>
      <c r="M65" s="110"/>
      <c r="N65" s="110"/>
      <c r="O65" s="110"/>
      <c r="P65" s="110"/>
      <c r="Q65" s="110"/>
      <c r="R65" s="110"/>
      <c r="S65" s="110"/>
    </row>
    <row r="66" spans="1:19" x14ac:dyDescent="0.25"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</row>
    <row r="67" spans="1:19" ht="25.5" x14ac:dyDescent="0.35">
      <c r="A67" s="1"/>
      <c r="B67" s="2"/>
      <c r="C67" s="1"/>
      <c r="D67" s="1"/>
      <c r="E67" s="1"/>
      <c r="F67" s="1"/>
      <c r="G67" s="87"/>
      <c r="H67" s="87"/>
      <c r="I67" s="87"/>
      <c r="J67" s="87"/>
      <c r="K67" s="106"/>
      <c r="L67" s="106"/>
      <c r="M67" s="110"/>
      <c r="N67" s="110"/>
      <c r="O67" s="110"/>
      <c r="P67" s="110"/>
      <c r="Q67" s="110"/>
      <c r="R67" s="110"/>
      <c r="S67" s="110"/>
    </row>
    <row r="68" spans="1:19" x14ac:dyDescent="0.25">
      <c r="A68" s="1"/>
      <c r="B68" s="2"/>
      <c r="C68" s="1"/>
      <c r="D68" s="1"/>
      <c r="E68" s="1"/>
      <c r="F68" s="1"/>
      <c r="G68" s="87"/>
      <c r="H68" s="87"/>
      <c r="I68" s="87"/>
      <c r="J68" s="87"/>
      <c r="K68" s="111"/>
      <c r="L68" s="111"/>
      <c r="M68" s="110"/>
      <c r="N68" s="110"/>
      <c r="O68" s="110"/>
      <c r="P68" s="110"/>
      <c r="Q68" s="110"/>
      <c r="R68" s="110"/>
      <c r="S68" s="110"/>
    </row>
    <row r="69" spans="1:19" ht="25.5" x14ac:dyDescent="0.35">
      <c r="A69" s="181"/>
      <c r="B69" s="181"/>
      <c r="C69" s="181"/>
      <c r="D69" s="181"/>
      <c r="E69" s="181"/>
      <c r="F69" s="181"/>
      <c r="G69" s="106"/>
      <c r="H69" s="106"/>
      <c r="I69" s="106"/>
      <c r="J69" s="106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1"/>
      <c r="K70" s="114"/>
      <c r="L70" s="114"/>
      <c r="M70" s="87"/>
      <c r="N70" s="87"/>
      <c r="O70" s="87"/>
      <c r="P70" s="87"/>
      <c r="Q70" s="87"/>
      <c r="R70" s="87"/>
      <c r="S70" s="87"/>
    </row>
    <row r="71" spans="1:19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114"/>
      <c r="K71" s="110"/>
      <c r="L71" s="110"/>
      <c r="M71" s="87"/>
      <c r="N71" s="87"/>
      <c r="O71" s="87"/>
      <c r="P71" s="87"/>
      <c r="Q71" s="87"/>
      <c r="R71" s="87"/>
      <c r="S71" s="87"/>
    </row>
    <row r="72" spans="1:19" x14ac:dyDescent="0.25">
      <c r="A72" s="182"/>
      <c r="B72" s="116"/>
      <c r="C72" s="114"/>
      <c r="D72" s="114"/>
      <c r="E72" s="114"/>
      <c r="F72" s="114"/>
      <c r="G72" s="114"/>
      <c r="H72" s="114"/>
      <c r="I72" s="114"/>
      <c r="J72" s="114"/>
      <c r="K72" s="87"/>
      <c r="L72" s="87"/>
    </row>
    <row r="73" spans="1:19" x14ac:dyDescent="0.25">
      <c r="A73" s="112"/>
      <c r="B73" s="113"/>
      <c r="C73" s="112"/>
      <c r="D73" s="112"/>
      <c r="E73" s="112"/>
      <c r="F73" s="112"/>
      <c r="G73" s="110"/>
      <c r="H73" s="110"/>
      <c r="I73" s="110"/>
      <c r="J73" s="110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87"/>
      <c r="H74" s="87"/>
      <c r="I74" s="87"/>
      <c r="J74" s="87"/>
      <c r="K74" s="110"/>
      <c r="L74" s="110"/>
    </row>
    <row r="75" spans="1:19" x14ac:dyDescent="0.25">
      <c r="A75" s="112"/>
      <c r="B75" s="113"/>
      <c r="C75" s="112"/>
      <c r="D75" s="112"/>
      <c r="E75" s="112"/>
      <c r="F75" s="112"/>
      <c r="G75" s="110"/>
      <c r="H75" s="110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0"/>
      <c r="H76" s="110"/>
      <c r="I76" s="110"/>
      <c r="J76" s="110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87"/>
      <c r="H77" s="87"/>
      <c r="I77" s="87"/>
      <c r="J77" s="87"/>
      <c r="K77" s="87"/>
      <c r="L77" s="87"/>
    </row>
    <row r="78" spans="1:19" x14ac:dyDescent="0.25">
      <c r="A78" s="112"/>
      <c r="B78" s="113"/>
      <c r="C78" s="112"/>
      <c r="D78" s="112"/>
      <c r="E78" s="112"/>
      <c r="F78" s="112"/>
      <c r="G78" s="87"/>
      <c r="H78" s="87"/>
      <c r="I78" s="87"/>
      <c r="J78" s="87"/>
    </row>
    <row r="79" spans="1:19" x14ac:dyDescent="0.25">
      <c r="A79" s="1"/>
      <c r="B79" s="2"/>
      <c r="C79" s="1"/>
      <c r="D79" s="1"/>
      <c r="E79" s="1"/>
      <c r="F79" s="1"/>
      <c r="G79" s="87"/>
      <c r="H79" s="87"/>
      <c r="I79" s="87"/>
      <c r="J79" s="87"/>
    </row>
  </sheetData>
  <mergeCells count="6">
    <mergeCell ref="A71:A72"/>
    <mergeCell ref="A2:J2"/>
    <mergeCell ref="A3:S3"/>
    <mergeCell ref="A4:S4"/>
    <mergeCell ref="N24:O25"/>
    <mergeCell ref="A69:F6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7C06-9336-409F-A274-1154E1500CC7}">
  <dimension ref="A1:AB78"/>
  <sheetViews>
    <sheetView topLeftCell="A2" zoomScale="90" zoomScaleNormal="90" workbookViewId="0">
      <pane ySplit="4" topLeftCell="A41" activePane="bottomLeft" state="frozen"/>
      <selection activeCell="A2" sqref="A2"/>
      <selection pane="bottomLeft" activeCell="I33" sqref="I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9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  <c r="J2" s="177"/>
    </row>
    <row r="3" spans="1:19" s="4" customFormat="1" ht="27" customHeight="1" x14ac:dyDescent="0.35">
      <c r="A3" s="178" t="s">
        <v>45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</row>
    <row r="4" spans="1:19" ht="21.75" customHeight="1" x14ac:dyDescent="0.25">
      <c r="A4" s="179" t="s">
        <v>61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</row>
    <row r="5" spans="1:19" s="1" customFormat="1" ht="18.75" x14ac:dyDescent="0.25">
      <c r="A5" s="5" t="s">
        <v>2</v>
      </c>
      <c r="B5" s="6" t="s">
        <v>3</v>
      </c>
      <c r="C5" s="139">
        <v>46054</v>
      </c>
      <c r="D5" s="7">
        <v>46055</v>
      </c>
      <c r="E5" s="7">
        <v>46056</v>
      </c>
      <c r="F5" s="7">
        <v>46057</v>
      </c>
      <c r="G5" s="7">
        <v>46058</v>
      </c>
      <c r="H5" s="7">
        <v>46059</v>
      </c>
      <c r="I5" s="7">
        <v>46060</v>
      </c>
      <c r="J5" s="8"/>
    </row>
    <row r="6" spans="1:19" s="12" customFormat="1" ht="21.75" customHeight="1" x14ac:dyDescent="0.25">
      <c r="A6" s="9" t="s">
        <v>4</v>
      </c>
      <c r="B6" s="18">
        <v>4</v>
      </c>
      <c r="C6" s="118">
        <v>0</v>
      </c>
      <c r="D6" s="118">
        <v>14000</v>
      </c>
      <c r="E6" s="119">
        <v>0</v>
      </c>
      <c r="F6" s="119">
        <v>0</v>
      </c>
      <c r="G6" s="119"/>
      <c r="H6" s="119"/>
      <c r="I6" s="119">
        <v>14000</v>
      </c>
      <c r="J6" s="10">
        <f t="shared" ref="J6:J33" si="0">SUM(C6:I6)</f>
        <v>28000</v>
      </c>
      <c r="K6" s="1"/>
      <c r="L6" s="11"/>
    </row>
    <row r="7" spans="1:19" s="12" customFormat="1" ht="22.5" customHeight="1" x14ac:dyDescent="0.25">
      <c r="A7" s="5"/>
      <c r="B7" s="13"/>
      <c r="C7" s="14"/>
      <c r="D7" s="14"/>
      <c r="E7" s="14">
        <v>14220</v>
      </c>
      <c r="F7" s="14"/>
      <c r="G7" s="14"/>
      <c r="H7" s="14"/>
      <c r="I7" s="14"/>
      <c r="J7" s="15">
        <f t="shared" si="0"/>
        <v>14220</v>
      </c>
      <c r="K7" s="1"/>
      <c r="L7" s="11"/>
    </row>
    <row r="8" spans="1:19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0">
        <f t="shared" si="0"/>
        <v>0</v>
      </c>
      <c r="K8" s="1"/>
      <c r="L8" s="11"/>
    </row>
    <row r="9" spans="1:19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5">
        <f t="shared" si="0"/>
        <v>0</v>
      </c>
      <c r="K9" s="1"/>
      <c r="L9" s="11"/>
    </row>
    <row r="10" spans="1:19" s="12" customFormat="1" ht="22.15" customHeight="1" x14ac:dyDescent="0.25">
      <c r="A10" s="17" t="s">
        <v>44</v>
      </c>
      <c r="B10" s="18">
        <v>2.8</v>
      </c>
      <c r="C10" s="122">
        <v>0</v>
      </c>
      <c r="D10" s="122"/>
      <c r="E10" s="122">
        <v>11000</v>
      </c>
      <c r="F10" s="122">
        <v>0</v>
      </c>
      <c r="G10" s="122"/>
      <c r="H10" s="122"/>
      <c r="I10" s="122">
        <v>0</v>
      </c>
      <c r="J10" s="20">
        <f t="shared" si="0"/>
        <v>11000</v>
      </c>
      <c r="K10" s="1"/>
      <c r="L10" s="11"/>
    </row>
    <row r="11" spans="1:19" s="12" customFormat="1" ht="22.15" customHeight="1" x14ac:dyDescent="0.25">
      <c r="A11" s="21"/>
      <c r="B11" s="22"/>
      <c r="C11" s="23"/>
      <c r="D11" s="23"/>
      <c r="E11" s="23">
        <v>8920</v>
      </c>
      <c r="F11" s="23"/>
      <c r="G11" s="23"/>
      <c r="H11" s="23"/>
      <c r="I11" s="23"/>
      <c r="J11" s="15">
        <f t="shared" si="0"/>
        <v>8920</v>
      </c>
      <c r="K11" s="1"/>
      <c r="L11" s="11"/>
    </row>
    <row r="12" spans="1:19" s="12" customFormat="1" ht="22.15" customHeight="1" x14ac:dyDescent="0.25">
      <c r="A12" s="120" t="s">
        <v>6</v>
      </c>
      <c r="B12" s="18">
        <v>2.8</v>
      </c>
      <c r="C12" s="123">
        <v>0</v>
      </c>
      <c r="D12" s="123"/>
      <c r="E12" s="123">
        <v>0</v>
      </c>
      <c r="F12" s="122">
        <v>0</v>
      </c>
      <c r="G12" s="123">
        <v>14000</v>
      </c>
      <c r="H12" s="123"/>
      <c r="I12" s="123">
        <v>0</v>
      </c>
      <c r="J12" s="20">
        <f t="shared" si="0"/>
        <v>14000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/>
      <c r="E13" s="23"/>
      <c r="F13" s="23"/>
      <c r="G13" s="23">
        <v>13240</v>
      </c>
      <c r="H13" s="23"/>
      <c r="I13" s="23"/>
      <c r="J13" s="15">
        <f t="shared" si="0"/>
        <v>13240</v>
      </c>
      <c r="K13" s="1"/>
      <c r="L13" s="11"/>
    </row>
    <row r="14" spans="1:19" s="12" customFormat="1" ht="22.15" customHeight="1" x14ac:dyDescent="0.25">
      <c r="A14" s="120" t="s">
        <v>62</v>
      </c>
      <c r="B14" s="18">
        <v>2.8</v>
      </c>
      <c r="C14" s="123"/>
      <c r="D14" s="123">
        <v>14000</v>
      </c>
      <c r="E14" s="123"/>
      <c r="F14" s="123"/>
      <c r="G14" s="123"/>
      <c r="H14" s="123"/>
      <c r="I14" s="123"/>
      <c r="J14" s="20">
        <f t="shared" si="0"/>
        <v>14000</v>
      </c>
      <c r="K14" s="1"/>
      <c r="L14" s="11"/>
    </row>
    <row r="15" spans="1:19" s="12" customFormat="1" ht="22.15" customHeight="1" x14ac:dyDescent="0.25">
      <c r="A15" s="21"/>
      <c r="B15" s="22"/>
      <c r="C15" s="23"/>
      <c r="D15" s="23"/>
      <c r="E15" s="23">
        <v>13600</v>
      </c>
      <c r="F15" s="23"/>
      <c r="G15" s="23"/>
      <c r="H15" s="23"/>
      <c r="I15" s="23"/>
      <c r="J15" s="15"/>
      <c r="K15" s="1"/>
      <c r="L15" s="11"/>
    </row>
    <row r="16" spans="1:19" s="12" customFormat="1" ht="22.15" customHeight="1" x14ac:dyDescent="0.25">
      <c r="A16" s="120" t="s">
        <v>7</v>
      </c>
      <c r="B16" s="18">
        <v>2.8</v>
      </c>
      <c r="C16" s="121">
        <v>16000</v>
      </c>
      <c r="D16" s="121"/>
      <c r="E16" s="121">
        <v>5000</v>
      </c>
      <c r="F16" s="122">
        <v>0</v>
      </c>
      <c r="G16" s="122"/>
      <c r="H16" s="122"/>
      <c r="I16" s="122">
        <v>16000</v>
      </c>
      <c r="J16" s="20">
        <f t="shared" si="0"/>
        <v>37000</v>
      </c>
      <c r="K16" s="1"/>
      <c r="L16" s="11"/>
    </row>
    <row r="17" spans="1:28" s="12" customFormat="1" ht="22.15" customHeight="1" x14ac:dyDescent="0.25">
      <c r="A17" s="21"/>
      <c r="B17" s="22"/>
      <c r="C17" s="24">
        <v>13000</v>
      </c>
      <c r="D17" s="24"/>
      <c r="E17" s="23">
        <v>4640</v>
      </c>
      <c r="F17" s="23"/>
      <c r="G17" s="23"/>
      <c r="H17" s="23"/>
      <c r="I17" s="23"/>
      <c r="J17" s="15">
        <f t="shared" si="0"/>
        <v>17640</v>
      </c>
      <c r="K17" s="1"/>
      <c r="L17" s="11"/>
    </row>
    <row r="18" spans="1:28" s="12" customFormat="1" ht="22.15" customHeight="1" x14ac:dyDescent="0.25">
      <c r="A18" s="9" t="s">
        <v>11</v>
      </c>
      <c r="B18" s="26">
        <v>4</v>
      </c>
      <c r="C18" s="121">
        <v>0</v>
      </c>
      <c r="D18" s="121">
        <v>16000</v>
      </c>
      <c r="E18" s="121">
        <v>0</v>
      </c>
      <c r="F18" s="121">
        <v>33000</v>
      </c>
      <c r="G18" s="121"/>
      <c r="H18" s="121"/>
      <c r="I18" s="121">
        <v>0</v>
      </c>
      <c r="J18" s="20">
        <f t="shared" si="0"/>
        <v>49000</v>
      </c>
      <c r="K18" s="1"/>
      <c r="L18" s="11"/>
    </row>
    <row r="19" spans="1:28" s="12" customFormat="1" ht="22.15" customHeight="1" x14ac:dyDescent="0.25">
      <c r="A19" s="21"/>
      <c r="B19" s="22"/>
      <c r="C19" s="24"/>
      <c r="D19" s="24">
        <v>16370</v>
      </c>
      <c r="E19" s="23"/>
      <c r="F19" s="23">
        <v>29910</v>
      </c>
      <c r="G19" s="23"/>
      <c r="H19" s="23"/>
      <c r="I19" s="23"/>
      <c r="J19" s="15"/>
      <c r="K19" s="1"/>
      <c r="L19" s="11"/>
    </row>
    <row r="20" spans="1:28" s="1" customFormat="1" ht="22.15" customHeight="1" x14ac:dyDescent="0.25">
      <c r="A20" s="25" t="s">
        <v>47</v>
      </c>
      <c r="B20" s="26">
        <v>4</v>
      </c>
      <c r="C20" s="27">
        <v>0</v>
      </c>
      <c r="D20" s="27">
        <v>42000</v>
      </c>
      <c r="E20" s="27">
        <v>0</v>
      </c>
      <c r="F20" s="27">
        <v>0</v>
      </c>
      <c r="G20" s="27">
        <v>31000</v>
      </c>
      <c r="H20" s="27">
        <v>14000</v>
      </c>
      <c r="I20" s="27">
        <v>0</v>
      </c>
      <c r="J20" s="20">
        <f>SUM(C20:I20)</f>
        <v>87000</v>
      </c>
      <c r="L20" s="11"/>
    </row>
    <row r="21" spans="1:28" s="1" customFormat="1" ht="22.15" customHeight="1" x14ac:dyDescent="0.25">
      <c r="A21" s="28"/>
      <c r="B21" s="29"/>
      <c r="C21" s="24"/>
      <c r="D21" s="24">
        <v>13760</v>
      </c>
      <c r="E21" s="24">
        <v>14950</v>
      </c>
      <c r="F21" s="30"/>
      <c r="H21" s="30">
        <v>15220</v>
      </c>
      <c r="I21" s="30"/>
      <c r="J21" s="15">
        <f t="shared" si="0"/>
        <v>43930</v>
      </c>
      <c r="L21" s="11"/>
    </row>
    <row r="22" spans="1:28" s="1" customFormat="1" ht="22.15" customHeight="1" x14ac:dyDescent="0.25">
      <c r="A22" s="124" t="s">
        <v>48</v>
      </c>
      <c r="B22" s="26">
        <v>4</v>
      </c>
      <c r="C22" s="27">
        <v>42000</v>
      </c>
      <c r="D22" s="27">
        <v>64000</v>
      </c>
      <c r="E22" s="27">
        <v>88000</v>
      </c>
      <c r="F22" s="27">
        <v>44000</v>
      </c>
      <c r="G22" s="27">
        <v>44000</v>
      </c>
      <c r="H22" s="27">
        <v>28000</v>
      </c>
      <c r="I22" s="27">
        <v>0</v>
      </c>
      <c r="J22" s="20">
        <f>SUM(C22:I22)</f>
        <v>310000</v>
      </c>
      <c r="L22" s="11"/>
    </row>
    <row r="23" spans="1:28" s="1" customFormat="1" ht="22.15" customHeight="1" x14ac:dyDescent="0.25">
      <c r="A23" s="28"/>
      <c r="B23" s="29"/>
      <c r="C23" s="24">
        <v>41760</v>
      </c>
      <c r="D23" s="24">
        <v>59930</v>
      </c>
      <c r="E23" s="24">
        <v>85310</v>
      </c>
      <c r="F23" s="30">
        <v>26940</v>
      </c>
      <c r="G23" s="30">
        <v>14570</v>
      </c>
      <c r="H23" s="30">
        <v>56370</v>
      </c>
      <c r="I23" s="30">
        <v>44480</v>
      </c>
      <c r="J23" s="15">
        <f t="shared" si="0"/>
        <v>329360</v>
      </c>
      <c r="L23" s="11"/>
    </row>
    <row r="24" spans="1:28" s="33" customFormat="1" ht="22.15" customHeight="1" x14ac:dyDescent="0.25">
      <c r="A24" s="25" t="s">
        <v>49</v>
      </c>
      <c r="B24" s="26">
        <v>4</v>
      </c>
      <c r="C24" s="27">
        <v>0</v>
      </c>
      <c r="D24" s="27">
        <v>29000</v>
      </c>
      <c r="E24" s="27">
        <v>0</v>
      </c>
      <c r="F24" s="27">
        <v>17000</v>
      </c>
      <c r="G24" s="27"/>
      <c r="H24" s="27"/>
      <c r="I24" s="27"/>
      <c r="J24" s="31">
        <f t="shared" si="0"/>
        <v>46000</v>
      </c>
      <c r="K24" s="32"/>
      <c r="L24" s="11"/>
    </row>
    <row r="25" spans="1:28" s="33" customFormat="1" ht="22.15" customHeight="1" x14ac:dyDescent="0.25">
      <c r="A25" s="28"/>
      <c r="B25" s="29"/>
      <c r="C25" s="24"/>
      <c r="D25" s="24"/>
      <c r="E25" s="24">
        <v>28100</v>
      </c>
      <c r="F25" s="30">
        <v>8290</v>
      </c>
      <c r="G25" s="30"/>
      <c r="H25" s="30"/>
      <c r="I25" s="30"/>
      <c r="J25" s="15">
        <f t="shared" si="0"/>
        <v>36390</v>
      </c>
      <c r="K25" s="32"/>
      <c r="L25" s="11"/>
      <c r="M25" s="34"/>
      <c r="N25" s="35"/>
      <c r="O25" s="35"/>
      <c r="P25" s="35"/>
      <c r="Q25" s="35"/>
      <c r="R25" s="35"/>
      <c r="S25" s="35"/>
      <c r="T25" s="36"/>
      <c r="U25" s="35"/>
      <c r="V25" s="37"/>
      <c r="W25" s="35"/>
      <c r="X25" s="35"/>
      <c r="Y25" s="37"/>
      <c r="Z25" s="35"/>
      <c r="AA25" s="35"/>
      <c r="AB25" s="35"/>
    </row>
    <row r="26" spans="1:28" s="1" customFormat="1" ht="22.15" customHeight="1" x14ac:dyDescent="0.35">
      <c r="A26" s="25" t="s">
        <v>50</v>
      </c>
      <c r="B26" s="26">
        <v>4</v>
      </c>
      <c r="C26" s="125">
        <v>14000</v>
      </c>
      <c r="D26" s="125">
        <v>43000</v>
      </c>
      <c r="E26" s="125">
        <v>77000</v>
      </c>
      <c r="F26" s="125">
        <v>73000</v>
      </c>
      <c r="G26" s="125">
        <v>72000</v>
      </c>
      <c r="H26" s="125">
        <v>15000</v>
      </c>
      <c r="I26" s="125">
        <v>14000</v>
      </c>
      <c r="J26" s="31">
        <f t="shared" si="0"/>
        <v>308000</v>
      </c>
      <c r="K26" s="32"/>
      <c r="L26" s="11"/>
      <c r="M26" s="4"/>
      <c r="N26" s="180" t="s">
        <v>10</v>
      </c>
      <c r="O26" s="180"/>
      <c r="Q26" s="4"/>
      <c r="Y26" s="4"/>
      <c r="Z26" s="4"/>
      <c r="AA26" s="4"/>
      <c r="AB26" s="4"/>
    </row>
    <row r="27" spans="1:28" s="1" customFormat="1" ht="22.15" customHeight="1" x14ac:dyDescent="0.35">
      <c r="A27" s="39"/>
      <c r="B27" s="40"/>
      <c r="C27" s="24">
        <v>14260</v>
      </c>
      <c r="D27" s="24">
        <v>70160</v>
      </c>
      <c r="E27" s="24">
        <v>74220</v>
      </c>
      <c r="F27" s="30">
        <v>181090</v>
      </c>
      <c r="G27" s="30">
        <v>87690</v>
      </c>
      <c r="H27" s="30">
        <v>70650</v>
      </c>
      <c r="I27" s="30">
        <v>13630</v>
      </c>
      <c r="J27" s="15">
        <f t="shared" si="0"/>
        <v>511700</v>
      </c>
      <c r="K27" s="32"/>
      <c r="L27" s="11"/>
      <c r="M27" s="4"/>
      <c r="N27" s="180"/>
      <c r="O27" s="180"/>
      <c r="Q27" s="4"/>
      <c r="Y27" s="4"/>
      <c r="Z27" s="4"/>
      <c r="AA27" s="4"/>
      <c r="AB27" s="4"/>
    </row>
    <row r="28" spans="1:28" s="4" customFormat="1" ht="21.75" customHeight="1" x14ac:dyDescent="0.35">
      <c r="A28" s="25" t="s">
        <v>51</v>
      </c>
      <c r="B28" s="26">
        <v>4</v>
      </c>
      <c r="C28" s="27">
        <v>63000</v>
      </c>
      <c r="D28" s="27">
        <v>243000</v>
      </c>
      <c r="E28" s="27">
        <v>280000</v>
      </c>
      <c r="F28" s="27">
        <v>287000</v>
      </c>
      <c r="G28" s="27">
        <v>201000</v>
      </c>
      <c r="H28" s="27">
        <v>228000</v>
      </c>
      <c r="I28" s="27">
        <v>150000</v>
      </c>
      <c r="J28" s="31">
        <f t="shared" si="0"/>
        <v>1452000</v>
      </c>
      <c r="K28" s="1"/>
    </row>
    <row r="29" spans="1:28" s="4" customFormat="1" ht="21.75" customHeight="1" x14ac:dyDescent="0.35">
      <c r="A29" s="39"/>
      <c r="B29" s="40"/>
      <c r="C29" s="24">
        <v>60370</v>
      </c>
      <c r="D29" s="24">
        <v>161890</v>
      </c>
      <c r="E29" s="24">
        <v>181070</v>
      </c>
      <c r="F29" s="30">
        <v>255270</v>
      </c>
      <c r="G29" s="30">
        <v>244510</v>
      </c>
      <c r="H29" s="30">
        <v>201880</v>
      </c>
      <c r="I29" s="30">
        <v>77120</v>
      </c>
      <c r="J29" s="15">
        <f t="shared" si="0"/>
        <v>1182110</v>
      </c>
    </row>
    <row r="30" spans="1:28" s="4" customFormat="1" ht="21" customHeight="1" x14ac:dyDescent="0.35">
      <c r="A30" s="25" t="s">
        <v>52</v>
      </c>
      <c r="B30" s="26">
        <v>4</v>
      </c>
      <c r="C30" s="27">
        <v>0</v>
      </c>
      <c r="D30" s="27">
        <v>57000</v>
      </c>
      <c r="E30" s="27">
        <v>17000</v>
      </c>
      <c r="F30" s="27">
        <v>28000</v>
      </c>
      <c r="G30" s="27">
        <v>31000</v>
      </c>
      <c r="H30" s="27">
        <v>103000</v>
      </c>
      <c r="I30" s="27">
        <v>28000</v>
      </c>
      <c r="J30" s="31">
        <f t="shared" si="0"/>
        <v>264000</v>
      </c>
    </row>
    <row r="31" spans="1:28" s="4" customFormat="1" ht="20.45" customHeight="1" x14ac:dyDescent="0.35">
      <c r="A31" s="49"/>
      <c r="B31" s="50"/>
      <c r="C31" s="51">
        <v>13910</v>
      </c>
      <c r="D31" s="51">
        <v>17960</v>
      </c>
      <c r="E31" s="51">
        <v>42990</v>
      </c>
      <c r="F31" s="51">
        <v>28780</v>
      </c>
      <c r="G31" s="52">
        <v>30460</v>
      </c>
      <c r="H31" s="51"/>
      <c r="I31" s="51"/>
      <c r="J31" s="15">
        <f>SUM(C31:I31)</f>
        <v>134100</v>
      </c>
    </row>
    <row r="32" spans="1:28" s="4" customFormat="1" ht="20.45" customHeight="1" x14ac:dyDescent="0.35">
      <c r="A32" s="126" t="s">
        <v>14</v>
      </c>
      <c r="B32" s="127">
        <v>4</v>
      </c>
      <c r="C32" s="136">
        <v>28370</v>
      </c>
      <c r="D32" s="136">
        <v>45000</v>
      </c>
      <c r="E32" s="129">
        <v>0</v>
      </c>
      <c r="F32" s="129">
        <v>31000</v>
      </c>
      <c r="G32" s="129">
        <v>30000</v>
      </c>
      <c r="H32" s="129">
        <v>15000</v>
      </c>
      <c r="I32" s="129">
        <v>0</v>
      </c>
      <c r="J32" s="130">
        <f t="shared" si="0"/>
        <v>149370</v>
      </c>
    </row>
    <row r="33" spans="1:28" s="4" customFormat="1" ht="20.45" customHeight="1" x14ac:dyDescent="0.35">
      <c r="A33" s="49"/>
      <c r="B33" s="50"/>
      <c r="C33" s="51">
        <v>28370</v>
      </c>
      <c r="D33" s="51">
        <v>14350</v>
      </c>
      <c r="E33" s="143">
        <v>14890</v>
      </c>
      <c r="F33" s="51">
        <v>14680</v>
      </c>
      <c r="G33" s="52">
        <v>15210</v>
      </c>
      <c r="H33" s="51">
        <v>86340</v>
      </c>
      <c r="I33" s="51">
        <v>15120</v>
      </c>
      <c r="J33" s="15">
        <f t="shared" si="0"/>
        <v>188960</v>
      </c>
    </row>
    <row r="34" spans="1:28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10.891333333333334</v>
      </c>
      <c r="D34" s="58">
        <f t="shared" ref="D34:H34" si="1">(D6+D10+D12+D16+D18+D18+D20+D22++D24+D26+D28+D30+D32)/15000</f>
        <v>37.93333333333333</v>
      </c>
      <c r="E34" s="58">
        <f>(E6+E10+E12+E16+E18+E18+E20+E22++E24+E26+E28+E30+E32)/15000</f>
        <v>31.866666666666667</v>
      </c>
      <c r="F34" s="58">
        <f t="shared" si="1"/>
        <v>36.4</v>
      </c>
      <c r="G34" s="58">
        <f t="shared" si="1"/>
        <v>28.2</v>
      </c>
      <c r="H34" s="58">
        <f t="shared" si="1"/>
        <v>26.866666666666667</v>
      </c>
      <c r="I34" s="58">
        <f>(I6+I10+I12+I16+I18+I18+I20+I22+I24+I26+I28+I30+I32)/15000</f>
        <v>14.8</v>
      </c>
      <c r="J34" s="59"/>
    </row>
    <row r="35" spans="1:28" s="4" customFormat="1" ht="20.45" customHeight="1" x14ac:dyDescent="0.35">
      <c r="A35" s="17" t="s">
        <v>17</v>
      </c>
      <c r="B35" s="60">
        <v>4</v>
      </c>
      <c r="C35" s="61"/>
      <c r="D35" s="61">
        <v>14000</v>
      </c>
      <c r="E35" s="61">
        <v>14000</v>
      </c>
      <c r="F35" s="61">
        <v>14000</v>
      </c>
      <c r="G35" s="61">
        <v>14000</v>
      </c>
      <c r="H35" s="61">
        <v>14000</v>
      </c>
      <c r="I35" s="61">
        <v>14000</v>
      </c>
      <c r="J35" s="62">
        <f t="shared" ref="J35:J56" si="2">SUM(C35:I35)</f>
        <v>84000</v>
      </c>
    </row>
    <row r="36" spans="1:28" s="4" customFormat="1" ht="21" hidden="1" customHeight="1" x14ac:dyDescent="0.35">
      <c r="A36" s="17" t="s">
        <v>18</v>
      </c>
      <c r="B36" s="63">
        <v>2.5</v>
      </c>
      <c r="C36" s="64"/>
      <c r="D36" s="64"/>
      <c r="E36" s="64"/>
      <c r="F36" s="64"/>
      <c r="G36" s="64"/>
      <c r="H36" s="64"/>
      <c r="I36" s="64"/>
      <c r="J36" s="62">
        <f t="shared" si="2"/>
        <v>0</v>
      </c>
    </row>
    <row r="37" spans="1:28" s="4" customFormat="1" ht="23.25" customHeight="1" x14ac:dyDescent="0.35">
      <c r="A37" s="65">
        <v>502</v>
      </c>
      <c r="B37" s="66" t="s">
        <v>19</v>
      </c>
      <c r="C37" s="64"/>
      <c r="D37" s="64"/>
      <c r="E37" s="64"/>
      <c r="F37" s="64"/>
      <c r="G37" s="64">
        <v>14000</v>
      </c>
      <c r="H37" s="64"/>
      <c r="I37" s="64"/>
      <c r="J37" s="62">
        <f t="shared" si="2"/>
        <v>14000</v>
      </c>
    </row>
    <row r="38" spans="1:28" s="4" customFormat="1" ht="23.25" customHeight="1" x14ac:dyDescent="0.35">
      <c r="A38" s="67" t="s">
        <v>20</v>
      </c>
      <c r="B38" s="68">
        <v>2.5</v>
      </c>
      <c r="C38" s="64"/>
      <c r="D38" s="64"/>
      <c r="E38" s="64">
        <v>14000</v>
      </c>
      <c r="F38" s="69"/>
      <c r="G38" s="64"/>
      <c r="H38" s="64"/>
      <c r="I38" s="64"/>
      <c r="J38" s="62">
        <f t="shared" si="2"/>
        <v>14000</v>
      </c>
    </row>
    <row r="39" spans="1:28" s="4" customFormat="1" ht="20.25" customHeight="1" x14ac:dyDescent="0.35">
      <c r="A39" s="67" t="s">
        <v>59</v>
      </c>
      <c r="B39" s="68">
        <v>2.5</v>
      </c>
      <c r="C39" s="64"/>
      <c r="D39" s="64"/>
      <c r="E39" s="64"/>
      <c r="F39" s="64"/>
      <c r="G39" s="64"/>
      <c r="H39" s="64"/>
      <c r="I39" s="64">
        <v>14000</v>
      </c>
      <c r="J39" s="62">
        <f t="shared" si="2"/>
        <v>14000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s="4" customFormat="1" ht="20.25" hidden="1" customHeight="1" x14ac:dyDescent="0.35">
      <c r="A40" s="67" t="s">
        <v>22</v>
      </c>
      <c r="B40" s="68">
        <v>3.5</v>
      </c>
      <c r="C40" s="64"/>
      <c r="D40" s="64"/>
      <c r="E40" s="64"/>
      <c r="F40" s="64"/>
      <c r="G40" s="64"/>
      <c r="H40" s="64"/>
      <c r="I40" s="64"/>
      <c r="J40" s="62">
        <f t="shared" si="2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4" customFormat="1" ht="20.25" customHeight="1" x14ac:dyDescent="0.35">
      <c r="A41" s="67" t="s">
        <v>63</v>
      </c>
      <c r="B41" s="68">
        <v>2.5</v>
      </c>
      <c r="C41" s="64"/>
      <c r="D41" s="64"/>
      <c r="E41" s="142"/>
      <c r="F41" s="64">
        <v>4000</v>
      </c>
      <c r="G41" s="64"/>
      <c r="H41" s="64"/>
      <c r="I41" s="64">
        <v>4000</v>
      </c>
      <c r="J41" s="62">
        <f t="shared" si="2"/>
        <v>8000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customHeight="1" x14ac:dyDescent="0.35">
      <c r="A42" s="70" t="s">
        <v>23</v>
      </c>
      <c r="B42" s="71">
        <v>2.5</v>
      </c>
      <c r="C42" s="72"/>
      <c r="D42" s="72">
        <v>19000</v>
      </c>
      <c r="E42" s="73">
        <v>14000</v>
      </c>
      <c r="F42" s="81">
        <v>5000</v>
      </c>
      <c r="G42" s="72">
        <v>28000</v>
      </c>
      <c r="H42" s="64"/>
      <c r="I42" s="72">
        <v>14000</v>
      </c>
      <c r="J42" s="62">
        <f t="shared" si="2"/>
        <v>80000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75"/>
      <c r="J43" s="62">
        <f t="shared" si="2"/>
        <v>0</v>
      </c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s="4" customFormat="1" ht="18.75" customHeight="1" x14ac:dyDescent="0.35">
      <c r="A44" s="70" t="s">
        <v>25</v>
      </c>
      <c r="B44" s="71">
        <v>2.8</v>
      </c>
      <c r="C44" s="64"/>
      <c r="D44" s="72"/>
      <c r="E44" s="72">
        <v>14000</v>
      </c>
      <c r="F44" s="80"/>
      <c r="G44" s="72"/>
      <c r="H44" s="64"/>
      <c r="I44" s="72"/>
      <c r="J44" s="62">
        <f t="shared" si="2"/>
        <v>14000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s="4" customFormat="1" ht="18.75" customHeight="1" x14ac:dyDescent="0.35">
      <c r="A45" s="70" t="s">
        <v>26</v>
      </c>
      <c r="B45" s="71">
        <v>2.8</v>
      </c>
      <c r="C45" s="72"/>
      <c r="D45" s="64">
        <v>5000</v>
      </c>
      <c r="E45" s="137">
        <v>8000</v>
      </c>
      <c r="F45" s="82">
        <v>5000</v>
      </c>
      <c r="G45" s="64"/>
      <c r="H45" s="83">
        <v>8000</v>
      </c>
      <c r="I45" s="72">
        <v>19000</v>
      </c>
      <c r="J45" s="62">
        <f t="shared" si="2"/>
        <v>45000</v>
      </c>
      <c r="K45" s="84"/>
      <c r="L45" s="1" t="s">
        <v>27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53</v>
      </c>
      <c r="B46" s="71">
        <v>2.8</v>
      </c>
      <c r="C46" s="64"/>
      <c r="D46" s="64">
        <v>5000</v>
      </c>
      <c r="E46" s="83">
        <v>6000</v>
      </c>
      <c r="F46" s="82">
        <v>5000</v>
      </c>
      <c r="G46" s="83">
        <v>13000</v>
      </c>
      <c r="H46" s="64"/>
      <c r="I46" s="64">
        <v>10000</v>
      </c>
      <c r="J46" s="62">
        <f t="shared" si="2"/>
        <v>39000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customHeight="1" x14ac:dyDescent="0.35">
      <c r="A47" s="70" t="s">
        <v>28</v>
      </c>
      <c r="B47" s="71">
        <v>2.8</v>
      </c>
      <c r="C47" s="64"/>
      <c r="D47" s="64"/>
      <c r="E47" s="64"/>
      <c r="F47" s="82"/>
      <c r="G47" s="64"/>
      <c r="H47" s="64"/>
      <c r="I47" s="64"/>
      <c r="J47" s="62">
        <f>SUM(C47:I47)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customHeight="1" x14ac:dyDescent="0.35">
      <c r="A48" s="85">
        <v>552</v>
      </c>
      <c r="B48" s="63">
        <v>4</v>
      </c>
      <c r="C48" s="64"/>
      <c r="D48" s="64">
        <v>5000</v>
      </c>
      <c r="E48" s="64"/>
      <c r="F48" s="82"/>
      <c r="G48" s="64"/>
      <c r="H48" s="64"/>
      <c r="I48" s="64"/>
      <c r="J48" s="62">
        <f t="shared" si="2"/>
        <v>5000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1" customFormat="1" ht="23.25" hidden="1" customHeight="1" x14ac:dyDescent="0.3">
      <c r="A49" s="70">
        <v>553</v>
      </c>
      <c r="B49" s="71">
        <v>2.8</v>
      </c>
      <c r="C49" s="64"/>
      <c r="D49" s="64"/>
      <c r="E49" s="64"/>
      <c r="F49" s="80"/>
      <c r="G49" s="83"/>
      <c r="H49" s="64"/>
      <c r="I49" s="64"/>
      <c r="J49" s="62">
        <f t="shared" si="2"/>
        <v>0</v>
      </c>
    </row>
    <row r="50" spans="1:28" s="1" customFormat="1" ht="21" customHeight="1" x14ac:dyDescent="0.3">
      <c r="A50" s="70" t="s">
        <v>29</v>
      </c>
      <c r="B50" s="71">
        <v>4</v>
      </c>
      <c r="C50" s="64"/>
      <c r="D50" s="72">
        <v>26000</v>
      </c>
      <c r="E50" s="64">
        <v>9000</v>
      </c>
      <c r="F50" s="82">
        <v>4000</v>
      </c>
      <c r="G50" s="64">
        <v>14000</v>
      </c>
      <c r="H50" s="64"/>
      <c r="I50" s="64">
        <v>18000</v>
      </c>
      <c r="J50" s="62">
        <f t="shared" si="2"/>
        <v>71000</v>
      </c>
      <c r="M50" s="87"/>
      <c r="N50" s="87"/>
      <c r="O50" s="87"/>
      <c r="P50" s="87"/>
      <c r="Q50" s="87"/>
      <c r="R50" s="87"/>
      <c r="S50" s="87"/>
      <c r="T50" s="3"/>
      <c r="U50" s="3"/>
      <c r="V50" s="3"/>
      <c r="W50" s="3"/>
      <c r="X50" s="3"/>
      <c r="Y50" s="3"/>
      <c r="Z50" s="3"/>
      <c r="AA50" s="3"/>
      <c r="AB50" s="3"/>
    </row>
    <row r="51" spans="1:28" s="1" customFormat="1" ht="21" hidden="1" customHeight="1" x14ac:dyDescent="0.3">
      <c r="A51" s="17" t="s">
        <v>30</v>
      </c>
      <c r="B51" s="71">
        <v>4</v>
      </c>
      <c r="C51" s="64"/>
      <c r="D51" s="64"/>
      <c r="E51" s="64"/>
      <c r="F51" s="82"/>
      <c r="G51" s="64"/>
      <c r="H51" s="64"/>
      <c r="I51" s="64"/>
      <c r="J51" s="62">
        <f t="shared" si="2"/>
        <v>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ht="18.75" x14ac:dyDescent="0.3">
      <c r="A52" s="70" t="s">
        <v>31</v>
      </c>
      <c r="B52" s="71">
        <v>4</v>
      </c>
      <c r="C52" s="72"/>
      <c r="D52" s="72"/>
      <c r="E52" s="64">
        <v>2000</v>
      </c>
      <c r="F52" s="72"/>
      <c r="G52" s="72"/>
      <c r="H52" s="64"/>
      <c r="I52" s="72"/>
      <c r="J52" s="62">
        <f t="shared" si="2"/>
        <v>2000</v>
      </c>
      <c r="M52" s="87"/>
      <c r="N52" s="87"/>
      <c r="O52" s="87"/>
      <c r="P52" s="87"/>
      <c r="Q52" s="87"/>
      <c r="R52" s="87"/>
      <c r="S52" s="87"/>
    </row>
    <row r="53" spans="1:28" ht="23.25" customHeight="1" x14ac:dyDescent="0.3">
      <c r="A53" s="70" t="s">
        <v>32</v>
      </c>
      <c r="B53" s="71">
        <v>4</v>
      </c>
      <c r="C53" s="64"/>
      <c r="D53" s="64">
        <v>4000</v>
      </c>
      <c r="E53" s="64">
        <v>4000</v>
      </c>
      <c r="F53" s="64">
        <v>4000</v>
      </c>
      <c r="G53" s="64">
        <v>8000</v>
      </c>
      <c r="H53" s="83">
        <v>6000</v>
      </c>
      <c r="I53" s="64">
        <v>4000</v>
      </c>
      <c r="J53" s="62">
        <f t="shared" si="2"/>
        <v>30000</v>
      </c>
      <c r="M53" s="87"/>
      <c r="N53" s="87"/>
      <c r="O53" s="87"/>
      <c r="P53" s="87"/>
      <c r="Q53" s="87"/>
      <c r="R53" s="87"/>
      <c r="S53" s="87"/>
    </row>
    <row r="54" spans="1:28" ht="23.25" hidden="1" customHeight="1" x14ac:dyDescent="0.3">
      <c r="A54" s="17" t="s">
        <v>33</v>
      </c>
      <c r="B54" s="71">
        <v>4</v>
      </c>
      <c r="C54" s="64"/>
      <c r="D54" s="64"/>
      <c r="E54" s="64"/>
      <c r="F54" s="64"/>
      <c r="G54" s="64"/>
      <c r="H54" s="64"/>
      <c r="I54" s="64"/>
      <c r="J54" s="62">
        <f t="shared" si="2"/>
        <v>0</v>
      </c>
      <c r="M54" s="87"/>
      <c r="N54" s="87"/>
      <c r="O54" s="87"/>
      <c r="P54" s="87"/>
      <c r="Q54" s="87"/>
      <c r="R54" s="87"/>
      <c r="S54" s="87"/>
    </row>
    <row r="55" spans="1:28" ht="23.25" hidden="1" customHeight="1" x14ac:dyDescent="0.3">
      <c r="A55" s="17" t="s">
        <v>34</v>
      </c>
      <c r="B55" s="71">
        <v>4</v>
      </c>
      <c r="C55" s="64"/>
      <c r="D55" s="64"/>
      <c r="E55" s="64"/>
      <c r="F55" s="64"/>
      <c r="G55" s="64"/>
      <c r="H55" s="64"/>
      <c r="I55" s="64"/>
      <c r="J55" s="62">
        <f t="shared" si="2"/>
        <v>0</v>
      </c>
      <c r="M55" s="87"/>
      <c r="N55" s="87"/>
      <c r="O55" s="87"/>
      <c r="P55" s="87"/>
      <c r="Q55" s="87"/>
      <c r="R55" s="87"/>
      <c r="S55" s="87"/>
    </row>
    <row r="56" spans="1:28" ht="22.5" customHeight="1" x14ac:dyDescent="0.3">
      <c r="A56" s="70" t="s">
        <v>35</v>
      </c>
      <c r="B56" s="71">
        <v>4</v>
      </c>
      <c r="C56" s="64"/>
      <c r="D56" s="64">
        <v>8000</v>
      </c>
      <c r="E56" s="64">
        <v>6000</v>
      </c>
      <c r="F56" s="64">
        <v>4000</v>
      </c>
      <c r="G56" s="64">
        <v>4000</v>
      </c>
      <c r="H56" s="75">
        <v>14000</v>
      </c>
      <c r="I56" s="64">
        <v>4000</v>
      </c>
      <c r="J56" s="62">
        <f t="shared" si="2"/>
        <v>40000</v>
      </c>
      <c r="M56" s="87"/>
      <c r="N56" s="87"/>
      <c r="O56" s="87"/>
      <c r="P56" s="87"/>
      <c r="Q56" s="87"/>
      <c r="R56" s="87"/>
      <c r="S56" s="87"/>
    </row>
    <row r="57" spans="1:28" s="4" customFormat="1" ht="19.149999999999999" customHeight="1" x14ac:dyDescent="0.35">
      <c r="A57" s="88" t="s">
        <v>36</v>
      </c>
      <c r="B57" s="89"/>
      <c r="C57" s="90">
        <v>3</v>
      </c>
      <c r="D57" s="90"/>
      <c r="E57" s="90">
        <v>3</v>
      </c>
      <c r="F57" s="90">
        <v>5</v>
      </c>
      <c r="G57" s="91">
        <v>3</v>
      </c>
      <c r="H57" s="90">
        <v>4</v>
      </c>
      <c r="I57" s="90">
        <v>1</v>
      </c>
      <c r="J57" s="92"/>
    </row>
    <row r="58" spans="1:28" ht="24.75" customHeight="1" x14ac:dyDescent="0.25">
      <c r="A58" s="93" t="s">
        <v>37</v>
      </c>
      <c r="B58" s="94"/>
      <c r="C58" s="95">
        <f>C57+C34</f>
        <v>13.891333333333334</v>
      </c>
      <c r="D58" s="95"/>
      <c r="E58" s="95">
        <f>E57+E34</f>
        <v>34.866666666666667</v>
      </c>
      <c r="F58" s="95">
        <f>F57+F34</f>
        <v>41.4</v>
      </c>
      <c r="G58" s="95">
        <f>G57+G34</f>
        <v>31.2</v>
      </c>
      <c r="H58" s="95">
        <f>H57+H34</f>
        <v>30.866666666666667</v>
      </c>
      <c r="I58" s="95"/>
      <c r="J58" s="96"/>
      <c r="M58" s="87"/>
      <c r="N58" s="87"/>
      <c r="O58" s="87"/>
      <c r="P58" s="87"/>
      <c r="Q58" s="87"/>
      <c r="R58" s="87"/>
      <c r="S58" s="87"/>
    </row>
    <row r="59" spans="1:28" s="1" customFormat="1" ht="25.5" x14ac:dyDescent="0.35">
      <c r="A59" s="97"/>
      <c r="B59" s="98"/>
      <c r="C59" s="99" t="s">
        <v>38</v>
      </c>
      <c r="D59" s="99"/>
      <c r="E59" s="100"/>
      <c r="F59" s="33" t="s">
        <v>39</v>
      </c>
      <c r="G59" s="4"/>
      <c r="H59" s="4"/>
      <c r="I59" s="4"/>
      <c r="J59" s="3"/>
      <c r="M59" s="87"/>
      <c r="N59" s="87"/>
      <c r="O59" s="87"/>
      <c r="P59" s="87"/>
      <c r="Q59" s="87"/>
      <c r="R59" s="87"/>
      <c r="S59" s="87"/>
      <c r="T59" s="3"/>
      <c r="U59" s="3"/>
      <c r="V59" s="3"/>
      <c r="W59" s="3"/>
      <c r="X59" s="3"/>
      <c r="Y59" s="3"/>
      <c r="Z59" s="3"/>
      <c r="AA59" s="3"/>
      <c r="AB59" s="3"/>
    </row>
    <row r="60" spans="1:28" ht="25.5" x14ac:dyDescent="0.35">
      <c r="A60" s="101"/>
      <c r="B60" s="102"/>
      <c r="C60" s="103" t="s">
        <v>40</v>
      </c>
      <c r="D60" s="103"/>
      <c r="E60" s="104"/>
      <c r="F60" s="105" t="s">
        <v>41</v>
      </c>
      <c r="G60" s="4"/>
      <c r="H60" s="4"/>
      <c r="I60" s="4"/>
      <c r="K60" s="87"/>
      <c r="L60" s="87"/>
      <c r="M60" s="106"/>
      <c r="N60" s="106"/>
      <c r="O60" s="106"/>
      <c r="P60" s="106"/>
      <c r="Q60" s="106"/>
      <c r="R60" s="106"/>
      <c r="S60" s="106"/>
    </row>
    <row r="61" spans="1:28" ht="20.25" x14ac:dyDescent="0.25">
      <c r="A61" s="107"/>
      <c r="B61" s="108"/>
      <c r="C61" s="107"/>
      <c r="D61" s="107"/>
      <c r="E61" s="107"/>
      <c r="F61" s="107"/>
      <c r="G61" s="109"/>
      <c r="H61" s="110"/>
      <c r="I61" s="110"/>
      <c r="J61" s="1"/>
      <c r="K61" s="87"/>
      <c r="L61" s="87"/>
      <c r="M61" s="111"/>
      <c r="N61" s="111"/>
      <c r="O61" s="111"/>
      <c r="P61" s="111"/>
      <c r="Q61" s="111"/>
      <c r="R61" s="111"/>
      <c r="S61" s="111"/>
    </row>
    <row r="62" spans="1:28" x14ac:dyDescent="0.25">
      <c r="A62" s="112"/>
      <c r="B62" s="113"/>
      <c r="C62" s="112"/>
      <c r="D62" s="112"/>
      <c r="E62" s="112"/>
      <c r="F62" s="112"/>
      <c r="G62" s="112"/>
      <c r="H62" s="87"/>
      <c r="I62" s="87"/>
      <c r="J62" s="87"/>
      <c r="K62" s="87"/>
      <c r="L62" s="87"/>
      <c r="M62" s="114"/>
      <c r="N62" s="114"/>
      <c r="O62" s="114"/>
      <c r="P62" s="114"/>
      <c r="Q62" s="114"/>
      <c r="R62" s="114"/>
      <c r="S62" s="114"/>
    </row>
    <row r="63" spans="1:28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87"/>
      <c r="M64" s="110"/>
      <c r="N64" s="110"/>
      <c r="O64" s="110"/>
      <c r="P64" s="110"/>
      <c r="Q64" s="110"/>
      <c r="R64" s="110"/>
      <c r="S64" s="110"/>
    </row>
    <row r="65" spans="1:19" x14ac:dyDescent="0.25"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</row>
    <row r="66" spans="1:19" ht="25.5" x14ac:dyDescent="0.35">
      <c r="A66" s="1"/>
      <c r="B66" s="2"/>
      <c r="C66" s="1"/>
      <c r="D66" s="1"/>
      <c r="E66" s="1"/>
      <c r="F66" s="1"/>
      <c r="G66" s="1"/>
      <c r="H66" s="87"/>
      <c r="I66" s="87"/>
      <c r="J66" s="87"/>
      <c r="K66" s="106"/>
      <c r="L66" s="106"/>
      <c r="M66" s="110"/>
      <c r="N66" s="110"/>
      <c r="O66" s="110"/>
      <c r="P66" s="110"/>
      <c r="Q66" s="110"/>
      <c r="R66" s="110"/>
      <c r="S66" s="110"/>
    </row>
    <row r="67" spans="1:19" x14ac:dyDescent="0.25">
      <c r="A67" s="1"/>
      <c r="B67" s="2"/>
      <c r="C67" s="1"/>
      <c r="D67" s="1"/>
      <c r="E67" s="1"/>
      <c r="F67" s="1"/>
      <c r="G67" s="1"/>
      <c r="H67" s="87"/>
      <c r="I67" s="87"/>
      <c r="J67" s="87"/>
      <c r="K67" s="111"/>
      <c r="L67" s="111"/>
      <c r="M67" s="110"/>
      <c r="N67" s="110"/>
      <c r="O67" s="110"/>
      <c r="P67" s="110"/>
      <c r="Q67" s="110"/>
      <c r="R67" s="110"/>
      <c r="S67" s="110"/>
    </row>
    <row r="68" spans="1:19" ht="25.5" x14ac:dyDescent="0.35">
      <c r="A68" s="181"/>
      <c r="B68" s="181"/>
      <c r="C68" s="181"/>
      <c r="D68" s="181"/>
      <c r="E68" s="181"/>
      <c r="F68" s="181"/>
      <c r="G68" s="181"/>
      <c r="H68" s="106"/>
      <c r="I68" s="106"/>
      <c r="J68" s="106"/>
      <c r="K68" s="114"/>
      <c r="L68" s="114"/>
      <c r="M68" s="87"/>
      <c r="N68" s="87"/>
      <c r="O68" s="87"/>
      <c r="P68" s="87"/>
      <c r="Q68" s="87"/>
      <c r="R68" s="87"/>
      <c r="S68" s="87"/>
    </row>
    <row r="69" spans="1:19" x14ac:dyDescent="0.25">
      <c r="A69" s="111"/>
      <c r="B69" s="113"/>
      <c r="C69" s="111"/>
      <c r="D69" s="111"/>
      <c r="E69" s="111"/>
      <c r="F69" s="111"/>
      <c r="G69" s="111"/>
      <c r="H69" s="111"/>
      <c r="I69" s="111"/>
      <c r="J69" s="111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82"/>
      <c r="B70" s="116"/>
      <c r="C70" s="114"/>
      <c r="D70" s="114"/>
      <c r="E70" s="114"/>
      <c r="F70" s="114"/>
      <c r="G70" s="114"/>
      <c r="H70" s="114"/>
      <c r="I70" s="114"/>
      <c r="J70" s="114"/>
      <c r="K70" s="110"/>
      <c r="L70" s="110"/>
      <c r="M70" s="87"/>
      <c r="N70" s="87"/>
      <c r="O70" s="87"/>
      <c r="P70" s="87"/>
      <c r="Q70" s="87"/>
      <c r="R70" s="87"/>
      <c r="S70" s="87"/>
    </row>
    <row r="71" spans="1:19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114"/>
      <c r="K71" s="87"/>
      <c r="L71" s="87"/>
    </row>
    <row r="72" spans="1:19" x14ac:dyDescent="0.25">
      <c r="A72" s="112"/>
      <c r="B72" s="113"/>
      <c r="C72" s="112"/>
      <c r="D72" s="112"/>
      <c r="E72" s="112"/>
      <c r="F72" s="112"/>
      <c r="G72" s="112"/>
      <c r="H72" s="110"/>
      <c r="I72" s="110"/>
      <c r="J72" s="110"/>
      <c r="K72" s="110"/>
      <c r="L72" s="110"/>
    </row>
    <row r="73" spans="1:19" x14ac:dyDescent="0.25">
      <c r="A73" s="112"/>
      <c r="B73" s="113"/>
      <c r="C73" s="112"/>
      <c r="D73" s="112"/>
      <c r="E73" s="112"/>
      <c r="F73" s="112"/>
      <c r="G73" s="112"/>
      <c r="H73" s="87"/>
      <c r="I73" s="87"/>
      <c r="J73" s="87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112"/>
      <c r="H74" s="110"/>
      <c r="I74" s="110"/>
      <c r="J74" s="110"/>
      <c r="K74" s="87"/>
      <c r="L74" s="87"/>
    </row>
    <row r="75" spans="1:19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87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112"/>
      <c r="H77" s="87"/>
      <c r="I77" s="87"/>
      <c r="J77" s="87"/>
    </row>
    <row r="78" spans="1:19" x14ac:dyDescent="0.25">
      <c r="A78" s="1"/>
      <c r="B78" s="2"/>
      <c r="C78" s="1"/>
      <c r="D78" s="1"/>
      <c r="E78" s="1"/>
      <c r="F78" s="1"/>
      <c r="G78" s="1"/>
      <c r="H78" s="87"/>
      <c r="I78" s="87"/>
      <c r="J78" s="87"/>
    </row>
  </sheetData>
  <mergeCells count="6">
    <mergeCell ref="A70:A71"/>
    <mergeCell ref="A2:J2"/>
    <mergeCell ref="A3:S3"/>
    <mergeCell ref="A4:S4"/>
    <mergeCell ref="N26:O27"/>
    <mergeCell ref="A68:G6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ADEC-5C9F-40EE-97F6-5D9409FEE2AC}">
  <dimension ref="A1:AH83"/>
  <sheetViews>
    <sheetView topLeftCell="A2" workbookViewId="0">
      <pane ySplit="4" topLeftCell="A12" activePane="bottomLeft" state="frozen"/>
      <selection activeCell="A2" sqref="A2"/>
      <selection pane="bottomLeft" activeCell="F46" sqref="F46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11" width="14.625" style="3" customWidth="1"/>
    <col min="12" max="12" width="9.75" style="3" customWidth="1"/>
    <col min="13" max="16384" width="28.625" style="3"/>
  </cols>
  <sheetData>
    <row r="1" spans="1:20" ht="24" customHeight="1" x14ac:dyDescent="0.25">
      <c r="A1" s="1" t="s">
        <v>0</v>
      </c>
      <c r="B1" s="2"/>
      <c r="C1" s="1"/>
      <c r="D1" s="1"/>
      <c r="E1" s="1"/>
      <c r="F1" s="1"/>
    </row>
    <row r="2" spans="1:20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</row>
    <row r="3" spans="1:20" s="4" customFormat="1" ht="27" customHeight="1" x14ac:dyDescent="0.35">
      <c r="A3" s="178" t="s">
        <v>54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</row>
    <row r="4" spans="1:20" ht="21.75" customHeight="1" x14ac:dyDescent="0.25">
      <c r="A4" s="179" t="s">
        <v>65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</row>
    <row r="5" spans="1:20" s="1" customFormat="1" ht="18.75" x14ac:dyDescent="0.25">
      <c r="A5" s="5" t="s">
        <v>2</v>
      </c>
      <c r="B5" s="6" t="s">
        <v>3</v>
      </c>
      <c r="C5" s="139">
        <v>46030</v>
      </c>
      <c r="D5" s="7">
        <v>46031</v>
      </c>
      <c r="E5" s="7">
        <v>46032</v>
      </c>
      <c r="F5" s="7">
        <v>46033</v>
      </c>
      <c r="G5" s="7">
        <v>46034</v>
      </c>
      <c r="H5" s="7">
        <v>46035</v>
      </c>
      <c r="I5" s="7">
        <v>46036</v>
      </c>
      <c r="J5" s="139">
        <v>46037</v>
      </c>
      <c r="K5" s="8"/>
    </row>
    <row r="6" spans="1:20" s="12" customFormat="1" ht="21.75" customHeight="1" x14ac:dyDescent="0.25">
      <c r="A6" s="9" t="s">
        <v>4</v>
      </c>
      <c r="B6" s="18">
        <v>4</v>
      </c>
      <c r="C6" s="118">
        <v>14000</v>
      </c>
      <c r="D6" s="119">
        <v>14000</v>
      </c>
      <c r="E6" s="119">
        <v>14000</v>
      </c>
      <c r="F6" s="119">
        <v>14000</v>
      </c>
      <c r="G6" s="119">
        <v>28000</v>
      </c>
      <c r="H6" s="119">
        <v>14000</v>
      </c>
      <c r="I6" s="119">
        <v>14000</v>
      </c>
      <c r="J6" s="119">
        <v>14000</v>
      </c>
      <c r="K6" s="10">
        <f t="shared" ref="K6:K35" si="0">SUM(C6:J6)</f>
        <v>126000</v>
      </c>
      <c r="L6" s="1"/>
      <c r="M6" s="11"/>
    </row>
    <row r="7" spans="1:20" s="12" customFormat="1" ht="22.5" customHeight="1" x14ac:dyDescent="0.25">
      <c r="A7" s="5"/>
      <c r="B7" s="13"/>
      <c r="C7" s="14">
        <v>14200</v>
      </c>
      <c r="D7" s="14">
        <v>14130</v>
      </c>
      <c r="E7" s="14">
        <v>14140</v>
      </c>
      <c r="F7" s="14"/>
      <c r="G7" s="14"/>
      <c r="H7" s="14"/>
      <c r="I7" s="14"/>
      <c r="J7" s="14"/>
      <c r="K7" s="15">
        <f t="shared" si="0"/>
        <v>42470</v>
      </c>
      <c r="L7" s="1"/>
      <c r="M7" s="11"/>
    </row>
    <row r="8" spans="1:20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17"/>
      <c r="J8" s="117"/>
      <c r="K8" s="10">
        <f t="shared" si="0"/>
        <v>0</v>
      </c>
      <c r="L8" s="1"/>
      <c r="M8" s="11"/>
    </row>
    <row r="9" spans="1:20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4"/>
      <c r="J9" s="14"/>
      <c r="K9" s="15">
        <f t="shared" si="0"/>
        <v>0</v>
      </c>
      <c r="L9" s="1"/>
      <c r="M9" s="11"/>
    </row>
    <row r="10" spans="1:20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19"/>
      <c r="J10" s="19"/>
      <c r="K10" s="20">
        <f t="shared" si="0"/>
        <v>0</v>
      </c>
      <c r="L10" s="1"/>
      <c r="M10" s="11"/>
    </row>
    <row r="11" spans="1:20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23"/>
      <c r="K11" s="15">
        <f t="shared" si="0"/>
        <v>0</v>
      </c>
      <c r="L11" s="1"/>
      <c r="M11" s="11"/>
    </row>
    <row r="12" spans="1:20" s="12" customFormat="1" ht="22.15" customHeight="1" x14ac:dyDescent="0.25">
      <c r="A12" s="120" t="s">
        <v>6</v>
      </c>
      <c r="B12" s="18">
        <v>2.8</v>
      </c>
      <c r="C12" s="123"/>
      <c r="D12" s="123"/>
      <c r="E12" s="122"/>
      <c r="F12" s="123">
        <v>14000</v>
      </c>
      <c r="G12" s="123"/>
      <c r="H12" s="123"/>
      <c r="I12" s="123"/>
      <c r="J12" s="123"/>
      <c r="K12" s="20">
        <f t="shared" si="0"/>
        <v>14000</v>
      </c>
      <c r="L12" s="1"/>
      <c r="M12" s="11"/>
    </row>
    <row r="13" spans="1:20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23"/>
      <c r="J13" s="23"/>
      <c r="K13" s="15">
        <f t="shared" si="0"/>
        <v>0</v>
      </c>
      <c r="L13" s="1"/>
      <c r="M13" s="11"/>
    </row>
    <row r="14" spans="1:20" s="12" customFormat="1" ht="22.15" customHeight="1" x14ac:dyDescent="0.25">
      <c r="A14" s="120" t="s">
        <v>7</v>
      </c>
      <c r="B14" s="18">
        <v>2.8</v>
      </c>
      <c r="C14" s="121"/>
      <c r="D14" s="121">
        <v>44000</v>
      </c>
      <c r="E14" s="122">
        <v>14000</v>
      </c>
      <c r="F14" s="122">
        <v>14000</v>
      </c>
      <c r="G14" s="19"/>
      <c r="H14" s="19">
        <v>28000</v>
      </c>
      <c r="I14" s="19">
        <v>30000</v>
      </c>
      <c r="J14" s="19"/>
      <c r="K14" s="20">
        <f t="shared" si="0"/>
        <v>130000</v>
      </c>
      <c r="L14" s="1"/>
      <c r="M14" s="11"/>
    </row>
    <row r="15" spans="1:20" s="12" customFormat="1" ht="22.15" customHeight="1" x14ac:dyDescent="0.25">
      <c r="A15" s="16"/>
      <c r="B15" s="132"/>
      <c r="C15" s="23"/>
      <c r="D15" s="23">
        <v>44120</v>
      </c>
      <c r="E15" s="23">
        <v>13610</v>
      </c>
      <c r="F15" s="134"/>
      <c r="G15" s="135"/>
      <c r="H15" s="135"/>
      <c r="I15" s="135"/>
      <c r="J15" s="23"/>
      <c r="K15" s="15">
        <f t="shared" si="0"/>
        <v>57730</v>
      </c>
      <c r="M15" s="11"/>
    </row>
    <row r="16" spans="1:20" s="12" customFormat="1" ht="22.15" hidden="1" customHeight="1" x14ac:dyDescent="0.25">
      <c r="A16" s="120" t="s">
        <v>56</v>
      </c>
      <c r="B16" s="18">
        <v>4</v>
      </c>
      <c r="C16" s="121"/>
      <c r="D16" s="121"/>
      <c r="E16" s="122"/>
      <c r="F16" s="122"/>
      <c r="G16" s="19"/>
      <c r="H16" s="19"/>
      <c r="I16" s="19"/>
      <c r="J16" s="19"/>
      <c r="K16" s="20">
        <f t="shared" si="0"/>
        <v>0</v>
      </c>
      <c r="L16" s="1"/>
      <c r="M16" s="11"/>
    </row>
    <row r="17" spans="1:34" s="12" customFormat="1" ht="22.15" hidden="1" customHeight="1" x14ac:dyDescent="0.25">
      <c r="A17" s="21"/>
      <c r="B17" s="22"/>
      <c r="C17" s="24"/>
      <c r="D17" s="23"/>
      <c r="E17" s="23"/>
      <c r="F17" s="23"/>
      <c r="G17" s="23"/>
      <c r="H17" s="23"/>
      <c r="I17" s="23"/>
      <c r="J17" s="23"/>
      <c r="K17" s="15">
        <f t="shared" si="0"/>
        <v>0</v>
      </c>
      <c r="L17" s="1"/>
      <c r="M17" s="11"/>
    </row>
    <row r="18" spans="1:34" s="12" customFormat="1" ht="22.15" customHeight="1" x14ac:dyDescent="0.25">
      <c r="A18" s="120" t="s">
        <v>11</v>
      </c>
      <c r="B18" s="18">
        <v>4</v>
      </c>
      <c r="C18" s="41"/>
      <c r="D18" s="19"/>
      <c r="E18" s="19"/>
      <c r="F18" s="19"/>
      <c r="G18" s="19">
        <v>8000</v>
      </c>
      <c r="H18" s="19"/>
      <c r="I18" s="19"/>
      <c r="J18" s="19"/>
      <c r="K18" s="20">
        <f t="shared" si="0"/>
        <v>8000</v>
      </c>
      <c r="L18" s="1"/>
      <c r="M18" s="11"/>
    </row>
    <row r="19" spans="1:34" s="12" customFormat="1" ht="22.15" customHeight="1" x14ac:dyDescent="0.25">
      <c r="A19" s="21"/>
      <c r="B19" s="22"/>
      <c r="C19" s="24"/>
      <c r="D19" s="23"/>
      <c r="E19" s="23"/>
      <c r="F19" s="23"/>
      <c r="G19" s="23"/>
      <c r="H19" s="23"/>
      <c r="I19" s="23"/>
      <c r="J19" s="23"/>
      <c r="K19" s="15">
        <f t="shared" si="0"/>
        <v>0</v>
      </c>
      <c r="L19" s="1"/>
      <c r="M19" s="11"/>
    </row>
    <row r="20" spans="1:34" s="1" customFormat="1" ht="22.15" customHeight="1" x14ac:dyDescent="0.25">
      <c r="A20" s="25" t="s">
        <v>8</v>
      </c>
      <c r="B20" s="26">
        <v>4</v>
      </c>
      <c r="C20" s="27">
        <v>28000</v>
      </c>
      <c r="D20" s="27">
        <v>165000</v>
      </c>
      <c r="E20" s="27">
        <v>58000</v>
      </c>
      <c r="F20" s="27">
        <v>71000</v>
      </c>
      <c r="G20" s="27">
        <v>41000</v>
      </c>
      <c r="H20" s="27">
        <v>44000</v>
      </c>
      <c r="I20" s="27"/>
      <c r="J20" s="27"/>
      <c r="K20" s="20">
        <f t="shared" si="0"/>
        <v>407000</v>
      </c>
      <c r="M20" s="11"/>
    </row>
    <row r="21" spans="1:34" s="1" customFormat="1" ht="22.15" customHeight="1" x14ac:dyDescent="0.25">
      <c r="A21" s="28"/>
      <c r="B21" s="29"/>
      <c r="C21" s="24">
        <v>67480</v>
      </c>
      <c r="D21" s="24">
        <v>74720</v>
      </c>
      <c r="E21" s="30">
        <v>56960</v>
      </c>
      <c r="F21" s="30"/>
      <c r="G21" s="30"/>
      <c r="H21" s="30"/>
      <c r="I21" s="30"/>
      <c r="J21" s="30"/>
      <c r="K21" s="15">
        <f t="shared" si="0"/>
        <v>199160</v>
      </c>
      <c r="M21" s="11"/>
    </row>
    <row r="22" spans="1:34" s="33" customFormat="1" ht="22.15" customHeight="1" x14ac:dyDescent="0.25">
      <c r="A22" s="25" t="s">
        <v>9</v>
      </c>
      <c r="B22" s="26">
        <v>4</v>
      </c>
      <c r="C22" s="27">
        <v>28000</v>
      </c>
      <c r="D22" s="27">
        <v>122000</v>
      </c>
      <c r="E22" s="27">
        <v>42000</v>
      </c>
      <c r="F22" s="27">
        <v>131000</v>
      </c>
      <c r="G22" s="27">
        <v>60000</v>
      </c>
      <c r="H22" s="27">
        <v>57000</v>
      </c>
      <c r="I22" s="27">
        <v>28000</v>
      </c>
      <c r="J22" s="27"/>
      <c r="K22" s="31">
        <f t="shared" si="0"/>
        <v>468000</v>
      </c>
      <c r="L22" s="32"/>
      <c r="M22" s="11"/>
    </row>
    <row r="23" spans="1:34" s="33" customFormat="1" ht="22.15" customHeight="1" x14ac:dyDescent="0.25">
      <c r="A23" s="28"/>
      <c r="B23" s="29"/>
      <c r="C23" s="24">
        <v>56460</v>
      </c>
      <c r="D23" s="24">
        <v>157800</v>
      </c>
      <c r="E23" s="30">
        <v>177140</v>
      </c>
      <c r="F23" s="30"/>
      <c r="G23" s="30"/>
      <c r="H23" s="30"/>
      <c r="I23" s="30"/>
      <c r="J23" s="30"/>
      <c r="K23" s="15">
        <f t="shared" si="0"/>
        <v>391400</v>
      </c>
      <c r="L23" s="32"/>
      <c r="M23" s="11"/>
      <c r="N23" s="34"/>
      <c r="O23" s="35"/>
      <c r="P23" s="35"/>
      <c r="Q23" s="35"/>
      <c r="R23" s="35"/>
      <c r="S23" s="35"/>
      <c r="T23" s="35"/>
      <c r="U23" s="36"/>
      <c r="V23" s="35"/>
      <c r="W23" s="37"/>
      <c r="X23" s="35"/>
      <c r="Y23" s="35"/>
      <c r="Z23" s="37"/>
      <c r="AA23" s="35"/>
      <c r="AB23" s="35"/>
      <c r="AC23" s="35"/>
    </row>
    <row r="24" spans="1:34" s="1" customFormat="1" ht="22.15" hidden="1" customHeight="1" x14ac:dyDescent="0.35">
      <c r="A24" s="25" t="s">
        <v>7</v>
      </c>
      <c r="B24" s="26">
        <v>2.8</v>
      </c>
      <c r="C24" s="38"/>
      <c r="D24" s="38"/>
      <c r="E24" s="38"/>
      <c r="F24" s="38"/>
      <c r="G24" s="38"/>
      <c r="H24" s="38"/>
      <c r="I24" s="38"/>
      <c r="J24" s="38"/>
      <c r="K24" s="31">
        <f t="shared" si="0"/>
        <v>0</v>
      </c>
      <c r="L24" s="32"/>
      <c r="M24" s="11"/>
      <c r="N24" s="4"/>
      <c r="O24" s="180" t="s">
        <v>10</v>
      </c>
      <c r="P24" s="180"/>
      <c r="R24" s="4"/>
      <c r="Z24" s="4"/>
      <c r="AA24" s="4"/>
      <c r="AB24" s="4"/>
      <c r="AC24" s="4"/>
    </row>
    <row r="25" spans="1:34" s="1" customFormat="1" ht="22.15" hidden="1" customHeight="1" x14ac:dyDescent="0.35">
      <c r="A25" s="39"/>
      <c r="B25" s="40"/>
      <c r="C25" s="24"/>
      <c r="D25" s="24"/>
      <c r="E25" s="30"/>
      <c r="F25" s="30"/>
      <c r="G25" s="30"/>
      <c r="H25" s="30"/>
      <c r="I25" s="30"/>
      <c r="J25" s="30"/>
      <c r="K25" s="15">
        <f t="shared" si="0"/>
        <v>0</v>
      </c>
      <c r="L25" s="32"/>
      <c r="M25" s="11"/>
      <c r="N25" s="4"/>
      <c r="O25" s="180"/>
      <c r="P25" s="180"/>
      <c r="R25" s="4"/>
      <c r="Z25" s="4"/>
      <c r="AA25" s="4"/>
      <c r="AB25" s="4"/>
      <c r="AC25" s="4"/>
    </row>
    <row r="26" spans="1:34" ht="24.75" hidden="1" customHeight="1" x14ac:dyDescent="0.35">
      <c r="A26" s="25" t="s">
        <v>11</v>
      </c>
      <c r="B26" s="26">
        <v>4</v>
      </c>
      <c r="C26" s="41"/>
      <c r="D26" s="41"/>
      <c r="E26" s="41"/>
      <c r="F26" s="41"/>
      <c r="G26" s="41"/>
      <c r="H26" s="41"/>
      <c r="I26" s="41"/>
      <c r="J26" s="41"/>
      <c r="K26" s="31">
        <f t="shared" si="0"/>
        <v>0</v>
      </c>
      <c r="L26" s="42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34" ht="24.75" hidden="1" customHeight="1" x14ac:dyDescent="0.35">
      <c r="A27" s="39"/>
      <c r="B27" s="40"/>
      <c r="C27" s="24"/>
      <c r="D27" s="24"/>
      <c r="E27" s="30"/>
      <c r="F27" s="30"/>
      <c r="G27" s="30"/>
      <c r="H27" s="30"/>
      <c r="I27" s="30"/>
      <c r="J27" s="30"/>
      <c r="K27" s="15">
        <f t="shared" si="0"/>
        <v>0</v>
      </c>
      <c r="L27" s="42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34" ht="24.75" hidden="1" customHeight="1" x14ac:dyDescent="0.35">
      <c r="A28" s="25" t="s">
        <v>12</v>
      </c>
      <c r="B28" s="26">
        <v>4</v>
      </c>
      <c r="C28" s="43"/>
      <c r="D28" s="43"/>
      <c r="E28" s="44"/>
      <c r="F28" s="43"/>
      <c r="G28" s="43"/>
      <c r="H28" s="43"/>
      <c r="I28" s="43"/>
      <c r="J28" s="43"/>
      <c r="K28" s="31">
        <f t="shared" si="0"/>
        <v>0</v>
      </c>
      <c r="L28" s="42"/>
      <c r="M28" s="4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6"/>
      <c r="AE28" s="46"/>
      <c r="AF28" s="46"/>
      <c r="AG28" s="46"/>
      <c r="AH28" s="46"/>
    </row>
    <row r="29" spans="1:34" ht="24.75" hidden="1" customHeight="1" x14ac:dyDescent="0.35">
      <c r="A29" s="47"/>
      <c r="B29" s="48"/>
      <c r="C29" s="24"/>
      <c r="D29" s="24"/>
      <c r="E29" s="30"/>
      <c r="F29" s="30"/>
      <c r="G29" s="30"/>
      <c r="H29" s="30"/>
      <c r="I29" s="30"/>
      <c r="J29" s="30"/>
      <c r="K29" s="15">
        <f t="shared" si="0"/>
        <v>0</v>
      </c>
      <c r="L29" s="42"/>
      <c r="M29" s="4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6"/>
      <c r="AE29" s="46"/>
      <c r="AF29" s="46"/>
      <c r="AG29" s="46"/>
      <c r="AH29" s="46"/>
    </row>
    <row r="30" spans="1:34" s="4" customFormat="1" ht="21.75" customHeight="1" x14ac:dyDescent="0.35">
      <c r="A30" s="25" t="s">
        <v>13</v>
      </c>
      <c r="B30" s="26">
        <v>4</v>
      </c>
      <c r="C30" s="27">
        <v>16000</v>
      </c>
      <c r="D30" s="27">
        <v>366000</v>
      </c>
      <c r="E30" s="27">
        <v>202000</v>
      </c>
      <c r="F30" s="27">
        <v>296000</v>
      </c>
      <c r="G30" s="27">
        <v>208000</v>
      </c>
      <c r="H30" s="27">
        <v>334000</v>
      </c>
      <c r="I30" s="27">
        <v>76000</v>
      </c>
      <c r="J30" s="27">
        <v>33000</v>
      </c>
      <c r="K30" s="31">
        <f t="shared" si="0"/>
        <v>1531000</v>
      </c>
      <c r="L30" s="1"/>
    </row>
    <row r="31" spans="1:34" s="4" customFormat="1" ht="21.75" customHeight="1" x14ac:dyDescent="0.35">
      <c r="A31" s="39"/>
      <c r="B31" s="40"/>
      <c r="C31" s="24">
        <v>50520</v>
      </c>
      <c r="D31" s="24">
        <v>258390</v>
      </c>
      <c r="E31" s="30">
        <v>181030</v>
      </c>
      <c r="F31" s="30"/>
      <c r="G31" s="30"/>
      <c r="H31" s="30"/>
      <c r="I31" s="30"/>
      <c r="J31" s="30"/>
      <c r="K31" s="15">
        <f t="shared" si="0"/>
        <v>489940</v>
      </c>
    </row>
    <row r="32" spans="1:34" s="4" customFormat="1" ht="21" customHeight="1" x14ac:dyDescent="0.35">
      <c r="A32" s="25" t="s">
        <v>14</v>
      </c>
      <c r="B32" s="26">
        <v>4</v>
      </c>
      <c r="C32" s="27">
        <v>14000</v>
      </c>
      <c r="D32" s="27">
        <v>59000</v>
      </c>
      <c r="E32" s="27">
        <v>60000</v>
      </c>
      <c r="F32" s="27">
        <v>127000</v>
      </c>
      <c r="G32" s="27">
        <v>89000</v>
      </c>
      <c r="H32" s="27">
        <v>149000</v>
      </c>
      <c r="I32" s="27">
        <v>44000</v>
      </c>
      <c r="J32" s="27"/>
      <c r="K32" s="31">
        <f t="shared" si="0"/>
        <v>542000</v>
      </c>
    </row>
    <row r="33" spans="1:29" s="4" customFormat="1" ht="20.45" customHeight="1" x14ac:dyDescent="0.35">
      <c r="A33" s="49"/>
      <c r="B33" s="50"/>
      <c r="C33" s="51">
        <v>28400</v>
      </c>
      <c r="D33" s="51">
        <v>29390</v>
      </c>
      <c r="E33" s="51">
        <v>57060</v>
      </c>
      <c r="F33" s="52"/>
      <c r="G33" s="51"/>
      <c r="H33" s="51"/>
      <c r="I33" s="51"/>
      <c r="J33" s="51"/>
      <c r="K33" s="15">
        <f t="shared" si="0"/>
        <v>114850</v>
      </c>
    </row>
    <row r="34" spans="1:29" s="4" customFormat="1" ht="20.45" hidden="1" customHeight="1" x14ac:dyDescent="0.35">
      <c r="A34" s="53" t="s">
        <v>15</v>
      </c>
      <c r="B34" s="54">
        <v>4</v>
      </c>
      <c r="C34" s="55"/>
      <c r="D34" s="55"/>
      <c r="E34" s="55"/>
      <c r="F34" s="55"/>
      <c r="G34" s="55"/>
      <c r="H34" s="55"/>
      <c r="I34" s="55"/>
      <c r="J34" s="55"/>
      <c r="K34" s="31">
        <f t="shared" si="0"/>
        <v>0</v>
      </c>
    </row>
    <row r="35" spans="1:29" s="4" customFormat="1" ht="20.45" hidden="1" customHeight="1" x14ac:dyDescent="0.35">
      <c r="A35" s="49"/>
      <c r="B35" s="50"/>
      <c r="C35" s="51"/>
      <c r="D35" s="51"/>
      <c r="E35" s="51"/>
      <c r="F35" s="52"/>
      <c r="G35" s="51"/>
      <c r="H35" s="51"/>
      <c r="I35" s="51"/>
      <c r="J35" s="51"/>
      <c r="K35" s="15">
        <f t="shared" si="0"/>
        <v>0</v>
      </c>
    </row>
    <row r="36" spans="1:29" s="4" customFormat="1" ht="19.149999999999999" customHeight="1" x14ac:dyDescent="0.35">
      <c r="A36" s="56" t="s">
        <v>16</v>
      </c>
      <c r="B36" s="57"/>
      <c r="C36" s="58">
        <f>(C12+C20+C22+C30+C32)/15000</f>
        <v>5.7333333333333334</v>
      </c>
      <c r="D36" s="58">
        <f t="shared" ref="D36:J36" si="1">(D12+D20+D22+D30+D32)/15000</f>
        <v>47.466666666666669</v>
      </c>
      <c r="E36" s="58">
        <f t="shared" si="1"/>
        <v>24.133333333333333</v>
      </c>
      <c r="F36" s="58">
        <f t="shared" si="1"/>
        <v>42.6</v>
      </c>
      <c r="G36" s="58">
        <f t="shared" si="1"/>
        <v>26.533333333333335</v>
      </c>
      <c r="H36" s="58"/>
      <c r="I36" s="58"/>
      <c r="J36" s="58">
        <f t="shared" si="1"/>
        <v>2.2000000000000002</v>
      </c>
      <c r="K36" s="59"/>
    </row>
    <row r="37" spans="1:29" s="4" customFormat="1" ht="20.45" customHeight="1" x14ac:dyDescent="0.35">
      <c r="A37" s="17" t="s">
        <v>17</v>
      </c>
      <c r="B37" s="60">
        <v>4</v>
      </c>
      <c r="C37" s="61"/>
      <c r="D37" s="61">
        <v>14000</v>
      </c>
      <c r="E37" s="61">
        <v>14000</v>
      </c>
      <c r="F37" s="61">
        <v>14000</v>
      </c>
      <c r="G37" s="61">
        <v>14000</v>
      </c>
      <c r="H37" s="61">
        <v>14000</v>
      </c>
      <c r="I37" s="61">
        <v>28000</v>
      </c>
      <c r="J37" s="61">
        <v>14000</v>
      </c>
      <c r="K37" s="62">
        <f t="shared" ref="K37:K61" si="2">SUM(C37:J37)</f>
        <v>112000</v>
      </c>
    </row>
    <row r="38" spans="1:29" s="4" customFormat="1" ht="21" hidden="1" customHeight="1" x14ac:dyDescent="0.35">
      <c r="A38" s="17" t="s">
        <v>18</v>
      </c>
      <c r="B38" s="63">
        <v>2.5</v>
      </c>
      <c r="C38" s="64"/>
      <c r="D38" s="64"/>
      <c r="E38" s="64"/>
      <c r="F38" s="64"/>
      <c r="G38" s="64"/>
      <c r="H38" s="64"/>
      <c r="I38" s="64"/>
      <c r="J38" s="64"/>
      <c r="K38" s="62">
        <f t="shared" si="2"/>
        <v>0</v>
      </c>
    </row>
    <row r="39" spans="1:29" s="4" customFormat="1" ht="23.25" customHeight="1" x14ac:dyDescent="0.35">
      <c r="A39" s="65">
        <v>502</v>
      </c>
      <c r="B39" s="66" t="s">
        <v>19</v>
      </c>
      <c r="C39" s="64"/>
      <c r="D39" s="64">
        <v>14000</v>
      </c>
      <c r="E39" s="64"/>
      <c r="F39" s="64"/>
      <c r="G39" s="64"/>
      <c r="H39" s="64">
        <v>14000</v>
      </c>
      <c r="I39" s="64"/>
      <c r="J39" s="64"/>
      <c r="K39" s="62">
        <f t="shared" si="2"/>
        <v>28000</v>
      </c>
    </row>
    <row r="40" spans="1:29" s="4" customFormat="1" ht="23.25" hidden="1" customHeight="1" x14ac:dyDescent="0.35">
      <c r="A40" s="67" t="s">
        <v>20</v>
      </c>
      <c r="B40" s="68">
        <v>2.5</v>
      </c>
      <c r="C40" s="64"/>
      <c r="D40" s="64"/>
      <c r="E40" s="69"/>
      <c r="F40" s="64"/>
      <c r="G40" s="64"/>
      <c r="H40" s="64"/>
      <c r="I40" s="64"/>
      <c r="J40" s="64"/>
      <c r="K40" s="62">
        <f t="shared" si="2"/>
        <v>0</v>
      </c>
    </row>
    <row r="41" spans="1:29" s="4" customFormat="1" ht="20.25" customHeight="1" x14ac:dyDescent="0.35">
      <c r="A41" s="67" t="s">
        <v>59</v>
      </c>
      <c r="B41" s="68">
        <v>2.5</v>
      </c>
      <c r="C41" s="64"/>
      <c r="D41" s="64">
        <v>15000</v>
      </c>
      <c r="E41" s="64">
        <v>15000</v>
      </c>
      <c r="F41" s="64"/>
      <c r="G41" s="64">
        <v>15000</v>
      </c>
      <c r="H41" s="64"/>
      <c r="I41" s="64">
        <v>15000</v>
      </c>
      <c r="J41" s="64">
        <v>15000</v>
      </c>
      <c r="K41" s="62">
        <f t="shared" si="2"/>
        <v>75000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4" customFormat="1" ht="20.25" customHeight="1" x14ac:dyDescent="0.35">
      <c r="A42" s="67" t="s">
        <v>20</v>
      </c>
      <c r="B42" s="68">
        <v>2.5</v>
      </c>
      <c r="C42" s="64"/>
      <c r="D42" s="64"/>
      <c r="E42" s="64"/>
      <c r="F42" s="64"/>
      <c r="G42" s="64"/>
      <c r="H42" s="64">
        <v>15000</v>
      </c>
      <c r="I42" s="64"/>
      <c r="J42" s="64"/>
      <c r="K42" s="62">
        <f t="shared" si="2"/>
        <v>15000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4" customFormat="1" ht="20.25" hidden="1" customHeight="1" x14ac:dyDescent="0.35">
      <c r="A43" s="67" t="s">
        <v>67</v>
      </c>
      <c r="B43" s="68">
        <v>2.5</v>
      </c>
      <c r="C43" s="64"/>
      <c r="D43" s="64"/>
      <c r="E43" s="64"/>
      <c r="F43" s="64"/>
      <c r="G43" s="64"/>
      <c r="H43" s="64"/>
      <c r="I43" s="64"/>
      <c r="J43" s="64"/>
      <c r="K43" s="6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s="4" customFormat="1" ht="20.25" customHeight="1" x14ac:dyDescent="0.35">
      <c r="A44" s="67" t="s">
        <v>21</v>
      </c>
      <c r="B44" s="68">
        <v>3.5</v>
      </c>
      <c r="C44" s="64"/>
      <c r="D44" s="64"/>
      <c r="E44" s="64"/>
      <c r="F44" s="64"/>
      <c r="G44" s="64">
        <v>15000</v>
      </c>
      <c r="H44" s="64">
        <v>15000</v>
      </c>
      <c r="I44" s="64"/>
      <c r="J44" s="64">
        <v>15000</v>
      </c>
      <c r="K44" s="62">
        <f t="shared" si="2"/>
        <v>45000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s="4" customFormat="1" ht="20.25" customHeight="1" x14ac:dyDescent="0.35">
      <c r="A45" s="67" t="s">
        <v>64</v>
      </c>
      <c r="B45" s="68">
        <v>2.5</v>
      </c>
      <c r="C45" s="64"/>
      <c r="D45" s="142"/>
      <c r="E45" s="64">
        <v>4000</v>
      </c>
      <c r="F45" s="64"/>
      <c r="G45" s="64"/>
      <c r="H45" s="64"/>
      <c r="I45" s="64"/>
      <c r="J45" s="64"/>
      <c r="K45" s="62">
        <f t="shared" si="2"/>
        <v>4000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s="4" customFormat="1" ht="20.25" customHeight="1" x14ac:dyDescent="0.35">
      <c r="A46" s="67" t="s">
        <v>24</v>
      </c>
      <c r="B46" s="68">
        <v>2.8</v>
      </c>
      <c r="C46" s="64"/>
      <c r="D46" s="64"/>
      <c r="E46" s="64"/>
      <c r="F46" s="64"/>
      <c r="G46" s="64"/>
      <c r="H46" s="64">
        <v>13000</v>
      </c>
      <c r="I46" s="64"/>
      <c r="J46" s="64"/>
      <c r="K46" s="62">
        <f t="shared" si="2"/>
        <v>13000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s="4" customFormat="1" ht="20.25" customHeight="1" x14ac:dyDescent="0.35">
      <c r="A47" s="70" t="s">
        <v>23</v>
      </c>
      <c r="B47" s="71">
        <v>2.5</v>
      </c>
      <c r="C47" s="72"/>
      <c r="D47" s="73">
        <v>28000</v>
      </c>
      <c r="E47" s="81">
        <v>5000</v>
      </c>
      <c r="F47" s="72">
        <v>14000</v>
      </c>
      <c r="G47" s="64">
        <v>5000</v>
      </c>
      <c r="H47" s="72">
        <v>14000</v>
      </c>
      <c r="I47" s="72">
        <v>7000</v>
      </c>
      <c r="J47" s="64">
        <v>5000</v>
      </c>
      <c r="K47" s="62">
        <f t="shared" si="2"/>
        <v>78000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s="78" customFormat="1" ht="20.25" hidden="1" customHeight="1" x14ac:dyDescent="0.35">
      <c r="A48" s="17" t="s">
        <v>24</v>
      </c>
      <c r="B48" s="71">
        <v>2.8</v>
      </c>
      <c r="C48" s="75"/>
      <c r="D48" s="76"/>
      <c r="E48" s="77"/>
      <c r="F48" s="75"/>
      <c r="G48" s="75"/>
      <c r="H48" s="75"/>
      <c r="I48" s="75"/>
      <c r="J48" s="75"/>
      <c r="K48" s="62">
        <f t="shared" si="2"/>
        <v>0</v>
      </c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 spans="1:29" s="4" customFormat="1" ht="18.75" customHeight="1" x14ac:dyDescent="0.35">
      <c r="A49" s="70" t="s">
        <v>25</v>
      </c>
      <c r="B49" s="71">
        <v>2.8</v>
      </c>
      <c r="C49" s="64"/>
      <c r="D49" s="64"/>
      <c r="E49" s="80"/>
      <c r="F49" s="72"/>
      <c r="G49" s="72"/>
      <c r="H49" s="72"/>
      <c r="I49" s="72">
        <v>21000</v>
      </c>
      <c r="J49" s="64"/>
      <c r="K49" s="62">
        <f t="shared" si="2"/>
        <v>21000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s="4" customFormat="1" ht="18.75" customHeight="1" x14ac:dyDescent="0.35">
      <c r="A50" s="70" t="s">
        <v>26</v>
      </c>
      <c r="B50" s="71">
        <v>2.8</v>
      </c>
      <c r="C50" s="64"/>
      <c r="D50" s="81">
        <v>5000</v>
      </c>
      <c r="E50" s="80">
        <v>24000</v>
      </c>
      <c r="F50" s="72">
        <v>19000</v>
      </c>
      <c r="G50" s="72"/>
      <c r="H50" s="83">
        <v>11000</v>
      </c>
      <c r="I50" s="83">
        <v>19000</v>
      </c>
      <c r="J50" s="64">
        <v>5000</v>
      </c>
      <c r="K50" s="62">
        <f t="shared" si="2"/>
        <v>83000</v>
      </c>
      <c r="L50" s="84"/>
      <c r="M50" s="1" t="s">
        <v>27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s="4" customFormat="1" ht="18.75" hidden="1" customHeight="1" x14ac:dyDescent="0.35">
      <c r="A51" s="70" t="s">
        <v>25</v>
      </c>
      <c r="B51" s="71">
        <v>2.8</v>
      </c>
      <c r="C51" s="72"/>
      <c r="D51" s="72"/>
      <c r="E51" s="80"/>
      <c r="F51" s="72"/>
      <c r="G51" s="72"/>
      <c r="H51" s="72"/>
      <c r="I51" s="72"/>
      <c r="J51" s="72"/>
      <c r="K51" s="62">
        <f t="shared" si="2"/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s="4" customFormat="1" ht="18.75" customHeight="1" x14ac:dyDescent="0.35">
      <c r="A52" s="70" t="s">
        <v>57</v>
      </c>
      <c r="B52" s="71">
        <v>2.8</v>
      </c>
      <c r="C52" s="64"/>
      <c r="D52" s="64">
        <v>10000</v>
      </c>
      <c r="E52" s="140"/>
      <c r="F52" s="83">
        <v>8000</v>
      </c>
      <c r="G52" s="64">
        <v>10000</v>
      </c>
      <c r="H52" s="83">
        <v>18000</v>
      </c>
      <c r="I52" s="64">
        <v>23000</v>
      </c>
      <c r="J52" s="64">
        <v>5000</v>
      </c>
      <c r="K52" s="62">
        <f t="shared" si="2"/>
        <v>74000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s="4" customFormat="1" ht="18.75" hidden="1" customHeight="1" x14ac:dyDescent="0.35">
      <c r="A53" s="85">
        <v>552</v>
      </c>
      <c r="B53" s="63">
        <v>4</v>
      </c>
      <c r="C53" s="72"/>
      <c r="D53" s="64"/>
      <c r="E53" s="82"/>
      <c r="F53" s="72"/>
      <c r="G53" s="64"/>
      <c r="H53" s="64"/>
      <c r="I53" s="64"/>
      <c r="J53" s="64"/>
      <c r="K53" s="62">
        <f t="shared" si="2"/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s="1" customFormat="1" ht="23.25" hidden="1" customHeight="1" x14ac:dyDescent="0.3">
      <c r="A54" s="70">
        <v>553</v>
      </c>
      <c r="B54" s="71">
        <v>2.8</v>
      </c>
      <c r="C54" s="64"/>
      <c r="D54" s="64"/>
      <c r="E54" s="80"/>
      <c r="F54" s="83"/>
      <c r="G54" s="64"/>
      <c r="H54" s="64"/>
      <c r="I54" s="64"/>
      <c r="J54" s="64"/>
      <c r="K54" s="62">
        <f t="shared" si="2"/>
        <v>0</v>
      </c>
    </row>
    <row r="55" spans="1:29" s="1" customFormat="1" ht="21" customHeight="1" x14ac:dyDescent="0.3">
      <c r="A55" s="70" t="s">
        <v>29</v>
      </c>
      <c r="B55" s="71">
        <v>4</v>
      </c>
      <c r="C55" s="64"/>
      <c r="D55" s="64">
        <v>4000</v>
      </c>
      <c r="E55" s="82"/>
      <c r="F55" s="64">
        <v>7000</v>
      </c>
      <c r="G55" s="64"/>
      <c r="H55" s="64">
        <v>3000</v>
      </c>
      <c r="I55" s="64">
        <v>4000</v>
      </c>
      <c r="J55" s="64"/>
      <c r="K55" s="62">
        <f t="shared" si="2"/>
        <v>18000</v>
      </c>
      <c r="N55" s="87"/>
      <c r="O55" s="87"/>
      <c r="P55" s="87"/>
      <c r="Q55" s="87"/>
      <c r="R55" s="87"/>
      <c r="S55" s="87"/>
      <c r="T55" s="87"/>
      <c r="U55" s="3"/>
      <c r="V55" s="3"/>
      <c r="W55" s="3"/>
      <c r="X55" s="3"/>
      <c r="Y55" s="3"/>
      <c r="Z55" s="3"/>
      <c r="AA55" s="3"/>
      <c r="AB55" s="3"/>
      <c r="AC55" s="3"/>
    </row>
    <row r="56" spans="1:29" s="1" customFormat="1" ht="21" hidden="1" customHeight="1" x14ac:dyDescent="0.3">
      <c r="A56" s="17" t="s">
        <v>30</v>
      </c>
      <c r="B56" s="71">
        <v>4</v>
      </c>
      <c r="C56" s="64"/>
      <c r="D56" s="64"/>
      <c r="E56" s="82"/>
      <c r="F56" s="64"/>
      <c r="G56" s="64"/>
      <c r="H56" s="64"/>
      <c r="I56" s="64"/>
      <c r="J56" s="64"/>
      <c r="K56" s="62">
        <f t="shared" si="2"/>
        <v>0</v>
      </c>
      <c r="N56" s="87"/>
      <c r="O56" s="87"/>
      <c r="P56" s="87"/>
      <c r="Q56" s="87"/>
      <c r="R56" s="87"/>
      <c r="S56" s="87"/>
      <c r="T56" s="87"/>
      <c r="U56" s="3"/>
      <c r="V56" s="3"/>
      <c r="W56" s="3"/>
      <c r="X56" s="3"/>
      <c r="Y56" s="3"/>
      <c r="Z56" s="3"/>
      <c r="AA56" s="3"/>
      <c r="AB56" s="3"/>
      <c r="AC56" s="3"/>
    </row>
    <row r="57" spans="1:29" ht="18.75" x14ac:dyDescent="0.3">
      <c r="A57" s="70" t="s">
        <v>31</v>
      </c>
      <c r="B57" s="71">
        <v>4</v>
      </c>
      <c r="C57" s="72"/>
      <c r="D57" s="72"/>
      <c r="E57" s="72">
        <v>14000</v>
      </c>
      <c r="F57" s="72"/>
      <c r="G57" s="64"/>
      <c r="H57" s="64"/>
      <c r="I57" s="72">
        <v>14000</v>
      </c>
      <c r="J57" s="72"/>
      <c r="K57" s="62">
        <f t="shared" si="2"/>
        <v>28000</v>
      </c>
      <c r="N57" s="87"/>
      <c r="O57" s="87"/>
      <c r="P57" s="87"/>
      <c r="Q57" s="87"/>
      <c r="R57" s="87"/>
      <c r="S57" s="87"/>
      <c r="T57" s="87"/>
    </row>
    <row r="58" spans="1:29" ht="23.25" customHeight="1" x14ac:dyDescent="0.3">
      <c r="A58" s="70" t="s">
        <v>32</v>
      </c>
      <c r="B58" s="71">
        <v>4</v>
      </c>
      <c r="C58" s="72"/>
      <c r="D58" s="64">
        <v>7000</v>
      </c>
      <c r="E58" s="64">
        <v>7000</v>
      </c>
      <c r="F58" s="64">
        <v>8000</v>
      </c>
      <c r="G58" s="64">
        <v>8000</v>
      </c>
      <c r="H58" s="72">
        <v>24000</v>
      </c>
      <c r="I58" s="64">
        <v>14000</v>
      </c>
      <c r="J58" s="64"/>
      <c r="K58" s="62">
        <f t="shared" si="2"/>
        <v>68000</v>
      </c>
      <c r="N58" s="87"/>
      <c r="O58" s="87"/>
      <c r="P58" s="87"/>
      <c r="Q58" s="87"/>
      <c r="R58" s="87"/>
      <c r="S58" s="87"/>
      <c r="T58" s="87"/>
    </row>
    <row r="59" spans="1:29" ht="23.25" hidden="1" customHeight="1" x14ac:dyDescent="0.3">
      <c r="A59" s="17" t="s">
        <v>33</v>
      </c>
      <c r="B59" s="71">
        <v>4</v>
      </c>
      <c r="C59" s="64"/>
      <c r="D59" s="64"/>
      <c r="E59" s="64"/>
      <c r="F59" s="64"/>
      <c r="G59" s="64"/>
      <c r="H59" s="64"/>
      <c r="I59" s="64"/>
      <c r="J59" s="64"/>
      <c r="K59" s="62">
        <f t="shared" si="2"/>
        <v>0</v>
      </c>
      <c r="N59" s="87"/>
      <c r="O59" s="87"/>
      <c r="P59" s="87"/>
      <c r="Q59" s="87"/>
      <c r="R59" s="87"/>
      <c r="S59" s="87"/>
      <c r="T59" s="87"/>
    </row>
    <row r="60" spans="1:29" ht="23.25" hidden="1" customHeight="1" x14ac:dyDescent="0.3">
      <c r="A60" s="17" t="s">
        <v>34</v>
      </c>
      <c r="B60" s="71">
        <v>4</v>
      </c>
      <c r="C60" s="64"/>
      <c r="D60" s="64"/>
      <c r="E60" s="64"/>
      <c r="F60" s="64"/>
      <c r="G60" s="64"/>
      <c r="H60" s="64"/>
      <c r="I60" s="64"/>
      <c r="J60" s="64"/>
      <c r="K60" s="62">
        <f t="shared" si="2"/>
        <v>0</v>
      </c>
      <c r="N60" s="87"/>
      <c r="O60" s="87"/>
      <c r="P60" s="87"/>
      <c r="Q60" s="87"/>
      <c r="R60" s="87"/>
      <c r="S60" s="87"/>
      <c r="T60" s="87"/>
    </row>
    <row r="61" spans="1:29" ht="22.5" customHeight="1" x14ac:dyDescent="0.3">
      <c r="A61" s="70" t="s">
        <v>35</v>
      </c>
      <c r="B61" s="71">
        <v>4</v>
      </c>
      <c r="C61" s="64"/>
      <c r="D61" s="64">
        <v>4000</v>
      </c>
      <c r="E61" s="64">
        <v>4000</v>
      </c>
      <c r="F61" s="64">
        <v>11000</v>
      </c>
      <c r="G61" s="64">
        <v>7000</v>
      </c>
      <c r="H61" s="64">
        <v>11000</v>
      </c>
      <c r="I61" s="64">
        <v>11000</v>
      </c>
      <c r="J61" s="64"/>
      <c r="K61" s="62">
        <f t="shared" si="2"/>
        <v>48000</v>
      </c>
      <c r="N61" s="87"/>
      <c r="O61" s="87"/>
      <c r="P61" s="87"/>
      <c r="Q61" s="87"/>
      <c r="R61" s="87"/>
      <c r="S61" s="87"/>
      <c r="T61" s="87"/>
    </row>
    <row r="62" spans="1:29" s="4" customFormat="1" ht="19.149999999999999" customHeight="1" x14ac:dyDescent="0.35">
      <c r="A62" s="88" t="s">
        <v>36</v>
      </c>
      <c r="B62" s="89"/>
      <c r="C62" s="90">
        <v>3</v>
      </c>
      <c r="D62" s="90">
        <v>3</v>
      </c>
      <c r="E62" s="90">
        <v>5</v>
      </c>
      <c r="F62" s="91">
        <v>3</v>
      </c>
      <c r="G62" s="90">
        <v>4</v>
      </c>
      <c r="H62" s="90"/>
      <c r="I62" s="90"/>
      <c r="J62" s="90">
        <v>1</v>
      </c>
      <c r="K62" s="92"/>
    </row>
    <row r="63" spans="1:29" ht="24.75" customHeight="1" x14ac:dyDescent="0.25">
      <c r="A63" s="93" t="s">
        <v>37</v>
      </c>
      <c r="B63" s="94"/>
      <c r="C63" s="95">
        <f>C62+C36</f>
        <v>8.7333333333333343</v>
      </c>
      <c r="D63" s="95">
        <f>D62+D36</f>
        <v>50.466666666666669</v>
      </c>
      <c r="E63" s="95">
        <f>E62+E36</f>
        <v>29.133333333333333</v>
      </c>
      <c r="F63" s="95">
        <f>F62+F36</f>
        <v>45.6</v>
      </c>
      <c r="G63" s="95">
        <f>G62+G36</f>
        <v>30.533333333333335</v>
      </c>
      <c r="H63" s="95"/>
      <c r="I63" s="95"/>
      <c r="J63" s="95"/>
      <c r="K63" s="96"/>
      <c r="N63" s="87"/>
      <c r="O63" s="87"/>
      <c r="P63" s="87"/>
      <c r="Q63" s="87"/>
      <c r="R63" s="87"/>
      <c r="S63" s="87"/>
      <c r="T63" s="87"/>
    </row>
    <row r="64" spans="1:29" s="1" customFormat="1" ht="25.5" x14ac:dyDescent="0.35">
      <c r="A64" s="97"/>
      <c r="B64" s="98"/>
      <c r="C64" s="99" t="s">
        <v>38</v>
      </c>
      <c r="D64" s="100"/>
      <c r="E64" s="33" t="s">
        <v>39</v>
      </c>
      <c r="F64" s="4"/>
      <c r="G64" s="4"/>
      <c r="H64" s="4"/>
      <c r="I64" s="4"/>
      <c r="J64" s="4"/>
      <c r="K64" s="3"/>
      <c r="N64" s="87"/>
      <c r="O64" s="87"/>
      <c r="P64" s="87"/>
      <c r="Q64" s="87"/>
      <c r="R64" s="87"/>
      <c r="S64" s="87"/>
      <c r="T64" s="87"/>
      <c r="U64" s="3"/>
      <c r="V64" s="3"/>
      <c r="W64" s="3"/>
      <c r="X64" s="3"/>
      <c r="Y64" s="3"/>
      <c r="Z64" s="3"/>
      <c r="AA64" s="3"/>
      <c r="AB64" s="3"/>
      <c r="AC64" s="3"/>
    </row>
    <row r="65" spans="1:20" ht="25.5" x14ac:dyDescent="0.35">
      <c r="A65" s="101"/>
      <c r="B65" s="102"/>
      <c r="C65" s="103" t="s">
        <v>40</v>
      </c>
      <c r="D65" s="104"/>
      <c r="E65" s="105" t="s">
        <v>41</v>
      </c>
      <c r="F65" s="4"/>
      <c r="G65" s="4"/>
      <c r="H65" s="4"/>
      <c r="I65" s="4"/>
      <c r="J65" s="4"/>
      <c r="L65" s="87"/>
      <c r="M65" s="87"/>
      <c r="N65" s="106"/>
      <c r="O65" s="106"/>
      <c r="P65" s="106"/>
      <c r="Q65" s="106"/>
      <c r="R65" s="106"/>
      <c r="S65" s="106"/>
      <c r="T65" s="106"/>
    </row>
    <row r="66" spans="1:20" ht="20.25" x14ac:dyDescent="0.25">
      <c r="A66" s="107"/>
      <c r="B66" s="108"/>
      <c r="C66" s="107"/>
      <c r="D66" s="107"/>
      <c r="E66" s="107"/>
      <c r="F66" s="109"/>
      <c r="G66" s="110"/>
      <c r="H66" s="110"/>
      <c r="I66" s="110"/>
      <c r="J66" s="110"/>
      <c r="K66" s="1"/>
      <c r="L66" s="87"/>
      <c r="M66" s="87"/>
      <c r="N66" s="111"/>
      <c r="O66" s="111"/>
      <c r="P66" s="111"/>
      <c r="Q66" s="111"/>
      <c r="R66" s="111"/>
      <c r="S66" s="111"/>
      <c r="T66" s="111"/>
    </row>
    <row r="67" spans="1:20" x14ac:dyDescent="0.25">
      <c r="A67" s="112"/>
      <c r="B67" s="113"/>
      <c r="C67" s="112"/>
      <c r="D67" s="112"/>
      <c r="E67" s="112"/>
      <c r="F67" s="112"/>
      <c r="G67" s="87"/>
      <c r="H67" s="87"/>
      <c r="I67" s="87"/>
      <c r="J67" s="87"/>
      <c r="K67" s="87"/>
      <c r="L67" s="87"/>
      <c r="M67" s="87"/>
      <c r="N67" s="114"/>
      <c r="O67" s="114"/>
      <c r="P67" s="114"/>
      <c r="Q67" s="114"/>
      <c r="R67" s="114"/>
      <c r="S67" s="114"/>
      <c r="T67" s="114"/>
    </row>
    <row r="68" spans="1:20" x14ac:dyDescent="0.25">
      <c r="A68" s="112"/>
      <c r="B68" s="113"/>
      <c r="C68" s="112"/>
      <c r="D68" s="112"/>
      <c r="E68" s="112"/>
      <c r="F68" s="112"/>
      <c r="G68" s="87"/>
      <c r="H68" s="87"/>
      <c r="I68" s="87"/>
      <c r="J68" s="87"/>
      <c r="K68" s="87"/>
      <c r="L68" s="87"/>
      <c r="M68" s="87"/>
      <c r="N68" s="114"/>
      <c r="O68" s="114"/>
      <c r="P68" s="114"/>
      <c r="Q68" s="114"/>
      <c r="R68" s="114"/>
      <c r="S68" s="114"/>
      <c r="T68" s="114"/>
    </row>
    <row r="69" spans="1:20" x14ac:dyDescent="0.25">
      <c r="A69" s="112"/>
      <c r="B69" s="113"/>
      <c r="C69" s="112"/>
      <c r="D69" s="112"/>
      <c r="E69" s="112"/>
      <c r="F69" s="112"/>
      <c r="G69" s="87"/>
      <c r="H69" s="87"/>
      <c r="I69" s="87"/>
      <c r="J69" s="87"/>
      <c r="K69" s="87"/>
      <c r="L69" s="87"/>
      <c r="M69" s="87"/>
      <c r="N69" s="110"/>
      <c r="O69" s="110"/>
      <c r="P69" s="110"/>
      <c r="Q69" s="110"/>
      <c r="R69" s="110"/>
      <c r="S69" s="110"/>
      <c r="T69" s="110"/>
    </row>
    <row r="70" spans="1:20" x14ac:dyDescent="0.25"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 spans="1:20" ht="25.5" x14ac:dyDescent="0.35">
      <c r="A71" s="1"/>
      <c r="B71" s="2"/>
      <c r="C71" s="1"/>
      <c r="D71" s="1"/>
      <c r="E71" s="1"/>
      <c r="F71" s="1"/>
      <c r="G71" s="87"/>
      <c r="H71" s="87"/>
      <c r="I71" s="87"/>
      <c r="J71" s="87"/>
      <c r="K71" s="87"/>
      <c r="L71" s="106"/>
      <c r="M71" s="106"/>
      <c r="N71" s="110"/>
      <c r="O71" s="110"/>
      <c r="P71" s="110"/>
      <c r="Q71" s="110"/>
      <c r="R71" s="110"/>
      <c r="S71" s="110"/>
      <c r="T71" s="110"/>
    </row>
    <row r="72" spans="1:20" x14ac:dyDescent="0.25">
      <c r="A72" s="1"/>
      <c r="B72" s="2"/>
      <c r="C72" s="1"/>
      <c r="D72" s="1"/>
      <c r="E72" s="1"/>
      <c r="F72" s="1"/>
      <c r="G72" s="87"/>
      <c r="H72" s="87"/>
      <c r="I72" s="87"/>
      <c r="J72" s="87"/>
      <c r="K72" s="87"/>
      <c r="L72" s="111"/>
      <c r="M72" s="111"/>
      <c r="N72" s="110"/>
      <c r="O72" s="110"/>
      <c r="P72" s="110"/>
      <c r="Q72" s="110"/>
      <c r="R72" s="110"/>
      <c r="S72" s="110"/>
      <c r="T72" s="110"/>
    </row>
    <row r="73" spans="1:20" ht="25.5" x14ac:dyDescent="0.35">
      <c r="A73" s="181"/>
      <c r="B73" s="181"/>
      <c r="C73" s="181"/>
      <c r="D73" s="181"/>
      <c r="E73" s="181"/>
      <c r="F73" s="181"/>
      <c r="G73" s="106"/>
      <c r="H73" s="106"/>
      <c r="I73" s="106"/>
      <c r="J73" s="106"/>
      <c r="K73" s="106"/>
      <c r="L73" s="114"/>
      <c r="M73" s="114"/>
      <c r="N73" s="87"/>
      <c r="O73" s="87"/>
      <c r="P73" s="87"/>
      <c r="Q73" s="87"/>
      <c r="R73" s="87"/>
      <c r="S73" s="87"/>
      <c r="T73" s="87"/>
    </row>
    <row r="74" spans="1:20" x14ac:dyDescent="0.25">
      <c r="A74" s="111"/>
      <c r="B74" s="113"/>
      <c r="C74" s="111"/>
      <c r="D74" s="111"/>
      <c r="E74" s="111"/>
      <c r="F74" s="111"/>
      <c r="G74" s="111"/>
      <c r="H74" s="111"/>
      <c r="I74" s="111"/>
      <c r="J74" s="111"/>
      <c r="K74" s="111"/>
      <c r="L74" s="114"/>
      <c r="M74" s="114"/>
      <c r="N74" s="87"/>
      <c r="O74" s="87"/>
      <c r="P74" s="87"/>
      <c r="Q74" s="87"/>
      <c r="R74" s="87"/>
      <c r="S74" s="87"/>
      <c r="T74" s="87"/>
    </row>
    <row r="75" spans="1:20" x14ac:dyDescent="0.25">
      <c r="A75" s="182"/>
      <c r="B75" s="116"/>
      <c r="C75" s="114"/>
      <c r="D75" s="114"/>
      <c r="E75" s="114"/>
      <c r="F75" s="114"/>
      <c r="G75" s="114"/>
      <c r="H75" s="114"/>
      <c r="I75" s="114"/>
      <c r="J75" s="114"/>
      <c r="K75" s="114"/>
      <c r="L75" s="110"/>
      <c r="M75" s="110"/>
      <c r="N75" s="87"/>
      <c r="O75" s="87"/>
      <c r="P75" s="87"/>
      <c r="Q75" s="87"/>
      <c r="R75" s="87"/>
      <c r="S75" s="87"/>
      <c r="T75" s="87"/>
    </row>
    <row r="76" spans="1:20" x14ac:dyDescent="0.25">
      <c r="A76" s="182"/>
      <c r="B76" s="116"/>
      <c r="C76" s="114"/>
      <c r="D76" s="114"/>
      <c r="E76" s="114"/>
      <c r="F76" s="114"/>
      <c r="G76" s="114"/>
      <c r="H76" s="114"/>
      <c r="I76" s="114"/>
      <c r="J76" s="114"/>
      <c r="K76" s="114"/>
      <c r="L76" s="87"/>
      <c r="M76" s="87"/>
    </row>
    <row r="77" spans="1:20" x14ac:dyDescent="0.25">
      <c r="A77" s="112"/>
      <c r="B77" s="113"/>
      <c r="C77" s="112"/>
      <c r="D77" s="112"/>
      <c r="E77" s="112"/>
      <c r="F77" s="112"/>
      <c r="G77" s="110"/>
      <c r="H77" s="110"/>
      <c r="I77" s="110"/>
      <c r="J77" s="110"/>
      <c r="K77" s="110"/>
      <c r="L77" s="110"/>
      <c r="M77" s="110"/>
    </row>
    <row r="78" spans="1:20" x14ac:dyDescent="0.25">
      <c r="A78" s="112"/>
      <c r="B78" s="113"/>
      <c r="C78" s="112"/>
      <c r="D78" s="112"/>
      <c r="E78" s="112"/>
      <c r="F78" s="112"/>
      <c r="G78" s="87"/>
      <c r="H78" s="87"/>
      <c r="I78" s="87"/>
      <c r="J78" s="87"/>
      <c r="K78" s="87"/>
      <c r="L78" s="110"/>
      <c r="M78" s="110"/>
    </row>
    <row r="79" spans="1:20" x14ac:dyDescent="0.25">
      <c r="A79" s="112"/>
      <c r="B79" s="113"/>
      <c r="C79" s="112"/>
      <c r="D79" s="112"/>
      <c r="E79" s="112"/>
      <c r="F79" s="112"/>
      <c r="G79" s="110"/>
      <c r="H79" s="110"/>
      <c r="I79" s="110"/>
      <c r="J79" s="110"/>
      <c r="K79" s="110"/>
      <c r="L79" s="87"/>
      <c r="M79" s="87"/>
    </row>
    <row r="80" spans="1:20" x14ac:dyDescent="0.25">
      <c r="A80" s="112"/>
      <c r="B80" s="113"/>
      <c r="C80" s="112"/>
      <c r="D80" s="112"/>
      <c r="E80" s="112"/>
      <c r="F80" s="112"/>
      <c r="G80" s="110"/>
      <c r="H80" s="110"/>
      <c r="I80" s="110"/>
      <c r="J80" s="110"/>
      <c r="K80" s="110"/>
      <c r="L80" s="87"/>
      <c r="M80" s="87"/>
    </row>
    <row r="81" spans="1:13" x14ac:dyDescent="0.25">
      <c r="A81" s="112"/>
      <c r="B81" s="113"/>
      <c r="C81" s="112"/>
      <c r="D81" s="112"/>
      <c r="E81" s="112"/>
      <c r="F81" s="112"/>
      <c r="G81" s="87"/>
      <c r="H81" s="87"/>
      <c r="I81" s="87"/>
      <c r="J81" s="87"/>
      <c r="K81" s="87"/>
      <c r="L81" s="87"/>
      <c r="M81" s="87"/>
    </row>
    <row r="82" spans="1:13" x14ac:dyDescent="0.25">
      <c r="A82" s="112"/>
      <c r="B82" s="113"/>
      <c r="C82" s="112"/>
      <c r="D82" s="112"/>
      <c r="E82" s="112"/>
      <c r="F82" s="112"/>
      <c r="G82" s="87"/>
      <c r="H82" s="87"/>
      <c r="I82" s="87"/>
      <c r="J82" s="87"/>
      <c r="K82" s="87"/>
    </row>
    <row r="83" spans="1:13" x14ac:dyDescent="0.25">
      <c r="A83" s="1"/>
      <c r="B83" s="2"/>
      <c r="C83" s="1"/>
      <c r="D83" s="1"/>
      <c r="E83" s="1"/>
      <c r="F83" s="1"/>
      <c r="G83" s="87"/>
      <c r="H83" s="87"/>
      <c r="I83" s="87"/>
      <c r="J83" s="87"/>
      <c r="K83" s="87"/>
    </row>
  </sheetData>
  <mergeCells count="6">
    <mergeCell ref="A75:A76"/>
    <mergeCell ref="A2:K2"/>
    <mergeCell ref="A3:T3"/>
    <mergeCell ref="A4:T4"/>
    <mergeCell ref="O24:P25"/>
    <mergeCell ref="A73:F7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BB34-FAAB-4F6F-AB43-F01BA8B28A3D}">
  <dimension ref="A1:AA78"/>
  <sheetViews>
    <sheetView topLeftCell="A2" zoomScale="90" zoomScaleNormal="90" workbookViewId="0">
      <pane ySplit="4" topLeftCell="A34" activePane="bottomLeft" state="frozen"/>
      <selection activeCell="A2" sqref="A2"/>
      <selection pane="bottomLeft" activeCell="H31" sqref="H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6" width="14.625" style="3" hidden="1" customWidth="1"/>
    <col min="7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45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61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139">
        <v>46069</v>
      </c>
      <c r="D5" s="139">
        <v>46070</v>
      </c>
      <c r="E5" s="139">
        <v>46071</v>
      </c>
      <c r="F5" s="139">
        <v>46072</v>
      </c>
      <c r="G5" s="7">
        <v>46073</v>
      </c>
      <c r="H5" s="7">
        <v>46074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8"/>
      <c r="D6" s="118"/>
      <c r="E6" s="119"/>
      <c r="F6" s="119"/>
      <c r="G6" s="119">
        <v>140000</v>
      </c>
      <c r="H6" s="119"/>
      <c r="I6" s="10">
        <f t="shared" ref="I6:I14" si="0">SUM(C6:H6)</f>
        <v>140000</v>
      </c>
      <c r="J6" s="1"/>
      <c r="K6" s="11"/>
    </row>
    <row r="7" spans="1:18" s="12" customFormat="1" ht="22.5" customHeight="1" x14ac:dyDescent="0.25">
      <c r="A7" s="5"/>
      <c r="B7" s="13"/>
      <c r="C7" s="14"/>
      <c r="D7" s="14"/>
      <c r="E7" s="14"/>
      <c r="F7" s="14"/>
      <c r="G7" s="14">
        <v>14230</v>
      </c>
      <c r="H7" s="14"/>
      <c r="I7" s="15">
        <f t="shared" si="0"/>
        <v>14230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>
        <v>14000</v>
      </c>
      <c r="H8" s="117">
        <v>14000</v>
      </c>
      <c r="I8" s="10">
        <f t="shared" si="0"/>
        <v>28000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>
        <v>28260</v>
      </c>
      <c r="I9" s="15">
        <f t="shared" si="0"/>
        <v>28260</v>
      </c>
      <c r="J9" s="1"/>
      <c r="K9" s="11"/>
    </row>
    <row r="10" spans="1:18" s="12" customFormat="1" ht="22.15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3"/>
      <c r="E12" s="123"/>
      <c r="F12" s="122"/>
      <c r="G12" s="123"/>
      <c r="H12" s="123">
        <v>14000</v>
      </c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>
        <v>13510</v>
      </c>
      <c r="I13" s="15">
        <f t="shared" si="0"/>
        <v>13510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3"/>
      <c r="D14" s="123"/>
      <c r="E14" s="123"/>
      <c r="F14" s="123"/>
      <c r="G14" s="123"/>
      <c r="H14" s="123"/>
      <c r="I14" s="20">
        <f t="shared" si="0"/>
        <v>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7</v>
      </c>
      <c r="B16" s="18">
        <v>2.8</v>
      </c>
      <c r="C16" s="121"/>
      <c r="D16" s="121"/>
      <c r="E16" s="121"/>
      <c r="F16" s="122"/>
      <c r="G16" s="122"/>
      <c r="H16" s="122"/>
      <c r="I16" s="20">
        <f>SUM(C16:H16)</f>
        <v>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/>
      <c r="F17" s="23"/>
      <c r="G17" s="23"/>
      <c r="H17" s="23"/>
      <c r="I17" s="15">
        <f>SUM(C17:H17)</f>
        <v>0</v>
      </c>
      <c r="J17" s="1"/>
      <c r="K17" s="11"/>
    </row>
    <row r="18" spans="1:27" s="12" customFormat="1" ht="22.15" customHeight="1" x14ac:dyDescent="0.25">
      <c r="A18" s="9" t="s">
        <v>11</v>
      </c>
      <c r="B18" s="26">
        <v>4</v>
      </c>
      <c r="C18" s="121"/>
      <c r="D18" s="121"/>
      <c r="E18" s="121"/>
      <c r="F18" s="121"/>
      <c r="G18" s="121"/>
      <c r="H18" s="121">
        <v>16000</v>
      </c>
      <c r="I18" s="20">
        <f>SUM(C18:H18)</f>
        <v>16000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>
        <v>13510</v>
      </c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/>
      <c r="D20" s="27"/>
      <c r="E20" s="27"/>
      <c r="F20" s="27"/>
      <c r="G20" s="144">
        <v>14000</v>
      </c>
      <c r="H20" s="27"/>
      <c r="I20" s="20">
        <f t="shared" ref="I20:I33" si="1">SUM(C20:H20)</f>
        <v>14000</v>
      </c>
      <c r="K20" s="11"/>
    </row>
    <row r="21" spans="1:27" s="1" customFormat="1" ht="22.15" customHeight="1" x14ac:dyDescent="0.25">
      <c r="A21" s="28"/>
      <c r="B21" s="29"/>
      <c r="C21" s="24"/>
      <c r="D21" s="24"/>
      <c r="E21" s="24"/>
      <c r="F21" s="30"/>
      <c r="H21" s="30">
        <v>14620</v>
      </c>
      <c r="I21" s="15">
        <f t="shared" si="1"/>
        <v>14620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/>
      <c r="D22" s="27"/>
      <c r="E22" s="27"/>
      <c r="F22" s="27"/>
      <c r="G22" s="144">
        <v>29000</v>
      </c>
      <c r="H22" s="144">
        <v>14000</v>
      </c>
      <c r="I22" s="20">
        <f t="shared" si="1"/>
        <v>43000</v>
      </c>
      <c r="K22" s="11"/>
    </row>
    <row r="23" spans="1:27" s="1" customFormat="1" ht="22.15" customHeight="1" x14ac:dyDescent="0.25">
      <c r="A23" s="28"/>
      <c r="B23" s="29"/>
      <c r="C23" s="24"/>
      <c r="D23" s="24"/>
      <c r="E23" s="24"/>
      <c r="F23" s="30"/>
      <c r="G23" s="30">
        <v>43430</v>
      </c>
      <c r="H23" s="30">
        <v>13530</v>
      </c>
      <c r="I23" s="15">
        <f t="shared" si="1"/>
        <v>56960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/>
      <c r="D24" s="27"/>
      <c r="E24" s="27"/>
      <c r="F24" s="27"/>
      <c r="G24" s="144">
        <v>42000</v>
      </c>
      <c r="H24" s="144">
        <v>73000</v>
      </c>
      <c r="I24" s="31">
        <f t="shared" si="1"/>
        <v>115000</v>
      </c>
      <c r="J24" s="32"/>
      <c r="K24" s="11"/>
    </row>
    <row r="25" spans="1:27" s="33" customFormat="1" ht="22.15" customHeight="1" x14ac:dyDescent="0.25">
      <c r="A25" s="28"/>
      <c r="B25" s="29"/>
      <c r="C25" s="24"/>
      <c r="D25" s="24"/>
      <c r="E25" s="24"/>
      <c r="F25" s="30"/>
      <c r="G25" s="30">
        <v>13790</v>
      </c>
      <c r="H25" s="30">
        <v>28890</v>
      </c>
      <c r="I25" s="15">
        <f t="shared" si="1"/>
        <v>42680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/>
      <c r="D26" s="125"/>
      <c r="E26" s="125"/>
      <c r="F26" s="125"/>
      <c r="G26" s="144">
        <v>14000</v>
      </c>
      <c r="H26" s="144">
        <v>102000</v>
      </c>
      <c r="I26" s="31">
        <f t="shared" si="1"/>
        <v>116000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/>
      <c r="D27" s="24"/>
      <c r="E27" s="24"/>
      <c r="F27" s="30"/>
      <c r="G27" s="30">
        <v>85320</v>
      </c>
      <c r="H27" s="30">
        <v>42050</v>
      </c>
      <c r="I27" s="15">
        <f t="shared" si="1"/>
        <v>127370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/>
      <c r="D28" s="27"/>
      <c r="E28" s="27"/>
      <c r="F28" s="27"/>
      <c r="G28" s="144">
        <v>76000</v>
      </c>
      <c r="H28" s="144">
        <v>196000</v>
      </c>
      <c r="I28" s="31">
        <f t="shared" si="1"/>
        <v>272000</v>
      </c>
      <c r="J28" s="1"/>
    </row>
    <row r="29" spans="1:27" s="4" customFormat="1" ht="21.75" customHeight="1" x14ac:dyDescent="0.35">
      <c r="A29" s="39"/>
      <c r="B29" s="40"/>
      <c r="C29" s="24"/>
      <c r="D29" s="24"/>
      <c r="E29" s="24"/>
      <c r="F29" s="30"/>
      <c r="G29" s="30">
        <v>70790</v>
      </c>
      <c r="H29" s="30">
        <v>162550</v>
      </c>
      <c r="I29" s="15">
        <f t="shared" si="1"/>
        <v>233340</v>
      </c>
    </row>
    <row r="30" spans="1:27" s="4" customFormat="1" ht="21" customHeight="1" x14ac:dyDescent="0.35">
      <c r="A30" s="25" t="s">
        <v>52</v>
      </c>
      <c r="B30" s="26">
        <v>4</v>
      </c>
      <c r="C30" s="27"/>
      <c r="D30" s="27"/>
      <c r="E30" s="27"/>
      <c r="F30" s="27"/>
      <c r="G30" s="144">
        <v>28000</v>
      </c>
      <c r="H30" s="144">
        <v>91000</v>
      </c>
      <c r="I30" s="31">
        <f t="shared" si="1"/>
        <v>119000</v>
      </c>
    </row>
    <row r="31" spans="1:27" s="4" customFormat="1" ht="20.45" customHeight="1" x14ac:dyDescent="0.35">
      <c r="A31" s="49"/>
      <c r="B31" s="50"/>
      <c r="C31" s="51"/>
      <c r="D31" s="51"/>
      <c r="E31" s="51"/>
      <c r="F31" s="51"/>
      <c r="G31" s="52">
        <v>69410</v>
      </c>
      <c r="H31" s="51">
        <v>45990</v>
      </c>
      <c r="I31" s="15">
        <f t="shared" si="1"/>
        <v>115400</v>
      </c>
    </row>
    <row r="32" spans="1:27" s="4" customFormat="1" ht="20.45" customHeight="1" x14ac:dyDescent="0.35">
      <c r="A32" s="126" t="s">
        <v>14</v>
      </c>
      <c r="B32" s="127">
        <v>4</v>
      </c>
      <c r="C32" s="136"/>
      <c r="D32" s="136"/>
      <c r="E32" s="129"/>
      <c r="F32" s="129"/>
      <c r="G32" s="144">
        <v>15000</v>
      </c>
      <c r="H32" s="129"/>
      <c r="I32" s="130">
        <f t="shared" si="1"/>
        <v>15000</v>
      </c>
    </row>
    <row r="33" spans="1:27" s="4" customFormat="1" ht="20.45" customHeight="1" x14ac:dyDescent="0.35">
      <c r="A33" s="49"/>
      <c r="B33" s="50"/>
      <c r="C33" s="51"/>
      <c r="D33" s="51"/>
      <c r="E33" s="143"/>
      <c r="F33" s="51"/>
      <c r="G33" s="52">
        <v>16340</v>
      </c>
      <c r="H33" s="51">
        <v>14290</v>
      </c>
      <c r="I33" s="15">
        <f t="shared" si="1"/>
        <v>30630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0</v>
      </c>
      <c r="D34" s="58">
        <f t="shared" ref="D34:F34" si="2">(D6+D10+D12+D16+D18+D18+D20+D22++D24+D26+D28+D30+D32)/15000</f>
        <v>0</v>
      </c>
      <c r="E34" s="58">
        <f>(E6+E10+E12+E16+E18+E18+E20+E22++E24+E26+E28+E30+E32)/15000</f>
        <v>0</v>
      </c>
      <c r="F34" s="58">
        <f t="shared" si="2"/>
        <v>0</v>
      </c>
      <c r="G34" s="58">
        <f>(G6+G10+G12+G16+G18+G18+G20+G22++G24+G26+G28+G30+G32)/15000</f>
        <v>23.866666666666667</v>
      </c>
      <c r="H34" s="58">
        <f>(H6+H10+H12+H16+H18+H18+H20+H22++H24+H26+H28+H30+H32)/15000</f>
        <v>34.799999999999997</v>
      </c>
      <c r="I34" s="59"/>
    </row>
    <row r="35" spans="1:27" s="4" customFormat="1" ht="20.45" customHeight="1" x14ac:dyDescent="0.35">
      <c r="A35" s="17" t="s">
        <v>17</v>
      </c>
      <c r="B35" s="60">
        <v>4</v>
      </c>
      <c r="C35" s="61"/>
      <c r="D35" s="61"/>
      <c r="E35" s="61"/>
      <c r="F35" s="61"/>
      <c r="G35" s="61">
        <v>14000</v>
      </c>
      <c r="H35" s="61">
        <v>14000</v>
      </c>
      <c r="I35" s="62">
        <f t="shared" ref="I35:I56" si="3">SUM(C35:H35)</f>
        <v>28000</v>
      </c>
    </row>
    <row r="36" spans="1:27" s="4" customFormat="1" ht="21" hidden="1" customHeight="1" x14ac:dyDescent="0.35">
      <c r="A36" s="17" t="s">
        <v>18</v>
      </c>
      <c r="B36" s="63">
        <v>2.5</v>
      </c>
      <c r="C36" s="64"/>
      <c r="D36" s="64"/>
      <c r="E36" s="64"/>
      <c r="F36" s="64"/>
      <c r="G36" s="64"/>
      <c r="H36" s="64"/>
      <c r="I36" s="62">
        <f t="shared" si="3"/>
        <v>0</v>
      </c>
    </row>
    <row r="37" spans="1:27" s="4" customFormat="1" ht="23.25" customHeight="1" x14ac:dyDescent="0.35">
      <c r="A37" s="65">
        <v>502</v>
      </c>
      <c r="B37" s="66" t="s">
        <v>19</v>
      </c>
      <c r="C37" s="64"/>
      <c r="D37" s="64"/>
      <c r="E37" s="64"/>
      <c r="F37" s="64"/>
      <c r="G37" s="64"/>
      <c r="H37" s="64">
        <v>14000</v>
      </c>
      <c r="I37" s="62">
        <f t="shared" si="3"/>
        <v>14000</v>
      </c>
    </row>
    <row r="38" spans="1:27" s="4" customFormat="1" ht="23.25" customHeight="1" x14ac:dyDescent="0.35">
      <c r="A38" s="67" t="s">
        <v>20</v>
      </c>
      <c r="B38" s="68">
        <v>2.5</v>
      </c>
      <c r="C38" s="64"/>
      <c r="D38" s="64"/>
      <c r="E38" s="64"/>
      <c r="F38" s="69"/>
      <c r="G38" s="64"/>
      <c r="H38" s="64"/>
      <c r="I38" s="62">
        <f t="shared" si="3"/>
        <v>0</v>
      </c>
    </row>
    <row r="39" spans="1:27" s="4" customFormat="1" ht="20.25" customHeight="1" x14ac:dyDescent="0.35">
      <c r="A39" s="67" t="s">
        <v>59</v>
      </c>
      <c r="B39" s="68">
        <v>2.5</v>
      </c>
      <c r="C39" s="64"/>
      <c r="D39" s="64"/>
      <c r="E39" s="64"/>
      <c r="F39" s="64"/>
      <c r="G39" s="64"/>
      <c r="H39" s="64"/>
      <c r="I39" s="62">
        <f t="shared" si="3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4" customFormat="1" ht="20.25" hidden="1" customHeight="1" x14ac:dyDescent="0.35">
      <c r="A40" s="67" t="s">
        <v>22</v>
      </c>
      <c r="B40" s="68">
        <v>3.5</v>
      </c>
      <c r="C40" s="64"/>
      <c r="D40" s="64"/>
      <c r="E40" s="64"/>
      <c r="F40" s="64"/>
      <c r="G40" s="64"/>
      <c r="H40" s="64"/>
      <c r="I40" s="62">
        <f t="shared" si="3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63</v>
      </c>
      <c r="B41" s="68">
        <v>2.5</v>
      </c>
      <c r="C41" s="64"/>
      <c r="D41" s="64"/>
      <c r="E41" s="142"/>
      <c r="F41" s="64"/>
      <c r="G41" s="64"/>
      <c r="H41" s="64"/>
      <c r="I41" s="62">
        <f t="shared" si="3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70" t="s">
        <v>23</v>
      </c>
      <c r="B42" s="71">
        <v>2.5</v>
      </c>
      <c r="C42" s="72"/>
      <c r="D42" s="72"/>
      <c r="E42" s="73"/>
      <c r="F42" s="81"/>
      <c r="G42" s="72">
        <v>33000</v>
      </c>
      <c r="H42" s="64"/>
      <c r="I42" s="62">
        <f t="shared" si="3"/>
        <v>33000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62">
        <f t="shared" si="3"/>
        <v>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4" customFormat="1" ht="18.75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72"/>
      <c r="H44" s="64"/>
      <c r="I44" s="62">
        <f t="shared" si="3"/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70" t="s">
        <v>26</v>
      </c>
      <c r="B45" s="71">
        <v>2.8</v>
      </c>
      <c r="C45" s="72"/>
      <c r="D45" s="64"/>
      <c r="E45" s="137"/>
      <c r="F45" s="82"/>
      <c r="G45" s="72">
        <v>27000</v>
      </c>
      <c r="H45" s="83"/>
      <c r="I45" s="62">
        <f t="shared" si="3"/>
        <v>27000</v>
      </c>
      <c r="J45" s="84"/>
      <c r="K45" s="1" t="s">
        <v>27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53</v>
      </c>
      <c r="B46" s="71">
        <v>2.8</v>
      </c>
      <c r="C46" s="64"/>
      <c r="D46" s="64"/>
      <c r="E46" s="83"/>
      <c r="F46" s="82"/>
      <c r="G46" s="64">
        <v>11000</v>
      </c>
      <c r="H46" s="64">
        <v>8000</v>
      </c>
      <c r="I46" s="62">
        <f t="shared" si="3"/>
        <v>19000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70" t="s">
        <v>28</v>
      </c>
      <c r="B47" s="71">
        <v>2.8</v>
      </c>
      <c r="C47" s="64"/>
      <c r="D47" s="64"/>
      <c r="E47" s="64"/>
      <c r="F47" s="82"/>
      <c r="G47" s="64"/>
      <c r="H47" s="64"/>
      <c r="I47" s="62">
        <f t="shared" si="3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85">
        <v>552</v>
      </c>
      <c r="B48" s="63">
        <v>4</v>
      </c>
      <c r="C48" s="64"/>
      <c r="D48" s="64"/>
      <c r="E48" s="64"/>
      <c r="F48" s="82"/>
      <c r="G48" s="64"/>
      <c r="H48" s="64"/>
      <c r="I48" s="62">
        <f t="shared" si="3"/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1" customFormat="1" ht="23.25" hidden="1" customHeight="1" x14ac:dyDescent="0.3">
      <c r="A49" s="70">
        <v>553</v>
      </c>
      <c r="B49" s="71">
        <v>2.8</v>
      </c>
      <c r="C49" s="64"/>
      <c r="D49" s="64"/>
      <c r="E49" s="64"/>
      <c r="F49" s="80"/>
      <c r="G49" s="83"/>
      <c r="H49" s="64"/>
      <c r="I49" s="62">
        <f t="shared" si="3"/>
        <v>0</v>
      </c>
    </row>
    <row r="50" spans="1:27" s="1" customFormat="1" ht="21" customHeight="1" x14ac:dyDescent="0.3">
      <c r="A50" s="70" t="s">
        <v>29</v>
      </c>
      <c r="B50" s="71">
        <v>4</v>
      </c>
      <c r="C50" s="64"/>
      <c r="D50" s="72"/>
      <c r="E50" s="64"/>
      <c r="F50" s="82"/>
      <c r="G50" s="64"/>
      <c r="H50" s="64">
        <v>5000</v>
      </c>
      <c r="I50" s="62">
        <f t="shared" si="3"/>
        <v>5000</v>
      </c>
      <c r="L50" s="87"/>
      <c r="M50" s="87"/>
      <c r="N50" s="87"/>
      <c r="O50" s="87"/>
      <c r="P50" s="87"/>
      <c r="Q50" s="87"/>
      <c r="R50" s="87"/>
      <c r="S50" s="3"/>
      <c r="T50" s="3"/>
      <c r="U50" s="3"/>
      <c r="V50" s="3"/>
      <c r="W50" s="3"/>
      <c r="X50" s="3"/>
      <c r="Y50" s="3"/>
      <c r="Z50" s="3"/>
      <c r="AA50" s="3"/>
    </row>
    <row r="51" spans="1:27" s="1" customFormat="1" ht="21" hidden="1" customHeight="1" x14ac:dyDescent="0.3">
      <c r="A51" s="17" t="s">
        <v>30</v>
      </c>
      <c r="B51" s="71">
        <v>4</v>
      </c>
      <c r="C51" s="64"/>
      <c r="D51" s="64"/>
      <c r="E51" s="64"/>
      <c r="F51" s="82"/>
      <c r="G51" s="64"/>
      <c r="H51" s="64"/>
      <c r="I51" s="62">
        <f t="shared" si="3"/>
        <v>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ht="18.75" x14ac:dyDescent="0.3">
      <c r="A52" s="70" t="s">
        <v>31</v>
      </c>
      <c r="B52" s="71">
        <v>4</v>
      </c>
      <c r="C52" s="72"/>
      <c r="D52" s="72"/>
      <c r="E52" s="64"/>
      <c r="F52" s="72"/>
      <c r="G52" s="72"/>
      <c r="H52" s="64"/>
      <c r="I52" s="62">
        <f t="shared" si="3"/>
        <v>0</v>
      </c>
      <c r="L52" s="87"/>
      <c r="M52" s="87"/>
      <c r="N52" s="87"/>
      <c r="O52" s="87"/>
      <c r="P52" s="87"/>
      <c r="Q52" s="87"/>
      <c r="R52" s="87"/>
    </row>
    <row r="53" spans="1:27" ht="23.25" customHeight="1" x14ac:dyDescent="0.3">
      <c r="A53" s="70" t="s">
        <v>32</v>
      </c>
      <c r="B53" s="71">
        <v>4</v>
      </c>
      <c r="C53" s="64"/>
      <c r="D53" s="64"/>
      <c r="E53" s="64"/>
      <c r="F53" s="64"/>
      <c r="G53" s="64"/>
      <c r="H53" s="83">
        <v>6000</v>
      </c>
      <c r="I53" s="62">
        <f t="shared" si="3"/>
        <v>6000</v>
      </c>
      <c r="L53" s="87"/>
      <c r="M53" s="87"/>
      <c r="N53" s="87"/>
      <c r="O53" s="87"/>
      <c r="P53" s="87"/>
      <c r="Q53" s="87"/>
      <c r="R53" s="87"/>
    </row>
    <row r="54" spans="1:27" ht="23.25" hidden="1" customHeight="1" x14ac:dyDescent="0.3">
      <c r="A54" s="17" t="s">
        <v>33</v>
      </c>
      <c r="B54" s="71">
        <v>4</v>
      </c>
      <c r="C54" s="64"/>
      <c r="D54" s="64"/>
      <c r="E54" s="64"/>
      <c r="F54" s="64"/>
      <c r="G54" s="64"/>
      <c r="H54" s="64"/>
      <c r="I54" s="62">
        <f t="shared" si="3"/>
        <v>0</v>
      </c>
      <c r="L54" s="87"/>
      <c r="M54" s="87"/>
      <c r="N54" s="87"/>
      <c r="O54" s="87"/>
      <c r="P54" s="87"/>
      <c r="Q54" s="87"/>
      <c r="R54" s="87"/>
    </row>
    <row r="55" spans="1:27" ht="23.25" hidden="1" customHeight="1" x14ac:dyDescent="0.3">
      <c r="A55" s="17" t="s">
        <v>34</v>
      </c>
      <c r="B55" s="71">
        <v>4</v>
      </c>
      <c r="C55" s="64"/>
      <c r="D55" s="64"/>
      <c r="E55" s="64"/>
      <c r="F55" s="64"/>
      <c r="G55" s="64"/>
      <c r="H55" s="64"/>
      <c r="I55" s="62">
        <f t="shared" si="3"/>
        <v>0</v>
      </c>
      <c r="L55" s="87"/>
      <c r="M55" s="87"/>
      <c r="N55" s="87"/>
      <c r="O55" s="87"/>
      <c r="P55" s="87"/>
      <c r="Q55" s="87"/>
      <c r="R55" s="87"/>
    </row>
    <row r="56" spans="1:27" ht="22.5" customHeight="1" x14ac:dyDescent="0.3">
      <c r="A56" s="70" t="s">
        <v>35</v>
      </c>
      <c r="B56" s="71">
        <v>4</v>
      </c>
      <c r="C56" s="64"/>
      <c r="D56" s="64"/>
      <c r="E56" s="64"/>
      <c r="F56" s="64"/>
      <c r="G56" s="72">
        <v>14000</v>
      </c>
      <c r="H56" s="75"/>
      <c r="I56" s="62">
        <f t="shared" si="3"/>
        <v>14000</v>
      </c>
      <c r="L56" s="87"/>
      <c r="M56" s="87"/>
      <c r="N56" s="87"/>
      <c r="O56" s="87"/>
      <c r="P56" s="87"/>
      <c r="Q56" s="87"/>
      <c r="R56" s="87"/>
    </row>
    <row r="57" spans="1:27" s="4" customFormat="1" ht="19.149999999999999" customHeight="1" x14ac:dyDescent="0.35">
      <c r="A57" s="88" t="s">
        <v>36</v>
      </c>
      <c r="B57" s="89"/>
      <c r="C57" s="90">
        <v>3</v>
      </c>
      <c r="D57" s="90"/>
      <c r="E57" s="90">
        <v>3</v>
      </c>
      <c r="F57" s="90">
        <v>5</v>
      </c>
      <c r="G57" s="91">
        <v>3</v>
      </c>
      <c r="H57" s="90">
        <v>4</v>
      </c>
      <c r="I57" s="92"/>
    </row>
    <row r="58" spans="1:27" ht="24.75" customHeight="1" x14ac:dyDescent="0.25">
      <c r="A58" s="93" t="s">
        <v>37</v>
      </c>
      <c r="B58" s="94"/>
      <c r="C58" s="95">
        <f>C57+C34</f>
        <v>3</v>
      </c>
      <c r="D58" s="95"/>
      <c r="E58" s="95">
        <f>E57+E34</f>
        <v>3</v>
      </c>
      <c r="F58" s="95">
        <f>F57+F34</f>
        <v>5</v>
      </c>
      <c r="G58" s="95">
        <f>G57+G34</f>
        <v>26.866666666666667</v>
      </c>
      <c r="H58" s="95">
        <f>H57+H34</f>
        <v>38.799999999999997</v>
      </c>
      <c r="I58" s="96"/>
      <c r="L58" s="87"/>
      <c r="M58" s="87"/>
      <c r="N58" s="87"/>
      <c r="O58" s="87"/>
      <c r="P58" s="87"/>
      <c r="Q58" s="87"/>
      <c r="R58" s="87"/>
    </row>
    <row r="59" spans="1:27" s="1" customFormat="1" ht="25.5" x14ac:dyDescent="0.35">
      <c r="A59" s="97"/>
      <c r="B59" s="98"/>
      <c r="C59" s="99" t="s">
        <v>38</v>
      </c>
      <c r="D59" s="99"/>
      <c r="E59" s="100"/>
      <c r="F59" s="33" t="s">
        <v>39</v>
      </c>
      <c r="G59" s="4"/>
      <c r="H59" s="4"/>
      <c r="I59" s="3"/>
      <c r="L59" s="87"/>
      <c r="M59" s="87"/>
      <c r="N59" s="87"/>
      <c r="O59" s="87"/>
      <c r="P59" s="87"/>
      <c r="Q59" s="87"/>
      <c r="R59" s="87"/>
      <c r="S59" s="3"/>
      <c r="T59" s="3"/>
      <c r="U59" s="3"/>
      <c r="V59" s="3"/>
      <c r="W59" s="3"/>
      <c r="X59" s="3"/>
      <c r="Y59" s="3"/>
      <c r="Z59" s="3"/>
      <c r="AA59" s="3"/>
    </row>
    <row r="60" spans="1:27" ht="25.5" x14ac:dyDescent="0.35">
      <c r="A60" s="101"/>
      <c r="B60" s="102"/>
      <c r="C60" s="103" t="s">
        <v>40</v>
      </c>
      <c r="D60" s="103"/>
      <c r="E60" s="104"/>
      <c r="F60" s="105" t="s">
        <v>41</v>
      </c>
      <c r="G60" s="4"/>
      <c r="H60" s="4"/>
      <c r="J60" s="87"/>
      <c r="K60" s="87"/>
      <c r="L60" s="106"/>
      <c r="M60" s="106"/>
      <c r="N60" s="106"/>
      <c r="O60" s="106"/>
      <c r="P60" s="106"/>
      <c r="Q60" s="106"/>
      <c r="R60" s="106"/>
    </row>
    <row r="61" spans="1:27" ht="20.25" x14ac:dyDescent="0.25">
      <c r="A61" s="107"/>
      <c r="B61" s="108"/>
      <c r="C61" s="107"/>
      <c r="D61" s="107"/>
      <c r="E61" s="107"/>
      <c r="F61" s="107"/>
      <c r="G61" s="109"/>
      <c r="H61" s="110"/>
      <c r="I61" s="1"/>
      <c r="J61" s="87"/>
      <c r="K61" s="87"/>
      <c r="L61" s="111"/>
      <c r="M61" s="111"/>
      <c r="N61" s="111"/>
      <c r="O61" s="111"/>
      <c r="P61" s="111"/>
      <c r="Q61" s="111"/>
      <c r="R61" s="111"/>
    </row>
    <row r="62" spans="1:27" x14ac:dyDescent="0.25">
      <c r="A62" s="112"/>
      <c r="B62" s="113"/>
      <c r="C62" s="112"/>
      <c r="D62" s="112"/>
      <c r="E62" s="112"/>
      <c r="F62" s="112"/>
      <c r="G62" s="112"/>
      <c r="H62" s="87"/>
      <c r="I62" s="87"/>
      <c r="J62" s="87"/>
      <c r="K62" s="87"/>
      <c r="L62" s="114"/>
      <c r="M62" s="114"/>
      <c r="N62" s="114"/>
      <c r="O62" s="114"/>
      <c r="P62" s="114"/>
      <c r="Q62" s="114"/>
      <c r="R62" s="114"/>
    </row>
    <row r="63" spans="1:27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110"/>
      <c r="M64" s="110"/>
      <c r="N64" s="110"/>
      <c r="O64" s="110"/>
      <c r="P64" s="110"/>
      <c r="Q64" s="110"/>
      <c r="R64" s="110"/>
    </row>
    <row r="65" spans="1:18" x14ac:dyDescent="0.25"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</row>
    <row r="66" spans="1:18" ht="25.5" x14ac:dyDescent="0.35">
      <c r="A66" s="1"/>
      <c r="B66" s="2"/>
      <c r="C66" s="1"/>
      <c r="D66" s="1"/>
      <c r="E66" s="1"/>
      <c r="F66" s="1"/>
      <c r="G66" s="1"/>
      <c r="H66" s="87"/>
      <c r="I66" s="87"/>
      <c r="J66" s="106"/>
      <c r="K66" s="106"/>
      <c r="L66" s="110"/>
      <c r="M66" s="110"/>
      <c r="N66" s="110"/>
      <c r="O66" s="110"/>
      <c r="P66" s="110"/>
      <c r="Q66" s="110"/>
      <c r="R66" s="110"/>
    </row>
    <row r="67" spans="1:18" x14ac:dyDescent="0.25">
      <c r="A67" s="1"/>
      <c r="B67" s="2"/>
      <c r="C67" s="1"/>
      <c r="D67" s="1"/>
      <c r="E67" s="1"/>
      <c r="F67" s="1"/>
      <c r="G67" s="1"/>
      <c r="H67" s="87"/>
      <c r="I67" s="87"/>
      <c r="J67" s="111"/>
      <c r="K67" s="111"/>
      <c r="L67" s="110"/>
      <c r="M67" s="110"/>
      <c r="N67" s="110"/>
      <c r="O67" s="110"/>
      <c r="P67" s="110"/>
      <c r="Q67" s="110"/>
      <c r="R67" s="110"/>
    </row>
    <row r="68" spans="1:18" ht="25.5" x14ac:dyDescent="0.35">
      <c r="A68" s="181"/>
      <c r="B68" s="181"/>
      <c r="C68" s="181"/>
      <c r="D68" s="181"/>
      <c r="E68" s="181"/>
      <c r="F68" s="181"/>
      <c r="G68" s="181"/>
      <c r="H68" s="106"/>
      <c r="I68" s="106"/>
      <c r="J68" s="114"/>
      <c r="K68" s="114"/>
      <c r="L68" s="87"/>
      <c r="M68" s="87"/>
      <c r="N68" s="87"/>
      <c r="O68" s="87"/>
      <c r="P68" s="87"/>
      <c r="Q68" s="87"/>
      <c r="R68" s="87"/>
    </row>
    <row r="69" spans="1:18" x14ac:dyDescent="0.25">
      <c r="A69" s="111"/>
      <c r="B69" s="113"/>
      <c r="C69" s="111"/>
      <c r="D69" s="111"/>
      <c r="E69" s="111"/>
      <c r="F69" s="111"/>
      <c r="G69" s="111"/>
      <c r="H69" s="111"/>
      <c r="I69" s="111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82"/>
      <c r="B70" s="116"/>
      <c r="C70" s="114"/>
      <c r="D70" s="114"/>
      <c r="E70" s="114"/>
      <c r="F70" s="114"/>
      <c r="G70" s="114"/>
      <c r="H70" s="114"/>
      <c r="I70" s="114"/>
      <c r="J70" s="110"/>
      <c r="K70" s="110"/>
      <c r="L70" s="87"/>
      <c r="M70" s="87"/>
      <c r="N70" s="87"/>
      <c r="O70" s="87"/>
      <c r="P70" s="87"/>
      <c r="Q70" s="87"/>
      <c r="R70" s="87"/>
    </row>
    <row r="71" spans="1:18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87"/>
      <c r="K71" s="87"/>
    </row>
    <row r="72" spans="1:18" x14ac:dyDescent="0.25">
      <c r="A72" s="112"/>
      <c r="B72" s="113"/>
      <c r="C72" s="112"/>
      <c r="D72" s="112"/>
      <c r="E72" s="112"/>
      <c r="F72" s="112"/>
      <c r="G72" s="112"/>
      <c r="H72" s="110"/>
      <c r="I72" s="110"/>
      <c r="J72" s="110"/>
      <c r="K72" s="110"/>
    </row>
    <row r="73" spans="1:18" x14ac:dyDescent="0.25">
      <c r="A73" s="112"/>
      <c r="B73" s="113"/>
      <c r="C73" s="112"/>
      <c r="D73" s="112"/>
      <c r="E73" s="112"/>
      <c r="F73" s="112"/>
      <c r="G73" s="112"/>
      <c r="H73" s="87"/>
      <c r="I73" s="87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112"/>
      <c r="H74" s="110"/>
      <c r="I74" s="110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112"/>
      <c r="H77" s="87"/>
      <c r="I77" s="87"/>
    </row>
    <row r="78" spans="1:18" x14ac:dyDescent="0.25">
      <c r="A78" s="1"/>
      <c r="B78" s="2"/>
      <c r="C78" s="1"/>
      <c r="D78" s="1"/>
      <c r="E78" s="1"/>
      <c r="F78" s="1"/>
      <c r="G78" s="1"/>
      <c r="H78" s="87"/>
      <c r="I78" s="87"/>
    </row>
  </sheetData>
  <mergeCells count="6">
    <mergeCell ref="A70:A71"/>
    <mergeCell ref="A2:I2"/>
    <mergeCell ref="A3:R3"/>
    <mergeCell ref="A4:R4"/>
    <mergeCell ref="M26:N27"/>
    <mergeCell ref="A68:G6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280B-2438-4F07-B73C-EA06568C1E7D}">
  <dimension ref="A1:AF86"/>
  <sheetViews>
    <sheetView topLeftCell="A2" workbookViewId="0">
      <pane ySplit="4" topLeftCell="A35" activePane="bottomLeft" state="frozen"/>
      <selection activeCell="A2" sqref="A2"/>
      <selection pane="bottomLeft" activeCell="H64" sqref="H64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72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66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46076</v>
      </c>
      <c r="D5" s="7">
        <v>46077</v>
      </c>
      <c r="E5" s="7">
        <v>46078</v>
      </c>
      <c r="F5" s="7">
        <v>46079</v>
      </c>
      <c r="G5" s="7">
        <v>46080</v>
      </c>
      <c r="H5" s="7">
        <v>46081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>
        <v>14000</v>
      </c>
      <c r="D6" s="119"/>
      <c r="E6" s="119">
        <v>14000</v>
      </c>
      <c r="F6" s="119"/>
      <c r="G6" s="119"/>
      <c r="H6" s="119"/>
      <c r="I6" s="10">
        <f t="shared" ref="I6:I13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14210</v>
      </c>
      <c r="D7" s="14"/>
      <c r="E7" s="14">
        <v>13950</v>
      </c>
      <c r="F7" s="14"/>
      <c r="G7" s="14"/>
      <c r="H7" s="14"/>
      <c r="I7" s="15">
        <f t="shared" si="0"/>
        <v>28160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>
        <v>14000</v>
      </c>
      <c r="E8" s="117">
        <v>14000</v>
      </c>
      <c r="F8" s="117">
        <v>28000</v>
      </c>
      <c r="G8" s="117">
        <v>14000</v>
      </c>
      <c r="H8" s="117">
        <v>14000</v>
      </c>
      <c r="I8" s="10">
        <f t="shared" si="0"/>
        <v>84000</v>
      </c>
      <c r="J8" s="1"/>
      <c r="K8" s="11"/>
    </row>
    <row r="9" spans="1:18" s="12" customFormat="1" ht="21.75" customHeight="1" x14ac:dyDescent="0.25">
      <c r="A9" s="5"/>
      <c r="B9" s="13"/>
      <c r="C9" s="14"/>
      <c r="D9" s="14">
        <v>14240</v>
      </c>
      <c r="E9" s="14"/>
      <c r="F9" s="14"/>
      <c r="G9" s="14"/>
      <c r="H9" s="14"/>
      <c r="I9" s="15">
        <f t="shared" si="0"/>
        <v>14240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>
        <v>14000</v>
      </c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>
        <v>14000</v>
      </c>
      <c r="D14" s="122"/>
      <c r="E14" s="122"/>
      <c r="F14" s="122">
        <v>14000</v>
      </c>
      <c r="G14" s="122"/>
      <c r="H14" s="122"/>
      <c r="I14" s="20">
        <f t="shared" ref="I14:I37" si="1">SUM(C14:H14)</f>
        <v>28000</v>
      </c>
      <c r="J14" s="1"/>
      <c r="K14" s="11"/>
    </row>
    <row r="15" spans="1:18" s="12" customFormat="1" ht="22.15" customHeight="1" x14ac:dyDescent="0.25">
      <c r="A15" s="21"/>
      <c r="B15" s="22"/>
      <c r="C15" s="23">
        <v>13490</v>
      </c>
      <c r="D15" s="23"/>
      <c r="E15" s="23"/>
      <c r="F15" s="23">
        <v>13420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22">
        <v>14000</v>
      </c>
      <c r="E16" s="122"/>
      <c r="F16" s="19"/>
      <c r="G16" s="19"/>
      <c r="H16" s="19">
        <v>14000</v>
      </c>
      <c r="I16" s="20">
        <f t="shared" si="1"/>
        <v>28000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>
        <v>13550</v>
      </c>
      <c r="E17" s="134"/>
      <c r="F17" s="135"/>
      <c r="G17" s="135"/>
      <c r="H17" s="135"/>
      <c r="I17" s="15">
        <f t="shared" si="1"/>
        <v>13550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1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1"/>
        <v>0</v>
      </c>
      <c r="J19" s="1"/>
      <c r="K19" s="11"/>
    </row>
    <row r="20" spans="1:32" s="12" customFormat="1" ht="22.15" customHeight="1" x14ac:dyDescent="0.25">
      <c r="A20" s="120" t="s">
        <v>11</v>
      </c>
      <c r="B20" s="18">
        <v>4</v>
      </c>
      <c r="C20" s="19">
        <v>16000</v>
      </c>
      <c r="D20" s="19"/>
      <c r="E20" s="19"/>
      <c r="F20" s="19">
        <v>16000</v>
      </c>
      <c r="G20" s="19"/>
      <c r="H20" s="19">
        <v>5000</v>
      </c>
      <c r="I20" s="20">
        <f t="shared" si="1"/>
        <v>37000</v>
      </c>
      <c r="J20" s="1"/>
      <c r="K20" s="11"/>
    </row>
    <row r="21" spans="1:32" s="12" customFormat="1" ht="22.15" customHeight="1" x14ac:dyDescent="0.25">
      <c r="A21" s="21"/>
      <c r="B21" s="22"/>
      <c r="C21" s="23">
        <v>13520</v>
      </c>
      <c r="D21" s="23"/>
      <c r="E21" s="23"/>
      <c r="F21" s="23">
        <v>16530</v>
      </c>
      <c r="G21" s="23"/>
      <c r="H21" s="23"/>
      <c r="I21" s="15">
        <f t="shared" si="1"/>
        <v>30050</v>
      </c>
      <c r="J21" s="1"/>
      <c r="K21" s="11"/>
    </row>
    <row r="22" spans="1:32" s="1" customFormat="1" ht="22.15" customHeight="1" x14ac:dyDescent="0.25">
      <c r="A22" s="25" t="s">
        <v>8</v>
      </c>
      <c r="B22" s="26">
        <v>4</v>
      </c>
      <c r="C22" s="27">
        <v>101000</v>
      </c>
      <c r="D22" s="27">
        <v>62000</v>
      </c>
      <c r="E22" s="27">
        <v>142000</v>
      </c>
      <c r="F22" s="27">
        <v>56000</v>
      </c>
      <c r="G22" s="27">
        <v>15000</v>
      </c>
      <c r="H22" s="27"/>
      <c r="I22" s="20">
        <f t="shared" si="1"/>
        <v>376000</v>
      </c>
      <c r="K22" s="11"/>
    </row>
    <row r="23" spans="1:32" s="1" customFormat="1" ht="22.15" customHeight="1" x14ac:dyDescent="0.25">
      <c r="A23" s="28"/>
      <c r="B23" s="29"/>
      <c r="C23" s="24">
        <v>94680</v>
      </c>
      <c r="D23" s="30">
        <v>119170</v>
      </c>
      <c r="E23" s="30">
        <v>71810</v>
      </c>
      <c r="F23" s="30">
        <v>43650</v>
      </c>
      <c r="G23" s="30">
        <v>13680</v>
      </c>
      <c r="H23" s="30"/>
      <c r="I23" s="15">
        <f t="shared" si="1"/>
        <v>342990</v>
      </c>
      <c r="K23" s="11"/>
    </row>
    <row r="24" spans="1:32" s="33" customFormat="1" ht="22.15" customHeight="1" x14ac:dyDescent="0.25">
      <c r="A24" s="25" t="s">
        <v>9</v>
      </c>
      <c r="B24" s="26">
        <v>4</v>
      </c>
      <c r="C24" s="27">
        <v>87000</v>
      </c>
      <c r="D24" s="27">
        <v>71000</v>
      </c>
      <c r="E24" s="27">
        <v>93000</v>
      </c>
      <c r="F24" s="27">
        <v>134000</v>
      </c>
      <c r="G24" s="27">
        <v>95000</v>
      </c>
      <c r="H24" s="27">
        <v>32000</v>
      </c>
      <c r="I24" s="31">
        <f t="shared" si="1"/>
        <v>512000</v>
      </c>
      <c r="J24" s="32"/>
      <c r="K24" s="11"/>
    </row>
    <row r="25" spans="1:32" s="33" customFormat="1" ht="22.15" customHeight="1" x14ac:dyDescent="0.25">
      <c r="A25" s="28"/>
      <c r="B25" s="29"/>
      <c r="C25" s="24">
        <v>146200</v>
      </c>
      <c r="D25" s="30">
        <v>67830</v>
      </c>
      <c r="E25" s="30">
        <v>113590</v>
      </c>
      <c r="F25" s="30">
        <v>69730</v>
      </c>
      <c r="G25" s="30">
        <v>43160</v>
      </c>
      <c r="H25" s="30"/>
      <c r="I25" s="15">
        <f t="shared" si="1"/>
        <v>440510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32" s="1" customFormat="1" ht="22.15" hidden="1" customHeight="1" x14ac:dyDescent="0.35">
      <c r="A26" s="25" t="s">
        <v>7</v>
      </c>
      <c r="B26" s="26">
        <v>2.8</v>
      </c>
      <c r="C26" s="38"/>
      <c r="D26" s="38"/>
      <c r="E26" s="38"/>
      <c r="F26" s="38"/>
      <c r="G26" s="38"/>
      <c r="H26" s="38"/>
      <c r="I26" s="31">
        <f t="shared" si="1"/>
        <v>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32" s="1" customFormat="1" ht="22.15" hidden="1" customHeight="1" x14ac:dyDescent="0.35">
      <c r="A27" s="39"/>
      <c r="B27" s="40"/>
      <c r="C27" s="24"/>
      <c r="D27" s="30"/>
      <c r="E27" s="30"/>
      <c r="F27" s="30"/>
      <c r="G27" s="30"/>
      <c r="H27" s="30"/>
      <c r="I27" s="15">
        <f t="shared" si="1"/>
        <v>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32" ht="24.75" hidden="1" customHeight="1" x14ac:dyDescent="0.35">
      <c r="A28" s="25" t="s">
        <v>11</v>
      </c>
      <c r="B28" s="26">
        <v>4</v>
      </c>
      <c r="C28" s="41"/>
      <c r="D28" s="41"/>
      <c r="E28" s="41"/>
      <c r="F28" s="41"/>
      <c r="G28" s="41"/>
      <c r="H28" s="41"/>
      <c r="I28" s="31">
        <f t="shared" si="1"/>
        <v>0</v>
      </c>
      <c r="J28" s="42"/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2" ht="24.7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1"/>
        <v>0</v>
      </c>
      <c r="J29" s="42"/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2" ht="24.75" hidden="1" customHeight="1" x14ac:dyDescent="0.35">
      <c r="A30" s="25" t="s">
        <v>12</v>
      </c>
      <c r="B30" s="26">
        <v>4</v>
      </c>
      <c r="C30" s="43"/>
      <c r="D30" s="44"/>
      <c r="E30" s="43"/>
      <c r="F30" s="43"/>
      <c r="G30" s="43"/>
      <c r="H30" s="43"/>
      <c r="I30" s="31">
        <f t="shared" si="1"/>
        <v>0</v>
      </c>
      <c r="J30" s="42"/>
      <c r="K30" s="4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6"/>
      <c r="AC30" s="46"/>
      <c r="AD30" s="46"/>
      <c r="AE30" s="46"/>
      <c r="AF30" s="46"/>
    </row>
    <row r="31" spans="1:32" ht="24.75" hidden="1" customHeight="1" x14ac:dyDescent="0.35">
      <c r="A31" s="47"/>
      <c r="B31" s="48"/>
      <c r="C31" s="24"/>
      <c r="D31" s="30"/>
      <c r="E31" s="30"/>
      <c r="F31" s="30"/>
      <c r="G31" s="30"/>
      <c r="H31" s="30"/>
      <c r="I31" s="15">
        <f t="shared" si="1"/>
        <v>0</v>
      </c>
      <c r="J31" s="42"/>
      <c r="K31" s="4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6"/>
      <c r="AC31" s="46"/>
      <c r="AD31" s="46"/>
      <c r="AE31" s="46"/>
      <c r="AF31" s="46"/>
    </row>
    <row r="32" spans="1:32" s="4" customFormat="1" ht="21.75" customHeight="1" x14ac:dyDescent="0.35">
      <c r="A32" s="25" t="s">
        <v>13</v>
      </c>
      <c r="B32" s="26">
        <v>4</v>
      </c>
      <c r="C32" s="27">
        <v>153000</v>
      </c>
      <c r="D32" s="27">
        <v>289000</v>
      </c>
      <c r="E32" s="27">
        <v>258000</v>
      </c>
      <c r="F32" s="27">
        <v>313000</v>
      </c>
      <c r="G32" s="27">
        <v>283000</v>
      </c>
      <c r="H32" s="27">
        <v>114000</v>
      </c>
      <c r="I32" s="31">
        <f t="shared" si="1"/>
        <v>1410000</v>
      </c>
      <c r="J32" s="1"/>
    </row>
    <row r="33" spans="1:27" s="4" customFormat="1" ht="21.75" customHeight="1" x14ac:dyDescent="0.35">
      <c r="A33" s="39"/>
      <c r="B33" s="40"/>
      <c r="C33" s="24">
        <v>75080</v>
      </c>
      <c r="D33" s="30">
        <v>190850</v>
      </c>
      <c r="E33" s="30">
        <v>260230</v>
      </c>
      <c r="F33" s="30">
        <v>202230</v>
      </c>
      <c r="G33" s="30"/>
      <c r="H33" s="30"/>
      <c r="I33" s="15">
        <f t="shared" si="1"/>
        <v>728390</v>
      </c>
    </row>
    <row r="34" spans="1:27" s="4" customFormat="1" ht="21" customHeight="1" x14ac:dyDescent="0.35">
      <c r="A34" s="25" t="s">
        <v>14</v>
      </c>
      <c r="B34" s="26">
        <v>4</v>
      </c>
      <c r="C34" s="27">
        <v>72000</v>
      </c>
      <c r="D34" s="27">
        <v>87000</v>
      </c>
      <c r="E34" s="27">
        <v>96000</v>
      </c>
      <c r="F34" s="27">
        <v>120000</v>
      </c>
      <c r="G34" s="27">
        <v>94000</v>
      </c>
      <c r="H34" s="27">
        <v>31000</v>
      </c>
      <c r="I34" s="31">
        <f t="shared" si="1"/>
        <v>500000</v>
      </c>
    </row>
    <row r="35" spans="1:27" s="4" customFormat="1" ht="20.45" customHeight="1" x14ac:dyDescent="0.35">
      <c r="A35" s="49"/>
      <c r="B35" s="50"/>
      <c r="C35" s="51">
        <v>102060</v>
      </c>
      <c r="D35" s="51">
        <v>26050</v>
      </c>
      <c r="E35" s="52">
        <v>27140</v>
      </c>
      <c r="F35" s="51">
        <v>89940</v>
      </c>
      <c r="G35" s="51"/>
      <c r="H35" s="51"/>
      <c r="I35" s="15">
        <f t="shared" si="1"/>
        <v>245190</v>
      </c>
    </row>
    <row r="36" spans="1:27" s="4" customFormat="1" ht="20.45" hidden="1" customHeight="1" x14ac:dyDescent="0.35">
      <c r="A36" s="53" t="s">
        <v>15</v>
      </c>
      <c r="B36" s="54">
        <v>4</v>
      </c>
      <c r="C36" s="55"/>
      <c r="D36" s="55"/>
      <c r="E36" s="55"/>
      <c r="F36" s="55"/>
      <c r="G36" s="55"/>
      <c r="H36" s="55"/>
      <c r="I36" s="31">
        <f t="shared" si="1"/>
        <v>0</v>
      </c>
    </row>
    <row r="37" spans="1:27" s="4" customFormat="1" ht="20.45" hidden="1" customHeight="1" x14ac:dyDescent="0.35">
      <c r="A37" s="49"/>
      <c r="B37" s="50"/>
      <c r="C37" s="51"/>
      <c r="D37" s="51"/>
      <c r="E37" s="52"/>
      <c r="F37" s="51"/>
      <c r="G37" s="51"/>
      <c r="H37" s="51"/>
      <c r="I37" s="15">
        <f t="shared" si="1"/>
        <v>0</v>
      </c>
    </row>
    <row r="38" spans="1:27" s="4" customFormat="1" ht="19.149999999999999" customHeight="1" x14ac:dyDescent="0.35">
      <c r="A38" s="56" t="s">
        <v>16</v>
      </c>
      <c r="B38" s="57"/>
      <c r="C38" s="58">
        <f>(C12+C22+C24+C32+C34)/15000</f>
        <v>27.533333333333335</v>
      </c>
      <c r="D38" s="58">
        <f>(D12+D22+D24+D32+D34)/15000</f>
        <v>33.93333333333333</v>
      </c>
      <c r="E38" s="58">
        <f>(E12+E22+E24+E32+E34)/15000</f>
        <v>39.266666666666666</v>
      </c>
      <c r="F38" s="58">
        <f>(F12+F22+F24+F32+F34)/15000</f>
        <v>41.533333333333331</v>
      </c>
      <c r="G38" s="58"/>
      <c r="H38" s="58"/>
      <c r="I38" s="59"/>
    </row>
    <row r="39" spans="1:27" s="4" customFormat="1" ht="20.45" customHeight="1" x14ac:dyDescent="0.35">
      <c r="A39" s="17" t="s">
        <v>17</v>
      </c>
      <c r="B39" s="60">
        <v>4</v>
      </c>
      <c r="C39" s="61">
        <v>14000</v>
      </c>
      <c r="D39" s="61">
        <v>14000</v>
      </c>
      <c r="E39" s="61">
        <v>14000</v>
      </c>
      <c r="F39" s="61">
        <v>14000</v>
      </c>
      <c r="G39" s="61">
        <v>14000</v>
      </c>
      <c r="H39" s="61">
        <v>14000</v>
      </c>
      <c r="I39" s="62">
        <f t="shared" ref="I39:I64" si="2">SUM(C39:H39)</f>
        <v>84000</v>
      </c>
    </row>
    <row r="40" spans="1:27" s="4" customFormat="1" ht="21" hidden="1" customHeight="1" x14ac:dyDescent="0.35">
      <c r="A40" s="17" t="s">
        <v>18</v>
      </c>
      <c r="B40" s="63">
        <v>2.5</v>
      </c>
      <c r="C40" s="64"/>
      <c r="D40" s="64"/>
      <c r="E40" s="64"/>
      <c r="F40" s="64"/>
      <c r="G40" s="64"/>
      <c r="H40" s="64"/>
      <c r="I40" s="62">
        <f t="shared" si="2"/>
        <v>0</v>
      </c>
    </row>
    <row r="41" spans="1:27" s="4" customFormat="1" ht="23.25" customHeight="1" x14ac:dyDescent="0.35">
      <c r="A41" s="65">
        <v>502</v>
      </c>
      <c r="B41" s="66" t="s">
        <v>19</v>
      </c>
      <c r="C41" s="64">
        <v>14000</v>
      </c>
      <c r="D41" s="64"/>
      <c r="E41" s="64"/>
      <c r="F41" s="64"/>
      <c r="G41" s="64"/>
      <c r="H41" s="64">
        <v>14000</v>
      </c>
      <c r="I41" s="62">
        <f t="shared" si="2"/>
        <v>28000</v>
      </c>
    </row>
    <row r="42" spans="1:27" s="4" customFormat="1" ht="23.25" hidden="1" customHeight="1" x14ac:dyDescent="0.35">
      <c r="A42" s="67" t="s">
        <v>20</v>
      </c>
      <c r="B42" s="68">
        <v>2.5</v>
      </c>
      <c r="C42" s="64"/>
      <c r="D42" s="69"/>
      <c r="E42" s="64"/>
      <c r="F42" s="64"/>
      <c r="G42" s="64"/>
      <c r="H42" s="64"/>
      <c r="I42" s="62">
        <f t="shared" si="2"/>
        <v>0</v>
      </c>
    </row>
    <row r="43" spans="1:27" s="4" customFormat="1" ht="20.25" customHeight="1" x14ac:dyDescent="0.35">
      <c r="A43" s="67" t="s">
        <v>59</v>
      </c>
      <c r="B43" s="68">
        <v>2.5</v>
      </c>
      <c r="C43" s="64"/>
      <c r="D43" s="64">
        <v>14000</v>
      </c>
      <c r="E43" s="64"/>
      <c r="F43" s="64"/>
      <c r="G43" s="64"/>
      <c r="H43" s="64"/>
      <c r="I43" s="62">
        <f t="shared" si="2"/>
        <v>14000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hidden="1" customHeight="1" x14ac:dyDescent="0.35">
      <c r="A44" s="67" t="s">
        <v>20</v>
      </c>
      <c r="B44" s="68">
        <v>2.5</v>
      </c>
      <c r="C44" s="64"/>
      <c r="D44" s="64"/>
      <c r="E44" s="64"/>
      <c r="F44" s="64"/>
      <c r="G44" s="64"/>
      <c r="H44" s="64"/>
      <c r="I44" s="62">
        <f t="shared" si="2"/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4" customFormat="1" ht="20.25" customHeight="1" x14ac:dyDescent="0.35">
      <c r="A45" s="67" t="s">
        <v>21</v>
      </c>
      <c r="B45" s="68">
        <v>3.5</v>
      </c>
      <c r="C45" s="64"/>
      <c r="D45" s="64">
        <v>14000</v>
      </c>
      <c r="E45" s="64"/>
      <c r="F45" s="64"/>
      <c r="G45" s="64">
        <v>15000</v>
      </c>
      <c r="H45" s="64"/>
      <c r="I45" s="62">
        <f t="shared" si="2"/>
        <v>29000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4" customFormat="1" ht="20.25" hidden="1" customHeight="1" x14ac:dyDescent="0.35">
      <c r="A46" s="67" t="s">
        <v>64</v>
      </c>
      <c r="B46" s="68">
        <v>2.5</v>
      </c>
      <c r="C46" s="142"/>
      <c r="D46" s="64"/>
      <c r="E46" s="64"/>
      <c r="F46" s="64"/>
      <c r="G46" s="64"/>
      <c r="H46" s="64"/>
      <c r="I46" s="62">
        <f t="shared" si="2"/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t="20.25" hidden="1" customHeight="1" x14ac:dyDescent="0.35">
      <c r="A47" s="67" t="s">
        <v>24</v>
      </c>
      <c r="B47" s="68">
        <v>2.8</v>
      </c>
      <c r="C47" s="64"/>
      <c r="D47" s="64"/>
      <c r="E47" s="64"/>
      <c r="F47" s="64"/>
      <c r="G47" s="64"/>
      <c r="H47" s="64"/>
      <c r="I47" s="62">
        <f t="shared" si="2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t="20.25" customHeight="1" x14ac:dyDescent="0.35">
      <c r="A48" s="67" t="s">
        <v>64</v>
      </c>
      <c r="B48" s="68">
        <v>2.5</v>
      </c>
      <c r="C48" s="142"/>
      <c r="D48" s="64"/>
      <c r="E48" s="64"/>
      <c r="F48" s="64">
        <v>4000</v>
      </c>
      <c r="G48" s="64"/>
      <c r="H48" s="64"/>
      <c r="I48" s="62">
        <f t="shared" si="2"/>
        <v>4000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70" t="s">
        <v>23</v>
      </c>
      <c r="B49" s="71">
        <v>2.5</v>
      </c>
      <c r="C49" s="73">
        <v>14000</v>
      </c>
      <c r="D49" s="81"/>
      <c r="E49" s="72"/>
      <c r="F49" s="72">
        <v>21000</v>
      </c>
      <c r="G49" s="72">
        <v>19000</v>
      </c>
      <c r="H49" s="72">
        <v>14000</v>
      </c>
      <c r="I49" s="62">
        <f t="shared" si="2"/>
        <v>68000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78" customFormat="1" ht="20.25" hidden="1" customHeight="1" x14ac:dyDescent="0.35">
      <c r="A50" s="17" t="s">
        <v>24</v>
      </c>
      <c r="B50" s="71">
        <v>2.8</v>
      </c>
      <c r="C50" s="76"/>
      <c r="D50" s="77"/>
      <c r="E50" s="75"/>
      <c r="F50" s="75"/>
      <c r="G50" s="75"/>
      <c r="H50" s="75"/>
      <c r="I50" s="62">
        <f t="shared" si="2"/>
        <v>0</v>
      </c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s="4" customFormat="1" ht="18.75" hidden="1" customHeight="1" x14ac:dyDescent="0.35">
      <c r="A51" s="70" t="s">
        <v>25</v>
      </c>
      <c r="B51" s="71">
        <v>2.8</v>
      </c>
      <c r="C51" s="64"/>
      <c r="D51" s="80"/>
      <c r="E51" s="72"/>
      <c r="F51" s="72"/>
      <c r="G51" s="72"/>
      <c r="H51" s="72"/>
      <c r="I51" s="62">
        <f t="shared" si="2"/>
        <v>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4" customFormat="1" ht="18.75" customHeight="1" x14ac:dyDescent="0.35">
      <c r="A52" s="70" t="s">
        <v>26</v>
      </c>
      <c r="B52" s="71">
        <v>2.8</v>
      </c>
      <c r="C52" s="81">
        <v>3000</v>
      </c>
      <c r="D52" s="82">
        <v>11000</v>
      </c>
      <c r="E52" s="72"/>
      <c r="F52" s="64">
        <v>8000</v>
      </c>
      <c r="G52" s="72">
        <v>14000</v>
      </c>
      <c r="H52" s="72">
        <v>22000</v>
      </c>
      <c r="I52" s="62">
        <f t="shared" si="2"/>
        <v>58000</v>
      </c>
      <c r="J52" s="84"/>
      <c r="K52" s="1" t="s">
        <v>27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s="4" customFormat="1" ht="18.75" hidden="1" customHeight="1" x14ac:dyDescent="0.35">
      <c r="A53" s="70" t="s">
        <v>25</v>
      </c>
      <c r="B53" s="71">
        <v>2.8</v>
      </c>
      <c r="C53" s="72"/>
      <c r="D53" s="80"/>
      <c r="E53" s="72"/>
      <c r="F53" s="72"/>
      <c r="G53" s="72"/>
      <c r="H53" s="72"/>
      <c r="I53" s="62">
        <f t="shared" si="2"/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4" customFormat="1" ht="18.75" customHeight="1" x14ac:dyDescent="0.35">
      <c r="A54" s="70" t="s">
        <v>57</v>
      </c>
      <c r="B54" s="71">
        <v>2.8</v>
      </c>
      <c r="C54" s="72">
        <v>27000</v>
      </c>
      <c r="D54" s="82">
        <v>18000</v>
      </c>
      <c r="E54" s="64">
        <v>10000</v>
      </c>
      <c r="F54" s="72">
        <v>28000</v>
      </c>
      <c r="G54" s="64">
        <v>13000</v>
      </c>
      <c r="H54" s="64">
        <v>5000</v>
      </c>
      <c r="I54" s="62">
        <f t="shared" si="2"/>
        <v>101000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85">
        <v>552</v>
      </c>
      <c r="B55" s="63">
        <v>4</v>
      </c>
      <c r="C55" s="64">
        <v>10000</v>
      </c>
      <c r="D55" s="82"/>
      <c r="E55" s="64">
        <v>5000</v>
      </c>
      <c r="F55" s="72">
        <v>7000</v>
      </c>
      <c r="G55" s="64">
        <v>5000</v>
      </c>
      <c r="H55" s="64">
        <v>5000</v>
      </c>
      <c r="I55" s="62">
        <f t="shared" si="2"/>
        <v>32000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1" customFormat="1" ht="23.25" hidden="1" customHeight="1" x14ac:dyDescent="0.3">
      <c r="A56" s="70">
        <v>553</v>
      </c>
      <c r="B56" s="71">
        <v>2.8</v>
      </c>
      <c r="C56" s="64"/>
      <c r="D56" s="80"/>
      <c r="E56" s="83"/>
      <c r="F56" s="64"/>
      <c r="G56" s="64"/>
      <c r="H56" s="64"/>
      <c r="I56" s="62">
        <f t="shared" si="2"/>
        <v>0</v>
      </c>
    </row>
    <row r="57" spans="1:27" s="1" customFormat="1" ht="21" customHeight="1" x14ac:dyDescent="0.3">
      <c r="A57" s="70" t="s">
        <v>29</v>
      </c>
      <c r="B57" s="71">
        <v>4</v>
      </c>
      <c r="C57" s="64">
        <v>4000</v>
      </c>
      <c r="D57" s="82"/>
      <c r="E57" s="64">
        <v>4000</v>
      </c>
      <c r="F57" s="64"/>
      <c r="G57" s="64"/>
      <c r="H57" s="64">
        <v>4000</v>
      </c>
      <c r="I57" s="62">
        <f t="shared" si="2"/>
        <v>12000</v>
      </c>
      <c r="L57" s="87"/>
      <c r="M57" s="87"/>
      <c r="N57" s="87"/>
      <c r="O57" s="87"/>
      <c r="P57" s="87"/>
      <c r="Q57" s="87"/>
      <c r="R57" s="87"/>
      <c r="S57" s="3"/>
      <c r="T57" s="3"/>
      <c r="U57" s="3"/>
      <c r="V57" s="3"/>
      <c r="W57" s="3"/>
      <c r="X57" s="3"/>
      <c r="Y57" s="3"/>
      <c r="Z57" s="3"/>
      <c r="AA57" s="3"/>
    </row>
    <row r="58" spans="1:27" s="1" customFormat="1" ht="21" hidden="1" customHeight="1" x14ac:dyDescent="0.3">
      <c r="A58" s="17" t="s">
        <v>30</v>
      </c>
      <c r="B58" s="71">
        <v>4</v>
      </c>
      <c r="C58" s="64"/>
      <c r="D58" s="82"/>
      <c r="E58" s="64"/>
      <c r="F58" s="64"/>
      <c r="G58" s="64"/>
      <c r="H58" s="64"/>
      <c r="I58" s="62">
        <f t="shared" si="2"/>
        <v>0</v>
      </c>
      <c r="L58" s="87"/>
      <c r="M58" s="87"/>
      <c r="N58" s="87"/>
      <c r="O58" s="87"/>
      <c r="P58" s="87"/>
      <c r="Q58" s="87"/>
      <c r="R58" s="87"/>
      <c r="S58" s="3"/>
      <c r="T58" s="3"/>
      <c r="U58" s="3"/>
      <c r="V58" s="3"/>
      <c r="W58" s="3"/>
      <c r="X58" s="3"/>
      <c r="Y58" s="3"/>
      <c r="Z58" s="3"/>
      <c r="AA58" s="3"/>
    </row>
    <row r="59" spans="1:27" s="1" customFormat="1" ht="21" customHeight="1" x14ac:dyDescent="0.3">
      <c r="A59" s="70" t="s">
        <v>31</v>
      </c>
      <c r="B59" s="71"/>
      <c r="C59" s="64"/>
      <c r="D59" s="82"/>
      <c r="E59" s="64"/>
      <c r="F59" s="72">
        <v>14000</v>
      </c>
      <c r="G59" s="64"/>
      <c r="H59" s="64"/>
      <c r="I59" s="62">
        <f t="shared" si="2"/>
        <v>14000</v>
      </c>
      <c r="L59" s="87"/>
      <c r="M59" s="87"/>
      <c r="N59" s="87"/>
      <c r="O59" s="87"/>
      <c r="P59" s="87"/>
      <c r="Q59" s="87"/>
      <c r="R59" s="87"/>
      <c r="S59" s="3"/>
      <c r="T59" s="3"/>
      <c r="U59" s="3"/>
      <c r="V59" s="3"/>
      <c r="W59" s="3"/>
      <c r="X59" s="3"/>
      <c r="Y59" s="3"/>
      <c r="Z59" s="3"/>
      <c r="AA59" s="3"/>
    </row>
    <row r="60" spans="1:27" ht="18.75" x14ac:dyDescent="0.3">
      <c r="A60" s="17" t="s">
        <v>69</v>
      </c>
      <c r="B60" s="71">
        <v>4</v>
      </c>
      <c r="C60" s="72"/>
      <c r="D60" s="64">
        <v>4000</v>
      </c>
      <c r="E60" s="72"/>
      <c r="F60" s="72"/>
      <c r="G60" s="64"/>
      <c r="H60" s="72"/>
      <c r="I60" s="62">
        <f t="shared" si="2"/>
        <v>4000</v>
      </c>
      <c r="L60" s="87"/>
      <c r="M60" s="87"/>
      <c r="N60" s="87"/>
      <c r="O60" s="87"/>
      <c r="P60" s="87"/>
      <c r="Q60" s="87"/>
      <c r="R60" s="87"/>
    </row>
    <row r="61" spans="1:27" ht="23.25" customHeight="1" x14ac:dyDescent="0.3">
      <c r="A61" s="70" t="s">
        <v>32</v>
      </c>
      <c r="B61" s="71">
        <v>4</v>
      </c>
      <c r="C61" s="64">
        <v>10000</v>
      </c>
      <c r="D61" s="64"/>
      <c r="E61" s="64"/>
      <c r="F61" s="64"/>
      <c r="G61" s="72"/>
      <c r="H61" s="64"/>
      <c r="I61" s="62">
        <f t="shared" si="2"/>
        <v>10000</v>
      </c>
      <c r="L61" s="87"/>
      <c r="M61" s="87"/>
      <c r="N61" s="87"/>
      <c r="O61" s="87"/>
      <c r="P61" s="87"/>
      <c r="Q61" s="87"/>
      <c r="R61" s="87"/>
    </row>
    <row r="62" spans="1:27" ht="23.25" customHeight="1" x14ac:dyDescent="0.3">
      <c r="A62" s="17" t="s">
        <v>70</v>
      </c>
      <c r="B62" s="71">
        <v>4</v>
      </c>
      <c r="C62" s="64"/>
      <c r="D62" s="64">
        <v>8000</v>
      </c>
      <c r="E62" s="64">
        <v>7000</v>
      </c>
      <c r="F62" s="64">
        <v>4000</v>
      </c>
      <c r="G62" s="64"/>
      <c r="H62" s="64">
        <v>7000</v>
      </c>
      <c r="I62" s="62">
        <f t="shared" si="2"/>
        <v>26000</v>
      </c>
      <c r="L62" s="87"/>
      <c r="M62" s="87"/>
      <c r="N62" s="87"/>
      <c r="O62" s="87"/>
      <c r="P62" s="87"/>
      <c r="Q62" s="87"/>
      <c r="R62" s="87"/>
    </row>
    <row r="63" spans="1:27" ht="23.25" customHeight="1" x14ac:dyDescent="0.3">
      <c r="A63" s="17" t="s">
        <v>71</v>
      </c>
      <c r="B63" s="71">
        <v>4</v>
      </c>
      <c r="C63" s="64"/>
      <c r="D63" s="64">
        <v>4000</v>
      </c>
      <c r="E63" s="64">
        <v>4000</v>
      </c>
      <c r="F63" s="64">
        <v>8000</v>
      </c>
      <c r="G63" s="64"/>
      <c r="H63" s="64">
        <v>4000</v>
      </c>
      <c r="I63" s="62">
        <f t="shared" si="2"/>
        <v>20000</v>
      </c>
      <c r="L63" s="87"/>
      <c r="M63" s="87"/>
      <c r="N63" s="87"/>
      <c r="O63" s="87"/>
      <c r="P63" s="87"/>
      <c r="Q63" s="87"/>
      <c r="R63" s="87"/>
    </row>
    <row r="64" spans="1:27" ht="22.5" customHeight="1" x14ac:dyDescent="0.3">
      <c r="A64" s="70" t="s">
        <v>35</v>
      </c>
      <c r="B64" s="71">
        <v>4</v>
      </c>
      <c r="C64" s="64">
        <v>7000</v>
      </c>
      <c r="D64" s="64"/>
      <c r="E64" s="64"/>
      <c r="F64" s="64">
        <v>13000</v>
      </c>
      <c r="G64" s="64">
        <v>6000</v>
      </c>
      <c r="H64" s="64"/>
      <c r="I64" s="62">
        <f t="shared" si="2"/>
        <v>26000</v>
      </c>
      <c r="L64" s="87"/>
      <c r="M64" s="87"/>
      <c r="N64" s="87"/>
      <c r="O64" s="87"/>
      <c r="P64" s="87"/>
      <c r="Q64" s="87"/>
      <c r="R64" s="87"/>
    </row>
    <row r="65" spans="1:27" s="4" customFormat="1" ht="19.149999999999999" customHeight="1" x14ac:dyDescent="0.35">
      <c r="A65" s="88" t="s">
        <v>36</v>
      </c>
      <c r="B65" s="89"/>
      <c r="C65" s="90">
        <v>3</v>
      </c>
      <c r="D65" s="90">
        <v>5</v>
      </c>
      <c r="E65" s="91">
        <v>3</v>
      </c>
      <c r="F65" s="90">
        <v>4</v>
      </c>
      <c r="G65" s="90"/>
      <c r="H65" s="90"/>
      <c r="I65" s="92"/>
    </row>
    <row r="66" spans="1:27" ht="24.75" customHeight="1" x14ac:dyDescent="0.25">
      <c r="A66" s="93" t="s">
        <v>37</v>
      </c>
      <c r="B66" s="94"/>
      <c r="C66" s="95">
        <f>C65+C38</f>
        <v>30.533333333333335</v>
      </c>
      <c r="D66" s="95">
        <f>D65+D38</f>
        <v>38.93333333333333</v>
      </c>
      <c r="E66" s="95">
        <f>E65+E38</f>
        <v>42.266666666666666</v>
      </c>
      <c r="F66" s="95">
        <f>F65+F38</f>
        <v>45.533333333333331</v>
      </c>
      <c r="G66" s="95"/>
      <c r="H66" s="95"/>
      <c r="I66" s="96"/>
      <c r="L66" s="87"/>
      <c r="M66" s="87"/>
      <c r="N66" s="87"/>
      <c r="O66" s="87"/>
      <c r="P66" s="87"/>
      <c r="Q66" s="87"/>
      <c r="R66" s="87"/>
    </row>
    <row r="67" spans="1:27" s="1" customFormat="1" ht="25.5" x14ac:dyDescent="0.35">
      <c r="A67" s="97"/>
      <c r="B67" s="98"/>
      <c r="C67" s="100"/>
      <c r="D67" s="33" t="s">
        <v>39</v>
      </c>
      <c r="E67" s="4"/>
      <c r="F67" s="4"/>
      <c r="G67" s="4"/>
      <c r="H67" s="4"/>
      <c r="I67" s="3"/>
      <c r="L67" s="87"/>
      <c r="M67" s="87"/>
      <c r="N67" s="87"/>
      <c r="O67" s="87"/>
      <c r="P67" s="87"/>
      <c r="Q67" s="87"/>
      <c r="R67" s="87"/>
      <c r="S67" s="3"/>
      <c r="T67" s="3"/>
      <c r="U67" s="3"/>
      <c r="V67" s="3"/>
      <c r="W67" s="3"/>
      <c r="X67" s="3"/>
      <c r="Y67" s="3"/>
      <c r="Z67" s="3"/>
      <c r="AA67" s="3"/>
    </row>
    <row r="68" spans="1:27" ht="25.5" x14ac:dyDescent="0.35">
      <c r="A68" s="101"/>
      <c r="B68" s="102"/>
      <c r="C68" s="104"/>
      <c r="D68" s="105" t="s">
        <v>41</v>
      </c>
      <c r="E68" s="4"/>
      <c r="F68" s="4"/>
      <c r="G68" s="4"/>
      <c r="H68" s="4"/>
      <c r="J68" s="87"/>
      <c r="K68" s="87"/>
      <c r="L68" s="106"/>
      <c r="M68" s="106"/>
      <c r="N68" s="106"/>
      <c r="O68" s="106"/>
      <c r="P68" s="106"/>
      <c r="Q68" s="106"/>
      <c r="R68" s="106"/>
    </row>
    <row r="69" spans="1:27" ht="20.25" x14ac:dyDescent="0.25">
      <c r="A69" s="107"/>
      <c r="B69" s="108"/>
      <c r="C69" s="107"/>
      <c r="D69" s="107"/>
      <c r="E69" s="109"/>
      <c r="F69" s="110"/>
      <c r="G69" s="110"/>
      <c r="H69" s="110"/>
      <c r="I69" s="1"/>
      <c r="J69" s="87"/>
      <c r="K69" s="87"/>
      <c r="L69" s="111"/>
      <c r="M69" s="111"/>
      <c r="N69" s="111"/>
      <c r="O69" s="111"/>
      <c r="P69" s="111"/>
      <c r="Q69" s="111"/>
      <c r="R69" s="111"/>
    </row>
    <row r="70" spans="1:27" x14ac:dyDescent="0.25">
      <c r="A70" s="112"/>
      <c r="B70" s="113"/>
      <c r="C70" s="112"/>
      <c r="D70" s="112"/>
      <c r="E70" s="112"/>
      <c r="F70" s="87"/>
      <c r="G70" s="87"/>
      <c r="H70" s="87"/>
      <c r="I70" s="87"/>
      <c r="J70" s="87"/>
      <c r="K70" s="87"/>
      <c r="L70" s="114"/>
      <c r="M70" s="114"/>
      <c r="N70" s="114"/>
      <c r="O70" s="114"/>
      <c r="P70" s="114"/>
      <c r="Q70" s="114"/>
      <c r="R70" s="114"/>
    </row>
    <row r="71" spans="1:27" x14ac:dyDescent="0.25">
      <c r="A71" s="112"/>
      <c r="B71" s="113"/>
      <c r="C71" s="112"/>
      <c r="D71" s="112"/>
      <c r="E71" s="112"/>
      <c r="F71" s="87"/>
      <c r="G71" s="87"/>
      <c r="H71" s="87"/>
      <c r="I71" s="87"/>
      <c r="J71" s="87"/>
      <c r="K71" s="87"/>
      <c r="L71" s="114"/>
      <c r="M71" s="114"/>
      <c r="N71" s="114"/>
      <c r="O71" s="114"/>
      <c r="P71" s="114"/>
      <c r="Q71" s="114"/>
      <c r="R71" s="114"/>
    </row>
    <row r="72" spans="1:27" x14ac:dyDescent="0.25">
      <c r="A72" s="112"/>
      <c r="B72" s="113"/>
      <c r="C72" s="112"/>
      <c r="D72" s="112"/>
      <c r="E72" s="112"/>
      <c r="F72" s="87"/>
      <c r="G72" s="87"/>
      <c r="H72" s="87"/>
      <c r="I72" s="87"/>
      <c r="J72" s="87"/>
      <c r="K72" s="87"/>
      <c r="L72" s="110"/>
      <c r="M72" s="110"/>
      <c r="N72" s="110"/>
      <c r="O72" s="110"/>
      <c r="P72" s="110"/>
      <c r="Q72" s="110"/>
      <c r="R72" s="110"/>
    </row>
    <row r="73" spans="1:27" x14ac:dyDescent="0.25"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</row>
    <row r="74" spans="1:27" ht="25.5" x14ac:dyDescent="0.35">
      <c r="A74" s="1"/>
      <c r="B74" s="2"/>
      <c r="C74" s="1"/>
      <c r="D74" s="1"/>
      <c r="E74" s="1"/>
      <c r="F74" s="87"/>
      <c r="G74" s="87"/>
      <c r="H74" s="87"/>
      <c r="I74" s="87"/>
      <c r="J74" s="106"/>
      <c r="K74" s="106"/>
      <c r="L74" s="110"/>
      <c r="M74" s="110"/>
      <c r="N74" s="110"/>
      <c r="O74" s="110"/>
      <c r="P74" s="110"/>
      <c r="Q74" s="110"/>
      <c r="R74" s="110"/>
    </row>
    <row r="75" spans="1:27" x14ac:dyDescent="0.25">
      <c r="A75" s="1"/>
      <c r="B75" s="2"/>
      <c r="C75" s="1"/>
      <c r="D75" s="1"/>
      <c r="E75" s="1"/>
      <c r="F75" s="87"/>
      <c r="G75" s="87"/>
      <c r="H75" s="87"/>
      <c r="I75" s="87"/>
      <c r="J75" s="111"/>
      <c r="K75" s="111"/>
      <c r="L75" s="110"/>
      <c r="M75" s="110"/>
      <c r="N75" s="110"/>
      <c r="O75" s="110"/>
      <c r="P75" s="110"/>
      <c r="Q75" s="110"/>
      <c r="R75" s="110"/>
    </row>
    <row r="76" spans="1:27" ht="25.5" x14ac:dyDescent="0.35">
      <c r="A76" s="181"/>
      <c r="B76" s="181"/>
      <c r="C76" s="181"/>
      <c r="D76" s="181"/>
      <c r="E76" s="181"/>
      <c r="F76" s="106"/>
      <c r="G76" s="106"/>
      <c r="H76" s="106"/>
      <c r="I76" s="106"/>
      <c r="J76" s="114"/>
      <c r="K76" s="114"/>
      <c r="L76" s="87"/>
      <c r="M76" s="87"/>
      <c r="N76" s="87"/>
      <c r="O76" s="87"/>
      <c r="P76" s="87"/>
      <c r="Q76" s="87"/>
      <c r="R76" s="87"/>
    </row>
    <row r="77" spans="1:27" x14ac:dyDescent="0.25">
      <c r="A77" s="111"/>
      <c r="B77" s="113"/>
      <c r="C77" s="111"/>
      <c r="D77" s="111"/>
      <c r="E77" s="111"/>
      <c r="F77" s="111"/>
      <c r="G77" s="111"/>
      <c r="H77" s="111"/>
      <c r="I77" s="111"/>
      <c r="J77" s="114"/>
      <c r="K77" s="114"/>
      <c r="L77" s="87"/>
      <c r="M77" s="87"/>
      <c r="N77" s="87"/>
      <c r="O77" s="87"/>
      <c r="P77" s="87"/>
      <c r="Q77" s="87"/>
      <c r="R77" s="87"/>
    </row>
    <row r="78" spans="1:27" x14ac:dyDescent="0.25">
      <c r="A78" s="182"/>
      <c r="B78" s="116"/>
      <c r="C78" s="114"/>
      <c r="D78" s="114"/>
      <c r="E78" s="114"/>
      <c r="F78" s="114"/>
      <c r="G78" s="114"/>
      <c r="H78" s="114"/>
      <c r="I78" s="114"/>
      <c r="J78" s="110"/>
      <c r="K78" s="110"/>
      <c r="L78" s="87"/>
      <c r="M78" s="87"/>
      <c r="N78" s="87"/>
      <c r="O78" s="87"/>
      <c r="P78" s="87"/>
      <c r="Q78" s="87"/>
      <c r="R78" s="87"/>
    </row>
    <row r="79" spans="1:27" x14ac:dyDescent="0.25">
      <c r="A79" s="182"/>
      <c r="B79" s="116"/>
      <c r="C79" s="114"/>
      <c r="D79" s="114"/>
      <c r="E79" s="114"/>
      <c r="F79" s="114"/>
      <c r="G79" s="114"/>
      <c r="H79" s="114"/>
      <c r="I79" s="114"/>
      <c r="J79" s="87"/>
      <c r="K79" s="87"/>
    </row>
    <row r="80" spans="1:27" x14ac:dyDescent="0.25">
      <c r="A80" s="112"/>
      <c r="B80" s="113"/>
      <c r="C80" s="112"/>
      <c r="D80" s="112"/>
      <c r="E80" s="112"/>
      <c r="F80" s="110"/>
      <c r="G80" s="110"/>
      <c r="H80" s="110"/>
      <c r="I80" s="110"/>
      <c r="J80" s="110"/>
      <c r="K80" s="110"/>
    </row>
    <row r="81" spans="1:11" x14ac:dyDescent="0.25">
      <c r="A81" s="112"/>
      <c r="B81" s="113"/>
      <c r="C81" s="112"/>
      <c r="D81" s="112"/>
      <c r="E81" s="112"/>
      <c r="F81" s="87"/>
      <c r="G81" s="87"/>
      <c r="H81" s="87"/>
      <c r="I81" s="87"/>
      <c r="J81" s="110"/>
      <c r="K81" s="110"/>
    </row>
    <row r="82" spans="1:11" x14ac:dyDescent="0.25">
      <c r="A82" s="112"/>
      <c r="B82" s="113"/>
      <c r="C82" s="112"/>
      <c r="D82" s="112"/>
      <c r="E82" s="112"/>
      <c r="F82" s="110"/>
      <c r="G82" s="110"/>
      <c r="H82" s="110"/>
      <c r="I82" s="110"/>
      <c r="J82" s="87"/>
      <c r="K82" s="87"/>
    </row>
    <row r="83" spans="1:11" x14ac:dyDescent="0.25">
      <c r="A83" s="112"/>
      <c r="B83" s="113"/>
      <c r="C83" s="112"/>
      <c r="D83" s="112"/>
      <c r="E83" s="112"/>
      <c r="F83" s="110"/>
      <c r="G83" s="110"/>
      <c r="H83" s="110"/>
      <c r="I83" s="110"/>
      <c r="J83" s="87"/>
      <c r="K83" s="87"/>
    </row>
    <row r="84" spans="1:11" x14ac:dyDescent="0.25">
      <c r="A84" s="112"/>
      <c r="B84" s="113"/>
      <c r="C84" s="112"/>
      <c r="D84" s="112"/>
      <c r="E84" s="112"/>
      <c r="F84" s="87"/>
      <c r="G84" s="87"/>
      <c r="H84" s="87"/>
      <c r="I84" s="87"/>
      <c r="J84" s="87"/>
      <c r="K84" s="87"/>
    </row>
    <row r="85" spans="1:11" x14ac:dyDescent="0.25">
      <c r="A85" s="112"/>
      <c r="B85" s="113"/>
      <c r="C85" s="112"/>
      <c r="D85" s="112"/>
      <c r="E85" s="112"/>
      <c r="F85" s="87"/>
      <c r="G85" s="87"/>
      <c r="H85" s="87"/>
      <c r="I85" s="87"/>
    </row>
    <row r="86" spans="1:11" x14ac:dyDescent="0.25">
      <c r="A86" s="1"/>
      <c r="B86" s="2"/>
      <c r="C86" s="1"/>
      <c r="D86" s="1"/>
      <c r="E86" s="1"/>
      <c r="F86" s="87"/>
      <c r="G86" s="87"/>
      <c r="H86" s="87"/>
      <c r="I86" s="87"/>
    </row>
  </sheetData>
  <mergeCells count="6">
    <mergeCell ref="A78:A79"/>
    <mergeCell ref="A2:I2"/>
    <mergeCell ref="A3:R3"/>
    <mergeCell ref="A4:R4"/>
    <mergeCell ref="M26:N27"/>
    <mergeCell ref="A76:E7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EBB0-D631-454A-B9B7-18878541603A}">
  <dimension ref="A1:AA79"/>
  <sheetViews>
    <sheetView topLeftCell="A2" zoomScaleNormal="100" workbookViewId="0">
      <pane ySplit="4" topLeftCell="A8" activePane="bottomLeft" state="frozen"/>
      <selection activeCell="A2" sqref="A2"/>
      <selection pane="bottomLeft" activeCell="E15" sqref="E15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74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73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46083</v>
      </c>
      <c r="D5" s="7">
        <v>46084</v>
      </c>
      <c r="E5" s="7">
        <v>46085</v>
      </c>
      <c r="F5" s="7">
        <v>46086</v>
      </c>
      <c r="G5" s="7">
        <v>46087</v>
      </c>
      <c r="H5" s="7">
        <v>46088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8"/>
      <c r="D6" s="118"/>
      <c r="E6" s="119"/>
      <c r="F6" s="119"/>
      <c r="G6" s="119"/>
      <c r="H6" s="119"/>
      <c r="I6" s="10">
        <f t="shared" ref="I6:I14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28000</v>
      </c>
      <c r="D8" s="117">
        <v>14000</v>
      </c>
      <c r="E8" s="117">
        <v>14000</v>
      </c>
      <c r="F8" s="117"/>
      <c r="G8" s="117">
        <v>28000</v>
      </c>
      <c r="H8" s="117">
        <v>14000</v>
      </c>
      <c r="I8" s="10">
        <f t="shared" si="0"/>
        <v>98000</v>
      </c>
      <c r="J8" s="1"/>
      <c r="K8" s="11"/>
    </row>
    <row r="9" spans="1:18" s="12" customFormat="1" ht="21.75" customHeight="1" x14ac:dyDescent="0.25">
      <c r="A9" s="5"/>
      <c r="B9" s="13"/>
      <c r="C9" s="14">
        <v>14250</v>
      </c>
      <c r="D9" s="14">
        <v>28030</v>
      </c>
      <c r="E9" s="14">
        <v>27850</v>
      </c>
      <c r="F9" s="14"/>
      <c r="G9" s="14">
        <v>14180</v>
      </c>
      <c r="H9" s="14">
        <v>13970</v>
      </c>
      <c r="I9" s="15">
        <f t="shared" si="0"/>
        <v>98280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3"/>
      <c r="E12" s="123"/>
      <c r="F12" s="122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>
        <v>14000</v>
      </c>
      <c r="D14" s="123"/>
      <c r="E14" s="123"/>
      <c r="F14" s="123"/>
      <c r="G14" s="123">
        <v>14000</v>
      </c>
      <c r="H14" s="123"/>
      <c r="I14" s="20">
        <f t="shared" si="0"/>
        <v>28000</v>
      </c>
      <c r="J14" s="1"/>
      <c r="K14" s="11"/>
    </row>
    <row r="15" spans="1:18" s="12" customFormat="1" ht="22.15" customHeight="1" x14ac:dyDescent="0.25">
      <c r="A15" s="21"/>
      <c r="B15" s="22"/>
      <c r="C15" s="23">
        <v>13660</v>
      </c>
      <c r="D15" s="23"/>
      <c r="E15" s="23"/>
      <c r="F15" s="23"/>
      <c r="G15" s="23">
        <v>13450</v>
      </c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>
        <v>16000</v>
      </c>
      <c r="E16" s="121"/>
      <c r="F16" s="122">
        <v>16000</v>
      </c>
      <c r="G16" s="122">
        <v>16000</v>
      </c>
      <c r="H16" s="122"/>
      <c r="I16" s="20">
        <f>SUM(C16:H16)</f>
        <v>48000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>
        <v>16450</v>
      </c>
      <c r="E17" s="23"/>
      <c r="F17" s="23">
        <v>16430</v>
      </c>
      <c r="G17" s="23">
        <v>16350</v>
      </c>
      <c r="H17" s="23"/>
      <c r="I17" s="15">
        <f>SUM(C17:H17)</f>
        <v>49230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>
        <v>14000</v>
      </c>
      <c r="E18" s="121"/>
      <c r="F18" s="121">
        <v>14000</v>
      </c>
      <c r="G18" s="121"/>
      <c r="H18" s="121"/>
      <c r="I18" s="20">
        <f>SUM(C18:H18)</f>
        <v>28000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>
        <v>13280</v>
      </c>
      <c r="E19" s="23"/>
      <c r="F19" s="23">
        <v>13250</v>
      </c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28000</v>
      </c>
      <c r="D20" s="27">
        <v>42000</v>
      </c>
      <c r="E20" s="27"/>
      <c r="F20" s="27">
        <v>14000</v>
      </c>
      <c r="G20" s="144">
        <v>42000</v>
      </c>
      <c r="H20" s="27"/>
      <c r="I20" s="20">
        <f t="shared" ref="I20:I33" si="1">SUM(C20:H20)</f>
        <v>126000</v>
      </c>
      <c r="K20" s="11"/>
    </row>
    <row r="21" spans="1:27" s="1" customFormat="1" ht="22.15" customHeight="1" x14ac:dyDescent="0.25">
      <c r="A21" s="28"/>
      <c r="B21" s="29"/>
      <c r="C21" s="24">
        <v>40720</v>
      </c>
      <c r="D21" s="24"/>
      <c r="E21" s="24">
        <v>27400</v>
      </c>
      <c r="F21" s="30"/>
      <c r="G21" s="156">
        <v>28500</v>
      </c>
      <c r="H21" s="30"/>
      <c r="I21" s="15">
        <f t="shared" si="1"/>
        <v>96620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43000</v>
      </c>
      <c r="D22" s="27">
        <v>145000</v>
      </c>
      <c r="E22" s="27">
        <v>60000</v>
      </c>
      <c r="F22" s="27">
        <v>44000</v>
      </c>
      <c r="G22" s="144">
        <v>14000</v>
      </c>
      <c r="H22" s="144"/>
      <c r="I22" s="20">
        <f t="shared" si="1"/>
        <v>306000</v>
      </c>
      <c r="K22" s="11"/>
    </row>
    <row r="23" spans="1:27" s="1" customFormat="1" ht="22.15" customHeight="1" x14ac:dyDescent="0.25">
      <c r="A23" s="28"/>
      <c r="B23" s="29"/>
      <c r="C23" s="24">
        <v>28580</v>
      </c>
      <c r="D23" s="24">
        <v>111540</v>
      </c>
      <c r="E23" s="24">
        <v>102670</v>
      </c>
      <c r="F23" s="30">
        <v>42030</v>
      </c>
      <c r="G23" s="30">
        <v>28490</v>
      </c>
      <c r="H23" s="30"/>
      <c r="I23" s="15">
        <f t="shared" si="1"/>
        <v>313310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45000</v>
      </c>
      <c r="D24" s="27">
        <v>14000</v>
      </c>
      <c r="E24" s="27">
        <v>32000</v>
      </c>
      <c r="F24" s="27">
        <v>28000</v>
      </c>
      <c r="G24" s="144">
        <v>29000</v>
      </c>
      <c r="H24" s="144">
        <v>14000</v>
      </c>
      <c r="I24" s="31">
        <f t="shared" si="1"/>
        <v>162000</v>
      </c>
      <c r="J24" s="32"/>
      <c r="K24" s="11"/>
    </row>
    <row r="25" spans="1:27" s="33" customFormat="1" ht="22.15" customHeight="1" x14ac:dyDescent="0.25">
      <c r="A25" s="28"/>
      <c r="B25" s="29"/>
      <c r="C25" s="24">
        <v>40720</v>
      </c>
      <c r="D25" s="24">
        <v>50980</v>
      </c>
      <c r="E25" s="24"/>
      <c r="F25" s="30">
        <v>28520</v>
      </c>
      <c r="G25" s="30">
        <v>41720</v>
      </c>
      <c r="H25" s="30">
        <v>24460</v>
      </c>
      <c r="I25" s="15">
        <f t="shared" si="1"/>
        <v>186400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60000</v>
      </c>
      <c r="D26" s="125">
        <v>50000</v>
      </c>
      <c r="E26" s="125">
        <v>76000</v>
      </c>
      <c r="F26" s="125">
        <v>43000</v>
      </c>
      <c r="G26" s="144">
        <v>42000</v>
      </c>
      <c r="H26" s="144">
        <v>30000</v>
      </c>
      <c r="I26" s="31">
        <f t="shared" si="1"/>
        <v>301000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f>27380+33420</f>
        <v>60800</v>
      </c>
      <c r="D27" s="24">
        <v>32280</v>
      </c>
      <c r="E27" s="24">
        <v>28820</v>
      </c>
      <c r="F27" s="30">
        <v>86140</v>
      </c>
      <c r="G27" s="30">
        <v>39940</v>
      </c>
      <c r="H27" s="30">
        <v>17930</v>
      </c>
      <c r="I27" s="15">
        <f t="shared" si="1"/>
        <v>265910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109000</v>
      </c>
      <c r="D28" s="27">
        <v>187000</v>
      </c>
      <c r="E28" s="27">
        <v>273000</v>
      </c>
      <c r="F28" s="27">
        <v>213000</v>
      </c>
      <c r="G28" s="144">
        <v>210000</v>
      </c>
      <c r="H28" s="144">
        <v>176000</v>
      </c>
      <c r="I28" s="31">
        <f t="shared" si="1"/>
        <v>1168000</v>
      </c>
      <c r="J28" s="1"/>
    </row>
    <row r="29" spans="1:27" s="4" customFormat="1" ht="21.75" customHeight="1" x14ac:dyDescent="0.35">
      <c r="A29" s="39"/>
      <c r="B29" s="40"/>
      <c r="C29" s="24">
        <f>42990+43050</f>
        <v>86040</v>
      </c>
      <c r="D29" s="24">
        <v>139280</v>
      </c>
      <c r="E29" s="24">
        <v>222580</v>
      </c>
      <c r="F29" s="30">
        <v>228190</v>
      </c>
      <c r="G29" s="30">
        <v>186630</v>
      </c>
      <c r="H29" s="30">
        <v>138860</v>
      </c>
      <c r="I29" s="15">
        <f t="shared" si="1"/>
        <v>1001580</v>
      </c>
    </row>
    <row r="30" spans="1:27" s="4" customFormat="1" ht="21" customHeight="1" x14ac:dyDescent="0.35">
      <c r="A30" s="25" t="s">
        <v>52</v>
      </c>
      <c r="B30" s="26">
        <v>4</v>
      </c>
      <c r="C30" s="27">
        <v>59000</v>
      </c>
      <c r="D30" s="27">
        <v>98000</v>
      </c>
      <c r="E30" s="27">
        <v>76000</v>
      </c>
      <c r="F30" s="27">
        <v>129000</v>
      </c>
      <c r="G30" s="144">
        <v>93000</v>
      </c>
      <c r="H30" s="144">
        <v>24000</v>
      </c>
      <c r="I30" s="31">
        <f t="shared" si="1"/>
        <v>479000</v>
      </c>
    </row>
    <row r="31" spans="1:27" s="4" customFormat="1" ht="20.45" customHeight="1" x14ac:dyDescent="0.35">
      <c r="A31" s="49"/>
      <c r="B31" s="50"/>
      <c r="C31" s="51">
        <v>41410</v>
      </c>
      <c r="D31" s="51">
        <v>61610</v>
      </c>
      <c r="E31" s="51">
        <v>45580</v>
      </c>
      <c r="F31" s="51">
        <v>126510</v>
      </c>
      <c r="G31" s="52">
        <v>47460</v>
      </c>
      <c r="H31" s="51">
        <v>49980</v>
      </c>
      <c r="I31" s="15">
        <f t="shared" si="1"/>
        <v>372550</v>
      </c>
    </row>
    <row r="32" spans="1:27" s="4" customFormat="1" ht="20.45" customHeight="1" x14ac:dyDescent="0.35">
      <c r="A32" s="126" t="s">
        <v>14</v>
      </c>
      <c r="B32" s="127">
        <v>4</v>
      </c>
      <c r="C32" s="136">
        <v>15000</v>
      </c>
      <c r="D32" s="136">
        <v>45000</v>
      </c>
      <c r="E32" s="129">
        <v>14000</v>
      </c>
      <c r="F32" s="129">
        <v>46000</v>
      </c>
      <c r="G32" s="144">
        <v>31000</v>
      </c>
      <c r="H32" s="129"/>
      <c r="I32" s="130">
        <f t="shared" si="1"/>
        <v>151000</v>
      </c>
    </row>
    <row r="33" spans="1:27" s="4" customFormat="1" ht="20.45" customHeight="1" x14ac:dyDescent="0.35">
      <c r="A33" s="49"/>
      <c r="B33" s="50"/>
      <c r="C33" s="51">
        <v>14900</v>
      </c>
      <c r="D33" s="51">
        <v>28990</v>
      </c>
      <c r="E33" s="143"/>
      <c r="F33" s="51">
        <v>30360</v>
      </c>
      <c r="G33" s="52">
        <v>30070</v>
      </c>
      <c r="H33" s="51">
        <v>25510</v>
      </c>
      <c r="I33" s="15">
        <f t="shared" si="1"/>
        <v>129830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23.933333333333334</v>
      </c>
      <c r="D34" s="58">
        <f t="shared" ref="D34:F34" si="2">(D6+D10+D12+D16+D18+D18+D20+D22++D24+D26+D28+D30+D32)/15000</f>
        <v>41.666666666666664</v>
      </c>
      <c r="E34" s="58">
        <f>(E6+E10+E12+E16+E18+E18+E20+E22++E24+E26+E28+E30+E32)/15000</f>
        <v>35.4</v>
      </c>
      <c r="F34" s="58">
        <f t="shared" si="2"/>
        <v>37.4</v>
      </c>
      <c r="G34" s="58">
        <f>(G6+G10+G12+G16+G18+G18+G20+G22++G24+G26+G28+G30+G32)/15000</f>
        <v>31.8</v>
      </c>
      <c r="H34" s="58">
        <f>(H6+H10+H12+H16+H18+H18+H20+H22++H24+H26+H28+H30+H32)/15000</f>
        <v>16.266666666666666</v>
      </c>
      <c r="I34" s="59"/>
    </row>
    <row r="35" spans="1:27" s="4" customFormat="1" ht="20.45" customHeight="1" x14ac:dyDescent="0.35">
      <c r="A35" s="17" t="s">
        <v>78</v>
      </c>
      <c r="B35" s="60">
        <v>4</v>
      </c>
      <c r="C35" s="61">
        <v>14000</v>
      </c>
      <c r="D35" s="61">
        <v>14000</v>
      </c>
      <c r="E35" s="61">
        <v>14000</v>
      </c>
      <c r="F35" s="61">
        <v>14000</v>
      </c>
      <c r="G35" s="61">
        <v>14000</v>
      </c>
      <c r="H35" s="61">
        <v>14000</v>
      </c>
      <c r="I35" s="62">
        <f t="shared" ref="I35:I57" si="3">SUM(C35:H35)</f>
        <v>84000</v>
      </c>
    </row>
    <row r="36" spans="1:27" s="4" customFormat="1" ht="23.25" customHeight="1" x14ac:dyDescent="0.35">
      <c r="A36" s="65">
        <v>502</v>
      </c>
      <c r="B36" s="66" t="s">
        <v>19</v>
      </c>
      <c r="C36" s="64"/>
      <c r="D36" s="64"/>
      <c r="E36" s="64"/>
      <c r="F36" s="64">
        <v>14000</v>
      </c>
      <c r="G36" s="64"/>
      <c r="H36" s="64"/>
      <c r="I36" s="62">
        <f t="shared" si="3"/>
        <v>14000</v>
      </c>
    </row>
    <row r="37" spans="1:27" s="4" customFormat="1" ht="23.25" hidden="1" customHeight="1" x14ac:dyDescent="0.35">
      <c r="A37" s="67" t="s">
        <v>20</v>
      </c>
      <c r="B37" s="68">
        <v>2.5</v>
      </c>
      <c r="C37" s="64"/>
      <c r="D37" s="64"/>
      <c r="E37" s="64"/>
      <c r="F37" s="69"/>
      <c r="G37" s="64"/>
      <c r="H37" s="64"/>
      <c r="I37" s="62">
        <f t="shared" si="3"/>
        <v>0</v>
      </c>
    </row>
    <row r="38" spans="1:27" s="4" customFormat="1" ht="20.25" hidden="1" customHeight="1" x14ac:dyDescent="0.35">
      <c r="A38" s="67" t="s">
        <v>59</v>
      </c>
      <c r="B38" s="68">
        <v>2.5</v>
      </c>
      <c r="C38" s="64"/>
      <c r="D38" s="64"/>
      <c r="E38" s="64"/>
      <c r="F38" s="64"/>
      <c r="G38" s="64"/>
      <c r="H38" s="64"/>
      <c r="I38" s="62">
        <f t="shared" si="3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67" t="s">
        <v>21</v>
      </c>
      <c r="B39" s="68">
        <v>4</v>
      </c>
      <c r="C39" s="64"/>
      <c r="D39" s="64">
        <v>28000</v>
      </c>
      <c r="E39" s="64"/>
      <c r="F39" s="64"/>
      <c r="G39" s="64"/>
      <c r="H39" s="64"/>
      <c r="I39" s="62">
        <f t="shared" si="3"/>
        <v>28000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4" customFormat="1" ht="20.25" customHeight="1" x14ac:dyDescent="0.35">
      <c r="A40" s="67" t="s">
        <v>76</v>
      </c>
      <c r="B40" s="68">
        <v>2.5</v>
      </c>
      <c r="C40" s="64"/>
      <c r="D40" s="64">
        <v>4000</v>
      </c>
      <c r="E40" s="142"/>
      <c r="F40" s="64"/>
      <c r="G40" s="64"/>
      <c r="H40" s="64"/>
      <c r="I40" s="62">
        <f t="shared" si="3"/>
        <v>4000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5" t="s">
        <v>75</v>
      </c>
      <c r="B41" s="68">
        <v>2.5</v>
      </c>
      <c r="C41" s="72">
        <v>14000</v>
      </c>
      <c r="D41" s="72"/>
      <c r="E41" s="64"/>
      <c r="F41" s="72">
        <v>35000</v>
      </c>
      <c r="G41" s="72"/>
      <c r="H41" s="64"/>
      <c r="I41" s="62">
        <f t="shared" si="3"/>
        <v>49000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70" t="s">
        <v>23</v>
      </c>
      <c r="B42" s="71">
        <v>2.5</v>
      </c>
      <c r="C42" s="72"/>
      <c r="D42" s="72"/>
      <c r="E42" s="81">
        <v>5000</v>
      </c>
      <c r="F42" s="81"/>
      <c r="G42" s="72"/>
      <c r="H42" s="64">
        <v>5000</v>
      </c>
      <c r="I42" s="62">
        <f t="shared" si="3"/>
        <v>10000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5"/>
      <c r="H43" s="75"/>
      <c r="I43" s="62">
        <f t="shared" si="3"/>
        <v>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4" customFormat="1" ht="18.75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72"/>
      <c r="H44" s="64"/>
      <c r="I44" s="62">
        <f t="shared" si="3"/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customHeight="1" x14ac:dyDescent="0.35">
      <c r="A45" s="17" t="s">
        <v>79</v>
      </c>
      <c r="B45" s="71">
        <v>2.8</v>
      </c>
      <c r="C45" s="64"/>
      <c r="D45" s="145">
        <v>4000</v>
      </c>
      <c r="E45" s="145">
        <v>8000</v>
      </c>
      <c r="F45" s="80"/>
      <c r="G45" s="145">
        <v>4000</v>
      </c>
      <c r="H45" s="64"/>
      <c r="I45" s="6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26</v>
      </c>
      <c r="B46" s="71">
        <v>2.8</v>
      </c>
      <c r="C46" s="64">
        <v>5000</v>
      </c>
      <c r="D46" s="64">
        <v>7000</v>
      </c>
      <c r="E46" s="81"/>
      <c r="F46" s="82">
        <v>8000</v>
      </c>
      <c r="G46" s="64">
        <v>6000</v>
      </c>
      <c r="H46" s="64">
        <v>5000</v>
      </c>
      <c r="I46" s="62">
        <f t="shared" si="3"/>
        <v>31000</v>
      </c>
      <c r="J46" s="84"/>
      <c r="K46" s="1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70" t="s">
        <v>53</v>
      </c>
      <c r="B47" s="71">
        <v>2.8</v>
      </c>
      <c r="C47" s="64">
        <v>20000</v>
      </c>
      <c r="D47" s="72">
        <v>14000</v>
      </c>
      <c r="E47" s="64">
        <v>7000</v>
      </c>
      <c r="F47" s="80">
        <v>27000</v>
      </c>
      <c r="G47" s="72">
        <v>33000</v>
      </c>
      <c r="H47" s="64">
        <v>7000</v>
      </c>
      <c r="I47" s="62">
        <f t="shared" si="3"/>
        <v>108000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hidden="1" customHeight="1" x14ac:dyDescent="0.35">
      <c r="A48" s="70" t="s">
        <v>28</v>
      </c>
      <c r="B48" s="71">
        <v>2.8</v>
      </c>
      <c r="C48" s="64"/>
      <c r="D48" s="64"/>
      <c r="E48" s="64"/>
      <c r="F48" s="82"/>
      <c r="G48" s="64"/>
      <c r="H48" s="64"/>
      <c r="I48" s="62">
        <f t="shared" si="3"/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85">
        <v>552</v>
      </c>
      <c r="B49" s="63">
        <v>4</v>
      </c>
      <c r="C49" s="64"/>
      <c r="D49" s="64">
        <v>10000</v>
      </c>
      <c r="E49" s="64">
        <v>5000</v>
      </c>
      <c r="F49" s="82"/>
      <c r="G49" s="64">
        <v>5000</v>
      </c>
      <c r="H49" s="64"/>
      <c r="I49" s="62">
        <f t="shared" si="3"/>
        <v>20000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" customFormat="1" ht="23.25" hidden="1" customHeight="1" x14ac:dyDescent="0.3">
      <c r="A50" s="70">
        <v>553</v>
      </c>
      <c r="B50" s="71">
        <v>2.8</v>
      </c>
      <c r="C50" s="64"/>
      <c r="D50" s="64"/>
      <c r="E50" s="64"/>
      <c r="F50" s="80"/>
      <c r="G50" s="83"/>
      <c r="H50" s="64"/>
      <c r="I50" s="62">
        <f t="shared" si="3"/>
        <v>0</v>
      </c>
    </row>
    <row r="51" spans="1:27" s="1" customFormat="1" ht="21" customHeight="1" x14ac:dyDescent="0.3">
      <c r="A51" s="70" t="s">
        <v>77</v>
      </c>
      <c r="B51" s="71">
        <v>4</v>
      </c>
      <c r="C51" s="72">
        <v>14000</v>
      </c>
      <c r="D51" s="72"/>
      <c r="E51" s="64"/>
      <c r="F51" s="82"/>
      <c r="G51" s="64"/>
      <c r="H51" s="64"/>
      <c r="I51" s="62">
        <f t="shared" si="3"/>
        <v>14000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1" customHeight="1" x14ac:dyDescent="0.3">
      <c r="A52" s="17" t="s">
        <v>69</v>
      </c>
      <c r="B52" s="71">
        <v>4</v>
      </c>
      <c r="C52" s="64"/>
      <c r="D52" s="64"/>
      <c r="E52" s="64"/>
      <c r="F52" s="82">
        <v>4000</v>
      </c>
      <c r="G52" s="64"/>
      <c r="H52" s="64"/>
      <c r="I52" s="62">
        <f t="shared" si="3"/>
        <v>4000</v>
      </c>
      <c r="L52" s="87"/>
      <c r="M52" s="87"/>
      <c r="N52" s="87"/>
      <c r="O52" s="87"/>
      <c r="P52" s="87"/>
      <c r="Q52" s="87"/>
      <c r="R52" s="87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x14ac:dyDescent="0.3">
      <c r="A53" s="70" t="s">
        <v>31</v>
      </c>
      <c r="B53" s="71">
        <v>4</v>
      </c>
      <c r="C53" s="72"/>
      <c r="D53" s="72">
        <v>14000</v>
      </c>
      <c r="E53" s="64"/>
      <c r="F53" s="72"/>
      <c r="G53" s="72"/>
      <c r="H53" s="64"/>
      <c r="I53" s="62">
        <f t="shared" si="3"/>
        <v>14000</v>
      </c>
      <c r="L53" s="87"/>
      <c r="M53" s="87"/>
      <c r="N53" s="87"/>
      <c r="O53" s="87"/>
      <c r="P53" s="87"/>
      <c r="Q53" s="87"/>
      <c r="R53" s="87"/>
    </row>
    <row r="54" spans="1:27" ht="23.25" customHeight="1" x14ac:dyDescent="0.3">
      <c r="A54" s="70" t="s">
        <v>32</v>
      </c>
      <c r="B54" s="71">
        <v>4</v>
      </c>
      <c r="C54" s="64">
        <v>6000</v>
      </c>
      <c r="D54" s="64"/>
      <c r="E54" s="64"/>
      <c r="F54" s="64"/>
      <c r="G54" s="64"/>
      <c r="H54" s="83"/>
      <c r="I54" s="62">
        <f t="shared" si="3"/>
        <v>6000</v>
      </c>
      <c r="L54" s="87"/>
      <c r="M54" s="87"/>
      <c r="N54" s="87"/>
      <c r="O54" s="87"/>
      <c r="P54" s="87"/>
      <c r="Q54" s="87"/>
      <c r="R54" s="87"/>
    </row>
    <row r="55" spans="1:27" ht="23.25" customHeight="1" x14ac:dyDescent="0.3">
      <c r="A55" s="17" t="s">
        <v>70</v>
      </c>
      <c r="B55" s="71">
        <v>4</v>
      </c>
      <c r="C55" s="64"/>
      <c r="D55" s="64">
        <v>12000</v>
      </c>
      <c r="E55" s="64">
        <v>4000</v>
      </c>
      <c r="F55" s="64">
        <v>8000</v>
      </c>
      <c r="G55" s="64">
        <v>8000</v>
      </c>
      <c r="H55" s="64"/>
      <c r="I55" s="62">
        <f t="shared" si="3"/>
        <v>32000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17" t="s">
        <v>71</v>
      </c>
      <c r="B56" s="71">
        <v>4</v>
      </c>
      <c r="C56" s="64"/>
      <c r="D56" s="64">
        <v>12000</v>
      </c>
      <c r="E56" s="64">
        <v>4000</v>
      </c>
      <c r="F56" s="64">
        <v>4000</v>
      </c>
      <c r="G56" s="64">
        <v>4000</v>
      </c>
      <c r="H56" s="64"/>
      <c r="I56" s="62">
        <f t="shared" si="3"/>
        <v>24000</v>
      </c>
      <c r="L56" s="87"/>
      <c r="M56" s="87"/>
      <c r="N56" s="87"/>
      <c r="O56" s="87"/>
      <c r="P56" s="87"/>
      <c r="Q56" s="87"/>
      <c r="R56" s="87"/>
    </row>
    <row r="57" spans="1:27" ht="22.5" customHeight="1" x14ac:dyDescent="0.3">
      <c r="A57" s="70" t="s">
        <v>35</v>
      </c>
      <c r="B57" s="71">
        <v>4</v>
      </c>
      <c r="C57" s="64"/>
      <c r="D57" s="64"/>
      <c r="E57" s="64"/>
      <c r="F57" s="64"/>
      <c r="G57" s="64"/>
      <c r="H57" s="75"/>
      <c r="I57" s="62">
        <f t="shared" si="3"/>
        <v>0</v>
      </c>
      <c r="L57" s="87"/>
      <c r="M57" s="87"/>
      <c r="N57" s="87"/>
      <c r="O57" s="87"/>
      <c r="P57" s="87"/>
      <c r="Q57" s="87"/>
      <c r="R57" s="87"/>
    </row>
    <row r="58" spans="1:27" s="4" customFormat="1" ht="19.149999999999999" customHeight="1" x14ac:dyDescent="0.35">
      <c r="A58" s="88" t="s">
        <v>36</v>
      </c>
      <c r="B58" s="89"/>
      <c r="C58" s="90">
        <v>3</v>
      </c>
      <c r="D58" s="90"/>
      <c r="E58" s="90">
        <v>3</v>
      </c>
      <c r="F58" s="90">
        <v>5</v>
      </c>
      <c r="G58" s="91">
        <v>3</v>
      </c>
      <c r="H58" s="90">
        <v>4</v>
      </c>
      <c r="I58" s="92"/>
    </row>
    <row r="59" spans="1:27" ht="24.75" customHeight="1" x14ac:dyDescent="0.25">
      <c r="A59" s="93" t="s">
        <v>37</v>
      </c>
      <c r="B59" s="94"/>
      <c r="C59" s="95">
        <f>C58+C34</f>
        <v>26.933333333333334</v>
      </c>
      <c r="D59" s="95"/>
      <c r="E59" s="95">
        <f>E58+E34</f>
        <v>38.4</v>
      </c>
      <c r="F59" s="95">
        <f>F58+F34</f>
        <v>42.4</v>
      </c>
      <c r="G59" s="95">
        <f>G58+G34</f>
        <v>34.799999999999997</v>
      </c>
      <c r="H59" s="95">
        <f>H58+H34</f>
        <v>20.266666666666666</v>
      </c>
      <c r="I59" s="96"/>
      <c r="L59" s="87"/>
      <c r="M59" s="87"/>
      <c r="N59" s="87"/>
      <c r="O59" s="87"/>
      <c r="P59" s="87"/>
      <c r="Q59" s="87"/>
      <c r="R59" s="87"/>
    </row>
    <row r="60" spans="1:27" s="1" customFormat="1" ht="25.5" x14ac:dyDescent="0.35">
      <c r="A60" s="97"/>
      <c r="B60" s="98"/>
      <c r="C60" s="99" t="s">
        <v>38</v>
      </c>
      <c r="D60" s="99"/>
      <c r="E60" s="100"/>
      <c r="F60" s="33" t="s">
        <v>39</v>
      </c>
      <c r="G60" s="4"/>
      <c r="H60" s="4"/>
      <c r="I60" s="3"/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ht="25.5" x14ac:dyDescent="0.35">
      <c r="A61" s="101"/>
      <c r="B61" s="102"/>
      <c r="C61" s="103" t="s">
        <v>40</v>
      </c>
      <c r="D61" s="103"/>
      <c r="E61" s="104"/>
      <c r="F61" s="105" t="s">
        <v>41</v>
      </c>
      <c r="G61" s="4"/>
      <c r="H61" s="4"/>
      <c r="J61" s="87"/>
      <c r="K61" s="87"/>
      <c r="L61" s="106"/>
      <c r="M61" s="106"/>
      <c r="N61" s="106"/>
      <c r="O61" s="106"/>
      <c r="P61" s="106"/>
      <c r="Q61" s="106"/>
      <c r="R61" s="106"/>
    </row>
    <row r="62" spans="1:27" ht="20.25" x14ac:dyDescent="0.25">
      <c r="A62" s="107"/>
      <c r="B62" s="108"/>
      <c r="C62" s="107"/>
      <c r="D62" s="107"/>
      <c r="E62" s="107"/>
      <c r="F62" s="107"/>
      <c r="G62" s="109"/>
      <c r="H62" s="110"/>
      <c r="I62" s="1"/>
      <c r="J62" s="87"/>
      <c r="K62" s="87"/>
      <c r="L62" s="111"/>
      <c r="M62" s="111"/>
      <c r="N62" s="111"/>
      <c r="O62" s="111"/>
      <c r="P62" s="111"/>
      <c r="Q62" s="111"/>
      <c r="R62" s="111"/>
    </row>
    <row r="63" spans="1:27" x14ac:dyDescent="0.25">
      <c r="A63" s="112"/>
      <c r="B63" s="113"/>
      <c r="C63" s="112"/>
      <c r="D63" s="112"/>
      <c r="E63" s="112"/>
      <c r="F63" s="112"/>
      <c r="G63" s="112"/>
      <c r="H63" s="87"/>
      <c r="I63" s="87"/>
      <c r="J63" s="87"/>
      <c r="K63" s="87"/>
      <c r="L63" s="114"/>
      <c r="M63" s="114"/>
      <c r="N63" s="114"/>
      <c r="O63" s="114"/>
      <c r="P63" s="114"/>
      <c r="Q63" s="114"/>
      <c r="R63" s="114"/>
    </row>
    <row r="64" spans="1:27" x14ac:dyDescent="0.25">
      <c r="A64" s="112"/>
      <c r="B64" s="113"/>
      <c r="C64" s="112"/>
      <c r="D64" s="112"/>
      <c r="E64" s="112"/>
      <c r="F64" s="112"/>
      <c r="G64" s="112"/>
      <c r="H64" s="87"/>
      <c r="I64" s="87"/>
      <c r="J64" s="87"/>
      <c r="K64" s="87"/>
      <c r="L64" s="114"/>
      <c r="M64" s="114"/>
      <c r="N64" s="114"/>
      <c r="O64" s="114"/>
      <c r="P64" s="114"/>
      <c r="Q64" s="114"/>
      <c r="R64" s="114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0"/>
      <c r="M65" s="110"/>
      <c r="N65" s="110"/>
      <c r="O65" s="110"/>
      <c r="P65" s="110"/>
      <c r="Q65" s="110"/>
      <c r="R65" s="110"/>
    </row>
    <row r="66" spans="1:18" x14ac:dyDescent="0.25"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 ht="25.5" x14ac:dyDescent="0.35">
      <c r="A67" s="1"/>
      <c r="B67" s="2"/>
      <c r="C67" s="1"/>
      <c r="D67" s="1"/>
      <c r="E67" s="1"/>
      <c r="F67" s="1"/>
      <c r="G67" s="1"/>
      <c r="H67" s="87"/>
      <c r="I67" s="87"/>
      <c r="J67" s="106"/>
      <c r="K67" s="106"/>
      <c r="L67" s="110"/>
      <c r="M67" s="110"/>
      <c r="N67" s="110"/>
      <c r="O67" s="110"/>
      <c r="P67" s="110"/>
      <c r="Q67" s="110"/>
      <c r="R67" s="110"/>
    </row>
    <row r="68" spans="1:18" x14ac:dyDescent="0.25">
      <c r="A68" s="1"/>
      <c r="B68" s="2"/>
      <c r="C68" s="1"/>
      <c r="D68" s="1"/>
      <c r="E68" s="1"/>
      <c r="F68" s="1"/>
      <c r="G68" s="1"/>
      <c r="H68" s="87"/>
      <c r="I68" s="87"/>
      <c r="J68" s="111"/>
      <c r="K68" s="111"/>
      <c r="L68" s="110"/>
      <c r="M68" s="110"/>
      <c r="N68" s="110"/>
      <c r="O68" s="110"/>
      <c r="P68" s="110"/>
      <c r="Q68" s="110"/>
      <c r="R68" s="110"/>
    </row>
    <row r="69" spans="1:18" ht="25.5" x14ac:dyDescent="0.35">
      <c r="A69" s="181"/>
      <c r="B69" s="181"/>
      <c r="C69" s="181"/>
      <c r="D69" s="181"/>
      <c r="E69" s="181"/>
      <c r="F69" s="181"/>
      <c r="G69" s="181"/>
      <c r="H69" s="106"/>
      <c r="I69" s="106"/>
      <c r="J69" s="114"/>
      <c r="K69" s="114"/>
      <c r="L69" s="87"/>
      <c r="M69" s="87"/>
      <c r="N69" s="87"/>
      <c r="O69" s="87"/>
      <c r="P69" s="87"/>
      <c r="Q69" s="87"/>
      <c r="R69" s="87"/>
    </row>
    <row r="70" spans="1:18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4"/>
      <c r="K70" s="114"/>
      <c r="L70" s="87"/>
      <c r="M70" s="87"/>
      <c r="N70" s="87"/>
      <c r="O70" s="87"/>
      <c r="P70" s="87"/>
      <c r="Q70" s="87"/>
      <c r="R70" s="87"/>
    </row>
    <row r="71" spans="1:18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110"/>
      <c r="K71" s="110"/>
      <c r="L71" s="87"/>
      <c r="M71" s="87"/>
      <c r="N71" s="87"/>
      <c r="O71" s="87"/>
      <c r="P71" s="87"/>
      <c r="Q71" s="87"/>
      <c r="R71" s="87"/>
    </row>
    <row r="72" spans="1:18" x14ac:dyDescent="0.25">
      <c r="A72" s="182"/>
      <c r="B72" s="116"/>
      <c r="C72" s="114"/>
      <c r="D72" s="114"/>
      <c r="E72" s="114"/>
      <c r="F72" s="114"/>
      <c r="G72" s="114"/>
      <c r="H72" s="114"/>
      <c r="I72" s="114"/>
      <c r="J72" s="87"/>
      <c r="K72" s="87"/>
    </row>
    <row r="73" spans="1:18" x14ac:dyDescent="0.25">
      <c r="A73" s="112"/>
      <c r="B73" s="113"/>
      <c r="C73" s="112"/>
      <c r="D73" s="112"/>
      <c r="E73" s="112"/>
      <c r="F73" s="112"/>
      <c r="G73" s="112"/>
      <c r="H73" s="110"/>
      <c r="I73" s="110"/>
      <c r="J73" s="110"/>
      <c r="K73" s="110"/>
    </row>
    <row r="74" spans="1:18" x14ac:dyDescent="0.25">
      <c r="A74" s="112"/>
      <c r="B74" s="113"/>
      <c r="C74" s="112"/>
      <c r="D74" s="112"/>
      <c r="E74" s="112"/>
      <c r="F74" s="112"/>
      <c r="G74" s="112"/>
      <c r="H74" s="87"/>
      <c r="I74" s="87"/>
      <c r="J74" s="110"/>
      <c r="K74" s="110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87"/>
      <c r="K75" s="87"/>
    </row>
    <row r="76" spans="1:18" x14ac:dyDescent="0.25">
      <c r="A76" s="112"/>
      <c r="B76" s="113"/>
      <c r="C76" s="112"/>
      <c r="D76" s="112"/>
      <c r="E76" s="112"/>
      <c r="F76" s="112"/>
      <c r="G76" s="112"/>
      <c r="H76" s="110"/>
      <c r="I76" s="110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112"/>
      <c r="H77" s="87"/>
      <c r="I77" s="87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87"/>
      <c r="I78" s="87"/>
    </row>
    <row r="79" spans="1:18" x14ac:dyDescent="0.25">
      <c r="A79" s="1"/>
      <c r="B79" s="2"/>
      <c r="C79" s="1"/>
      <c r="D79" s="1"/>
      <c r="E79" s="1"/>
      <c r="F79" s="1"/>
      <c r="G79" s="1"/>
      <c r="H79" s="87"/>
      <c r="I79" s="87"/>
    </row>
  </sheetData>
  <mergeCells count="6">
    <mergeCell ref="A71:A72"/>
    <mergeCell ref="A2:I2"/>
    <mergeCell ref="A3:R3"/>
    <mergeCell ref="A4:R4"/>
    <mergeCell ref="M26:N27"/>
    <mergeCell ref="A69:G6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5A62-CB65-4070-844D-B634B5E4108F}">
  <dimension ref="A1:AF89"/>
  <sheetViews>
    <sheetView topLeftCell="A2" workbookViewId="0">
      <pane ySplit="4" topLeftCell="A54" activePane="bottomLeft" state="frozen"/>
      <selection activeCell="A2" sqref="A2"/>
      <selection pane="bottomLeft" activeCell="F24" sqref="F24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80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81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46090</v>
      </c>
      <c r="D5" s="7">
        <v>46091</v>
      </c>
      <c r="E5" s="7">
        <v>46092</v>
      </c>
      <c r="F5" s="7">
        <v>46093</v>
      </c>
      <c r="G5" s="7">
        <v>46094</v>
      </c>
      <c r="H5" s="7">
        <v>46095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9">
        <v>14000</v>
      </c>
      <c r="D6" s="119"/>
      <c r="E6" s="119"/>
      <c r="F6" s="119"/>
      <c r="G6" s="119"/>
      <c r="H6" s="119"/>
      <c r="I6" s="10">
        <f t="shared" ref="I6:I39" si="0">SUM(C6:H6)</f>
        <v>14000</v>
      </c>
      <c r="J6" s="1"/>
      <c r="K6" s="11"/>
    </row>
    <row r="7" spans="1:18" s="12" customFormat="1" ht="22.5" customHeight="1" x14ac:dyDescent="0.25">
      <c r="A7" s="5"/>
      <c r="B7" s="13"/>
      <c r="C7" s="14">
        <v>14740</v>
      </c>
      <c r="D7" s="14"/>
      <c r="E7" s="14"/>
      <c r="F7" s="14"/>
      <c r="G7" s="14"/>
      <c r="H7" s="14"/>
      <c r="I7" s="15">
        <f t="shared" si="0"/>
        <v>14740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>
        <v>14000</v>
      </c>
      <c r="E8" s="117"/>
      <c r="F8" s="117"/>
      <c r="G8" s="117"/>
      <c r="H8" s="117"/>
      <c r="I8" s="10">
        <f t="shared" si="0"/>
        <v>14000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22"/>
      <c r="E14" s="122">
        <v>14000</v>
      </c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>
        <v>13830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>
        <v>9000</v>
      </c>
      <c r="D16" s="122"/>
      <c r="E16" s="122"/>
      <c r="F16" s="19"/>
      <c r="G16" s="19">
        <v>14000</v>
      </c>
      <c r="H16" s="19"/>
      <c r="I16" s="20">
        <f t="shared" si="0"/>
        <v>23000</v>
      </c>
      <c r="J16" s="1"/>
      <c r="K16" s="11"/>
    </row>
    <row r="17" spans="1:32" s="12" customFormat="1" ht="22.15" customHeight="1" x14ac:dyDescent="0.25">
      <c r="A17" s="16"/>
      <c r="B17" s="132"/>
      <c r="C17" s="23">
        <v>7020</v>
      </c>
      <c r="D17" s="23"/>
      <c r="E17" s="134"/>
      <c r="F17" s="135"/>
      <c r="G17" s="23">
        <v>13970</v>
      </c>
      <c r="H17" s="135"/>
      <c r="I17" s="15">
        <f t="shared" si="0"/>
        <v>20990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customHeight="1" x14ac:dyDescent="0.25">
      <c r="A20" s="120" t="s">
        <v>56</v>
      </c>
      <c r="B20" s="18">
        <v>4</v>
      </c>
      <c r="C20" s="150">
        <v>12000</v>
      </c>
      <c r="D20" s="150">
        <v>16000</v>
      </c>
      <c r="E20" s="150">
        <v>28000</v>
      </c>
      <c r="F20" s="150"/>
      <c r="G20" s="150"/>
      <c r="H20" s="150"/>
      <c r="I20" s="20">
        <f t="shared" si="0"/>
        <v>56000</v>
      </c>
      <c r="J20" s="1"/>
      <c r="K20" s="11"/>
    </row>
    <row r="21" spans="1:32" s="12" customFormat="1" ht="22.15" customHeight="1" x14ac:dyDescent="0.25">
      <c r="A21" s="21"/>
      <c r="B21" s="22"/>
      <c r="C21" s="23">
        <v>12960</v>
      </c>
      <c r="D21" s="23">
        <v>15500</v>
      </c>
      <c r="E21" s="23">
        <v>28210</v>
      </c>
      <c r="F21" s="23"/>
      <c r="G21" s="23"/>
      <c r="H21" s="23"/>
      <c r="I21" s="15">
        <f t="shared" si="0"/>
        <v>56670</v>
      </c>
      <c r="J21" s="1"/>
      <c r="K21" s="11"/>
    </row>
    <row r="22" spans="1:32" s="12" customFormat="1" ht="22.15" hidden="1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/>
      <c r="H22" s="150"/>
      <c r="I22" s="151"/>
      <c r="J22" s="1"/>
      <c r="K22" s="11"/>
    </row>
    <row r="23" spans="1:32" s="12" customFormat="1" ht="22.15" hidden="1" customHeight="1" x14ac:dyDescent="0.25">
      <c r="A23" s="21"/>
      <c r="B23" s="22"/>
      <c r="C23" s="23"/>
      <c r="D23" s="23"/>
      <c r="E23" s="23"/>
      <c r="F23" s="23"/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144000</v>
      </c>
      <c r="D24" s="27">
        <v>59000</v>
      </c>
      <c r="E24" s="27">
        <v>132000</v>
      </c>
      <c r="F24" s="27">
        <v>106000</v>
      </c>
      <c r="G24" s="27">
        <v>80000</v>
      </c>
      <c r="H24" s="27"/>
      <c r="I24" s="20">
        <f t="shared" si="0"/>
        <v>521000</v>
      </c>
      <c r="K24" s="11"/>
    </row>
    <row r="25" spans="1:32" s="1" customFormat="1" ht="22.15" customHeight="1" x14ac:dyDescent="0.25">
      <c r="A25" s="28"/>
      <c r="B25" s="29"/>
      <c r="C25" s="24">
        <f>111810+28890+12870</f>
        <v>153570</v>
      </c>
      <c r="D25" s="30">
        <v>56470</v>
      </c>
      <c r="E25" s="30">
        <v>42590</v>
      </c>
      <c r="F25" s="30">
        <v>86530</v>
      </c>
      <c r="G25" s="30">
        <v>43310</v>
      </c>
      <c r="H25" s="30">
        <v>28390</v>
      </c>
      <c r="I25" s="15">
        <f t="shared" si="0"/>
        <v>410860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93000</v>
      </c>
      <c r="D26" s="27">
        <v>147000</v>
      </c>
      <c r="E26" s="27">
        <v>142000</v>
      </c>
      <c r="F26" s="27">
        <v>119000</v>
      </c>
      <c r="G26" s="27">
        <v>71000</v>
      </c>
      <c r="H26" s="27">
        <v>46000</v>
      </c>
      <c r="I26" s="31">
        <f t="shared" si="0"/>
        <v>618000</v>
      </c>
      <c r="J26" s="32"/>
      <c r="K26" s="11"/>
    </row>
    <row r="27" spans="1:32" s="33" customFormat="1" ht="22.15" customHeight="1" x14ac:dyDescent="0.25">
      <c r="A27" s="28"/>
      <c r="B27" s="29"/>
      <c r="C27" s="24">
        <f>54750+19540</f>
        <v>74290</v>
      </c>
      <c r="D27" s="30">
        <v>74290</v>
      </c>
      <c r="E27" s="30">
        <v>129540</v>
      </c>
      <c r="F27" s="30">
        <v>114700</v>
      </c>
      <c r="G27" s="30">
        <v>103250</v>
      </c>
      <c r="H27" s="30">
        <v>71620</v>
      </c>
      <c r="I27" s="15">
        <f t="shared" si="0"/>
        <v>567690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82000</v>
      </c>
      <c r="D34" s="27">
        <v>223000</v>
      </c>
      <c r="E34" s="27">
        <v>291000</v>
      </c>
      <c r="F34" s="27">
        <v>276000</v>
      </c>
      <c r="G34" s="27">
        <v>263000</v>
      </c>
      <c r="H34" s="27">
        <v>120000</v>
      </c>
      <c r="I34" s="31">
        <f t="shared" si="0"/>
        <v>1255000</v>
      </c>
      <c r="J34" s="1"/>
    </row>
    <row r="35" spans="1:32" s="4" customFormat="1" ht="21.75" customHeight="1" x14ac:dyDescent="0.35">
      <c r="A35" s="39"/>
      <c r="B35" s="40"/>
      <c r="C35" s="24">
        <f>105970+48600</f>
        <v>154570</v>
      </c>
      <c r="D35" s="30">
        <v>184020</v>
      </c>
      <c r="E35" s="30">
        <v>195550</v>
      </c>
      <c r="F35" s="30">
        <v>322490</v>
      </c>
      <c r="G35" s="30">
        <v>239990</v>
      </c>
      <c r="H35" s="30">
        <v>232830</v>
      </c>
      <c r="I35" s="15">
        <f t="shared" si="0"/>
        <v>1329450</v>
      </c>
    </row>
    <row r="36" spans="1:32" s="4" customFormat="1" ht="21" customHeight="1" x14ac:dyDescent="0.35">
      <c r="A36" s="25" t="s">
        <v>14</v>
      </c>
      <c r="B36" s="26">
        <v>4</v>
      </c>
      <c r="C36" s="27">
        <v>64000</v>
      </c>
      <c r="D36" s="27">
        <v>73000</v>
      </c>
      <c r="E36" s="27">
        <v>158000</v>
      </c>
      <c r="F36" s="27">
        <v>73000</v>
      </c>
      <c r="G36" s="27">
        <v>105000</v>
      </c>
      <c r="H36" s="27">
        <v>51000</v>
      </c>
      <c r="I36" s="31">
        <f>SUM(C36:H36)</f>
        <v>524000</v>
      </c>
    </row>
    <row r="37" spans="1:32" s="4" customFormat="1" ht="20.45" customHeight="1" x14ac:dyDescent="0.35">
      <c r="A37" s="49"/>
      <c r="B37" s="148"/>
      <c r="C37" s="157">
        <v>44930</v>
      </c>
      <c r="D37" s="157">
        <v>55400</v>
      </c>
      <c r="E37" s="149">
        <v>55010</v>
      </c>
      <c r="F37" s="149">
        <v>74290</v>
      </c>
      <c r="G37" s="157">
        <v>91130</v>
      </c>
      <c r="H37" s="149">
        <v>76390</v>
      </c>
      <c r="I37" s="15">
        <f t="shared" si="0"/>
        <v>397150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14000</v>
      </c>
      <c r="D38" s="55"/>
      <c r="E38" s="55">
        <v>14000</v>
      </c>
      <c r="F38" s="55"/>
      <c r="G38" s="55">
        <v>56000</v>
      </c>
      <c r="H38" s="55">
        <v>14000</v>
      </c>
      <c r="I38" s="31">
        <f t="shared" si="0"/>
        <v>98000</v>
      </c>
    </row>
    <row r="39" spans="1:32" s="4" customFormat="1" ht="20.45" customHeight="1" x14ac:dyDescent="0.35">
      <c r="A39" s="49"/>
      <c r="B39" s="50"/>
      <c r="C39" s="51"/>
      <c r="D39" s="51"/>
      <c r="E39" s="52">
        <v>13440</v>
      </c>
      <c r="F39" s="51"/>
      <c r="G39" s="51">
        <v>69270</v>
      </c>
      <c r="H39" s="51">
        <v>13020</v>
      </c>
      <c r="I39" s="15">
        <f t="shared" si="0"/>
        <v>95730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24.262</v>
      </c>
      <c r="D40" s="58">
        <f>(D12+D24+D26+D34+D37)/15000</f>
        <v>32.293333333333337</v>
      </c>
      <c r="E40" s="58">
        <f>(E12+E24+E26+E34+E37)/15000</f>
        <v>41.334000000000003</v>
      </c>
      <c r="F40" s="58">
        <f>(F12+F24+F26+F34+F37)/15000</f>
        <v>38.352666666666664</v>
      </c>
      <c r="G40" s="58"/>
      <c r="H40" s="58"/>
      <c r="I40" s="59"/>
    </row>
    <row r="41" spans="1:32" s="4" customFormat="1" ht="20.45" customHeight="1" x14ac:dyDescent="0.35">
      <c r="A41" s="146" t="s">
        <v>82</v>
      </c>
      <c r="B41" s="147" t="s">
        <v>83</v>
      </c>
      <c r="C41" s="61">
        <v>14000</v>
      </c>
      <c r="D41" s="61"/>
      <c r="E41" s="61">
        <v>14000</v>
      </c>
      <c r="F41" s="61"/>
      <c r="G41" s="61"/>
      <c r="H41" s="61">
        <v>14000</v>
      </c>
      <c r="I41" s="62">
        <f t="shared" ref="I41:I67" si="1">SUM(C41:H41)</f>
        <v>42000</v>
      </c>
    </row>
    <row r="42" spans="1:32" s="4" customFormat="1" ht="20.45" customHeight="1" x14ac:dyDescent="0.35">
      <c r="A42" s="146" t="s">
        <v>84</v>
      </c>
      <c r="B42" s="147" t="s">
        <v>83</v>
      </c>
      <c r="C42" s="61"/>
      <c r="D42" s="61">
        <v>12000</v>
      </c>
      <c r="E42" s="61"/>
      <c r="F42" s="61"/>
      <c r="G42" s="61"/>
      <c r="H42" s="61">
        <v>10000</v>
      </c>
      <c r="I42" s="62">
        <f t="shared" si="1"/>
        <v>22000</v>
      </c>
    </row>
    <row r="43" spans="1:32" s="4" customFormat="1" ht="21" customHeight="1" x14ac:dyDescent="0.35">
      <c r="A43" s="17" t="s">
        <v>78</v>
      </c>
      <c r="B43" s="60">
        <v>4</v>
      </c>
      <c r="C43" s="64">
        <v>14000</v>
      </c>
      <c r="D43" s="64">
        <v>14000</v>
      </c>
      <c r="E43" s="64">
        <v>14000</v>
      </c>
      <c r="F43" s="64">
        <v>14000</v>
      </c>
      <c r="G43" s="64">
        <v>14000</v>
      </c>
      <c r="H43" s="64">
        <v>14000</v>
      </c>
      <c r="I43" s="62">
        <f t="shared" si="1"/>
        <v>84000</v>
      </c>
    </row>
    <row r="44" spans="1:32" s="4" customFormat="1" ht="23.25" customHeight="1" x14ac:dyDescent="0.35">
      <c r="A44" s="153">
        <v>502</v>
      </c>
      <c r="B44" s="154" t="s">
        <v>19</v>
      </c>
      <c r="C44" s="64">
        <v>14000</v>
      </c>
      <c r="D44" s="64"/>
      <c r="E44" s="64"/>
      <c r="F44" s="64"/>
      <c r="G44" s="64"/>
      <c r="H44" s="64"/>
      <c r="I44" s="62">
        <f t="shared" si="1"/>
        <v>14000</v>
      </c>
    </row>
    <row r="45" spans="1:32" s="4" customFormat="1" ht="23.25" hidden="1" customHeight="1" x14ac:dyDescent="0.35">
      <c r="A45" s="67" t="s">
        <v>20</v>
      </c>
      <c r="B45" s="68">
        <v>2.5</v>
      </c>
      <c r="C45" s="64"/>
      <c r="D45" s="69"/>
      <c r="E45" s="64"/>
      <c r="F45" s="64"/>
      <c r="G45" s="64"/>
      <c r="H45" s="64"/>
      <c r="I45" s="62">
        <f t="shared" si="1"/>
        <v>0</v>
      </c>
    </row>
    <row r="46" spans="1:32" s="4" customFormat="1" ht="20.25" customHeight="1" x14ac:dyDescent="0.35">
      <c r="A46" s="67" t="s">
        <v>59</v>
      </c>
      <c r="B46" s="68">
        <v>2.5</v>
      </c>
      <c r="C46" s="64">
        <v>15000</v>
      </c>
      <c r="D46" s="64"/>
      <c r="E46" s="64"/>
      <c r="F46" s="64"/>
      <c r="G46" s="64"/>
      <c r="H46" s="64"/>
      <c r="I46" s="62">
        <f t="shared" si="1"/>
        <v>15000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32" s="4" customFormat="1" ht="20.25" hidden="1" customHeight="1" x14ac:dyDescent="0.35">
      <c r="A47" s="67" t="s">
        <v>20</v>
      </c>
      <c r="B47" s="68">
        <v>2.5</v>
      </c>
      <c r="C47" s="64"/>
      <c r="D47" s="64"/>
      <c r="E47" s="64"/>
      <c r="F47" s="64"/>
      <c r="G47" s="64"/>
      <c r="H47" s="64"/>
      <c r="I47" s="62">
        <f t="shared" si="1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customHeight="1" x14ac:dyDescent="0.35">
      <c r="A48" s="67" t="s">
        <v>21</v>
      </c>
      <c r="B48" s="68">
        <v>4</v>
      </c>
      <c r="C48" s="64"/>
      <c r="D48" s="64">
        <v>15000</v>
      </c>
      <c r="E48" s="64"/>
      <c r="F48" s="64">
        <v>15000</v>
      </c>
      <c r="G48" s="64"/>
      <c r="H48" s="64"/>
      <c r="I48" s="62">
        <f t="shared" si="1"/>
        <v>30000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64</v>
      </c>
      <c r="B49" s="68">
        <v>2.5</v>
      </c>
      <c r="C49" s="64"/>
      <c r="D49" s="64"/>
      <c r="E49" s="64"/>
      <c r="F49" s="64"/>
      <c r="G49" s="64">
        <v>4000</v>
      </c>
      <c r="H49" s="64"/>
      <c r="I49" s="62">
        <f t="shared" si="1"/>
        <v>4000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67" t="s">
        <v>75</v>
      </c>
      <c r="B50" s="68">
        <v>2.5</v>
      </c>
      <c r="C50" s="142"/>
      <c r="D50" s="64"/>
      <c r="E50" s="72">
        <v>14000</v>
      </c>
      <c r="F50" s="64"/>
      <c r="G50" s="64"/>
      <c r="H50" s="64"/>
      <c r="I50" s="62">
        <f t="shared" si="1"/>
        <v>14000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70" t="s">
        <v>23</v>
      </c>
      <c r="B51" s="71">
        <v>2.5</v>
      </c>
      <c r="C51" s="74">
        <v>14000</v>
      </c>
      <c r="D51" s="74">
        <v>14000</v>
      </c>
      <c r="E51" s="145">
        <v>9000</v>
      </c>
      <c r="F51" s="72"/>
      <c r="G51" s="72">
        <v>14000</v>
      </c>
      <c r="H51" s="72">
        <v>14000</v>
      </c>
      <c r="I51" s="62">
        <f t="shared" si="1"/>
        <v>65000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78" customFormat="1" ht="20.25" customHeight="1" x14ac:dyDescent="0.35">
      <c r="A52" s="17" t="s">
        <v>24</v>
      </c>
      <c r="B52" s="71">
        <v>2.8</v>
      </c>
      <c r="C52" s="152">
        <v>13000</v>
      </c>
      <c r="D52" s="77"/>
      <c r="E52" s="75"/>
      <c r="F52" s="75"/>
      <c r="G52" s="75"/>
      <c r="H52" s="75">
        <v>6000</v>
      </c>
      <c r="I52" s="62">
        <f t="shared" si="1"/>
        <v>19000</v>
      </c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s="4" customFormat="1" ht="18.75" hidden="1" customHeight="1" x14ac:dyDescent="0.35">
      <c r="A53" s="70" t="s">
        <v>25</v>
      </c>
      <c r="B53" s="71">
        <v>2.8</v>
      </c>
      <c r="C53" s="64"/>
      <c r="D53" s="80"/>
      <c r="E53" s="72"/>
      <c r="F53" s="72"/>
      <c r="G53" s="72"/>
      <c r="H53" s="72"/>
      <c r="I53" s="62">
        <f t="shared" si="1"/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4" customFormat="1" ht="18.75" customHeight="1" x14ac:dyDescent="0.35">
      <c r="A54" s="17" t="s">
        <v>79</v>
      </c>
      <c r="B54" s="71">
        <v>2.8</v>
      </c>
      <c r="C54" s="64">
        <v>4000</v>
      </c>
      <c r="D54" s="80"/>
      <c r="E54" s="64">
        <v>7000</v>
      </c>
      <c r="F54" s="64">
        <v>4000</v>
      </c>
      <c r="G54" s="72"/>
      <c r="H54" s="64">
        <v>7000</v>
      </c>
      <c r="I54" s="62">
        <f t="shared" si="1"/>
        <v>22000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70" t="s">
        <v>26</v>
      </c>
      <c r="B55" s="71">
        <v>2.8</v>
      </c>
      <c r="C55" s="81"/>
      <c r="D55" s="82"/>
      <c r="E55" s="145">
        <v>10000</v>
      </c>
      <c r="F55" s="145">
        <v>8000</v>
      </c>
      <c r="G55" s="145">
        <v>6000</v>
      </c>
      <c r="H55" s="145">
        <v>5000</v>
      </c>
      <c r="I55" s="62">
        <f t="shared" si="1"/>
        <v>29000</v>
      </c>
      <c r="J55" s="84"/>
      <c r="K55" s="1" t="s">
        <v>27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hidden="1" customHeight="1" x14ac:dyDescent="0.35">
      <c r="A56" s="70" t="s">
        <v>25</v>
      </c>
      <c r="B56" s="71">
        <v>2.8</v>
      </c>
      <c r="C56" s="72"/>
      <c r="D56" s="80"/>
      <c r="E56" s="72"/>
      <c r="F56" s="72"/>
      <c r="G56" s="72"/>
      <c r="H56" s="72"/>
      <c r="I56" s="62">
        <f t="shared" si="1"/>
        <v>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70" t="s">
        <v>57</v>
      </c>
      <c r="B57" s="71">
        <v>2.8</v>
      </c>
      <c r="C57" s="145">
        <v>14000</v>
      </c>
      <c r="D57" s="80">
        <v>31000</v>
      </c>
      <c r="E57" s="72">
        <v>14000</v>
      </c>
      <c r="F57" s="145">
        <v>25000</v>
      </c>
      <c r="G57" s="72">
        <v>36000</v>
      </c>
      <c r="H57" s="145">
        <v>9000</v>
      </c>
      <c r="I57" s="62">
        <f t="shared" si="1"/>
        <v>129000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85">
        <v>552</v>
      </c>
      <c r="B58" s="63">
        <v>4</v>
      </c>
      <c r="C58" s="145">
        <v>5000</v>
      </c>
      <c r="D58" s="155">
        <v>10000</v>
      </c>
      <c r="E58" s="64"/>
      <c r="F58" s="72"/>
      <c r="G58" s="145">
        <v>5000</v>
      </c>
      <c r="H58" s="145">
        <v>5000</v>
      </c>
      <c r="I58" s="62">
        <f t="shared" si="1"/>
        <v>25000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1" customFormat="1" ht="23.25" hidden="1" customHeight="1" x14ac:dyDescent="0.3">
      <c r="A59" s="70">
        <v>553</v>
      </c>
      <c r="B59" s="71">
        <v>2.8</v>
      </c>
      <c r="C59" s="64"/>
      <c r="D59" s="80"/>
      <c r="E59" s="83"/>
      <c r="F59" s="64"/>
      <c r="G59" s="64"/>
      <c r="H59" s="64"/>
      <c r="I59" s="62">
        <f t="shared" si="1"/>
        <v>0</v>
      </c>
    </row>
    <row r="60" spans="1:27" s="1" customFormat="1" ht="21" customHeight="1" x14ac:dyDescent="0.3">
      <c r="A60" s="70" t="s">
        <v>29</v>
      </c>
      <c r="B60" s="71">
        <v>4</v>
      </c>
      <c r="C60" s="64">
        <v>13000</v>
      </c>
      <c r="D60" s="82"/>
      <c r="E60" s="64"/>
      <c r="F60" s="64"/>
      <c r="G60" s="64"/>
      <c r="H60" s="72">
        <v>14000</v>
      </c>
      <c r="I60" s="62">
        <f t="shared" si="1"/>
        <v>27000</v>
      </c>
      <c r="L60" s="87"/>
      <c r="M60" s="87"/>
      <c r="N60" s="87"/>
      <c r="O60" s="87"/>
      <c r="P60" s="87"/>
      <c r="Q60" s="87"/>
      <c r="R60" s="87"/>
      <c r="S60" s="3"/>
      <c r="T60" s="3"/>
      <c r="U60" s="3"/>
      <c r="V60" s="3"/>
      <c r="W60" s="3"/>
      <c r="X60" s="3"/>
      <c r="Y60" s="3"/>
      <c r="Z60" s="3"/>
      <c r="AA60" s="3"/>
    </row>
    <row r="61" spans="1:27" s="1" customFormat="1" ht="21" hidden="1" customHeight="1" x14ac:dyDescent="0.3">
      <c r="A61" s="17" t="s">
        <v>30</v>
      </c>
      <c r="B61" s="71">
        <v>4</v>
      </c>
      <c r="C61" s="64"/>
      <c r="D61" s="82"/>
      <c r="E61" s="64"/>
      <c r="F61" s="64"/>
      <c r="G61" s="64"/>
      <c r="H61" s="64"/>
      <c r="I61" s="62">
        <f t="shared" si="1"/>
        <v>0</v>
      </c>
      <c r="L61" s="87"/>
      <c r="M61" s="87"/>
      <c r="N61" s="87"/>
      <c r="O61" s="87"/>
      <c r="P61" s="87"/>
      <c r="Q61" s="87"/>
      <c r="R61" s="87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1" customHeight="1" x14ac:dyDescent="0.3">
      <c r="A62" s="70" t="s">
        <v>31</v>
      </c>
      <c r="B62" s="71"/>
      <c r="C62" s="72">
        <v>14000</v>
      </c>
      <c r="D62" s="80"/>
      <c r="E62" s="64"/>
      <c r="F62" s="72"/>
      <c r="G62" s="64"/>
      <c r="H62" s="145">
        <v>4000</v>
      </c>
      <c r="I62" s="62">
        <f t="shared" si="1"/>
        <v>18000</v>
      </c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18.75" x14ac:dyDescent="0.3">
      <c r="A63" s="17" t="s">
        <v>69</v>
      </c>
      <c r="B63" s="71">
        <v>4</v>
      </c>
      <c r="C63" s="72"/>
      <c r="D63" s="64"/>
      <c r="E63" s="64">
        <v>4000</v>
      </c>
      <c r="F63" s="72"/>
      <c r="G63" s="64"/>
      <c r="H63" s="72"/>
      <c r="I63" s="62">
        <f t="shared" si="1"/>
        <v>4000</v>
      </c>
      <c r="L63" s="87"/>
      <c r="M63" s="87"/>
      <c r="N63" s="87"/>
      <c r="O63" s="87"/>
      <c r="P63" s="87"/>
      <c r="Q63" s="87"/>
      <c r="R63" s="87"/>
    </row>
    <row r="64" spans="1:27" ht="23.25" customHeight="1" x14ac:dyDescent="0.3">
      <c r="A64" s="70" t="s">
        <v>32</v>
      </c>
      <c r="B64" s="71">
        <v>4</v>
      </c>
      <c r="C64" s="64"/>
      <c r="D64" s="145">
        <v>6000</v>
      </c>
      <c r="E64" s="64"/>
      <c r="F64" s="64"/>
      <c r="G64" s="72"/>
      <c r="H64" s="64"/>
      <c r="I64" s="62">
        <f t="shared" si="1"/>
        <v>6000</v>
      </c>
      <c r="L64" s="87"/>
      <c r="M64" s="87"/>
      <c r="N64" s="87"/>
      <c r="O64" s="87"/>
      <c r="P64" s="87"/>
      <c r="Q64" s="87"/>
      <c r="R64" s="87"/>
    </row>
    <row r="65" spans="1:27" ht="23.25" customHeight="1" x14ac:dyDescent="0.3">
      <c r="A65" s="17" t="s">
        <v>70</v>
      </c>
      <c r="B65" s="71">
        <v>4</v>
      </c>
      <c r="C65" s="64">
        <v>7000</v>
      </c>
      <c r="D65" s="64"/>
      <c r="E65" s="64">
        <v>12000</v>
      </c>
      <c r="F65" s="64">
        <v>4000</v>
      </c>
      <c r="G65" s="64">
        <v>4000</v>
      </c>
      <c r="H65" s="64">
        <v>4000</v>
      </c>
      <c r="I65" s="62">
        <f t="shared" si="1"/>
        <v>31000</v>
      </c>
      <c r="L65" s="87"/>
      <c r="M65" s="87"/>
      <c r="N65" s="87"/>
      <c r="O65" s="87"/>
      <c r="P65" s="87"/>
      <c r="Q65" s="87"/>
      <c r="R65" s="87"/>
    </row>
    <row r="66" spans="1:27" ht="23.25" customHeight="1" x14ac:dyDescent="0.3">
      <c r="A66" s="17" t="s">
        <v>71</v>
      </c>
      <c r="B66" s="71">
        <v>4</v>
      </c>
      <c r="C66" s="64">
        <v>4000</v>
      </c>
      <c r="D66" s="64"/>
      <c r="E66" s="64">
        <v>4000</v>
      </c>
      <c r="F66" s="64">
        <v>7000</v>
      </c>
      <c r="G66" s="64">
        <v>4000</v>
      </c>
      <c r="H66" s="64"/>
      <c r="I66" s="62">
        <f t="shared" si="1"/>
        <v>19000</v>
      </c>
      <c r="L66" s="87"/>
      <c r="M66" s="87"/>
      <c r="N66" s="87"/>
      <c r="O66" s="87"/>
      <c r="P66" s="87"/>
      <c r="Q66" s="87"/>
      <c r="R66" s="87"/>
    </row>
    <row r="67" spans="1:27" ht="22.5" customHeight="1" x14ac:dyDescent="0.3">
      <c r="A67" s="70" t="s">
        <v>35</v>
      </c>
      <c r="B67" s="71">
        <v>4</v>
      </c>
      <c r="C67" s="64"/>
      <c r="D67" s="64"/>
      <c r="E67" s="64"/>
      <c r="F67" s="64"/>
      <c r="G67" s="64"/>
      <c r="H67" s="64"/>
      <c r="I67" s="62">
        <f t="shared" si="1"/>
        <v>0</v>
      </c>
      <c r="L67" s="87"/>
      <c r="M67" s="87"/>
      <c r="N67" s="87"/>
      <c r="O67" s="87"/>
      <c r="P67" s="87"/>
      <c r="Q67" s="87"/>
      <c r="R67" s="87"/>
    </row>
    <row r="68" spans="1:27" s="4" customFormat="1" ht="19.149999999999999" customHeight="1" x14ac:dyDescent="0.35">
      <c r="A68" s="88" t="s">
        <v>36</v>
      </c>
      <c r="B68" s="89"/>
      <c r="C68" s="90">
        <v>3</v>
      </c>
      <c r="D68" s="90">
        <v>5</v>
      </c>
      <c r="E68" s="91">
        <v>3</v>
      </c>
      <c r="F68" s="90">
        <v>4</v>
      </c>
      <c r="G68" s="90"/>
      <c r="H68" s="90"/>
      <c r="I68" s="92"/>
    </row>
    <row r="69" spans="1:27" ht="24.75" customHeight="1" x14ac:dyDescent="0.25">
      <c r="A69" s="93" t="s">
        <v>37</v>
      </c>
      <c r="B69" s="94"/>
      <c r="C69" s="95">
        <f>C68+C40</f>
        <v>27.262</v>
      </c>
      <c r="D69" s="95">
        <f>D68+D40</f>
        <v>37.293333333333337</v>
      </c>
      <c r="E69" s="95">
        <f>E68+E40</f>
        <v>44.334000000000003</v>
      </c>
      <c r="F69" s="95">
        <f>F68+F40</f>
        <v>42.352666666666664</v>
      </c>
      <c r="G69" s="95"/>
      <c r="H69" s="95"/>
      <c r="I69" s="96"/>
      <c r="L69" s="87"/>
      <c r="M69" s="87"/>
      <c r="N69" s="87"/>
      <c r="O69" s="87"/>
      <c r="P69" s="87"/>
      <c r="Q69" s="87"/>
      <c r="R69" s="87"/>
    </row>
    <row r="70" spans="1:27" s="1" customFormat="1" ht="25.5" x14ac:dyDescent="0.35">
      <c r="A70" s="97"/>
      <c r="B70" s="98"/>
      <c r="C70" s="100"/>
      <c r="D70" s="33"/>
      <c r="E70" s="4"/>
      <c r="F70" s="4"/>
      <c r="G70" s="4"/>
      <c r="H70" s="4"/>
      <c r="I70" s="3"/>
      <c r="L70" s="87"/>
      <c r="M70" s="87"/>
      <c r="N70" s="87"/>
      <c r="O70" s="87"/>
      <c r="P70" s="87"/>
      <c r="Q70" s="87"/>
      <c r="R70" s="87"/>
      <c r="S70" s="3"/>
      <c r="T70" s="3"/>
      <c r="U70" s="3"/>
      <c r="V70" s="3"/>
      <c r="W70" s="3"/>
      <c r="X70" s="3"/>
      <c r="Y70" s="3"/>
      <c r="Z70" s="3"/>
      <c r="AA70" s="3"/>
    </row>
    <row r="71" spans="1:27" ht="25.5" x14ac:dyDescent="0.35">
      <c r="A71" s="101"/>
      <c r="B71" s="102"/>
      <c r="C71" s="104"/>
      <c r="E71" s="4"/>
      <c r="F71" s="4"/>
      <c r="G71" s="4"/>
      <c r="H71" s="4"/>
      <c r="J71" s="87"/>
      <c r="K71" s="87"/>
      <c r="L71" s="106"/>
      <c r="M71" s="106"/>
      <c r="N71" s="106"/>
      <c r="O71" s="106"/>
      <c r="P71" s="106"/>
      <c r="Q71" s="106"/>
      <c r="R71" s="106"/>
    </row>
    <row r="72" spans="1:27" ht="20.25" x14ac:dyDescent="0.25">
      <c r="A72" s="107"/>
      <c r="B72" s="108"/>
      <c r="C72" s="107"/>
      <c r="D72" s="105"/>
      <c r="E72" s="109"/>
      <c r="F72" s="110"/>
      <c r="G72" s="110"/>
      <c r="H72" s="110"/>
      <c r="I72" s="1"/>
      <c r="J72" s="87"/>
      <c r="K72" s="87"/>
      <c r="L72" s="111"/>
      <c r="M72" s="111"/>
      <c r="N72" s="111"/>
      <c r="O72" s="111"/>
      <c r="P72" s="111"/>
      <c r="Q72" s="111"/>
      <c r="R72" s="111"/>
    </row>
    <row r="73" spans="1:27" x14ac:dyDescent="0.25">
      <c r="A73" s="112"/>
      <c r="B73" s="113"/>
      <c r="C73" s="112"/>
      <c r="D73" s="112"/>
      <c r="E73" s="112"/>
      <c r="F73" s="87"/>
      <c r="G73" s="87"/>
      <c r="H73" s="87"/>
      <c r="I73" s="87"/>
      <c r="J73" s="87"/>
      <c r="K73" s="87"/>
      <c r="L73" s="114"/>
      <c r="M73" s="114"/>
      <c r="N73" s="114"/>
      <c r="O73" s="114"/>
      <c r="P73" s="114"/>
      <c r="Q73" s="114"/>
      <c r="R73" s="114"/>
    </row>
    <row r="74" spans="1:27" x14ac:dyDescent="0.25">
      <c r="A74" s="112"/>
      <c r="B74" s="113"/>
      <c r="C74" s="112"/>
      <c r="D74" s="112"/>
      <c r="E74" s="112"/>
      <c r="F74" s="87"/>
      <c r="G74" s="87"/>
      <c r="H74" s="87"/>
      <c r="I74" s="87"/>
      <c r="J74" s="87"/>
      <c r="K74" s="87"/>
      <c r="L74" s="114"/>
      <c r="M74" s="114"/>
      <c r="N74" s="114"/>
      <c r="O74" s="114"/>
      <c r="P74" s="114"/>
      <c r="Q74" s="114"/>
      <c r="R74" s="114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0"/>
      <c r="M75" s="110"/>
      <c r="N75" s="110"/>
      <c r="O75" s="110"/>
      <c r="P75" s="110"/>
      <c r="Q75" s="110"/>
      <c r="R75" s="110"/>
    </row>
    <row r="76" spans="1:27" x14ac:dyDescent="0.25"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</row>
    <row r="77" spans="1:27" ht="25.5" x14ac:dyDescent="0.35">
      <c r="A77" s="1"/>
      <c r="B77" s="2"/>
      <c r="C77" s="1"/>
      <c r="D77" s="1"/>
      <c r="E77" s="1"/>
      <c r="F77" s="87"/>
      <c r="G77" s="87"/>
      <c r="H77" s="87"/>
      <c r="I77" s="87"/>
      <c r="J77" s="106"/>
      <c r="K77" s="106"/>
      <c r="L77" s="110"/>
      <c r="M77" s="110"/>
      <c r="N77" s="110"/>
      <c r="O77" s="110"/>
      <c r="P77" s="110"/>
      <c r="Q77" s="110"/>
      <c r="R77" s="110"/>
    </row>
    <row r="78" spans="1:27" x14ac:dyDescent="0.25">
      <c r="A78" s="1"/>
      <c r="B78" s="2"/>
      <c r="C78" s="1"/>
      <c r="D78" s="1"/>
      <c r="E78" s="1"/>
      <c r="F78" s="87"/>
      <c r="G78" s="87"/>
      <c r="H78" s="87"/>
      <c r="I78" s="87"/>
      <c r="J78" s="111"/>
      <c r="K78" s="111"/>
      <c r="L78" s="110"/>
      <c r="M78" s="110"/>
      <c r="N78" s="110"/>
      <c r="O78" s="110"/>
      <c r="P78" s="110"/>
      <c r="Q78" s="110"/>
      <c r="R78" s="110"/>
    </row>
    <row r="79" spans="1:27" ht="25.5" x14ac:dyDescent="0.35">
      <c r="A79" s="181"/>
      <c r="B79" s="181"/>
      <c r="C79" s="181"/>
      <c r="D79" s="181"/>
      <c r="E79" s="181"/>
      <c r="F79" s="106"/>
      <c r="G79" s="106"/>
      <c r="H79" s="106"/>
      <c r="I79" s="106"/>
      <c r="J79" s="114"/>
      <c r="K79" s="114"/>
      <c r="L79" s="87"/>
      <c r="M79" s="87"/>
      <c r="N79" s="87"/>
      <c r="O79" s="87"/>
      <c r="P79" s="87"/>
      <c r="Q79" s="87"/>
      <c r="R79" s="87"/>
    </row>
    <row r="80" spans="1:27" x14ac:dyDescent="0.25">
      <c r="A80" s="111"/>
      <c r="B80" s="113"/>
      <c r="C80" s="111"/>
      <c r="D80" s="111"/>
      <c r="E80" s="111"/>
      <c r="F80" s="111"/>
      <c r="G80" s="111"/>
      <c r="H80" s="111"/>
      <c r="I80" s="111"/>
      <c r="J80" s="114"/>
      <c r="K80" s="114"/>
      <c r="L80" s="87"/>
      <c r="M80" s="87"/>
      <c r="N80" s="87"/>
      <c r="O80" s="87"/>
      <c r="P80" s="87"/>
      <c r="Q80" s="87"/>
      <c r="R80" s="87"/>
    </row>
    <row r="81" spans="1:18" x14ac:dyDescent="0.25">
      <c r="A81" s="182"/>
      <c r="B81" s="116"/>
      <c r="C81" s="114"/>
      <c r="D81" s="114"/>
      <c r="E81" s="114"/>
      <c r="F81" s="114"/>
      <c r="G81" s="114"/>
      <c r="H81" s="114"/>
      <c r="I81" s="114"/>
      <c r="J81" s="110"/>
      <c r="K81" s="110"/>
      <c r="L81" s="87"/>
      <c r="M81" s="87"/>
      <c r="N81" s="87"/>
      <c r="O81" s="87"/>
      <c r="P81" s="87"/>
      <c r="Q81" s="87"/>
      <c r="R81" s="87"/>
    </row>
    <row r="82" spans="1:18" x14ac:dyDescent="0.25">
      <c r="A82" s="182"/>
      <c r="B82" s="116"/>
      <c r="C82" s="114"/>
      <c r="D82" s="114"/>
      <c r="E82" s="114"/>
      <c r="F82" s="114"/>
      <c r="G82" s="114"/>
      <c r="H82" s="114"/>
      <c r="I82" s="114"/>
      <c r="J82" s="87"/>
      <c r="K82" s="87"/>
    </row>
    <row r="83" spans="1:18" x14ac:dyDescent="0.25">
      <c r="A83" s="112"/>
      <c r="B83" s="113"/>
      <c r="C83" s="112"/>
      <c r="D83" s="112"/>
      <c r="E83" s="112"/>
      <c r="F83" s="110"/>
      <c r="G83" s="110"/>
      <c r="H83" s="110"/>
      <c r="I83" s="110"/>
      <c r="J83" s="110"/>
      <c r="K83" s="110"/>
    </row>
    <row r="84" spans="1:18" x14ac:dyDescent="0.25">
      <c r="A84" s="112"/>
      <c r="B84" s="113"/>
      <c r="C84" s="112"/>
      <c r="D84" s="112"/>
      <c r="E84" s="112"/>
      <c r="F84" s="87"/>
      <c r="G84" s="87"/>
      <c r="H84" s="87"/>
      <c r="I84" s="87"/>
      <c r="J84" s="110"/>
      <c r="K84" s="110"/>
    </row>
    <row r="85" spans="1:18" x14ac:dyDescent="0.25">
      <c r="A85" s="112"/>
      <c r="B85" s="113"/>
      <c r="C85" s="112"/>
      <c r="D85" s="112"/>
      <c r="E85" s="112"/>
      <c r="F85" s="110"/>
      <c r="G85" s="110"/>
      <c r="H85" s="110"/>
      <c r="I85" s="110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87"/>
      <c r="K86" s="87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87"/>
      <c r="K87" s="87"/>
    </row>
    <row r="88" spans="1:18" x14ac:dyDescent="0.25">
      <c r="A88" s="112"/>
      <c r="B88" s="113"/>
      <c r="C88" s="112"/>
      <c r="D88" s="112"/>
      <c r="E88" s="112"/>
      <c r="F88" s="87"/>
      <c r="G88" s="87"/>
      <c r="H88" s="87"/>
      <c r="I88" s="87"/>
    </row>
    <row r="89" spans="1:18" x14ac:dyDescent="0.25">
      <c r="A89" s="1"/>
      <c r="B89" s="2"/>
      <c r="C89" s="1"/>
      <c r="D89" s="1"/>
      <c r="E89" s="1"/>
      <c r="F89" s="87"/>
      <c r="G89" s="87"/>
      <c r="H89" s="87"/>
      <c r="I89" s="87"/>
    </row>
  </sheetData>
  <mergeCells count="6">
    <mergeCell ref="A81:A82"/>
    <mergeCell ref="A2:I2"/>
    <mergeCell ref="A3:R3"/>
    <mergeCell ref="A4:R4"/>
    <mergeCell ref="M28:N29"/>
    <mergeCell ref="A79:E7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1E80-6370-4051-B0F3-66316997617C}">
  <dimension ref="A1:AA81"/>
  <sheetViews>
    <sheetView topLeftCell="A2" zoomScaleNormal="100" workbookViewId="0">
      <pane ySplit="4" topLeftCell="A25" activePane="bottomLeft" state="frozen"/>
      <selection activeCell="A2" sqref="A2"/>
      <selection pane="bottomLeft" activeCell="H33" sqref="H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85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73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46097</v>
      </c>
      <c r="D5" s="7">
        <v>46098</v>
      </c>
      <c r="E5" s="7">
        <v>46099</v>
      </c>
      <c r="F5" s="7">
        <v>46100</v>
      </c>
      <c r="G5" s="7">
        <v>46101</v>
      </c>
      <c r="H5" s="7">
        <v>46102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8"/>
      <c r="E6" s="119"/>
      <c r="F6" s="119"/>
      <c r="G6" s="119"/>
      <c r="H6" s="119"/>
      <c r="I6" s="10">
        <f t="shared" ref="I6:I14" si="0">SUM(C6:H6)</f>
        <v>14000</v>
      </c>
      <c r="J6" s="1"/>
      <c r="K6" s="11"/>
    </row>
    <row r="7" spans="1:18" s="12" customFormat="1" ht="22.5" customHeight="1" x14ac:dyDescent="0.25">
      <c r="A7" s="5"/>
      <c r="B7" s="13"/>
      <c r="C7" s="14">
        <v>14210</v>
      </c>
      <c r="D7" s="14"/>
      <c r="E7" s="14"/>
      <c r="F7" s="14"/>
      <c r="G7" s="14"/>
      <c r="H7" s="14"/>
      <c r="I7" s="15">
        <f t="shared" si="0"/>
        <v>14210</v>
      </c>
      <c r="J7" s="1"/>
      <c r="K7" s="11"/>
    </row>
    <row r="8" spans="1:18" s="12" customFormat="1" ht="21.75" hidden="1" customHeight="1" x14ac:dyDescent="0.25">
      <c r="A8" s="16" t="s">
        <v>5</v>
      </c>
      <c r="B8" s="18">
        <v>4</v>
      </c>
      <c r="C8" s="117"/>
      <c r="D8" s="117"/>
      <c r="E8" s="117"/>
      <c r="F8" s="117"/>
      <c r="G8" s="117"/>
      <c r="H8" s="117"/>
      <c r="I8" s="10">
        <f t="shared" si="0"/>
        <v>0</v>
      </c>
      <c r="J8" s="1"/>
      <c r="K8" s="11"/>
    </row>
    <row r="9" spans="1:18" s="12" customFormat="1" ht="21.75" hidden="1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7</v>
      </c>
      <c r="B12" s="18">
        <v>2.8</v>
      </c>
      <c r="C12" s="123"/>
      <c r="D12" s="123"/>
      <c r="E12" s="123">
        <v>28000</v>
      </c>
      <c r="F12" s="122"/>
      <c r="G12" s="123"/>
      <c r="H12" s="123"/>
      <c r="I12" s="20">
        <f t="shared" si="0"/>
        <v>28000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>
        <v>13980</v>
      </c>
      <c r="H13" s="23"/>
      <c r="I13" s="15">
        <f t="shared" si="0"/>
        <v>13980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/>
      <c r="G14" s="123">
        <v>14000</v>
      </c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>
        <v>14280</v>
      </c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>
        <v>4000</v>
      </c>
      <c r="E16" s="121"/>
      <c r="F16" s="122"/>
      <c r="G16" s="122"/>
      <c r="H16" s="122"/>
      <c r="I16" s="20">
        <f>SUM(C16:H16)</f>
        <v>4000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>
        <v>3960</v>
      </c>
      <c r="F17" s="23"/>
      <c r="G17" s="23"/>
      <c r="H17" s="23"/>
      <c r="I17" s="15">
        <f>SUM(C17:H17)</f>
        <v>3960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>
        <v>14000</v>
      </c>
      <c r="G18" s="121"/>
      <c r="H18" s="121"/>
      <c r="I18" s="20">
        <f>SUM(C18:H18)</f>
        <v>14000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>
        <v>14640</v>
      </c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28000</v>
      </c>
      <c r="E20" s="27">
        <v>14000</v>
      </c>
      <c r="F20" s="27">
        <v>14000</v>
      </c>
      <c r="G20" s="144"/>
      <c r="H20" s="27"/>
      <c r="I20" s="20">
        <f t="shared" ref="I20:I33" si="1">SUM(C20:H20)</f>
        <v>98000</v>
      </c>
      <c r="K20" s="11"/>
    </row>
    <row r="21" spans="1:27" s="1" customFormat="1" ht="22.15" customHeight="1" x14ac:dyDescent="0.25">
      <c r="A21" s="28"/>
      <c r="B21" s="29"/>
      <c r="C21" s="24">
        <v>27920</v>
      </c>
      <c r="D21" s="24">
        <v>13870</v>
      </c>
      <c r="E21" s="24">
        <v>42710</v>
      </c>
      <c r="F21" s="30">
        <v>14740</v>
      </c>
      <c r="G21" s="156"/>
      <c r="H21" s="30"/>
      <c r="I21" s="15">
        <f t="shared" si="1"/>
        <v>99240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137000</v>
      </c>
      <c r="D22" s="27">
        <v>15000</v>
      </c>
      <c r="E22" s="27">
        <v>88000</v>
      </c>
      <c r="F22" s="27">
        <v>57000</v>
      </c>
      <c r="G22" s="144">
        <v>29000</v>
      </c>
      <c r="H22" s="144"/>
      <c r="I22" s="20">
        <f t="shared" si="1"/>
        <v>326000</v>
      </c>
      <c r="K22" s="11"/>
    </row>
    <row r="23" spans="1:27" s="1" customFormat="1" ht="22.15" customHeight="1" x14ac:dyDescent="0.25">
      <c r="A23" s="28"/>
      <c r="B23" s="29"/>
      <c r="C23" s="24">
        <f>18980+71090</f>
        <v>90070</v>
      </c>
      <c r="D23" s="24">
        <v>43710</v>
      </c>
      <c r="E23" s="24">
        <v>56920</v>
      </c>
      <c r="F23" s="30">
        <v>42320</v>
      </c>
      <c r="G23" s="30">
        <v>43120</v>
      </c>
      <c r="H23" s="30">
        <v>29100</v>
      </c>
      <c r="I23" s="15">
        <f t="shared" si="1"/>
        <v>305240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44000</v>
      </c>
      <c r="D24" s="27">
        <v>31000</v>
      </c>
      <c r="E24" s="27">
        <v>56000</v>
      </c>
      <c r="F24" s="27">
        <v>45000</v>
      </c>
      <c r="G24" s="144">
        <v>58000</v>
      </c>
      <c r="H24" s="144"/>
      <c r="I24" s="31">
        <f t="shared" si="1"/>
        <v>234000</v>
      </c>
      <c r="J24" s="32"/>
      <c r="K24" s="11"/>
    </row>
    <row r="25" spans="1:27" s="33" customFormat="1" ht="22.15" customHeight="1" x14ac:dyDescent="0.25">
      <c r="A25" s="28"/>
      <c r="B25" s="29"/>
      <c r="C25" s="24">
        <v>13650</v>
      </c>
      <c r="D25" s="24">
        <v>72210</v>
      </c>
      <c r="E25" s="24">
        <v>30410</v>
      </c>
      <c r="F25" s="30">
        <v>41310</v>
      </c>
      <c r="G25" s="30">
        <v>28680</v>
      </c>
      <c r="H25" s="30">
        <v>11460</v>
      </c>
      <c r="I25" s="15">
        <f t="shared" si="1"/>
        <v>197720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14000</v>
      </c>
      <c r="D26" s="125">
        <v>90000</v>
      </c>
      <c r="E26" s="125">
        <v>46000</v>
      </c>
      <c r="F26" s="125">
        <v>57000</v>
      </c>
      <c r="G26" s="144">
        <v>58000</v>
      </c>
      <c r="H26" s="144"/>
      <c r="I26" s="31">
        <f t="shared" si="1"/>
        <v>265000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v>28260</v>
      </c>
      <c r="D27" s="24">
        <v>14140</v>
      </c>
      <c r="E27" s="24">
        <v>90100</v>
      </c>
      <c r="F27" s="30">
        <v>57150</v>
      </c>
      <c r="G27" s="30">
        <v>75230</v>
      </c>
      <c r="H27" s="30">
        <v>32220</v>
      </c>
      <c r="I27" s="15">
        <f t="shared" si="1"/>
        <v>297100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276000</v>
      </c>
      <c r="D28" s="27">
        <v>336000</v>
      </c>
      <c r="E28" s="27">
        <v>259000</v>
      </c>
      <c r="F28" s="27">
        <v>289000</v>
      </c>
      <c r="G28" s="144">
        <v>274000</v>
      </c>
      <c r="H28" s="144">
        <v>165000</v>
      </c>
      <c r="I28" s="31">
        <f t="shared" si="1"/>
        <v>1599000</v>
      </c>
      <c r="J28" s="1"/>
    </row>
    <row r="29" spans="1:27" s="4" customFormat="1" ht="21.75" customHeight="1" x14ac:dyDescent="0.35">
      <c r="A29" s="39"/>
      <c r="B29" s="40"/>
      <c r="C29" s="24">
        <v>242040</v>
      </c>
      <c r="D29" s="24">
        <v>183940</v>
      </c>
      <c r="E29" s="24">
        <v>304710</v>
      </c>
      <c r="F29" s="30">
        <v>267160</v>
      </c>
      <c r="G29" s="30">
        <v>177950</v>
      </c>
      <c r="H29" s="30">
        <v>136610</v>
      </c>
      <c r="I29" s="15">
        <f t="shared" si="1"/>
        <v>1312410</v>
      </c>
    </row>
    <row r="30" spans="1:27" s="4" customFormat="1" ht="21" customHeight="1" x14ac:dyDescent="0.35">
      <c r="A30" s="25" t="s">
        <v>52</v>
      </c>
      <c r="B30" s="26">
        <v>4</v>
      </c>
      <c r="C30" s="27">
        <v>44000</v>
      </c>
      <c r="D30" s="27">
        <v>112000</v>
      </c>
      <c r="E30" s="27">
        <v>77000</v>
      </c>
      <c r="F30" s="27">
        <v>94000</v>
      </c>
      <c r="G30" s="144">
        <v>81000</v>
      </c>
      <c r="H30" s="144">
        <v>47000</v>
      </c>
      <c r="I30" s="31">
        <f t="shared" si="1"/>
        <v>455000</v>
      </c>
    </row>
    <row r="31" spans="1:27" s="4" customFormat="1" ht="20.45" customHeight="1" x14ac:dyDescent="0.35">
      <c r="A31" s="49"/>
      <c r="B31" s="50"/>
      <c r="C31" s="51">
        <v>73380</v>
      </c>
      <c r="D31" s="51">
        <v>43740</v>
      </c>
      <c r="E31" s="51">
        <v>46600</v>
      </c>
      <c r="F31" s="51">
        <v>91490</v>
      </c>
      <c r="G31" s="52">
        <v>44870</v>
      </c>
      <c r="H31" s="51">
        <f>44830+44280</f>
        <v>89110</v>
      </c>
      <c r="I31" s="15">
        <f t="shared" si="1"/>
        <v>389190</v>
      </c>
    </row>
    <row r="32" spans="1:27" s="4" customFormat="1" ht="20.45" customHeight="1" x14ac:dyDescent="0.35">
      <c r="A32" s="126" t="s">
        <v>15</v>
      </c>
      <c r="B32" s="127">
        <v>4</v>
      </c>
      <c r="C32" s="160">
        <v>41000</v>
      </c>
      <c r="D32" s="136"/>
      <c r="E32" s="129">
        <v>28000</v>
      </c>
      <c r="F32" s="129">
        <v>13000</v>
      </c>
      <c r="G32" s="158"/>
      <c r="H32" s="129">
        <v>13000</v>
      </c>
      <c r="I32" s="130">
        <f t="shared" si="1"/>
        <v>95000</v>
      </c>
    </row>
    <row r="33" spans="1:27" s="4" customFormat="1" ht="20.45" customHeight="1" x14ac:dyDescent="0.35">
      <c r="A33" s="49"/>
      <c r="B33" s="50"/>
      <c r="C33" s="51">
        <v>41050</v>
      </c>
      <c r="D33" s="51"/>
      <c r="E33" s="143"/>
      <c r="F33" s="51">
        <v>12970</v>
      </c>
      <c r="G33" s="52"/>
      <c r="H33" s="51"/>
      <c r="I33" s="15">
        <f t="shared" si="1"/>
        <v>54020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40.799999999999997</v>
      </c>
      <c r="D34" s="58">
        <f t="shared" ref="D34:F34" si="2">(D6+D10+D12+D16+D18+D18+D20+D22++D24+D26+D28+D30+D32)/15000</f>
        <v>41.06666666666667</v>
      </c>
      <c r="E34" s="58">
        <f>(E6+E10+E12+E16+E18+E18+E20+E22++E24+E26+E28+E30+E32)/15000</f>
        <v>39.733333333333334</v>
      </c>
      <c r="F34" s="58">
        <f t="shared" si="2"/>
        <v>39.799999999999997</v>
      </c>
      <c r="G34" s="58">
        <f>(G6+G10+G12+G16+G18+G18+G20+G22++G24+G26+G28+G30+G32)/15000</f>
        <v>33.333333333333336</v>
      </c>
      <c r="H34" s="58">
        <f>(H6+H10+H12+H16+H18+H18+H20+H22++H24+H26+H28+H30+H32)/15000</f>
        <v>15</v>
      </c>
      <c r="I34" s="59"/>
    </row>
    <row r="35" spans="1:27" s="4" customFormat="1" ht="20.45" customHeight="1" x14ac:dyDescent="0.35">
      <c r="A35" s="17" t="s">
        <v>86</v>
      </c>
      <c r="B35" s="60" t="s">
        <v>83</v>
      </c>
      <c r="C35" s="159"/>
      <c r="D35" s="159">
        <v>15000</v>
      </c>
      <c r="E35" s="159">
        <v>15000</v>
      </c>
      <c r="F35" s="159"/>
      <c r="G35" s="159"/>
      <c r="H35" s="159">
        <v>15000</v>
      </c>
      <c r="I35" s="62">
        <f t="shared" ref="I35:I36" si="3">SUM(C35:H35)</f>
        <v>45000</v>
      </c>
    </row>
    <row r="36" spans="1:27" s="4" customFormat="1" ht="20.45" customHeight="1" x14ac:dyDescent="0.35">
      <c r="A36" s="17" t="s">
        <v>87</v>
      </c>
      <c r="B36" s="60" t="s">
        <v>83</v>
      </c>
      <c r="C36" s="159">
        <v>13000</v>
      </c>
      <c r="D36" s="159"/>
      <c r="E36" s="159"/>
      <c r="F36" s="159"/>
      <c r="G36" s="159"/>
      <c r="H36" s="159"/>
      <c r="I36" s="62">
        <f t="shared" si="3"/>
        <v>13000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>
        <v>15000</v>
      </c>
      <c r="F37" s="61">
        <v>15000</v>
      </c>
      <c r="G37" s="61">
        <v>15000</v>
      </c>
      <c r="H37" s="61">
        <v>15000</v>
      </c>
      <c r="I37" s="62">
        <f>SUM(C37:H37)</f>
        <v>90000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/>
      <c r="F38" s="64"/>
      <c r="G38" s="145">
        <v>14000</v>
      </c>
      <c r="H38" s="64"/>
      <c r="I38" s="62">
        <f t="shared" ref="I38:I59" si="4">SUM(C38:H38)</f>
        <v>14000</v>
      </c>
    </row>
    <row r="39" spans="1:27" s="4" customFormat="1" ht="23.25" hidden="1" customHeight="1" x14ac:dyDescent="0.35">
      <c r="A39" s="67" t="s">
        <v>20</v>
      </c>
      <c r="B39" s="68">
        <v>2.5</v>
      </c>
      <c r="C39" s="64"/>
      <c r="D39" s="64"/>
      <c r="E39" s="64"/>
      <c r="F39" s="69"/>
      <c r="G39" s="64"/>
      <c r="H39" s="64"/>
      <c r="I39" s="62">
        <f t="shared" si="4"/>
        <v>0</v>
      </c>
    </row>
    <row r="40" spans="1:27" s="4" customFormat="1" ht="20.25" hidden="1" customHeight="1" x14ac:dyDescent="0.35">
      <c r="A40" s="67" t="s">
        <v>59</v>
      </c>
      <c r="B40" s="68">
        <v>2.5</v>
      </c>
      <c r="C40" s="64"/>
      <c r="D40" s="64"/>
      <c r="E40" s="64"/>
      <c r="F40" s="64"/>
      <c r="G40" s="64"/>
      <c r="H40" s="64"/>
      <c r="I40" s="62">
        <f t="shared" si="4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>
        <v>15000</v>
      </c>
      <c r="I41" s="62">
        <f t="shared" si="4"/>
        <v>15000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hidden="1" customHeight="1" x14ac:dyDescent="0.35">
      <c r="A42" s="67" t="s">
        <v>76</v>
      </c>
      <c r="B42" s="68">
        <v>2.5</v>
      </c>
      <c r="C42" s="64"/>
      <c r="D42" s="64"/>
      <c r="E42" s="142"/>
      <c r="F42" s="64"/>
      <c r="G42" s="64"/>
      <c r="H42" s="64"/>
      <c r="I42" s="62">
        <f t="shared" si="4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65" t="s">
        <v>75</v>
      </c>
      <c r="B43" s="68">
        <v>2.5</v>
      </c>
      <c r="C43" s="72"/>
      <c r="D43" s="72"/>
      <c r="E43" s="72">
        <v>21000</v>
      </c>
      <c r="F43" s="72"/>
      <c r="G43" s="72"/>
      <c r="H43" s="64"/>
      <c r="I43" s="62">
        <f t="shared" si="4"/>
        <v>21000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14000</v>
      </c>
      <c r="D44" s="145">
        <v>5000</v>
      </c>
      <c r="E44" s="81"/>
      <c r="F44" s="74">
        <v>14000</v>
      </c>
      <c r="G44" s="72"/>
      <c r="H44" s="72">
        <v>14000</v>
      </c>
      <c r="I44" s="62">
        <f t="shared" si="4"/>
        <v>47000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hidden="1" customHeight="1" x14ac:dyDescent="0.35">
      <c r="A45" s="17" t="s">
        <v>24</v>
      </c>
      <c r="B45" s="71">
        <v>2.8</v>
      </c>
      <c r="C45" s="75"/>
      <c r="D45" s="141"/>
      <c r="E45" s="76"/>
      <c r="F45" s="77"/>
      <c r="G45" s="75"/>
      <c r="H45" s="75"/>
      <c r="I45" s="62">
        <f t="shared" si="4"/>
        <v>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17" t="s">
        <v>79</v>
      </c>
      <c r="B47" s="71">
        <v>2.8</v>
      </c>
      <c r="C47" s="64">
        <v>4000</v>
      </c>
      <c r="D47" s="145"/>
      <c r="E47" s="64">
        <v>11000</v>
      </c>
      <c r="F47" s="80"/>
      <c r="G47" s="64">
        <v>4000</v>
      </c>
      <c r="H47" s="64">
        <v>7000</v>
      </c>
      <c r="I47" s="62">
        <f t="shared" si="4"/>
        <v>26000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64"/>
      <c r="D48" s="145">
        <v>9000</v>
      </c>
      <c r="E48" s="81"/>
      <c r="F48" s="155">
        <v>13000</v>
      </c>
      <c r="G48" s="64"/>
      <c r="H48" s="145">
        <v>5000</v>
      </c>
      <c r="I48" s="62">
        <f t="shared" si="4"/>
        <v>27000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64"/>
      <c r="D49" s="145">
        <v>13000</v>
      </c>
      <c r="E49" s="145">
        <v>9000</v>
      </c>
      <c r="F49" s="155">
        <v>27000</v>
      </c>
      <c r="G49" s="145">
        <v>9000</v>
      </c>
      <c r="H49" s="145">
        <v>21000</v>
      </c>
      <c r="I49" s="62">
        <f t="shared" si="4"/>
        <v>79000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hidden="1" customHeight="1" x14ac:dyDescent="0.35">
      <c r="A50" s="70" t="s">
        <v>28</v>
      </c>
      <c r="B50" s="71">
        <v>2.8</v>
      </c>
      <c r="C50" s="64"/>
      <c r="D50" s="64"/>
      <c r="E50" s="64"/>
      <c r="F50" s="82"/>
      <c r="G50" s="145"/>
      <c r="H50" s="64"/>
      <c r="I50" s="62">
        <f t="shared" si="4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/>
      <c r="D51" s="145">
        <v>15000</v>
      </c>
      <c r="E51" s="145">
        <v>10000</v>
      </c>
      <c r="F51" s="82"/>
      <c r="G51" s="145">
        <v>10000</v>
      </c>
      <c r="H51" s="64"/>
      <c r="I51" s="62">
        <f t="shared" si="4"/>
        <v>35000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customHeight="1" x14ac:dyDescent="0.3">
      <c r="A52" s="70">
        <v>553</v>
      </c>
      <c r="B52" s="71">
        <v>2.8</v>
      </c>
      <c r="C52" s="64"/>
      <c r="D52" s="145">
        <v>1000</v>
      </c>
      <c r="E52" s="64"/>
      <c r="F52" s="80"/>
      <c r="G52" s="83"/>
      <c r="H52" s="64"/>
      <c r="I52" s="62">
        <f t="shared" si="4"/>
        <v>1000</v>
      </c>
    </row>
    <row r="53" spans="1:27" s="1" customFormat="1" ht="21" customHeight="1" x14ac:dyDescent="0.3">
      <c r="A53" s="70" t="s">
        <v>77</v>
      </c>
      <c r="B53" s="71">
        <v>4</v>
      </c>
      <c r="C53" s="72">
        <v>15000</v>
      </c>
      <c r="D53" s="72"/>
      <c r="E53" s="72">
        <v>7000</v>
      </c>
      <c r="F53" s="82"/>
      <c r="G53" s="64"/>
      <c r="H53" s="72">
        <v>14000</v>
      </c>
      <c r="I53" s="62">
        <f t="shared" si="4"/>
        <v>36000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hidden="1" customHeight="1" x14ac:dyDescent="0.3">
      <c r="A54" s="17" t="s">
        <v>69</v>
      </c>
      <c r="B54" s="71">
        <v>4</v>
      </c>
      <c r="C54" s="64"/>
      <c r="D54" s="64"/>
      <c r="E54" s="64"/>
      <c r="F54" s="82"/>
      <c r="G54" s="64"/>
      <c r="H54" s="64"/>
      <c r="I54" s="62">
        <f t="shared" si="4"/>
        <v>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/>
      <c r="G55" s="72"/>
      <c r="H55" s="145">
        <v>4000</v>
      </c>
      <c r="I55" s="62">
        <f t="shared" si="4"/>
        <v>4000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70" t="s">
        <v>32</v>
      </c>
      <c r="B56" s="71">
        <v>4</v>
      </c>
      <c r="C56" s="64"/>
      <c r="D56" s="64"/>
      <c r="E56" s="145">
        <v>4000</v>
      </c>
      <c r="F56" s="64"/>
      <c r="G56" s="145">
        <v>8000</v>
      </c>
      <c r="H56" s="145">
        <v>6000</v>
      </c>
      <c r="I56" s="62">
        <f t="shared" si="4"/>
        <v>18000</v>
      </c>
      <c r="L56" s="87"/>
      <c r="M56" s="87"/>
      <c r="N56" s="87"/>
      <c r="O56" s="87"/>
      <c r="P56" s="87"/>
      <c r="Q56" s="87"/>
      <c r="R56" s="87"/>
    </row>
    <row r="57" spans="1:27" ht="23.25" customHeight="1" x14ac:dyDescent="0.3">
      <c r="A57" s="17" t="s">
        <v>70</v>
      </c>
      <c r="B57" s="71">
        <v>4</v>
      </c>
      <c r="C57" s="64">
        <v>7000</v>
      </c>
      <c r="D57" s="64"/>
      <c r="E57" s="64">
        <v>4000</v>
      </c>
      <c r="F57" s="64"/>
      <c r="G57" s="64">
        <v>4000</v>
      </c>
      <c r="H57" s="64">
        <v>4000</v>
      </c>
      <c r="I57" s="62">
        <f t="shared" si="4"/>
        <v>19000</v>
      </c>
      <c r="L57" s="87"/>
      <c r="M57" s="87"/>
      <c r="N57" s="87"/>
      <c r="O57" s="87"/>
      <c r="P57" s="87"/>
      <c r="Q57" s="87"/>
      <c r="R57" s="87"/>
    </row>
    <row r="58" spans="1:27" ht="23.25" customHeight="1" x14ac:dyDescent="0.3">
      <c r="A58" s="17" t="s">
        <v>71</v>
      </c>
      <c r="B58" s="71">
        <v>4</v>
      </c>
      <c r="C58" s="64">
        <v>4000</v>
      </c>
      <c r="D58" s="64"/>
      <c r="E58" s="64">
        <v>4000</v>
      </c>
      <c r="F58" s="64"/>
      <c r="G58" s="64">
        <v>7000</v>
      </c>
      <c r="H58" s="64"/>
      <c r="I58" s="62">
        <f t="shared" si="4"/>
        <v>15000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/>
      <c r="D59" s="64"/>
      <c r="E59" s="145">
        <v>4000</v>
      </c>
      <c r="F59" s="72">
        <v>20000</v>
      </c>
      <c r="G59" s="145">
        <v>4000</v>
      </c>
      <c r="H59" s="75"/>
      <c r="I59" s="62">
        <f t="shared" si="4"/>
        <v>28000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43.8</v>
      </c>
      <c r="D61" s="95"/>
      <c r="E61" s="95">
        <f>E60+E34</f>
        <v>42.733333333333334</v>
      </c>
      <c r="F61" s="95">
        <f>F60+F34</f>
        <v>44.8</v>
      </c>
      <c r="G61" s="95">
        <f>G60+G34</f>
        <v>36.333333333333336</v>
      </c>
      <c r="H61" s="95">
        <f>H60+H34</f>
        <v>19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81"/>
      <c r="B71" s="181"/>
      <c r="C71" s="181"/>
      <c r="D71" s="181"/>
      <c r="E71" s="181"/>
      <c r="F71" s="181"/>
      <c r="G71" s="181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82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82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020F-C409-4829-91CC-BD1ECB58A645}">
  <dimension ref="A1:AF92"/>
  <sheetViews>
    <sheetView topLeftCell="A2" workbookViewId="0">
      <pane ySplit="4" topLeftCell="A26" activePane="bottomLeft" state="frozen"/>
      <selection activeCell="A2" sqref="A2"/>
      <selection pane="bottomLeft" activeCell="E27" sqref="E2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88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89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46104</v>
      </c>
      <c r="D5" s="7">
        <v>46105</v>
      </c>
      <c r="E5" s="7">
        <v>46106</v>
      </c>
      <c r="F5" s="7">
        <v>46107</v>
      </c>
      <c r="G5" s="7">
        <v>46108</v>
      </c>
      <c r="H5" s="7">
        <v>46109</v>
      </c>
      <c r="I5" s="8"/>
    </row>
    <row r="6" spans="1:18" s="12" customFormat="1" ht="21.75" hidden="1" customHeight="1" x14ac:dyDescent="0.25">
      <c r="A6" s="9" t="s">
        <v>58</v>
      </c>
      <c r="B6" s="18">
        <v>2.5</v>
      </c>
      <c r="C6" s="119"/>
      <c r="D6" s="119"/>
      <c r="E6" s="119"/>
      <c r="F6" s="119"/>
      <c r="G6" s="119"/>
      <c r="H6" s="119"/>
      <c r="I6" s="10">
        <f t="shared" ref="I6:I39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4</v>
      </c>
      <c r="B8" s="18">
        <v>4</v>
      </c>
      <c r="C8" s="117">
        <v>15000</v>
      </c>
      <c r="D8" s="161">
        <v>15000</v>
      </c>
      <c r="E8" s="161">
        <v>15000</v>
      </c>
      <c r="F8" s="117"/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15000</v>
      </c>
      <c r="D9" s="14">
        <v>14810</v>
      </c>
      <c r="E9" s="14">
        <v>14930</v>
      </c>
      <c r="F9" s="14"/>
      <c r="G9" s="14"/>
      <c r="H9" s="14"/>
      <c r="I9" s="15">
        <f t="shared" si="0"/>
        <v>44740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9">
        <v>14000</v>
      </c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9">
        <v>14000</v>
      </c>
      <c r="E16" s="122"/>
      <c r="F16" s="19"/>
      <c r="G16" s="19">
        <v>9000</v>
      </c>
      <c r="H16" s="19"/>
      <c r="I16" s="20">
        <f t="shared" si="0"/>
        <v>23000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>
        <v>14440</v>
      </c>
      <c r="E17" s="134"/>
      <c r="F17" s="135"/>
      <c r="G17" s="23"/>
      <c r="H17" s="23">
        <v>9470</v>
      </c>
      <c r="I17" s="15">
        <f t="shared" si="0"/>
        <v>23910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hidden="1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/>
      <c r="H22" s="150"/>
      <c r="I22" s="151"/>
      <c r="J22" s="1"/>
      <c r="K22" s="11"/>
    </row>
    <row r="23" spans="1:32" s="12" customFormat="1" ht="22.15" hidden="1" customHeight="1" x14ac:dyDescent="0.25">
      <c r="A23" s="21"/>
      <c r="B23" s="22"/>
      <c r="C23" s="23"/>
      <c r="D23" s="23"/>
      <c r="E23" s="23"/>
      <c r="F23" s="23"/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90000</v>
      </c>
      <c r="D24" s="27">
        <v>87000</v>
      </c>
      <c r="E24" s="27">
        <v>74000</v>
      </c>
      <c r="F24" s="27">
        <v>72000</v>
      </c>
      <c r="G24" s="27">
        <v>29000</v>
      </c>
      <c r="H24" s="27"/>
      <c r="I24" s="20">
        <f t="shared" si="0"/>
        <v>352000</v>
      </c>
      <c r="K24" s="11"/>
    </row>
    <row r="25" spans="1:32" s="1" customFormat="1" ht="22.15" customHeight="1" x14ac:dyDescent="0.25">
      <c r="A25" s="28"/>
      <c r="B25" s="29"/>
      <c r="C25" s="24">
        <v>86480</v>
      </c>
      <c r="D25" s="30">
        <v>59400</v>
      </c>
      <c r="E25" s="30">
        <v>28810</v>
      </c>
      <c r="F25" s="30">
        <v>97840</v>
      </c>
      <c r="G25" s="30">
        <v>43880</v>
      </c>
      <c r="H25" s="30">
        <v>14930</v>
      </c>
      <c r="I25" s="15">
        <f t="shared" si="0"/>
        <v>331340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71000</v>
      </c>
      <c r="D26" s="27">
        <v>93000</v>
      </c>
      <c r="E26" s="27">
        <v>60000</v>
      </c>
      <c r="F26" s="27">
        <v>84000</v>
      </c>
      <c r="G26" s="27">
        <v>88000</v>
      </c>
      <c r="H26" s="27">
        <v>15000</v>
      </c>
      <c r="I26" s="31">
        <f t="shared" si="0"/>
        <v>411000</v>
      </c>
      <c r="J26" s="32"/>
      <c r="K26" s="11"/>
    </row>
    <row r="27" spans="1:32" s="33" customFormat="1" ht="22.15" customHeight="1" x14ac:dyDescent="0.25">
      <c r="A27" s="28"/>
      <c r="B27" s="29"/>
      <c r="C27" s="24">
        <v>57530</v>
      </c>
      <c r="D27" s="30">
        <v>57500</v>
      </c>
      <c r="E27" s="30">
        <v>61560</v>
      </c>
      <c r="F27" s="30">
        <v>58240</v>
      </c>
      <c r="G27" s="30">
        <v>72260</v>
      </c>
      <c r="H27" s="30">
        <v>87800</v>
      </c>
      <c r="I27" s="15">
        <f t="shared" si="0"/>
        <v>394890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279000</v>
      </c>
      <c r="D34" s="27">
        <v>258000</v>
      </c>
      <c r="E34" s="27">
        <v>333000</v>
      </c>
      <c r="F34" s="27">
        <v>290000</v>
      </c>
      <c r="G34" s="27">
        <v>284000</v>
      </c>
      <c r="H34" s="27">
        <v>104000</v>
      </c>
      <c r="I34" s="31">
        <f t="shared" si="0"/>
        <v>1548000</v>
      </c>
      <c r="J34" s="1"/>
    </row>
    <row r="35" spans="1:32" s="4" customFormat="1" ht="21.75" customHeight="1" x14ac:dyDescent="0.35">
      <c r="A35" s="39"/>
      <c r="B35" s="40"/>
      <c r="C35" s="24">
        <f>13080+200710</f>
        <v>213790</v>
      </c>
      <c r="D35" s="30">
        <v>290710</v>
      </c>
      <c r="E35" s="30">
        <v>287810</v>
      </c>
      <c r="F35" s="30">
        <v>199220</v>
      </c>
      <c r="G35" s="30">
        <v>167400</v>
      </c>
      <c r="H35" s="30">
        <v>135150</v>
      </c>
      <c r="I35" s="15">
        <f t="shared" si="0"/>
        <v>1294080</v>
      </c>
    </row>
    <row r="36" spans="1:32" s="4" customFormat="1" ht="21" customHeight="1" x14ac:dyDescent="0.35">
      <c r="A36" s="25" t="s">
        <v>14</v>
      </c>
      <c r="B36" s="26">
        <v>4</v>
      </c>
      <c r="C36" s="27">
        <v>79000</v>
      </c>
      <c r="D36" s="27">
        <v>61000</v>
      </c>
      <c r="E36" s="27">
        <v>138000</v>
      </c>
      <c r="F36" s="27">
        <v>106000</v>
      </c>
      <c r="G36" s="27">
        <v>112000</v>
      </c>
      <c r="H36" s="27">
        <v>33000</v>
      </c>
      <c r="I36" s="31">
        <f>SUM(C36:H36)</f>
        <v>529000</v>
      </c>
    </row>
    <row r="37" spans="1:32" s="4" customFormat="1" ht="20.45" customHeight="1" x14ac:dyDescent="0.35">
      <c r="A37" s="49"/>
      <c r="B37" s="148"/>
      <c r="C37" s="157">
        <v>92020</v>
      </c>
      <c r="D37" s="157">
        <v>62220</v>
      </c>
      <c r="E37" s="164">
        <v>89540</v>
      </c>
      <c r="F37" s="157">
        <v>109790</v>
      </c>
      <c r="G37" s="157">
        <v>131670</v>
      </c>
      <c r="H37" s="157">
        <v>45720</v>
      </c>
      <c r="I37" s="15">
        <f t="shared" si="0"/>
        <v>530960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28000</v>
      </c>
      <c r="D38" s="55"/>
      <c r="E38" s="55">
        <v>13000</v>
      </c>
      <c r="F38" s="55"/>
      <c r="G38" s="55"/>
      <c r="H38" s="55">
        <v>27000</v>
      </c>
      <c r="I38" s="31">
        <f t="shared" si="0"/>
        <v>68000</v>
      </c>
    </row>
    <row r="39" spans="1:32" s="4" customFormat="1" ht="20.45" customHeight="1" x14ac:dyDescent="0.35">
      <c r="A39" s="49"/>
      <c r="B39" s="50"/>
      <c r="C39" s="51">
        <v>12960</v>
      </c>
      <c r="D39" s="51"/>
      <c r="E39" s="52"/>
      <c r="F39" s="51"/>
      <c r="G39" s="51"/>
      <c r="H39" s="51">
        <v>14080</v>
      </c>
      <c r="I39" s="15">
        <f t="shared" si="0"/>
        <v>27040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35.468000000000004</v>
      </c>
      <c r="D40" s="58">
        <f>(D12+D24+D26+D34+D37)/15000</f>
        <v>33.347999999999999</v>
      </c>
      <c r="E40" s="58">
        <f>(E12+E24+E26+E34+E37)/15000</f>
        <v>37.102666666666664</v>
      </c>
      <c r="F40" s="58">
        <f>(F12+F24+F26+F34+F37)/15000</f>
        <v>37.052666666666667</v>
      </c>
      <c r="G40" s="58"/>
      <c r="H40" s="58"/>
      <c r="I40" s="59"/>
    </row>
    <row r="41" spans="1:32" s="4" customFormat="1" ht="20.45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>
        <v>9000</v>
      </c>
      <c r="H41" s="61"/>
      <c r="I41" s="62">
        <f t="shared" ref="I41:I70" si="1">SUM(C41:H41)</f>
        <v>9000</v>
      </c>
    </row>
    <row r="42" spans="1:32" s="4" customFormat="1" ht="20.45" customHeight="1" x14ac:dyDescent="0.35">
      <c r="A42" s="146" t="s">
        <v>91</v>
      </c>
      <c r="B42" s="147" t="s">
        <v>83</v>
      </c>
      <c r="C42" s="61"/>
      <c r="D42" s="61"/>
      <c r="E42" s="61">
        <v>13000</v>
      </c>
      <c r="F42" s="61"/>
      <c r="G42" s="61"/>
      <c r="H42" s="61"/>
      <c r="I42" s="62">
        <f t="shared" si="1"/>
        <v>13000</v>
      </c>
    </row>
    <row r="43" spans="1:32" s="4" customFormat="1" ht="20.45" customHeight="1" x14ac:dyDescent="0.35">
      <c r="A43" s="146" t="s">
        <v>96</v>
      </c>
      <c r="B43" s="147" t="s">
        <v>83</v>
      </c>
      <c r="C43" s="61"/>
      <c r="D43" s="61">
        <v>15000</v>
      </c>
      <c r="E43" s="61"/>
      <c r="F43" s="61">
        <v>15000</v>
      </c>
      <c r="G43" s="61"/>
      <c r="H43" s="61">
        <v>15000</v>
      </c>
      <c r="I43" s="62">
        <f t="shared" si="1"/>
        <v>45000</v>
      </c>
    </row>
    <row r="44" spans="1:32" s="4" customFormat="1" ht="21" customHeight="1" x14ac:dyDescent="0.35">
      <c r="A44" s="17" t="s">
        <v>78</v>
      </c>
      <c r="B44" s="60">
        <v>4</v>
      </c>
      <c r="C44" s="145">
        <v>15000</v>
      </c>
      <c r="D44" s="145">
        <v>15000</v>
      </c>
      <c r="E44" s="145"/>
      <c r="F44" s="145">
        <v>15000</v>
      </c>
      <c r="G44" s="145">
        <v>15000</v>
      </c>
      <c r="H44" s="145">
        <v>15000</v>
      </c>
      <c r="I44" s="62">
        <f t="shared" si="1"/>
        <v>75000</v>
      </c>
    </row>
    <row r="45" spans="1:32" s="4" customFormat="1" ht="23.25" customHeight="1" x14ac:dyDescent="0.35">
      <c r="A45" s="153">
        <v>502</v>
      </c>
      <c r="B45" s="154" t="s">
        <v>19</v>
      </c>
      <c r="C45" s="64"/>
      <c r="D45" s="64"/>
      <c r="E45" s="64"/>
      <c r="F45" s="64"/>
      <c r="G45" s="64"/>
      <c r="H45" s="64">
        <v>14000</v>
      </c>
      <c r="I45" s="62">
        <f t="shared" si="1"/>
        <v>14000</v>
      </c>
    </row>
    <row r="46" spans="1:32" s="4" customFormat="1" ht="23.25" customHeight="1" x14ac:dyDescent="0.35">
      <c r="A46" s="67" t="s">
        <v>20</v>
      </c>
      <c r="B46" s="68">
        <v>2.5</v>
      </c>
      <c r="C46" s="64"/>
      <c r="D46" s="69"/>
      <c r="E46" s="64"/>
      <c r="F46" s="64"/>
      <c r="G46" s="64">
        <v>14000</v>
      </c>
      <c r="H46" s="64"/>
      <c r="I46" s="62">
        <f t="shared" si="1"/>
        <v>14000</v>
      </c>
    </row>
    <row r="47" spans="1:32" s="4" customFormat="1" ht="20.25" hidden="1" customHeight="1" x14ac:dyDescent="0.35">
      <c r="A47" s="67" t="s">
        <v>59</v>
      </c>
      <c r="B47" s="68">
        <v>2.5</v>
      </c>
      <c r="C47" s="64"/>
      <c r="D47" s="64"/>
      <c r="E47" s="64"/>
      <c r="F47" s="64"/>
      <c r="G47" s="64"/>
      <c r="H47" s="64"/>
      <c r="I47" s="62">
        <f t="shared" si="1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hidden="1" customHeight="1" x14ac:dyDescent="0.35">
      <c r="A49" s="67" t="s">
        <v>21</v>
      </c>
      <c r="B49" s="68">
        <v>4</v>
      </c>
      <c r="C49" s="64"/>
      <c r="D49" s="64"/>
      <c r="E49" s="64"/>
      <c r="F49" s="64"/>
      <c r="G49" s="64"/>
      <c r="H49" s="64"/>
      <c r="I49" s="62">
        <f t="shared" si="1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hidden="1" customHeight="1" x14ac:dyDescent="0.35">
      <c r="A50" s="67" t="s">
        <v>64</v>
      </c>
      <c r="B50" s="68">
        <v>2.5</v>
      </c>
      <c r="C50" s="64"/>
      <c r="D50" s="64"/>
      <c r="E50" s="64"/>
      <c r="F50" s="64"/>
      <c r="G50" s="64"/>
      <c r="H50" s="64"/>
      <c r="I50" s="62">
        <f t="shared" si="1"/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67" t="s">
        <v>75</v>
      </c>
      <c r="B51" s="68">
        <v>2.5</v>
      </c>
      <c r="C51" s="142"/>
      <c r="D51" s="64"/>
      <c r="E51" s="72"/>
      <c r="F51" s="72">
        <v>7000</v>
      </c>
      <c r="G51" s="64"/>
      <c r="H51" s="64"/>
      <c r="I51" s="62">
        <f t="shared" si="1"/>
        <v>7000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/>
      <c r="D52" s="74">
        <v>14000</v>
      </c>
      <c r="E52" s="145"/>
      <c r="F52" s="72"/>
      <c r="G52" s="72">
        <v>14000</v>
      </c>
      <c r="H52" s="145"/>
      <c r="I52" s="62">
        <f t="shared" si="1"/>
        <v>28000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/>
      <c r="H54" s="72"/>
      <c r="I54" s="62">
        <f t="shared" si="1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17" t="s">
        <v>79</v>
      </c>
      <c r="B55" s="71">
        <v>2.8</v>
      </c>
      <c r="C55" s="64">
        <v>8000</v>
      </c>
      <c r="D55" s="80"/>
      <c r="E55" s="64">
        <v>4000</v>
      </c>
      <c r="F55" s="64"/>
      <c r="G55" s="64">
        <v>7000</v>
      </c>
      <c r="H55" s="64"/>
      <c r="I55" s="62">
        <f t="shared" si="1"/>
        <v>19000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74">
        <v>14000</v>
      </c>
      <c r="D56" s="155">
        <v>5000</v>
      </c>
      <c r="E56" s="145">
        <v>4000</v>
      </c>
      <c r="F56" s="145"/>
      <c r="G56" s="72">
        <v>14000</v>
      </c>
      <c r="H56" s="145">
        <v>5000</v>
      </c>
      <c r="I56" s="62">
        <f t="shared" si="1"/>
        <v>42000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62" t="s">
        <v>95</v>
      </c>
      <c r="B57" s="71"/>
      <c r="C57" s="74"/>
      <c r="D57" s="155"/>
      <c r="E57" s="83">
        <v>14000</v>
      </c>
      <c r="F57" s="145"/>
      <c r="G57" s="72"/>
      <c r="H57" s="145"/>
      <c r="I57" s="163">
        <f t="shared" si="1"/>
        <v>14000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72"/>
      <c r="D58" s="155">
        <v>10000</v>
      </c>
      <c r="E58" s="145">
        <v>10000</v>
      </c>
      <c r="F58" s="72"/>
      <c r="G58" s="145">
        <v>10000</v>
      </c>
      <c r="H58" s="145">
        <v>14000</v>
      </c>
      <c r="I58" s="62">
        <f t="shared" si="1"/>
        <v>44000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customHeight="1" x14ac:dyDescent="0.35">
      <c r="A59" s="162" t="s">
        <v>93</v>
      </c>
      <c r="B59" s="71">
        <v>2.8</v>
      </c>
      <c r="C59" s="145"/>
      <c r="D59" s="140">
        <v>13000</v>
      </c>
      <c r="E59" s="83">
        <v>13000</v>
      </c>
      <c r="F59" s="145"/>
      <c r="G59" s="145"/>
      <c r="H59" s="83">
        <v>8000</v>
      </c>
      <c r="I59" s="163">
        <f t="shared" si="1"/>
        <v>34000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customHeight="1" x14ac:dyDescent="0.35">
      <c r="A60" s="17" t="s">
        <v>92</v>
      </c>
      <c r="B60" s="71"/>
      <c r="C60" s="145"/>
      <c r="D60" s="82">
        <v>8000</v>
      </c>
      <c r="E60" s="64">
        <v>3000</v>
      </c>
      <c r="F60" s="145"/>
      <c r="G60" s="72"/>
      <c r="H60" s="64"/>
      <c r="I60" s="62">
        <f t="shared" si="1"/>
        <v>11000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/>
      <c r="D61" s="80">
        <v>18000</v>
      </c>
      <c r="E61" s="145">
        <v>5000</v>
      </c>
      <c r="F61" s="72">
        <v>21000</v>
      </c>
      <c r="G61" s="145">
        <v>9000</v>
      </c>
      <c r="H61" s="145"/>
      <c r="I61" s="62">
        <f t="shared" si="1"/>
        <v>53000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64"/>
      <c r="D63" s="82"/>
      <c r="E63" s="64"/>
      <c r="F63" s="145">
        <v>19000</v>
      </c>
      <c r="G63" s="64"/>
      <c r="H63" s="145"/>
      <c r="I63" s="62">
        <f t="shared" si="1"/>
        <v>19000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>
        <v>14000</v>
      </c>
      <c r="D65" s="80"/>
      <c r="E65" s="64"/>
      <c r="F65" s="72"/>
      <c r="G65" s="145"/>
      <c r="H65" s="145"/>
      <c r="I65" s="62">
        <f t="shared" si="1"/>
        <v>14000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72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23.25" customHeight="1" x14ac:dyDescent="0.3">
      <c r="A67" s="70" t="s">
        <v>32</v>
      </c>
      <c r="B67" s="71">
        <v>4</v>
      </c>
      <c r="C67" s="145">
        <v>7000</v>
      </c>
      <c r="D67" s="145"/>
      <c r="E67" s="145">
        <v>7000</v>
      </c>
      <c r="F67" s="145">
        <v>8000</v>
      </c>
      <c r="G67" s="72"/>
      <c r="H67" s="145"/>
      <c r="I67" s="62">
        <f t="shared" si="1"/>
        <v>22000</v>
      </c>
      <c r="L67" s="87"/>
      <c r="M67" s="87"/>
      <c r="N67" s="87"/>
      <c r="O67" s="87"/>
      <c r="P67" s="87"/>
      <c r="Q67" s="87"/>
      <c r="R67" s="87"/>
    </row>
    <row r="68" spans="1:27" ht="23.25" customHeight="1" x14ac:dyDescent="0.3">
      <c r="A68" s="162" t="s">
        <v>94</v>
      </c>
      <c r="B68" s="71">
        <v>4</v>
      </c>
      <c r="C68" s="64"/>
      <c r="D68" s="64"/>
      <c r="E68" s="64"/>
      <c r="F68" s="145"/>
      <c r="G68" s="64"/>
      <c r="H68" s="83">
        <v>6000</v>
      </c>
      <c r="I68" s="163">
        <f t="shared" si="1"/>
        <v>6000</v>
      </c>
      <c r="L68" s="87"/>
      <c r="M68" s="87"/>
      <c r="N68" s="87"/>
      <c r="O68" s="87"/>
      <c r="P68" s="87"/>
      <c r="Q68" s="87"/>
      <c r="R68" s="87"/>
    </row>
    <row r="69" spans="1:27" ht="23.25" hidden="1" customHeight="1" x14ac:dyDescent="0.3">
      <c r="A69" s="17" t="s">
        <v>71</v>
      </c>
      <c r="B69" s="71">
        <v>4</v>
      </c>
      <c r="C69" s="64"/>
      <c r="D69" s="64"/>
      <c r="E69" s="64"/>
      <c r="F69" s="145"/>
      <c r="G69" s="64"/>
      <c r="H69" s="64"/>
      <c r="I69" s="62">
        <f t="shared" si="1"/>
        <v>0</v>
      </c>
      <c r="L69" s="87"/>
      <c r="M69" s="87"/>
      <c r="N69" s="87"/>
      <c r="O69" s="87"/>
      <c r="P69" s="87"/>
      <c r="Q69" s="87"/>
      <c r="R69" s="87"/>
    </row>
    <row r="70" spans="1:27" ht="22.5" customHeight="1" x14ac:dyDescent="0.3">
      <c r="A70" s="70" t="s">
        <v>35</v>
      </c>
      <c r="B70" s="71">
        <v>4</v>
      </c>
      <c r="C70" s="64"/>
      <c r="D70" s="145">
        <v>8000</v>
      </c>
      <c r="E70" s="64"/>
      <c r="F70" s="145">
        <v>8000</v>
      </c>
      <c r="G70" s="145"/>
      <c r="H70" s="145"/>
      <c r="I70" s="62">
        <f t="shared" si="1"/>
        <v>16000</v>
      </c>
      <c r="L70" s="87"/>
      <c r="M70" s="87"/>
      <c r="N70" s="87"/>
      <c r="O70" s="87"/>
      <c r="P70" s="87"/>
      <c r="Q70" s="87"/>
      <c r="R70" s="87"/>
    </row>
    <row r="71" spans="1:27" s="4" customFormat="1" ht="19.149999999999999" customHeight="1" x14ac:dyDescent="0.35">
      <c r="A71" s="88" t="s">
        <v>36</v>
      </c>
      <c r="B71" s="89"/>
      <c r="C71" s="90">
        <v>3</v>
      </c>
      <c r="D71" s="90">
        <v>5</v>
      </c>
      <c r="E71" s="91">
        <v>3</v>
      </c>
      <c r="F71" s="90">
        <v>4</v>
      </c>
      <c r="G71" s="90"/>
      <c r="H71" s="90"/>
      <c r="I71" s="92"/>
    </row>
    <row r="72" spans="1:27" ht="24.75" customHeight="1" x14ac:dyDescent="0.25">
      <c r="A72" s="93" t="s">
        <v>37</v>
      </c>
      <c r="B72" s="94"/>
      <c r="C72" s="95">
        <f>C71+C40</f>
        <v>38.468000000000004</v>
      </c>
      <c r="D72" s="95">
        <f>D71+D40</f>
        <v>38.347999999999999</v>
      </c>
      <c r="E72" s="95">
        <f>E71+E40</f>
        <v>40.102666666666664</v>
      </c>
      <c r="F72" s="95">
        <f>F71+F40</f>
        <v>41.052666666666667</v>
      </c>
      <c r="G72" s="95"/>
      <c r="H72" s="95"/>
      <c r="I72" s="96"/>
      <c r="L72" s="87"/>
      <c r="M72" s="87"/>
      <c r="N72" s="87"/>
      <c r="O72" s="87"/>
      <c r="P72" s="87"/>
      <c r="Q72" s="87"/>
      <c r="R72" s="87"/>
    </row>
    <row r="73" spans="1:27" s="1" customFormat="1" ht="25.5" x14ac:dyDescent="0.35">
      <c r="A73" s="97"/>
      <c r="B73" s="98"/>
      <c r="C73" s="100"/>
      <c r="D73" s="33"/>
      <c r="E73" s="4"/>
      <c r="F73" s="4"/>
      <c r="G73" s="4"/>
      <c r="H73" s="4"/>
      <c r="I73" s="3"/>
      <c r="L73" s="87"/>
      <c r="M73" s="87"/>
      <c r="N73" s="87"/>
      <c r="O73" s="87"/>
      <c r="P73" s="87"/>
      <c r="Q73" s="87"/>
      <c r="R73" s="87"/>
      <c r="S73" s="3"/>
      <c r="T73" s="3"/>
      <c r="U73" s="3"/>
      <c r="V73" s="3"/>
      <c r="W73" s="3"/>
      <c r="X73" s="3"/>
      <c r="Y73" s="3"/>
      <c r="Z73" s="3"/>
      <c r="AA73" s="3"/>
    </row>
    <row r="74" spans="1:27" ht="25.5" x14ac:dyDescent="0.35">
      <c r="A74" s="101"/>
      <c r="B74" s="102"/>
      <c r="C74" s="104"/>
      <c r="E74" s="4"/>
      <c r="F74" s="4"/>
      <c r="G74" s="4"/>
      <c r="H74" s="4"/>
      <c r="J74" s="87"/>
      <c r="K74" s="87"/>
      <c r="L74" s="106"/>
      <c r="M74" s="106"/>
      <c r="N74" s="106"/>
      <c r="O74" s="106"/>
      <c r="P74" s="106"/>
      <c r="Q74" s="106"/>
      <c r="R74" s="106"/>
    </row>
    <row r="75" spans="1:27" ht="20.25" x14ac:dyDescent="0.25">
      <c r="A75" s="107"/>
      <c r="B75" s="108"/>
      <c r="C75" s="107"/>
      <c r="D75" s="105"/>
      <c r="E75" s="109"/>
      <c r="F75" s="110"/>
      <c r="G75" s="110"/>
      <c r="H75" s="110"/>
      <c r="I75" s="1"/>
      <c r="J75" s="87"/>
      <c r="K75" s="87"/>
      <c r="L75" s="111"/>
      <c r="M75" s="111"/>
      <c r="N75" s="111"/>
      <c r="O75" s="111"/>
      <c r="P75" s="111"/>
      <c r="Q75" s="111"/>
      <c r="R75" s="111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4"/>
      <c r="M77" s="114"/>
      <c r="N77" s="114"/>
      <c r="O77" s="114"/>
      <c r="P77" s="114"/>
      <c r="Q77" s="114"/>
      <c r="R77" s="114"/>
    </row>
    <row r="78" spans="1:27" x14ac:dyDescent="0.25">
      <c r="A78" s="112"/>
      <c r="B78" s="113"/>
      <c r="C78" s="112"/>
      <c r="D78" s="112"/>
      <c r="E78" s="112"/>
      <c r="F78" s="87"/>
      <c r="G78" s="87"/>
      <c r="H78" s="87"/>
      <c r="I78" s="87"/>
      <c r="J78" s="87"/>
      <c r="K78" s="87"/>
      <c r="L78" s="110"/>
      <c r="M78" s="110"/>
      <c r="N78" s="110"/>
      <c r="O78" s="110"/>
      <c r="P78" s="110"/>
      <c r="Q78" s="110"/>
      <c r="R78" s="110"/>
    </row>
    <row r="79" spans="1:27" x14ac:dyDescent="0.25"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27" ht="25.5" x14ac:dyDescent="0.35">
      <c r="A80" s="1"/>
      <c r="B80" s="2"/>
      <c r="C80" s="1"/>
      <c r="D80" s="1"/>
      <c r="E80" s="1"/>
      <c r="F80" s="87"/>
      <c r="G80" s="87"/>
      <c r="H80" s="87"/>
      <c r="I80" s="87"/>
      <c r="J80" s="106"/>
      <c r="K80" s="106"/>
      <c r="L80" s="110"/>
      <c r="M80" s="110"/>
      <c r="N80" s="110"/>
      <c r="O80" s="110"/>
      <c r="P80" s="110"/>
      <c r="Q80" s="110"/>
      <c r="R80" s="110"/>
    </row>
    <row r="81" spans="1:18" x14ac:dyDescent="0.25">
      <c r="A81" s="1"/>
      <c r="B81" s="2"/>
      <c r="C81" s="1"/>
      <c r="D81" s="1"/>
      <c r="E81" s="1"/>
      <c r="F81" s="87"/>
      <c r="G81" s="87"/>
      <c r="H81" s="87"/>
      <c r="I81" s="87"/>
      <c r="J81" s="111"/>
      <c r="K81" s="111"/>
      <c r="L81" s="110"/>
      <c r="M81" s="110"/>
      <c r="N81" s="110"/>
      <c r="O81" s="110"/>
      <c r="P81" s="110"/>
      <c r="Q81" s="110"/>
      <c r="R81" s="110"/>
    </row>
    <row r="82" spans="1:18" ht="25.5" x14ac:dyDescent="0.35">
      <c r="A82" s="181"/>
      <c r="B82" s="181"/>
      <c r="C82" s="181"/>
      <c r="D82" s="181"/>
      <c r="E82" s="181"/>
      <c r="F82" s="106"/>
      <c r="G82" s="106"/>
      <c r="H82" s="106"/>
      <c r="I82" s="106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11"/>
      <c r="B83" s="113"/>
      <c r="C83" s="111"/>
      <c r="D83" s="111"/>
      <c r="E83" s="111"/>
      <c r="F83" s="111"/>
      <c r="G83" s="111"/>
      <c r="H83" s="111"/>
      <c r="I83" s="111"/>
      <c r="J83" s="114"/>
      <c r="K83" s="114"/>
      <c r="L83" s="87"/>
      <c r="M83" s="87"/>
      <c r="N83" s="87"/>
      <c r="O83" s="87"/>
      <c r="P83" s="87"/>
      <c r="Q83" s="87"/>
      <c r="R83" s="87"/>
    </row>
    <row r="84" spans="1:18" x14ac:dyDescent="0.25">
      <c r="A84" s="182"/>
      <c r="B84" s="116"/>
      <c r="C84" s="114"/>
      <c r="D84" s="114"/>
      <c r="E84" s="114"/>
      <c r="F84" s="114"/>
      <c r="G84" s="114"/>
      <c r="H84" s="114"/>
      <c r="I84" s="114"/>
      <c r="J84" s="110"/>
      <c r="K84" s="110"/>
      <c r="L84" s="87"/>
      <c r="M84" s="87"/>
      <c r="N84" s="87"/>
      <c r="O84" s="87"/>
      <c r="P84" s="87"/>
      <c r="Q84" s="87"/>
      <c r="R84" s="87"/>
    </row>
    <row r="85" spans="1:18" x14ac:dyDescent="0.25">
      <c r="A85" s="182"/>
      <c r="B85" s="116"/>
      <c r="C85" s="114"/>
      <c r="D85" s="114"/>
      <c r="E85" s="114"/>
      <c r="F85" s="114"/>
      <c r="G85" s="114"/>
      <c r="H85" s="114"/>
      <c r="I85" s="114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110"/>
      <c r="K86" s="110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110"/>
      <c r="K87" s="110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110"/>
      <c r="G89" s="110"/>
      <c r="H89" s="110"/>
      <c r="I89" s="110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  <c r="J90" s="87"/>
      <c r="K90" s="87"/>
    </row>
    <row r="91" spans="1:18" x14ac:dyDescent="0.25">
      <c r="A91" s="112"/>
      <c r="B91" s="113"/>
      <c r="C91" s="112"/>
      <c r="D91" s="112"/>
      <c r="E91" s="112"/>
      <c r="F91" s="87"/>
      <c r="G91" s="87"/>
      <c r="H91" s="87"/>
      <c r="I91" s="87"/>
    </row>
    <row r="92" spans="1:18" x14ac:dyDescent="0.25">
      <c r="A92" s="1"/>
      <c r="B92" s="2"/>
      <c r="C92" s="1"/>
      <c r="D92" s="1"/>
      <c r="E92" s="1"/>
      <c r="F92" s="87"/>
      <c r="G92" s="87"/>
      <c r="H92" s="87"/>
      <c r="I92" s="87"/>
    </row>
  </sheetData>
  <mergeCells count="6">
    <mergeCell ref="A84:A85"/>
    <mergeCell ref="A2:I2"/>
    <mergeCell ref="A3:R3"/>
    <mergeCell ref="A4:R4"/>
    <mergeCell ref="M28:N29"/>
    <mergeCell ref="A82:E8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6D9E-1448-4ABB-88B8-03AF2462FFDB}">
  <dimension ref="A1:AA81"/>
  <sheetViews>
    <sheetView topLeftCell="A2" zoomScaleNormal="100" workbookViewId="0">
      <pane ySplit="4" topLeftCell="A18" activePane="bottomLeft" state="frozen"/>
      <selection activeCell="A2" sqref="A2"/>
      <selection pane="bottomLeft" activeCell="H33" sqref="H33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97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98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46111</v>
      </c>
      <c r="D5" s="7">
        <v>46112</v>
      </c>
      <c r="E5" s="7">
        <v>46113</v>
      </c>
      <c r="F5" s="7">
        <v>46114</v>
      </c>
      <c r="G5" s="7">
        <v>46115</v>
      </c>
      <c r="H5" s="7">
        <v>46116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>
        <v>14000</v>
      </c>
      <c r="D6" s="118"/>
      <c r="E6" s="119"/>
      <c r="F6" s="119">
        <v>14000</v>
      </c>
      <c r="G6" s="119"/>
      <c r="H6" s="119"/>
      <c r="I6" s="10">
        <f t="shared" ref="I6:I14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>
        <v>14130</v>
      </c>
      <c r="D7" s="14"/>
      <c r="E7" s="14"/>
      <c r="F7" s="14">
        <v>14250</v>
      </c>
      <c r="G7" s="14"/>
      <c r="H7" s="14"/>
      <c r="I7" s="15">
        <f t="shared" si="0"/>
        <v>28380</v>
      </c>
      <c r="J7" s="1"/>
      <c r="K7" s="11"/>
    </row>
    <row r="8" spans="1:18" s="12" customFormat="1" ht="21.75" customHeight="1" x14ac:dyDescent="0.25">
      <c r="A8" s="16" t="s">
        <v>4</v>
      </c>
      <c r="B8" s="18">
        <v>4</v>
      </c>
      <c r="C8" s="117">
        <v>15000</v>
      </c>
      <c r="D8" s="117"/>
      <c r="E8" s="117">
        <v>15000</v>
      </c>
      <c r="F8" s="117">
        <v>15000</v>
      </c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14970</v>
      </c>
      <c r="D9" s="14"/>
      <c r="E9" s="14">
        <v>14950</v>
      </c>
      <c r="F9" s="14">
        <v>14930</v>
      </c>
      <c r="G9" s="14"/>
      <c r="H9" s="14"/>
      <c r="I9" s="15">
        <f t="shared" si="0"/>
        <v>44850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7</v>
      </c>
      <c r="B12" s="18">
        <v>2.8</v>
      </c>
      <c r="C12" s="123">
        <v>14000</v>
      </c>
      <c r="D12" s="123"/>
      <c r="E12" s="123"/>
      <c r="F12" s="122"/>
      <c r="G12" s="123"/>
      <c r="H12" s="123"/>
      <c r="I12" s="20">
        <f t="shared" si="0"/>
        <v>14000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>
        <v>14000</v>
      </c>
      <c r="G14" s="123"/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>
        <v>14150</v>
      </c>
      <c r="E15" s="23"/>
      <c r="F15" s="23">
        <v>14440</v>
      </c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/>
      <c r="E16" s="121"/>
      <c r="F16" s="122"/>
      <c r="G16" s="122">
        <v>28000</v>
      </c>
      <c r="H16" s="122"/>
      <c r="I16" s="20">
        <f>SUM(C16:H16)</f>
        <v>28000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/>
      <c r="E17" s="23"/>
      <c r="F17" s="23"/>
      <c r="G17" s="23"/>
      <c r="H17" s="23">
        <v>28280</v>
      </c>
      <c r="I17" s="15">
        <f>SUM(C17:H17)</f>
        <v>28280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/>
      <c r="G18" s="121">
        <v>5000</v>
      </c>
      <c r="H18" s="121"/>
      <c r="I18" s="20">
        <f>SUM(C18:H18)</f>
        <v>5000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>
        <v>4850</v>
      </c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28000</v>
      </c>
      <c r="E20" s="27">
        <v>28000</v>
      </c>
      <c r="F20" s="27">
        <v>14000</v>
      </c>
      <c r="G20" s="27"/>
      <c r="H20" s="27"/>
      <c r="I20" s="20">
        <f t="shared" ref="I20:I33" si="1">SUM(C20:H20)</f>
        <v>112000</v>
      </c>
      <c r="K20" s="11"/>
    </row>
    <row r="21" spans="1:27" s="1" customFormat="1" ht="22.15" customHeight="1" x14ac:dyDescent="0.25">
      <c r="A21" s="28"/>
      <c r="B21" s="29"/>
      <c r="C21" s="24">
        <v>39530</v>
      </c>
      <c r="D21" s="24"/>
      <c r="E21" s="24">
        <v>41570</v>
      </c>
      <c r="F21" s="30"/>
      <c r="G21" s="156"/>
      <c r="H21" s="30">
        <v>29700</v>
      </c>
      <c r="I21" s="15">
        <f t="shared" si="1"/>
        <v>110800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62000</v>
      </c>
      <c r="D22" s="27">
        <v>87000</v>
      </c>
      <c r="E22" s="27">
        <v>44000</v>
      </c>
      <c r="F22" s="27">
        <v>59000</v>
      </c>
      <c r="G22" s="144">
        <v>29000</v>
      </c>
      <c r="H22" s="144"/>
      <c r="I22" s="20">
        <f t="shared" si="1"/>
        <v>281000</v>
      </c>
      <c r="K22" s="11"/>
    </row>
    <row r="23" spans="1:27" s="1" customFormat="1" ht="22.15" customHeight="1" x14ac:dyDescent="0.25">
      <c r="A23" s="28"/>
      <c r="B23" s="29"/>
      <c r="C23" s="24">
        <f>56180+31610</f>
        <v>87790</v>
      </c>
      <c r="D23" s="24">
        <v>28670</v>
      </c>
      <c r="E23" s="24">
        <v>28270</v>
      </c>
      <c r="F23" s="30">
        <v>101940</v>
      </c>
      <c r="G23" s="30"/>
      <c r="H23" s="30">
        <f>21280+5500</f>
        <v>26780</v>
      </c>
      <c r="I23" s="15">
        <f t="shared" si="1"/>
        <v>273450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29000</v>
      </c>
      <c r="D24" s="27">
        <v>31000</v>
      </c>
      <c r="E24" s="27">
        <v>14000</v>
      </c>
      <c r="F24" s="27">
        <v>14000</v>
      </c>
      <c r="G24" s="144">
        <v>73000</v>
      </c>
      <c r="H24" s="144"/>
      <c r="I24" s="31">
        <f t="shared" si="1"/>
        <v>161000</v>
      </c>
      <c r="J24" s="32"/>
      <c r="K24" s="11"/>
    </row>
    <row r="25" spans="1:27" s="33" customFormat="1" ht="22.15" customHeight="1" x14ac:dyDescent="0.25">
      <c r="A25" s="28"/>
      <c r="B25" s="29"/>
      <c r="C25" s="24">
        <v>15420</v>
      </c>
      <c r="D25" s="24">
        <v>56920</v>
      </c>
      <c r="E25" s="24">
        <v>30080</v>
      </c>
      <c r="F25" s="30">
        <v>27990</v>
      </c>
      <c r="G25" s="30">
        <v>17460</v>
      </c>
      <c r="H25" s="30"/>
      <c r="I25" s="15">
        <f t="shared" si="1"/>
        <v>147870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73000</v>
      </c>
      <c r="D26" s="125">
        <v>58000</v>
      </c>
      <c r="E26" s="125">
        <v>61000</v>
      </c>
      <c r="F26" s="125">
        <v>70000</v>
      </c>
      <c r="G26" s="144">
        <v>14000</v>
      </c>
      <c r="H26" s="144">
        <v>45000</v>
      </c>
      <c r="I26" s="31">
        <f t="shared" si="1"/>
        <v>321000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f>14810+28160</f>
        <v>42970</v>
      </c>
      <c r="D27" s="24">
        <v>62510</v>
      </c>
      <c r="E27" s="24">
        <v>54750</v>
      </c>
      <c r="F27" s="30">
        <v>88740</v>
      </c>
      <c r="G27" s="30">
        <v>41640</v>
      </c>
      <c r="H27" s="30">
        <v>58720</v>
      </c>
      <c r="I27" s="15">
        <f t="shared" si="1"/>
        <v>349330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250000</v>
      </c>
      <c r="D28" s="27">
        <v>234000</v>
      </c>
      <c r="E28" s="27">
        <v>330000</v>
      </c>
      <c r="F28" s="27">
        <v>256000</v>
      </c>
      <c r="G28" s="144">
        <v>322000</v>
      </c>
      <c r="H28" s="144">
        <v>180000</v>
      </c>
      <c r="I28" s="31">
        <f t="shared" si="1"/>
        <v>1572000</v>
      </c>
      <c r="J28" s="1"/>
    </row>
    <row r="29" spans="1:27" s="4" customFormat="1" ht="21.75" customHeight="1" x14ac:dyDescent="0.35">
      <c r="A29" s="39"/>
      <c r="B29" s="40"/>
      <c r="C29" s="24">
        <f>222760+26010</f>
        <v>248770</v>
      </c>
      <c r="D29" s="24">
        <v>172710</v>
      </c>
      <c r="E29" s="24">
        <v>267240</v>
      </c>
      <c r="F29" s="30">
        <v>285000</v>
      </c>
      <c r="G29" s="30">
        <v>341950</v>
      </c>
      <c r="H29" s="30">
        <v>204140</v>
      </c>
      <c r="I29" s="15">
        <f t="shared" si="1"/>
        <v>1519810</v>
      </c>
    </row>
    <row r="30" spans="1:27" s="4" customFormat="1" ht="21" customHeight="1" x14ac:dyDescent="0.35">
      <c r="A30" s="25" t="s">
        <v>52</v>
      </c>
      <c r="B30" s="26">
        <v>4</v>
      </c>
      <c r="C30" s="27">
        <v>65000</v>
      </c>
      <c r="D30" s="27">
        <v>46000</v>
      </c>
      <c r="E30" s="27">
        <v>93000</v>
      </c>
      <c r="F30" s="27">
        <v>90000</v>
      </c>
      <c r="G30" s="144">
        <v>93000</v>
      </c>
      <c r="H30" s="144">
        <v>69000</v>
      </c>
      <c r="I30" s="31">
        <f t="shared" si="1"/>
        <v>456000</v>
      </c>
    </row>
    <row r="31" spans="1:27" s="4" customFormat="1" ht="20.45" customHeight="1" x14ac:dyDescent="0.35">
      <c r="A31" s="49"/>
      <c r="B31" s="50"/>
      <c r="C31" s="51">
        <f>44670+20980</f>
        <v>65650</v>
      </c>
      <c r="D31" s="51">
        <v>61180</v>
      </c>
      <c r="E31" s="51">
        <v>75620</v>
      </c>
      <c r="F31" s="51">
        <v>57410</v>
      </c>
      <c r="G31" s="52">
        <v>93190</v>
      </c>
      <c r="H31" s="51">
        <f>14380+23550</f>
        <v>37930</v>
      </c>
      <c r="I31" s="15">
        <f t="shared" si="1"/>
        <v>390980</v>
      </c>
    </row>
    <row r="32" spans="1:27" s="4" customFormat="1" ht="20.45" customHeight="1" x14ac:dyDescent="0.35">
      <c r="A32" s="126" t="s">
        <v>15</v>
      </c>
      <c r="B32" s="127">
        <v>4</v>
      </c>
      <c r="C32" s="160"/>
      <c r="D32" s="136"/>
      <c r="E32" s="129">
        <v>28000</v>
      </c>
      <c r="F32" s="129"/>
      <c r="G32" s="158"/>
      <c r="H32" s="129">
        <v>36000</v>
      </c>
      <c r="I32" s="130">
        <f t="shared" si="1"/>
        <v>64000</v>
      </c>
    </row>
    <row r="33" spans="1:27" s="4" customFormat="1" ht="20.45" customHeight="1" x14ac:dyDescent="0.35">
      <c r="A33" s="49"/>
      <c r="B33" s="50"/>
      <c r="C33" s="51"/>
      <c r="D33" s="51"/>
      <c r="E33" s="143">
        <v>13230</v>
      </c>
      <c r="F33" s="51"/>
      <c r="G33" s="52"/>
      <c r="H33" s="51">
        <v>36120</v>
      </c>
      <c r="I33" s="15">
        <f t="shared" si="1"/>
        <v>49350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36.6</v>
      </c>
      <c r="D34" s="58">
        <f t="shared" ref="D34:F34" si="2">(D6+D10+D12+D16+D18+D18+D20+D22++D24+D26+D28+D30+D32)/15000</f>
        <v>32.266666666666666</v>
      </c>
      <c r="E34" s="58">
        <f>(E6+E10+E12+E16+E18+E18+E20+E22++E24+E26+E28+E30+E32)/15000</f>
        <v>39.866666666666667</v>
      </c>
      <c r="F34" s="58">
        <f t="shared" si="2"/>
        <v>34.466666666666669</v>
      </c>
      <c r="G34" s="58">
        <f>(G6+G10+G12+G16+G18+G18+G20+G22++G24+G26+G28+G30+G32)/15000</f>
        <v>37.93333333333333</v>
      </c>
      <c r="H34" s="58">
        <f>(H6+H10+H12+H16+H18+H18+H20+H22++H24+H26+H28+H30+H32)/15000</f>
        <v>22</v>
      </c>
      <c r="I34" s="59"/>
    </row>
    <row r="35" spans="1:27" s="4" customFormat="1" ht="20.45" customHeight="1" x14ac:dyDescent="0.35">
      <c r="A35" s="17" t="s">
        <v>96</v>
      </c>
      <c r="B35" s="60" t="s">
        <v>83</v>
      </c>
      <c r="C35" s="159">
        <v>15000</v>
      </c>
      <c r="D35" s="159"/>
      <c r="E35" s="159">
        <v>15000</v>
      </c>
      <c r="F35" s="159"/>
      <c r="G35" s="159">
        <v>15000</v>
      </c>
      <c r="H35" s="159"/>
      <c r="I35" s="62">
        <f t="shared" ref="I35:I36" si="3">SUM(C35:H35)</f>
        <v>45000</v>
      </c>
    </row>
    <row r="36" spans="1:27" s="4" customFormat="1" ht="20.45" customHeight="1" x14ac:dyDescent="0.35">
      <c r="A36" s="17" t="s">
        <v>91</v>
      </c>
      <c r="B36" s="60" t="s">
        <v>83</v>
      </c>
      <c r="C36" s="159"/>
      <c r="D36" s="159">
        <v>12000</v>
      </c>
      <c r="E36" s="159"/>
      <c r="F36" s="159"/>
      <c r="G36" s="159"/>
      <c r="H36" s="159"/>
      <c r="I36" s="62">
        <f t="shared" si="3"/>
        <v>12000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/>
      <c r="F37" s="61">
        <v>15000</v>
      </c>
      <c r="G37" s="61">
        <v>15000</v>
      </c>
      <c r="H37" s="61">
        <v>15000</v>
      </c>
      <c r="I37" s="62">
        <f>SUM(C37:H37)</f>
        <v>75000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>
        <v>14000</v>
      </c>
      <c r="F38" s="64"/>
      <c r="G38" s="145"/>
      <c r="H38" s="64">
        <v>14000</v>
      </c>
      <c r="I38" s="62">
        <f t="shared" ref="I38:I59" si="4">SUM(C38:H38)</f>
        <v>28000</v>
      </c>
    </row>
    <row r="39" spans="1:27" s="4" customFormat="1" ht="23.25" customHeight="1" x14ac:dyDescent="0.35">
      <c r="A39" s="67" t="s">
        <v>20</v>
      </c>
      <c r="B39" s="68">
        <v>2.5</v>
      </c>
      <c r="C39" s="64"/>
      <c r="D39" s="64"/>
      <c r="E39" s="64">
        <v>14000</v>
      </c>
      <c r="F39" s="69">
        <v>14000</v>
      </c>
      <c r="G39" s="64"/>
      <c r="H39" s="64"/>
      <c r="I39" s="62">
        <f t="shared" si="4"/>
        <v>28000</v>
      </c>
    </row>
    <row r="40" spans="1:27" s="4" customFormat="1" ht="20.25" customHeight="1" x14ac:dyDescent="0.35">
      <c r="A40" s="67" t="s">
        <v>101</v>
      </c>
      <c r="B40" s="68" t="s">
        <v>19</v>
      </c>
      <c r="C40" s="145">
        <v>15000</v>
      </c>
      <c r="D40" s="64"/>
      <c r="E40" s="64"/>
      <c r="F40" s="64"/>
      <c r="G40" s="145">
        <v>15000</v>
      </c>
      <c r="H40" s="64"/>
      <c r="I40" s="62">
        <f t="shared" si="4"/>
        <v>30000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hidden="1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/>
      <c r="I41" s="62">
        <f t="shared" si="4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67" t="s">
        <v>76</v>
      </c>
      <c r="B42" s="68">
        <v>2.5</v>
      </c>
      <c r="C42" s="64">
        <v>4000</v>
      </c>
      <c r="D42" s="64"/>
      <c r="E42" s="142"/>
      <c r="F42" s="64"/>
      <c r="G42" s="64"/>
      <c r="H42" s="64"/>
      <c r="I42" s="62">
        <f t="shared" si="4"/>
        <v>4000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customHeight="1" x14ac:dyDescent="0.35">
      <c r="A43" s="65" t="s">
        <v>75</v>
      </c>
      <c r="B43" s="68">
        <v>2.5</v>
      </c>
      <c r="C43" s="72"/>
      <c r="D43" s="72"/>
      <c r="E43" s="72">
        <v>7000</v>
      </c>
      <c r="F43" s="72"/>
      <c r="G43" s="72">
        <v>10000</v>
      </c>
      <c r="H43" s="72"/>
      <c r="I43" s="62">
        <f t="shared" si="4"/>
        <v>17000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14000</v>
      </c>
      <c r="D44" s="145"/>
      <c r="E44" s="81"/>
      <c r="F44" s="74">
        <v>14000</v>
      </c>
      <c r="G44" s="72"/>
      <c r="H44" s="145">
        <v>4000</v>
      </c>
      <c r="I44" s="62">
        <f t="shared" si="4"/>
        <v>32000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customHeight="1" x14ac:dyDescent="0.35">
      <c r="A45" s="17" t="s">
        <v>24</v>
      </c>
      <c r="B45" s="71">
        <v>2.8</v>
      </c>
      <c r="C45" s="75">
        <v>6000</v>
      </c>
      <c r="D45" s="141"/>
      <c r="E45" s="76"/>
      <c r="F45" s="77"/>
      <c r="G45" s="75"/>
      <c r="H45" s="75"/>
      <c r="I45" s="62">
        <f t="shared" si="4"/>
        <v>6000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17" t="s">
        <v>79</v>
      </c>
      <c r="B47" s="71">
        <v>2.8</v>
      </c>
      <c r="C47" s="64"/>
      <c r="D47" s="145"/>
      <c r="E47" s="64"/>
      <c r="F47" s="80"/>
      <c r="G47" s="64"/>
      <c r="H47" s="64"/>
      <c r="I47" s="62">
        <f t="shared" si="4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64"/>
      <c r="D48" s="145">
        <v>13000</v>
      </c>
      <c r="E48" s="165">
        <v>10000</v>
      </c>
      <c r="F48" s="155"/>
      <c r="G48" s="145">
        <v>5000</v>
      </c>
      <c r="H48" s="145">
        <v>6000</v>
      </c>
      <c r="I48" s="62">
        <f t="shared" si="4"/>
        <v>34000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72">
        <v>14000</v>
      </c>
      <c r="D49" s="145">
        <v>32000</v>
      </c>
      <c r="E49" s="145">
        <v>9000</v>
      </c>
      <c r="F49" s="155">
        <v>8000</v>
      </c>
      <c r="G49" s="72"/>
      <c r="H49" s="145">
        <v>13000</v>
      </c>
      <c r="I49" s="62">
        <f t="shared" si="4"/>
        <v>76000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hidden="1" customHeight="1" x14ac:dyDescent="0.35">
      <c r="A50" s="70" t="s">
        <v>28</v>
      </c>
      <c r="B50" s="71">
        <v>2.8</v>
      </c>
      <c r="C50" s="64"/>
      <c r="D50" s="64"/>
      <c r="E50" s="64"/>
      <c r="F50" s="82"/>
      <c r="G50" s="145"/>
      <c r="H50" s="64"/>
      <c r="I50" s="62">
        <f t="shared" si="4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>
        <v>15000</v>
      </c>
      <c r="D51" s="145"/>
      <c r="E51" s="72">
        <v>21000</v>
      </c>
      <c r="F51" s="80"/>
      <c r="G51" s="145">
        <v>10000</v>
      </c>
      <c r="H51" s="145">
        <v>10000</v>
      </c>
      <c r="I51" s="62">
        <f t="shared" si="4"/>
        <v>56000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hidden="1" customHeight="1" x14ac:dyDescent="0.3">
      <c r="A52" s="70">
        <v>553</v>
      </c>
      <c r="B52" s="71">
        <v>2.8</v>
      </c>
      <c r="C52" s="64"/>
      <c r="D52" s="145"/>
      <c r="E52" s="64"/>
      <c r="F52" s="80"/>
      <c r="G52" s="83"/>
      <c r="H52" s="64"/>
      <c r="I52" s="62">
        <f t="shared" si="4"/>
        <v>0</v>
      </c>
    </row>
    <row r="53" spans="1:27" s="1" customFormat="1" ht="21" customHeight="1" x14ac:dyDescent="0.3">
      <c r="A53" s="70" t="s">
        <v>77</v>
      </c>
      <c r="B53" s="71">
        <v>4</v>
      </c>
      <c r="C53" s="72"/>
      <c r="D53" s="72"/>
      <c r="E53" s="72"/>
      <c r="F53" s="155">
        <v>19000</v>
      </c>
      <c r="G53" s="72">
        <v>9000</v>
      </c>
      <c r="H53" s="72"/>
      <c r="I53" s="62">
        <f t="shared" si="4"/>
        <v>28000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customHeight="1" x14ac:dyDescent="0.3">
      <c r="A54" s="17" t="s">
        <v>99</v>
      </c>
      <c r="B54" s="71">
        <v>4</v>
      </c>
      <c r="C54" s="64">
        <v>4000</v>
      </c>
      <c r="D54" s="64"/>
      <c r="E54" s="64"/>
      <c r="F54" s="82"/>
      <c r="G54" s="64"/>
      <c r="H54" s="72"/>
      <c r="I54" s="62">
        <f t="shared" si="4"/>
        <v>4000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>
        <v>14000</v>
      </c>
      <c r="G55" s="72"/>
      <c r="H55" s="145"/>
      <c r="I55" s="62">
        <f t="shared" si="4"/>
        <v>14000</v>
      </c>
      <c r="L55" s="87"/>
      <c r="M55" s="87"/>
      <c r="N55" s="87"/>
      <c r="O55" s="87"/>
      <c r="P55" s="87"/>
      <c r="Q55" s="87"/>
      <c r="R55" s="87"/>
    </row>
    <row r="56" spans="1:27" ht="23.25" hidden="1" customHeight="1" x14ac:dyDescent="0.3">
      <c r="A56" s="70" t="s">
        <v>32</v>
      </c>
      <c r="B56" s="71">
        <v>4</v>
      </c>
      <c r="C56" s="64"/>
      <c r="D56" s="64"/>
      <c r="E56" s="145"/>
      <c r="F56" s="64"/>
      <c r="G56" s="145"/>
      <c r="H56" s="145"/>
      <c r="I56" s="62">
        <f t="shared" si="4"/>
        <v>0</v>
      </c>
      <c r="L56" s="87"/>
      <c r="M56" s="87"/>
      <c r="N56" s="87"/>
      <c r="O56" s="87"/>
      <c r="P56" s="87"/>
      <c r="Q56" s="87"/>
      <c r="R56" s="87"/>
    </row>
    <row r="57" spans="1:27" ht="23.25" customHeight="1" x14ac:dyDescent="0.3">
      <c r="A57" s="17" t="s">
        <v>94</v>
      </c>
      <c r="B57" s="71">
        <v>4</v>
      </c>
      <c r="C57" s="64">
        <v>4000</v>
      </c>
      <c r="D57" s="64"/>
      <c r="E57" s="64"/>
      <c r="F57" s="64"/>
      <c r="G57" s="64">
        <v>4000</v>
      </c>
      <c r="H57" s="64"/>
      <c r="I57" s="62">
        <f t="shared" si="4"/>
        <v>8000</v>
      </c>
      <c r="L57" s="87"/>
      <c r="M57" s="87"/>
      <c r="N57" s="87"/>
      <c r="O57" s="87"/>
      <c r="P57" s="87"/>
      <c r="Q57" s="87"/>
      <c r="R57" s="87"/>
    </row>
    <row r="58" spans="1:27" ht="23.25" customHeight="1" x14ac:dyDescent="0.3">
      <c r="A58" s="17" t="s">
        <v>100</v>
      </c>
      <c r="B58" s="71">
        <v>4</v>
      </c>
      <c r="C58" s="64"/>
      <c r="D58" s="64"/>
      <c r="E58" s="64"/>
      <c r="F58" s="64"/>
      <c r="G58" s="64">
        <v>4000</v>
      </c>
      <c r="H58" s="64"/>
      <c r="I58" s="62">
        <f t="shared" si="4"/>
        <v>4000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>
        <v>8000</v>
      </c>
      <c r="D59" s="64"/>
      <c r="E59" s="145"/>
      <c r="F59" s="145">
        <v>6000</v>
      </c>
      <c r="G59" s="145"/>
      <c r="H59" s="75"/>
      <c r="I59" s="62">
        <f t="shared" si="4"/>
        <v>14000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39.6</v>
      </c>
      <c r="D61" s="95"/>
      <c r="E61" s="95">
        <f>E60+E34</f>
        <v>42.866666666666667</v>
      </c>
      <c r="F61" s="95">
        <f>F60+F34</f>
        <v>39.466666666666669</v>
      </c>
      <c r="G61" s="95">
        <f>G60+G34</f>
        <v>40.93333333333333</v>
      </c>
      <c r="H61" s="95">
        <f>H60+H34</f>
        <v>26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81"/>
      <c r="B71" s="181"/>
      <c r="C71" s="181"/>
      <c r="D71" s="181"/>
      <c r="E71" s="181"/>
      <c r="F71" s="181"/>
      <c r="G71" s="181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82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82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05A7-9304-4C61-AD1D-6D5E2BA5AF82}">
  <dimension ref="A1:AF92"/>
  <sheetViews>
    <sheetView topLeftCell="A2" workbookViewId="0">
      <pane ySplit="4" topLeftCell="A6" activePane="bottomLeft" state="frozen"/>
      <selection activeCell="A2" sqref="A2"/>
      <selection pane="bottomLeft" activeCell="H37" sqref="H3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88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89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46118</v>
      </c>
      <c r="D5" s="7">
        <v>46119</v>
      </c>
      <c r="E5" s="7">
        <v>46120</v>
      </c>
      <c r="F5" s="7">
        <v>46121</v>
      </c>
      <c r="G5" s="7">
        <v>46122</v>
      </c>
      <c r="H5" s="7">
        <v>46123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9">
        <v>14000</v>
      </c>
      <c r="D6" s="119"/>
      <c r="E6" s="119">
        <v>14000</v>
      </c>
      <c r="F6" s="119">
        <v>14000</v>
      </c>
      <c r="G6" s="119"/>
      <c r="H6" s="119"/>
      <c r="I6" s="10">
        <f t="shared" ref="I6:I39" si="0">SUM(C6:H6)</f>
        <v>42000</v>
      </c>
      <c r="J6" s="1"/>
      <c r="K6" s="11"/>
    </row>
    <row r="7" spans="1:18" s="12" customFormat="1" ht="22.5" customHeight="1" x14ac:dyDescent="0.25">
      <c r="A7" s="5"/>
      <c r="B7" s="13"/>
      <c r="C7" s="14">
        <v>14270</v>
      </c>
      <c r="D7" s="14"/>
      <c r="E7" s="14">
        <v>14120</v>
      </c>
      <c r="F7" s="14">
        <v>14140</v>
      </c>
      <c r="G7" s="14"/>
      <c r="H7" s="14"/>
      <c r="I7" s="15">
        <f t="shared" si="0"/>
        <v>42530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15000</v>
      </c>
      <c r="D8" s="161"/>
      <c r="E8" s="161">
        <v>15000</v>
      </c>
      <c r="F8" s="117">
        <v>15000</v>
      </c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14540</v>
      </c>
      <c r="D9" s="14"/>
      <c r="E9" s="14">
        <v>14790</v>
      </c>
      <c r="F9" s="14">
        <v>14500</v>
      </c>
      <c r="G9" s="14"/>
      <c r="H9" s="14"/>
      <c r="I9" s="15">
        <f t="shared" si="0"/>
        <v>43830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>
        <v>16000</v>
      </c>
      <c r="I12" s="20">
        <f t="shared" si="0"/>
        <v>16000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>
        <v>14090</v>
      </c>
      <c r="I13" s="15">
        <f t="shared" si="0"/>
        <v>14090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/>
      <c r="D14" s="19">
        <v>14000</v>
      </c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>
        <v>14670</v>
      </c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/>
      <c r="D16" s="19"/>
      <c r="E16" s="122"/>
      <c r="F16" s="19">
        <v>9000</v>
      </c>
      <c r="G16" s="19"/>
      <c r="H16" s="19"/>
      <c r="I16" s="20">
        <f t="shared" si="0"/>
        <v>9000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135"/>
      <c r="G17" s="23">
        <v>9540</v>
      </c>
      <c r="H17" s="23"/>
      <c r="I17" s="15">
        <f t="shared" si="0"/>
        <v>9540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/>
      <c r="F22" s="150"/>
      <c r="G22" s="150">
        <v>26000</v>
      </c>
      <c r="H22" s="150">
        <v>14000</v>
      </c>
      <c r="I22" s="20">
        <f t="shared" si="0"/>
        <v>40000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/>
      <c r="F23" s="23"/>
      <c r="G23" s="23">
        <v>26020</v>
      </c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149000</v>
      </c>
      <c r="D24" s="27">
        <v>85000</v>
      </c>
      <c r="E24" s="27">
        <v>72000</v>
      </c>
      <c r="F24" s="27">
        <v>73000</v>
      </c>
      <c r="G24" s="27">
        <v>43000</v>
      </c>
      <c r="H24" s="27"/>
      <c r="I24" s="20">
        <f t="shared" si="0"/>
        <v>422000</v>
      </c>
      <c r="K24" s="11"/>
    </row>
    <row r="25" spans="1:32" s="1" customFormat="1" ht="22.15" customHeight="1" x14ac:dyDescent="0.25">
      <c r="A25" s="28"/>
      <c r="B25" s="29"/>
      <c r="C25" s="24">
        <v>115220</v>
      </c>
      <c r="D25" s="30">
        <v>115950</v>
      </c>
      <c r="E25" s="30">
        <v>14030</v>
      </c>
      <c r="F25" s="30">
        <v>71220</v>
      </c>
      <c r="G25" s="30">
        <v>43760</v>
      </c>
      <c r="H25" s="30">
        <v>4780</v>
      </c>
      <c r="I25" s="15">
        <f t="shared" si="0"/>
        <v>364960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86000</v>
      </c>
      <c r="D26" s="27">
        <v>62000</v>
      </c>
      <c r="E26" s="27">
        <v>42000</v>
      </c>
      <c r="F26" s="27">
        <v>87000</v>
      </c>
      <c r="G26" s="27">
        <v>100000</v>
      </c>
      <c r="H26" s="27">
        <v>15000</v>
      </c>
      <c r="I26" s="31">
        <f>SUM(C26:H26)</f>
        <v>392000</v>
      </c>
      <c r="J26" s="32"/>
      <c r="K26" s="11"/>
    </row>
    <row r="27" spans="1:32" s="33" customFormat="1" ht="22.15" customHeight="1" x14ac:dyDescent="0.25">
      <c r="A27" s="28"/>
      <c r="B27" s="29"/>
      <c r="C27" s="24">
        <f>62590+8410</f>
        <v>71000</v>
      </c>
      <c r="D27" s="30">
        <v>31160</v>
      </c>
      <c r="E27" s="30">
        <v>53190</v>
      </c>
      <c r="F27" s="30">
        <v>34640</v>
      </c>
      <c r="G27" s="30">
        <v>58230</v>
      </c>
      <c r="H27" s="30">
        <v>56640</v>
      </c>
      <c r="I27" s="15">
        <f t="shared" si="0"/>
        <v>304860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f>50000+60000+167000</f>
        <v>277000</v>
      </c>
      <c r="D34" s="27">
        <v>277000</v>
      </c>
      <c r="E34" s="27">
        <f>60000+263000</f>
        <v>323000</v>
      </c>
      <c r="F34" s="27">
        <f>33000+267000</f>
        <v>300000</v>
      </c>
      <c r="G34" s="27">
        <f>16000+30000+247000</f>
        <v>293000</v>
      </c>
      <c r="H34" s="27">
        <f>16000+150000</f>
        <v>166000</v>
      </c>
      <c r="I34" s="31">
        <f t="shared" si="0"/>
        <v>1636000</v>
      </c>
      <c r="J34" s="1"/>
    </row>
    <row r="35" spans="1:32" s="4" customFormat="1" ht="21.75" customHeight="1" x14ac:dyDescent="0.35">
      <c r="A35" s="39"/>
      <c r="B35" s="40"/>
      <c r="C35" s="24">
        <v>320440</v>
      </c>
      <c r="D35" s="30">
        <v>276800</v>
      </c>
      <c r="E35" s="30">
        <v>222580</v>
      </c>
      <c r="F35" s="30">
        <v>248410</v>
      </c>
      <c r="G35" s="30">
        <v>153880</v>
      </c>
      <c r="H35" s="30">
        <v>116110</v>
      </c>
      <c r="I35" s="15">
        <f t="shared" si="0"/>
        <v>1338220</v>
      </c>
    </row>
    <row r="36" spans="1:32" s="4" customFormat="1" ht="21" customHeight="1" x14ac:dyDescent="0.35">
      <c r="A36" s="25" t="s">
        <v>14</v>
      </c>
      <c r="B36" s="26">
        <v>4</v>
      </c>
      <c r="C36" s="27"/>
      <c r="D36" s="27">
        <f>16000+59000</f>
        <v>75000</v>
      </c>
      <c r="E36" s="27">
        <f>33000+13000+134000</f>
        <v>180000</v>
      </c>
      <c r="F36" s="27">
        <f>16000+90000</f>
        <v>106000</v>
      </c>
      <c r="G36" s="27">
        <f>30000+119000</f>
        <v>149000</v>
      </c>
      <c r="H36" s="27">
        <v>47000</v>
      </c>
      <c r="I36" s="31">
        <f>SUM(C36:H36)</f>
        <v>557000</v>
      </c>
    </row>
    <row r="37" spans="1:32" s="4" customFormat="1" ht="20.45" customHeight="1" x14ac:dyDescent="0.35">
      <c r="A37" s="49"/>
      <c r="B37" s="148"/>
      <c r="C37" s="157">
        <f>30070+30190</f>
        <v>60260</v>
      </c>
      <c r="D37" s="157">
        <v>30790</v>
      </c>
      <c r="E37" s="164">
        <v>89400</v>
      </c>
      <c r="F37" s="157">
        <v>104510</v>
      </c>
      <c r="G37" s="157">
        <v>43290</v>
      </c>
      <c r="H37" s="157">
        <v>59880</v>
      </c>
      <c r="I37" s="15">
        <f t="shared" si="0"/>
        <v>388130</v>
      </c>
    </row>
    <row r="38" spans="1:32" s="4" customFormat="1" ht="20.45" customHeight="1" x14ac:dyDescent="0.35">
      <c r="A38" s="53" t="s">
        <v>15</v>
      </c>
      <c r="B38" s="54">
        <v>4</v>
      </c>
      <c r="C38" s="55"/>
      <c r="D38" s="55">
        <v>13000</v>
      </c>
      <c r="E38" s="55"/>
      <c r="F38" s="55">
        <v>14000</v>
      </c>
      <c r="G38" s="55"/>
      <c r="H38" s="55">
        <v>13000</v>
      </c>
      <c r="I38" s="31">
        <f t="shared" si="0"/>
        <v>40000</v>
      </c>
    </row>
    <row r="39" spans="1:32" s="4" customFormat="1" ht="20.45" customHeight="1" x14ac:dyDescent="0.35">
      <c r="A39" s="49"/>
      <c r="B39" s="50"/>
      <c r="C39" s="51"/>
      <c r="D39" s="51"/>
      <c r="E39" s="52"/>
      <c r="F39" s="51">
        <v>13540</v>
      </c>
      <c r="G39" s="51"/>
      <c r="H39" s="51"/>
      <c r="I39" s="15">
        <f t="shared" si="0"/>
        <v>13540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38.150666666666666</v>
      </c>
      <c r="D40" s="58">
        <f>(D12+D24+D26+D34+D37)/15000</f>
        <v>30.319333333333333</v>
      </c>
      <c r="E40" s="58">
        <f>(E12+E24+E26+E34+E37)/15000</f>
        <v>35.093333333333334</v>
      </c>
      <c r="F40" s="58">
        <f>(F12+F24+F26+F34+F37)/15000</f>
        <v>37.634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70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/>
      <c r="D42" s="145">
        <v>12000</v>
      </c>
      <c r="E42" s="145"/>
      <c r="F42" s="145"/>
      <c r="G42" s="145"/>
      <c r="H42" s="145"/>
      <c r="I42" s="62">
        <f t="shared" si="1"/>
        <v>12000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15000</v>
      </c>
      <c r="D43" s="145"/>
      <c r="E43" s="145">
        <v>15000</v>
      </c>
      <c r="F43" s="145"/>
      <c r="G43" s="145"/>
      <c r="H43" s="145">
        <v>15000</v>
      </c>
      <c r="I43" s="62">
        <f t="shared" si="1"/>
        <v>45000</v>
      </c>
    </row>
    <row r="44" spans="1:32" s="4" customFormat="1" ht="21" customHeight="1" x14ac:dyDescent="0.35">
      <c r="A44" s="17" t="s">
        <v>78</v>
      </c>
      <c r="B44" s="60">
        <v>4</v>
      </c>
      <c r="C44" s="145">
        <v>15000</v>
      </c>
      <c r="D44" s="145">
        <v>15000</v>
      </c>
      <c r="E44" s="145"/>
      <c r="F44" s="145">
        <v>15000</v>
      </c>
      <c r="G44" s="145">
        <v>15000</v>
      </c>
      <c r="H44" s="145">
        <v>15000</v>
      </c>
      <c r="I44" s="62">
        <f t="shared" si="1"/>
        <v>75000</v>
      </c>
    </row>
    <row r="45" spans="1:32" s="4" customFormat="1" ht="23.25" customHeight="1" x14ac:dyDescent="0.35">
      <c r="A45" s="153">
        <v>502</v>
      </c>
      <c r="B45" s="154" t="s">
        <v>19</v>
      </c>
      <c r="C45" s="64"/>
      <c r="D45" s="64">
        <v>14000</v>
      </c>
      <c r="E45" s="64"/>
      <c r="F45" s="64"/>
      <c r="G45" s="64"/>
      <c r="H45" s="64">
        <v>14000</v>
      </c>
      <c r="I45" s="62">
        <f t="shared" si="1"/>
        <v>28000</v>
      </c>
    </row>
    <row r="46" spans="1:32" s="4" customFormat="1" ht="23.25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>
        <v>13000</v>
      </c>
      <c r="H46" s="64"/>
      <c r="I46" s="62">
        <f t="shared" si="1"/>
        <v>13000</v>
      </c>
    </row>
    <row r="47" spans="1:32" s="4" customFormat="1" ht="20.25" customHeight="1" x14ac:dyDescent="0.35">
      <c r="A47" s="67" t="s">
        <v>101</v>
      </c>
      <c r="B47" s="68" t="s">
        <v>19</v>
      </c>
      <c r="C47" s="64"/>
      <c r="D47" s="64"/>
      <c r="E47" s="64"/>
      <c r="F47" s="64"/>
      <c r="G47" s="64">
        <v>14000</v>
      </c>
      <c r="H47" s="64">
        <v>14000</v>
      </c>
      <c r="I47" s="62">
        <f t="shared" si="1"/>
        <v>28000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hidden="1" customHeight="1" x14ac:dyDescent="0.35">
      <c r="A49" s="67" t="s">
        <v>21</v>
      </c>
      <c r="B49" s="68">
        <v>4</v>
      </c>
      <c r="C49" s="64"/>
      <c r="D49" s="64"/>
      <c r="E49" s="64"/>
      <c r="F49" s="64"/>
      <c r="G49" s="64"/>
      <c r="H49" s="64"/>
      <c r="I49" s="62">
        <f t="shared" si="1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64"/>
      <c r="D50" s="83">
        <v>12000</v>
      </c>
      <c r="E50" s="64"/>
      <c r="F50" s="64"/>
      <c r="G50" s="64"/>
      <c r="H50" s="64"/>
      <c r="I50" s="62">
        <f t="shared" si="1"/>
        <v>12000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hidden="1" customHeight="1" x14ac:dyDescent="0.35">
      <c r="A51" s="67" t="s">
        <v>75</v>
      </c>
      <c r="B51" s="68">
        <v>2.5</v>
      </c>
      <c r="C51" s="142"/>
      <c r="D51" s="64"/>
      <c r="E51" s="72"/>
      <c r="F51" s="72"/>
      <c r="G51" s="64"/>
      <c r="H51" s="64"/>
      <c r="I51" s="62">
        <f t="shared" si="1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>
        <v>14000</v>
      </c>
      <c r="D52" s="74"/>
      <c r="E52" s="72"/>
      <c r="F52" s="72">
        <v>14000</v>
      </c>
      <c r="G52" s="72"/>
      <c r="H52" s="145">
        <v>4000</v>
      </c>
      <c r="I52" s="62">
        <f t="shared" si="1"/>
        <v>32000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/>
      <c r="H54" s="72"/>
      <c r="I54" s="62">
        <f t="shared" si="1"/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hidden="1" customHeight="1" x14ac:dyDescent="0.35">
      <c r="A55" s="17" t="s">
        <v>79</v>
      </c>
      <c r="B55" s="71">
        <v>2.8</v>
      </c>
      <c r="C55" s="64"/>
      <c r="D55" s="80"/>
      <c r="E55" s="64"/>
      <c r="F55" s="64"/>
      <c r="G55" s="64"/>
      <c r="H55" s="64"/>
      <c r="I55" s="62">
        <f t="shared" si="1"/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74"/>
      <c r="D56" s="155"/>
      <c r="E56" s="145">
        <v>19000</v>
      </c>
      <c r="F56" s="145"/>
      <c r="G56" s="145">
        <v>13000</v>
      </c>
      <c r="H56" s="145"/>
      <c r="I56" s="62">
        <f t="shared" si="1"/>
        <v>32000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62" t="s">
        <v>106</v>
      </c>
      <c r="B57" s="71">
        <v>2.8</v>
      </c>
      <c r="C57" s="74"/>
      <c r="D57" s="155"/>
      <c r="E57" s="83"/>
      <c r="F57" s="145"/>
      <c r="G57" s="72"/>
      <c r="H57" s="145">
        <v>16000</v>
      </c>
      <c r="I57" s="163">
        <f t="shared" si="1"/>
        <v>16000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72">
        <v>14000</v>
      </c>
      <c r="D58" s="155">
        <v>19000</v>
      </c>
      <c r="E58" s="145">
        <v>8000</v>
      </c>
      <c r="F58" s="72">
        <v>22000</v>
      </c>
      <c r="G58" s="145">
        <v>6000</v>
      </c>
      <c r="H58" s="145">
        <v>5000</v>
      </c>
      <c r="I58" s="62">
        <f t="shared" si="1"/>
        <v>74000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62" t="s">
        <v>93</v>
      </c>
      <c r="B59" s="71">
        <v>2.8</v>
      </c>
      <c r="C59" s="145"/>
      <c r="D59" s="140"/>
      <c r="E59" s="83"/>
      <c r="F59" s="145"/>
      <c r="G59" s="145"/>
      <c r="H59" s="83"/>
      <c r="I59" s="163">
        <f t="shared" si="1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7" t="s">
        <v>92</v>
      </c>
      <c r="B60" s="71"/>
      <c r="C60" s="145"/>
      <c r="D60" s="82"/>
      <c r="E60" s="64"/>
      <c r="F60" s="145"/>
      <c r="G60" s="72"/>
      <c r="H60" s="64"/>
      <c r="I60" s="62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>
        <v>15000</v>
      </c>
      <c r="D61" s="80"/>
      <c r="E61" s="145">
        <v>5000</v>
      </c>
      <c r="F61" s="72"/>
      <c r="G61" s="145">
        <v>10000</v>
      </c>
      <c r="H61" s="145">
        <v>10000</v>
      </c>
      <c r="I61" s="62">
        <f t="shared" si="1"/>
        <v>40000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64"/>
      <c r="D63" s="155">
        <v>13000</v>
      </c>
      <c r="E63" s="64"/>
      <c r="F63" s="145">
        <v>19000</v>
      </c>
      <c r="G63" s="145">
        <v>4000</v>
      </c>
      <c r="H63" s="145"/>
      <c r="I63" s="62">
        <f t="shared" si="1"/>
        <v>36000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/>
      <c r="D65" s="80"/>
      <c r="E65" s="64"/>
      <c r="F65" s="145">
        <v>2000</v>
      </c>
      <c r="G65" s="145"/>
      <c r="H65" s="145"/>
      <c r="I65" s="62">
        <f t="shared" si="1"/>
        <v>2000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145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18.75" customHeight="1" x14ac:dyDescent="0.3">
      <c r="A67" s="70" t="s">
        <v>32</v>
      </c>
      <c r="B67" s="71">
        <v>4</v>
      </c>
      <c r="C67" s="145"/>
      <c r="D67" s="145"/>
      <c r="E67" s="145"/>
      <c r="F67" s="145">
        <v>10000</v>
      </c>
      <c r="G67" s="72"/>
      <c r="H67" s="145"/>
      <c r="I67" s="62">
        <f t="shared" si="1"/>
        <v>10000</v>
      </c>
      <c r="L67" s="87"/>
      <c r="M67" s="87"/>
      <c r="N67" s="87"/>
      <c r="O67" s="87"/>
      <c r="P67" s="87"/>
      <c r="Q67" s="87"/>
      <c r="R67" s="87"/>
    </row>
    <row r="68" spans="1:27" ht="23.25" hidden="1" customHeight="1" x14ac:dyDescent="0.3">
      <c r="A68" s="162" t="s">
        <v>94</v>
      </c>
      <c r="B68" s="71">
        <v>4</v>
      </c>
      <c r="C68" s="64"/>
      <c r="D68" s="64"/>
      <c r="E68" s="64"/>
      <c r="F68" s="145"/>
      <c r="G68" s="64"/>
      <c r="H68" s="83"/>
      <c r="I68" s="163">
        <f t="shared" si="1"/>
        <v>0</v>
      </c>
      <c r="L68" s="87"/>
      <c r="M68" s="87"/>
      <c r="N68" s="87"/>
      <c r="O68" s="87"/>
      <c r="P68" s="87"/>
      <c r="Q68" s="87"/>
      <c r="R68" s="87"/>
    </row>
    <row r="69" spans="1:27" ht="23.25" hidden="1" customHeight="1" x14ac:dyDescent="0.3">
      <c r="A69" s="17" t="s">
        <v>71</v>
      </c>
      <c r="B69" s="71">
        <v>4</v>
      </c>
      <c r="C69" s="64"/>
      <c r="D69" s="64"/>
      <c r="E69" s="64"/>
      <c r="F69" s="145"/>
      <c r="G69" s="64"/>
      <c r="H69" s="64"/>
      <c r="I69" s="62">
        <f t="shared" si="1"/>
        <v>0</v>
      </c>
      <c r="L69" s="87"/>
      <c r="M69" s="87"/>
      <c r="N69" s="87"/>
      <c r="O69" s="87"/>
      <c r="P69" s="87"/>
      <c r="Q69" s="87"/>
      <c r="R69" s="87"/>
    </row>
    <row r="70" spans="1:27" ht="30.75" customHeight="1" x14ac:dyDescent="0.3">
      <c r="A70" s="167" t="s">
        <v>103</v>
      </c>
      <c r="B70" s="71">
        <v>4</v>
      </c>
      <c r="C70" s="64"/>
      <c r="D70" s="83">
        <v>12000</v>
      </c>
      <c r="E70" s="145"/>
      <c r="F70" s="145">
        <v>4000</v>
      </c>
      <c r="G70" s="145"/>
      <c r="H70" s="145"/>
      <c r="I70" s="62">
        <f t="shared" si="1"/>
        <v>16000</v>
      </c>
      <c r="L70" s="87"/>
      <c r="M70" s="87"/>
      <c r="N70" s="87"/>
      <c r="O70" s="87"/>
      <c r="P70" s="87"/>
      <c r="Q70" s="87"/>
      <c r="R70" s="87"/>
    </row>
    <row r="71" spans="1:27" s="4" customFormat="1" ht="19.149999999999999" customHeight="1" x14ac:dyDescent="0.35">
      <c r="A71" s="88" t="s">
        <v>36</v>
      </c>
      <c r="B71" s="89"/>
      <c r="C71" s="90">
        <v>3</v>
      </c>
      <c r="D71" s="90">
        <v>5</v>
      </c>
      <c r="E71" s="91">
        <v>3</v>
      </c>
      <c r="F71" s="90">
        <v>4</v>
      </c>
      <c r="G71" s="90"/>
      <c r="H71" s="90"/>
      <c r="I71" s="92"/>
    </row>
    <row r="72" spans="1:27" ht="24.75" customHeight="1" x14ac:dyDescent="0.25">
      <c r="A72" s="93" t="s">
        <v>37</v>
      </c>
      <c r="B72" s="94"/>
      <c r="C72" s="95">
        <f>C71+C40</f>
        <v>41.150666666666666</v>
      </c>
      <c r="D72" s="95">
        <f>D71+D40</f>
        <v>35.319333333333333</v>
      </c>
      <c r="E72" s="95">
        <f>E71+E40</f>
        <v>38.093333333333334</v>
      </c>
      <c r="F72" s="95">
        <f>F71+F40</f>
        <v>41.634</v>
      </c>
      <c r="G72" s="95"/>
      <c r="H72" s="95"/>
      <c r="I72" s="96"/>
      <c r="L72" s="87"/>
      <c r="M72" s="87"/>
      <c r="N72" s="87"/>
      <c r="O72" s="87"/>
      <c r="P72" s="87"/>
      <c r="Q72" s="87"/>
      <c r="R72" s="87"/>
    </row>
    <row r="73" spans="1:27" s="1" customFormat="1" ht="25.5" x14ac:dyDescent="0.35">
      <c r="A73" s="97"/>
      <c r="B73" s="98"/>
      <c r="C73" s="100"/>
      <c r="D73" s="33"/>
      <c r="E73" s="4"/>
      <c r="F73" s="4"/>
      <c r="G73" s="4"/>
      <c r="H73" s="4"/>
      <c r="I73" s="3"/>
      <c r="L73" s="87"/>
      <c r="M73" s="87"/>
      <c r="N73" s="87"/>
      <c r="O73" s="87"/>
      <c r="P73" s="87"/>
      <c r="Q73" s="87"/>
      <c r="R73" s="87"/>
      <c r="S73" s="3"/>
      <c r="T73" s="3"/>
      <c r="U73" s="3"/>
      <c r="V73" s="3"/>
      <c r="W73" s="3"/>
      <c r="X73" s="3"/>
      <c r="Y73" s="3"/>
      <c r="Z73" s="3"/>
      <c r="AA73" s="3"/>
    </row>
    <row r="74" spans="1:27" ht="25.5" x14ac:dyDescent="0.35">
      <c r="A74" s="101"/>
      <c r="B74" s="102"/>
      <c r="C74" s="104"/>
      <c r="E74" s="4"/>
      <c r="F74" s="4"/>
      <c r="G74" s="4"/>
      <c r="H74" s="4"/>
      <c r="J74" s="87"/>
      <c r="K74" s="87"/>
      <c r="L74" s="106"/>
      <c r="M74" s="106"/>
      <c r="N74" s="106"/>
      <c r="O74" s="106"/>
      <c r="P74" s="106"/>
      <c r="Q74" s="106"/>
      <c r="R74" s="106"/>
    </row>
    <row r="75" spans="1:27" ht="20.25" x14ac:dyDescent="0.25">
      <c r="A75" s="107"/>
      <c r="B75" s="108"/>
      <c r="C75" s="107"/>
      <c r="D75" s="105"/>
      <c r="E75" s="109"/>
      <c r="F75" s="110"/>
      <c r="G75" s="110"/>
      <c r="H75" s="110"/>
      <c r="I75" s="1"/>
      <c r="J75" s="87"/>
      <c r="K75" s="87"/>
      <c r="L75" s="111"/>
      <c r="M75" s="111"/>
      <c r="N75" s="111"/>
      <c r="O75" s="111"/>
      <c r="P75" s="111"/>
      <c r="Q75" s="111"/>
      <c r="R75" s="111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4"/>
      <c r="M77" s="114"/>
      <c r="N77" s="114"/>
      <c r="O77" s="114"/>
      <c r="P77" s="114"/>
      <c r="Q77" s="114"/>
      <c r="R77" s="114"/>
    </row>
    <row r="78" spans="1:27" x14ac:dyDescent="0.25">
      <c r="A78" s="112"/>
      <c r="B78" s="113"/>
      <c r="C78" s="112"/>
      <c r="D78" s="112"/>
      <c r="E78" s="112"/>
      <c r="F78" s="87"/>
      <c r="G78" s="87"/>
      <c r="H78" s="87"/>
      <c r="I78" s="87"/>
      <c r="J78" s="87"/>
      <c r="K78" s="87"/>
      <c r="L78" s="110"/>
      <c r="M78" s="110"/>
      <c r="N78" s="110"/>
      <c r="O78" s="110"/>
      <c r="P78" s="110"/>
      <c r="Q78" s="110"/>
      <c r="R78" s="110"/>
    </row>
    <row r="79" spans="1:27" x14ac:dyDescent="0.25"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27" ht="25.5" x14ac:dyDescent="0.35">
      <c r="A80" s="1"/>
      <c r="B80" s="2"/>
      <c r="C80" s="1"/>
      <c r="D80" s="1"/>
      <c r="E80" s="1"/>
      <c r="F80" s="87"/>
      <c r="G80" s="87"/>
      <c r="H80" s="87"/>
      <c r="I80" s="87"/>
      <c r="J80" s="106"/>
      <c r="K80" s="106"/>
      <c r="L80" s="110"/>
      <c r="M80" s="110"/>
      <c r="N80" s="110"/>
      <c r="O80" s="110"/>
      <c r="P80" s="110"/>
      <c r="Q80" s="110"/>
      <c r="R80" s="110"/>
    </row>
    <row r="81" spans="1:18" x14ac:dyDescent="0.25">
      <c r="A81" s="1"/>
      <c r="B81" s="2"/>
      <c r="C81" s="1"/>
      <c r="D81" s="1"/>
      <c r="E81" s="1"/>
      <c r="F81" s="87"/>
      <c r="G81" s="87"/>
      <c r="H81" s="87"/>
      <c r="I81" s="87"/>
      <c r="J81" s="111"/>
      <c r="K81" s="111"/>
      <c r="L81" s="110"/>
      <c r="M81" s="110"/>
      <c r="N81" s="110"/>
      <c r="O81" s="110"/>
      <c r="P81" s="110"/>
      <c r="Q81" s="110"/>
      <c r="R81" s="110"/>
    </row>
    <row r="82" spans="1:18" ht="25.5" x14ac:dyDescent="0.35">
      <c r="A82" s="181"/>
      <c r="B82" s="181"/>
      <c r="C82" s="181"/>
      <c r="D82" s="181"/>
      <c r="E82" s="181"/>
      <c r="F82" s="106"/>
      <c r="G82" s="106"/>
      <c r="H82" s="106"/>
      <c r="I82" s="106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11"/>
      <c r="B83" s="113"/>
      <c r="C83" s="111"/>
      <c r="D83" s="111"/>
      <c r="E83" s="111"/>
      <c r="F83" s="111"/>
      <c r="G83" s="111"/>
      <c r="H83" s="111"/>
      <c r="I83" s="111"/>
      <c r="J83" s="114"/>
      <c r="K83" s="114"/>
      <c r="L83" s="87"/>
      <c r="M83" s="87"/>
      <c r="N83" s="87"/>
      <c r="O83" s="87"/>
      <c r="P83" s="87"/>
      <c r="Q83" s="87"/>
      <c r="R83" s="87"/>
    </row>
    <row r="84" spans="1:18" x14ac:dyDescent="0.25">
      <c r="A84" s="182"/>
      <c r="B84" s="116"/>
      <c r="C84" s="114"/>
      <c r="D84" s="114"/>
      <c r="E84" s="114"/>
      <c r="F84" s="114"/>
      <c r="G84" s="114"/>
      <c r="H84" s="114"/>
      <c r="I84" s="114"/>
      <c r="J84" s="110"/>
      <c r="K84" s="110"/>
      <c r="L84" s="87"/>
      <c r="M84" s="87"/>
      <c r="N84" s="87"/>
      <c r="O84" s="87"/>
      <c r="P84" s="87"/>
      <c r="Q84" s="87"/>
      <c r="R84" s="87"/>
    </row>
    <row r="85" spans="1:18" x14ac:dyDescent="0.25">
      <c r="A85" s="182"/>
      <c r="B85" s="116"/>
      <c r="C85" s="114"/>
      <c r="D85" s="114"/>
      <c r="E85" s="114"/>
      <c r="F85" s="114"/>
      <c r="G85" s="114"/>
      <c r="H85" s="114"/>
      <c r="I85" s="114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110"/>
      <c r="K86" s="110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110"/>
      <c r="K87" s="110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110"/>
      <c r="G89" s="110"/>
      <c r="H89" s="110"/>
      <c r="I89" s="110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  <c r="J90" s="87"/>
      <c r="K90" s="87"/>
    </row>
    <row r="91" spans="1:18" x14ac:dyDescent="0.25">
      <c r="A91" s="112"/>
      <c r="B91" s="113"/>
      <c r="C91" s="112"/>
      <c r="D91" s="112"/>
      <c r="E91" s="112"/>
      <c r="F91" s="87"/>
      <c r="G91" s="87"/>
      <c r="H91" s="87"/>
      <c r="I91" s="87"/>
    </row>
    <row r="92" spans="1:18" x14ac:dyDescent="0.25">
      <c r="A92" s="1"/>
      <c r="B92" s="2"/>
      <c r="C92" s="1"/>
      <c r="D92" s="1"/>
      <c r="E92" s="1"/>
      <c r="F92" s="87"/>
      <c r="G92" s="87"/>
      <c r="H92" s="87"/>
      <c r="I92" s="87"/>
    </row>
  </sheetData>
  <mergeCells count="6">
    <mergeCell ref="A84:A85"/>
    <mergeCell ref="A2:I2"/>
    <mergeCell ref="A3:R3"/>
    <mergeCell ref="A4:R4"/>
    <mergeCell ref="M28:N29"/>
    <mergeCell ref="A82:E8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CC6C-9A76-4406-85C1-310C3FF0B0EA}">
  <dimension ref="A1:AA81"/>
  <sheetViews>
    <sheetView topLeftCell="A2" zoomScaleNormal="100" workbookViewId="0">
      <pane ySplit="4" topLeftCell="A27" activePane="bottomLeft" state="frozen"/>
      <selection activeCell="A2" sqref="A2"/>
      <selection pane="bottomLeft" activeCell="G31" sqref="G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104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105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46125</v>
      </c>
      <c r="D5" s="7">
        <v>46126</v>
      </c>
      <c r="E5" s="7">
        <v>46127</v>
      </c>
      <c r="F5" s="7">
        <v>46128</v>
      </c>
      <c r="G5" s="7">
        <v>46129</v>
      </c>
      <c r="H5" s="7">
        <v>46130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8"/>
      <c r="D6" s="118">
        <v>14000</v>
      </c>
      <c r="E6" s="119"/>
      <c r="F6" s="119"/>
      <c r="G6" s="119">
        <v>14000</v>
      </c>
      <c r="H6" s="119"/>
      <c r="I6" s="10">
        <f t="shared" ref="I6:I14" si="0">SUM(C6:H6)</f>
        <v>28000</v>
      </c>
      <c r="J6" s="1"/>
      <c r="K6" s="11"/>
    </row>
    <row r="7" spans="1:18" s="12" customFormat="1" ht="22.5" customHeight="1" x14ac:dyDescent="0.25">
      <c r="A7" s="5"/>
      <c r="B7" s="13"/>
      <c r="C7" s="14"/>
      <c r="D7" s="14">
        <v>14000</v>
      </c>
      <c r="E7" s="14"/>
      <c r="F7" s="14"/>
      <c r="G7" s="14">
        <v>14020</v>
      </c>
      <c r="H7" s="14"/>
      <c r="I7" s="15">
        <f t="shared" si="0"/>
        <v>28020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>
        <v>15000</v>
      </c>
      <c r="D8" s="117">
        <v>15000</v>
      </c>
      <c r="E8" s="117">
        <v>15000</v>
      </c>
      <c r="F8" s="117"/>
      <c r="G8" s="117"/>
      <c r="H8" s="117">
        <v>15000</v>
      </c>
      <c r="I8" s="10">
        <f t="shared" si="0"/>
        <v>60000</v>
      </c>
      <c r="J8" s="1"/>
      <c r="K8" s="11"/>
    </row>
    <row r="9" spans="1:18" s="12" customFormat="1" ht="21.75" customHeight="1" x14ac:dyDescent="0.25">
      <c r="A9" s="5"/>
      <c r="B9" s="13"/>
      <c r="C9" s="14">
        <v>15040</v>
      </c>
      <c r="D9" s="14">
        <v>15000</v>
      </c>
      <c r="E9" s="14">
        <v>15000</v>
      </c>
      <c r="F9" s="14"/>
      <c r="G9" s="14"/>
      <c r="H9" s="14">
        <v>15000</v>
      </c>
      <c r="I9" s="15">
        <f t="shared" si="0"/>
        <v>60040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7</v>
      </c>
      <c r="B12" s="18">
        <v>2.8</v>
      </c>
      <c r="C12" s="123"/>
      <c r="D12" s="123"/>
      <c r="E12" s="123"/>
      <c r="F12" s="122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>
        <v>14000</v>
      </c>
      <c r="E14" s="123"/>
      <c r="F14" s="123"/>
      <c r="G14" s="123"/>
      <c r="H14" s="123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>
        <v>14580</v>
      </c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/>
      <c r="E16" s="121"/>
      <c r="F16" s="122">
        <v>12000</v>
      </c>
      <c r="G16" s="122"/>
      <c r="H16" s="122"/>
      <c r="I16" s="20">
        <f>SUM(C16:H16)</f>
        <v>12000</v>
      </c>
      <c r="J16" s="1"/>
      <c r="K16" s="11"/>
    </row>
    <row r="17" spans="1:27" s="12" customFormat="1" ht="22.15" customHeight="1" x14ac:dyDescent="0.25">
      <c r="A17" s="21"/>
      <c r="B17" s="22"/>
      <c r="C17" s="24">
        <v>14200</v>
      </c>
      <c r="D17" s="24"/>
      <c r="E17" s="23"/>
      <c r="F17" s="23">
        <v>11950</v>
      </c>
      <c r="G17" s="23"/>
      <c r="H17" s="23"/>
      <c r="I17" s="15">
        <f>SUM(C17:H17)</f>
        <v>26150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/>
      <c r="D18" s="121">
        <v>14000</v>
      </c>
      <c r="E18" s="121"/>
      <c r="F18" s="121"/>
      <c r="G18" s="121"/>
      <c r="H18" s="121"/>
      <c r="I18" s="20">
        <f>SUM(C18:H18)</f>
        <v>14000</v>
      </c>
      <c r="J18" s="1"/>
      <c r="K18" s="11"/>
    </row>
    <row r="19" spans="1:27" s="12" customFormat="1" ht="22.15" customHeight="1" x14ac:dyDescent="0.25">
      <c r="A19" s="21"/>
      <c r="B19" s="22"/>
      <c r="C19" s="24">
        <v>12330</v>
      </c>
      <c r="D19" s="24"/>
      <c r="E19" s="23"/>
      <c r="F19" s="23"/>
      <c r="G19" s="23"/>
      <c r="H19" s="23"/>
      <c r="I19" s="15"/>
      <c r="J19" s="1"/>
      <c r="K19" s="11"/>
    </row>
    <row r="20" spans="1:27" s="1" customFormat="1" ht="22.15" customHeight="1" x14ac:dyDescent="0.25">
      <c r="A20" s="25" t="s">
        <v>47</v>
      </c>
      <c r="B20" s="26">
        <v>4</v>
      </c>
      <c r="C20" s="27">
        <v>42000</v>
      </c>
      <c r="D20" s="27">
        <v>14000</v>
      </c>
      <c r="E20" s="27">
        <v>14000</v>
      </c>
      <c r="F20" s="27">
        <v>44000</v>
      </c>
      <c r="G20" s="27"/>
      <c r="H20" s="27"/>
      <c r="I20" s="20">
        <f t="shared" ref="I20:I33" si="1">SUM(C20:H20)</f>
        <v>114000</v>
      </c>
      <c r="K20" s="11"/>
    </row>
    <row r="21" spans="1:27" s="1" customFormat="1" ht="22.15" customHeight="1" x14ac:dyDescent="0.25">
      <c r="A21" s="28"/>
      <c r="B21" s="29"/>
      <c r="C21" s="24">
        <v>39980</v>
      </c>
      <c r="D21" s="24">
        <v>13910</v>
      </c>
      <c r="E21" s="24">
        <v>13910</v>
      </c>
      <c r="F21" s="30">
        <v>11470</v>
      </c>
      <c r="G21" s="156"/>
      <c r="H21" s="30"/>
      <c r="I21" s="15">
        <f t="shared" si="1"/>
        <v>79270</v>
      </c>
      <c r="K21" s="11"/>
    </row>
    <row r="22" spans="1:27" s="1" customFormat="1" ht="22.15" customHeight="1" x14ac:dyDescent="0.25">
      <c r="A22" s="124" t="s">
        <v>48</v>
      </c>
      <c r="B22" s="26">
        <v>4</v>
      </c>
      <c r="C22" s="27">
        <v>31000</v>
      </c>
      <c r="D22" s="27">
        <v>118000</v>
      </c>
      <c r="E22" s="27">
        <v>15000</v>
      </c>
      <c r="F22" s="27">
        <v>73000</v>
      </c>
      <c r="G22" s="144"/>
      <c r="H22" s="144"/>
      <c r="I22" s="20">
        <f t="shared" si="1"/>
        <v>237000</v>
      </c>
      <c r="K22" s="11"/>
    </row>
    <row r="23" spans="1:27" s="1" customFormat="1" ht="22.15" customHeight="1" x14ac:dyDescent="0.25">
      <c r="A23" s="28"/>
      <c r="B23" s="29"/>
      <c r="C23" s="24">
        <f>14570+1080</f>
        <v>15650</v>
      </c>
      <c r="D23" s="24">
        <v>115170</v>
      </c>
      <c r="E23" s="24">
        <v>29290</v>
      </c>
      <c r="F23" s="30">
        <v>29050</v>
      </c>
      <c r="G23" s="30">
        <v>13860</v>
      </c>
      <c r="H23" s="30">
        <v>14990</v>
      </c>
      <c r="I23" s="15">
        <f t="shared" si="1"/>
        <v>218010</v>
      </c>
      <c r="K23" s="11"/>
    </row>
    <row r="24" spans="1:27" s="33" customFormat="1" ht="22.15" customHeight="1" x14ac:dyDescent="0.25">
      <c r="A24" s="25" t="s">
        <v>49</v>
      </c>
      <c r="B24" s="26">
        <v>4</v>
      </c>
      <c r="C24" s="27">
        <v>28000</v>
      </c>
      <c r="D24" s="27">
        <v>16000</v>
      </c>
      <c r="E24" s="27">
        <v>71000</v>
      </c>
      <c r="F24" s="27">
        <v>28000</v>
      </c>
      <c r="G24" s="144"/>
      <c r="H24" s="144"/>
      <c r="I24" s="31">
        <f t="shared" si="1"/>
        <v>143000</v>
      </c>
      <c r="J24" s="32"/>
      <c r="K24" s="11"/>
    </row>
    <row r="25" spans="1:27" s="33" customFormat="1" ht="22.15" customHeight="1" x14ac:dyDescent="0.25">
      <c r="A25" s="28"/>
      <c r="B25" s="29"/>
      <c r="C25" s="24"/>
      <c r="D25" s="24">
        <v>39910</v>
      </c>
      <c r="E25" s="24">
        <v>28070</v>
      </c>
      <c r="F25" s="30">
        <v>37660</v>
      </c>
      <c r="G25" s="30"/>
      <c r="H25" s="30"/>
      <c r="I25" s="15">
        <f t="shared" si="1"/>
        <v>105640</v>
      </c>
      <c r="J25" s="32"/>
      <c r="K25" s="11"/>
      <c r="L25" s="34"/>
      <c r="M25" s="35"/>
      <c r="N25" s="35"/>
      <c r="O25" s="35"/>
      <c r="P25" s="35"/>
      <c r="Q25" s="35"/>
      <c r="R25" s="35"/>
      <c r="S25" s="36"/>
      <c r="T25" s="35"/>
      <c r="U25" s="37"/>
      <c r="V25" s="35"/>
      <c r="W25" s="35"/>
      <c r="X25" s="37"/>
      <c r="Y25" s="35"/>
      <c r="Z25" s="35"/>
      <c r="AA25" s="35"/>
    </row>
    <row r="26" spans="1:27" s="1" customFormat="1" ht="22.15" customHeight="1" x14ac:dyDescent="0.35">
      <c r="A26" s="25" t="s">
        <v>50</v>
      </c>
      <c r="B26" s="26">
        <v>4</v>
      </c>
      <c r="C26" s="125">
        <v>47000</v>
      </c>
      <c r="D26" s="125">
        <v>86000</v>
      </c>
      <c r="E26" s="125">
        <v>61000</v>
      </c>
      <c r="F26" s="125">
        <v>70000</v>
      </c>
      <c r="G26" s="144">
        <v>57000</v>
      </c>
      <c r="H26" s="144"/>
      <c r="I26" s="31">
        <f t="shared" si="1"/>
        <v>321000</v>
      </c>
      <c r="J26" s="32"/>
      <c r="K26" s="11"/>
      <c r="L26" s="4"/>
      <c r="M26" s="180" t="s">
        <v>10</v>
      </c>
      <c r="N26" s="180"/>
      <c r="P26" s="4"/>
      <c r="X26" s="4"/>
      <c r="Y26" s="4"/>
      <c r="Z26" s="4"/>
      <c r="AA26" s="4"/>
    </row>
    <row r="27" spans="1:27" s="1" customFormat="1" ht="22.15" customHeight="1" x14ac:dyDescent="0.35">
      <c r="A27" s="39"/>
      <c r="B27" s="40"/>
      <c r="C27" s="24">
        <v>58640</v>
      </c>
      <c r="D27" s="24">
        <v>50320</v>
      </c>
      <c r="E27" s="24">
        <v>29690</v>
      </c>
      <c r="F27" s="30">
        <v>108170</v>
      </c>
      <c r="G27" s="30">
        <v>69850</v>
      </c>
      <c r="H27" s="30">
        <v>28010</v>
      </c>
      <c r="I27" s="15">
        <f t="shared" si="1"/>
        <v>344680</v>
      </c>
      <c r="J27" s="32"/>
      <c r="K27" s="11"/>
      <c r="L27" s="4"/>
      <c r="M27" s="180"/>
      <c r="N27" s="180"/>
      <c r="P27" s="4"/>
      <c r="X27" s="4"/>
      <c r="Y27" s="4"/>
      <c r="Z27" s="4"/>
      <c r="AA27" s="4"/>
    </row>
    <row r="28" spans="1:27" s="4" customFormat="1" ht="21.75" customHeight="1" x14ac:dyDescent="0.35">
      <c r="A28" s="25" t="s">
        <v>51</v>
      </c>
      <c r="B28" s="26">
        <v>4</v>
      </c>
      <c r="C28" s="27">
        <v>201000</v>
      </c>
      <c r="D28" s="27">
        <v>323000</v>
      </c>
      <c r="E28" s="27">
        <v>207000</v>
      </c>
      <c r="F28" s="27">
        <v>245000</v>
      </c>
      <c r="G28" s="144">
        <v>150000</v>
      </c>
      <c r="H28" s="144">
        <v>214000</v>
      </c>
      <c r="I28" s="31">
        <f t="shared" si="1"/>
        <v>1340000</v>
      </c>
      <c r="J28" s="1"/>
    </row>
    <row r="29" spans="1:27" s="4" customFormat="1" ht="21.75" customHeight="1" x14ac:dyDescent="0.35">
      <c r="A29" s="39"/>
      <c r="B29" s="40"/>
      <c r="C29" s="24">
        <v>151020</v>
      </c>
      <c r="D29" s="24">
        <v>142870</v>
      </c>
      <c r="E29" s="24">
        <v>370740</v>
      </c>
      <c r="F29" s="30">
        <v>168440</v>
      </c>
      <c r="G29" s="30">
        <v>202570</v>
      </c>
      <c r="H29" s="30">
        <v>139380</v>
      </c>
      <c r="I29" s="15">
        <f t="shared" si="1"/>
        <v>1175020</v>
      </c>
    </row>
    <row r="30" spans="1:27" s="4" customFormat="1" ht="21" customHeight="1" x14ac:dyDescent="0.35">
      <c r="A30" s="25" t="s">
        <v>52</v>
      </c>
      <c r="B30" s="26">
        <v>4</v>
      </c>
      <c r="C30" s="27">
        <v>137000</v>
      </c>
      <c r="D30" s="27">
        <v>139000</v>
      </c>
      <c r="E30" s="27">
        <v>72000</v>
      </c>
      <c r="F30" s="27">
        <v>132000</v>
      </c>
      <c r="G30" s="144">
        <v>77000</v>
      </c>
      <c r="H30" s="144">
        <v>76000</v>
      </c>
      <c r="I30" s="31">
        <f t="shared" si="1"/>
        <v>633000</v>
      </c>
    </row>
    <row r="31" spans="1:27" s="4" customFormat="1" ht="20.45" customHeight="1" x14ac:dyDescent="0.35">
      <c r="A31" s="49"/>
      <c r="B31" s="50"/>
      <c r="C31" s="51">
        <v>75390</v>
      </c>
      <c r="D31" s="51">
        <v>134310</v>
      </c>
      <c r="E31" s="51">
        <v>111070</v>
      </c>
      <c r="F31" s="51">
        <v>76230</v>
      </c>
      <c r="G31" s="52">
        <v>90590</v>
      </c>
      <c r="H31" s="51">
        <f>48530+48240</f>
        <v>96770</v>
      </c>
      <c r="I31" s="15">
        <f t="shared" si="1"/>
        <v>584360</v>
      </c>
    </row>
    <row r="32" spans="1:27" s="4" customFormat="1" ht="20.45" customHeight="1" x14ac:dyDescent="0.35">
      <c r="A32" s="126" t="s">
        <v>15</v>
      </c>
      <c r="B32" s="127">
        <v>4</v>
      </c>
      <c r="C32" s="160">
        <v>16000</v>
      </c>
      <c r="D32" s="136"/>
      <c r="E32" s="129"/>
      <c r="F32" s="129">
        <v>16000</v>
      </c>
      <c r="G32" s="158"/>
      <c r="H32" s="129">
        <v>16000</v>
      </c>
      <c r="I32" s="130">
        <f t="shared" si="1"/>
        <v>48000</v>
      </c>
    </row>
    <row r="33" spans="1:27" s="4" customFormat="1" ht="20.45" customHeight="1" x14ac:dyDescent="0.35">
      <c r="A33" s="49"/>
      <c r="B33" s="50"/>
      <c r="C33" s="51">
        <v>14890</v>
      </c>
      <c r="D33" s="51"/>
      <c r="E33" s="143"/>
      <c r="F33" s="51"/>
      <c r="G33" s="52">
        <v>14780</v>
      </c>
      <c r="H33" s="51">
        <v>13930</v>
      </c>
      <c r="I33" s="15">
        <f t="shared" si="1"/>
        <v>43600</v>
      </c>
    </row>
    <row r="34" spans="1:27" s="4" customFormat="1" ht="19.149999999999999" customHeight="1" x14ac:dyDescent="0.35">
      <c r="A34" s="56" t="s">
        <v>16</v>
      </c>
      <c r="B34" s="57"/>
      <c r="C34" s="58">
        <f>(C6+C10+C12+C16+C18+C18+C20+C22++C24+C26+C28+C30+C32)/15000</f>
        <v>33.466666666666669</v>
      </c>
      <c r="D34" s="58">
        <f t="shared" ref="D34:F34" si="2">(D6+D10+D12+D16+D18+D18+D20+D22++D24+D26+D28+D30+D32)/15000</f>
        <v>49.2</v>
      </c>
      <c r="E34" s="58">
        <f>(E6+E10+E12+E16+E18+E18+E20+E22++E24+E26+E28+E30+E32)/15000</f>
        <v>29.333333333333332</v>
      </c>
      <c r="F34" s="58">
        <f t="shared" si="2"/>
        <v>41.333333333333336</v>
      </c>
      <c r="G34" s="58">
        <f>(G6+G10+G12+G16+G18+G18+G20+G22++G24+G26+G28+G30+G32)/15000</f>
        <v>19.866666666666667</v>
      </c>
      <c r="H34" s="58">
        <f>(H6+H10+H12+H16+H18+H18+H20+H22++H24+H26+H28+H30+H32)/15000</f>
        <v>20.399999999999999</v>
      </c>
      <c r="I34" s="59"/>
    </row>
    <row r="35" spans="1:27" s="4" customFormat="1" ht="20.45" customHeight="1" x14ac:dyDescent="0.35">
      <c r="A35" s="17" t="s">
        <v>96</v>
      </c>
      <c r="B35" s="60" t="s">
        <v>83</v>
      </c>
      <c r="C35" s="159"/>
      <c r="D35" s="159">
        <v>15000</v>
      </c>
      <c r="E35" s="159"/>
      <c r="F35" s="159">
        <v>14000</v>
      </c>
      <c r="G35" s="159"/>
      <c r="H35" s="159">
        <v>12000</v>
      </c>
      <c r="I35" s="62">
        <f t="shared" ref="I35:I36" si="3">SUM(C35:H35)</f>
        <v>41000</v>
      </c>
    </row>
    <row r="36" spans="1:27" s="4" customFormat="1" ht="20.45" customHeight="1" x14ac:dyDescent="0.35">
      <c r="A36" s="17" t="s">
        <v>91</v>
      </c>
      <c r="B36" s="60" t="s">
        <v>83</v>
      </c>
      <c r="C36" s="159">
        <v>10000</v>
      </c>
      <c r="D36" s="159"/>
      <c r="E36" s="159"/>
      <c r="F36" s="159"/>
      <c r="G36" s="159"/>
      <c r="H36" s="159">
        <v>10000</v>
      </c>
      <c r="I36" s="62">
        <f t="shared" si="3"/>
        <v>20000</v>
      </c>
    </row>
    <row r="37" spans="1:27" s="4" customFormat="1" ht="20.45" customHeight="1" x14ac:dyDescent="0.35">
      <c r="A37" s="17" t="s">
        <v>78</v>
      </c>
      <c r="B37" s="60">
        <v>4</v>
      </c>
      <c r="C37" s="61">
        <v>15000</v>
      </c>
      <c r="D37" s="61">
        <v>15000</v>
      </c>
      <c r="E37" s="61"/>
      <c r="F37" s="61">
        <v>15000</v>
      </c>
      <c r="G37" s="61">
        <v>15000</v>
      </c>
      <c r="H37" s="61">
        <v>15000</v>
      </c>
      <c r="I37" s="62">
        <f>SUM(C37:H37)</f>
        <v>75000</v>
      </c>
    </row>
    <row r="38" spans="1:27" s="4" customFormat="1" ht="23.25" customHeight="1" x14ac:dyDescent="0.35">
      <c r="A38" s="65">
        <v>502</v>
      </c>
      <c r="B38" s="66" t="s">
        <v>19</v>
      </c>
      <c r="C38" s="64"/>
      <c r="D38" s="64"/>
      <c r="E38" s="64">
        <v>14000</v>
      </c>
      <c r="F38" s="64"/>
      <c r="G38" s="145"/>
      <c r="H38" s="64">
        <v>14000</v>
      </c>
      <c r="I38" s="62">
        <f t="shared" ref="I38:I59" si="4">SUM(C38:H38)</f>
        <v>28000</v>
      </c>
    </row>
    <row r="39" spans="1:27" s="4" customFormat="1" ht="23.25" customHeight="1" x14ac:dyDescent="0.35">
      <c r="A39" s="67" t="s">
        <v>20</v>
      </c>
      <c r="B39" s="68">
        <v>2.5</v>
      </c>
      <c r="C39" s="64"/>
      <c r="D39" s="64"/>
      <c r="E39" s="64"/>
      <c r="F39" s="69"/>
      <c r="G39" s="64"/>
      <c r="H39" s="64"/>
      <c r="I39" s="62">
        <f t="shared" si="4"/>
        <v>0</v>
      </c>
    </row>
    <row r="40" spans="1:27" s="4" customFormat="1" ht="20.25" customHeight="1" x14ac:dyDescent="0.35">
      <c r="A40" s="67" t="s">
        <v>101</v>
      </c>
      <c r="B40" s="68" t="s">
        <v>19</v>
      </c>
      <c r="C40" s="145">
        <v>13000</v>
      </c>
      <c r="D40" s="145">
        <v>13000</v>
      </c>
      <c r="E40" s="145">
        <v>13000</v>
      </c>
      <c r="F40" s="64"/>
      <c r="G40" s="145"/>
      <c r="H40" s="64"/>
      <c r="I40" s="62">
        <f t="shared" si="4"/>
        <v>39000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7" t="s">
        <v>21</v>
      </c>
      <c r="B41" s="68">
        <v>4</v>
      </c>
      <c r="C41" s="64"/>
      <c r="D41" s="64"/>
      <c r="E41" s="64"/>
      <c r="F41" s="64"/>
      <c r="G41" s="64"/>
      <c r="H41" s="64"/>
      <c r="I41" s="62">
        <f t="shared" si="4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67" t="s">
        <v>107</v>
      </c>
      <c r="B42" s="68">
        <v>2.5</v>
      </c>
      <c r="C42" s="64"/>
      <c r="D42" s="64"/>
      <c r="E42" s="142"/>
      <c r="F42" s="145">
        <v>6000</v>
      </c>
      <c r="G42" s="64"/>
      <c r="H42" s="64"/>
      <c r="I42" s="62">
        <f t="shared" si="4"/>
        <v>6000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4" customFormat="1" ht="20.25" hidden="1" customHeight="1" x14ac:dyDescent="0.35">
      <c r="A43" s="65" t="s">
        <v>75</v>
      </c>
      <c r="B43" s="68">
        <v>2.5</v>
      </c>
      <c r="C43" s="72"/>
      <c r="D43" s="72"/>
      <c r="E43" s="72"/>
      <c r="F43" s="72"/>
      <c r="G43" s="72"/>
      <c r="H43" s="72"/>
      <c r="I43" s="62">
        <f t="shared" si="4"/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4" customFormat="1" ht="20.25" customHeight="1" x14ac:dyDescent="0.35">
      <c r="A44" s="70" t="s">
        <v>23</v>
      </c>
      <c r="B44" s="71">
        <v>2.5</v>
      </c>
      <c r="C44" s="72">
        <v>28000</v>
      </c>
      <c r="D44" s="145"/>
      <c r="E44" s="81"/>
      <c r="F44" s="165"/>
      <c r="G44" s="72">
        <v>14000</v>
      </c>
      <c r="H44" s="145">
        <v>5000</v>
      </c>
      <c r="I44" s="62">
        <f t="shared" si="4"/>
        <v>47000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78" customFormat="1" ht="20.25" customHeight="1" x14ac:dyDescent="0.35">
      <c r="A45" s="17" t="s">
        <v>24</v>
      </c>
      <c r="B45" s="71">
        <v>2.8</v>
      </c>
      <c r="C45" s="75"/>
      <c r="D45" s="141">
        <v>13000</v>
      </c>
      <c r="E45" s="76"/>
      <c r="F45" s="77"/>
      <c r="G45" s="75"/>
      <c r="H45" s="75"/>
      <c r="I45" s="62">
        <f t="shared" si="4"/>
        <v>13000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4" customFormat="1" ht="18.75" hidden="1" customHeight="1" x14ac:dyDescent="0.35">
      <c r="A46" s="70" t="s">
        <v>25</v>
      </c>
      <c r="B46" s="71">
        <v>2.8</v>
      </c>
      <c r="C46" s="64"/>
      <c r="D46" s="72"/>
      <c r="E46" s="72"/>
      <c r="F46" s="80"/>
      <c r="G46" s="72"/>
      <c r="H46" s="64"/>
      <c r="I46" s="62">
        <f t="shared" si="4"/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hidden="1" customHeight="1" x14ac:dyDescent="0.35">
      <c r="A47" s="17" t="s">
        <v>79</v>
      </c>
      <c r="B47" s="71">
        <v>2.8</v>
      </c>
      <c r="C47" s="64"/>
      <c r="D47" s="145"/>
      <c r="E47" s="64"/>
      <c r="F47" s="80"/>
      <c r="G47" s="64"/>
      <c r="H47" s="64"/>
      <c r="I47" s="62">
        <f t="shared" si="4"/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70" t="s">
        <v>26</v>
      </c>
      <c r="B48" s="71">
        <v>2.8</v>
      </c>
      <c r="C48" s="145">
        <v>8000</v>
      </c>
      <c r="D48" s="145">
        <v>6000</v>
      </c>
      <c r="E48" s="165">
        <v>5000</v>
      </c>
      <c r="F48" s="155"/>
      <c r="G48" s="145">
        <v>5000</v>
      </c>
      <c r="H48" s="145">
        <v>6000</v>
      </c>
      <c r="I48" s="62">
        <f t="shared" si="4"/>
        <v>30000</v>
      </c>
      <c r="J48" s="84"/>
      <c r="K48" s="1" t="s">
        <v>27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70" t="s">
        <v>53</v>
      </c>
      <c r="B49" s="71">
        <v>2.8</v>
      </c>
      <c r="C49" s="145">
        <v>25000</v>
      </c>
      <c r="D49" s="145">
        <v>8000</v>
      </c>
      <c r="E49" s="145">
        <v>14000</v>
      </c>
      <c r="F49" s="155"/>
      <c r="G49" s="145"/>
      <c r="H49" s="145">
        <v>24000</v>
      </c>
      <c r="I49" s="62">
        <f t="shared" si="4"/>
        <v>71000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18.75" customHeight="1" x14ac:dyDescent="0.35">
      <c r="A50" s="17" t="s">
        <v>106</v>
      </c>
      <c r="B50" s="71">
        <v>2.8</v>
      </c>
      <c r="C50" s="64">
        <v>16000</v>
      </c>
      <c r="D50" s="64"/>
      <c r="E50" s="64"/>
      <c r="F50" s="82"/>
      <c r="G50" s="145"/>
      <c r="H50" s="64">
        <v>16000</v>
      </c>
      <c r="I50" s="62">
        <f t="shared" si="4"/>
        <v>32000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18.75" customHeight="1" x14ac:dyDescent="0.35">
      <c r="A51" s="85">
        <v>552</v>
      </c>
      <c r="B51" s="63">
        <v>4</v>
      </c>
      <c r="C51" s="145"/>
      <c r="D51" s="145">
        <v>29000</v>
      </c>
      <c r="E51" s="72"/>
      <c r="F51" s="80"/>
      <c r="G51" s="72">
        <v>33000</v>
      </c>
      <c r="H51" s="145"/>
      <c r="I51" s="62">
        <f t="shared" si="4"/>
        <v>62000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3.25" hidden="1" customHeight="1" x14ac:dyDescent="0.3">
      <c r="A52" s="70">
        <v>553</v>
      </c>
      <c r="B52" s="71">
        <v>2.8</v>
      </c>
      <c r="C52" s="64"/>
      <c r="D52" s="145"/>
      <c r="E52" s="64"/>
      <c r="F52" s="80"/>
      <c r="G52" s="83"/>
      <c r="H52" s="64"/>
      <c r="I52" s="62">
        <f t="shared" si="4"/>
        <v>0</v>
      </c>
    </row>
    <row r="53" spans="1:27" s="1" customFormat="1" ht="21" customHeight="1" x14ac:dyDescent="0.3">
      <c r="A53" s="70" t="s">
        <v>77</v>
      </c>
      <c r="B53" s="71">
        <v>4</v>
      </c>
      <c r="C53" s="72"/>
      <c r="D53" s="145">
        <v>5000</v>
      </c>
      <c r="E53" s="72"/>
      <c r="F53" s="155"/>
      <c r="G53" s="145">
        <v>10000</v>
      </c>
      <c r="H53" s="145">
        <v>4000</v>
      </c>
      <c r="I53" s="62">
        <f t="shared" si="4"/>
        <v>19000</v>
      </c>
      <c r="L53" s="87"/>
      <c r="M53" s="87"/>
      <c r="N53" s="87"/>
      <c r="O53" s="87"/>
      <c r="P53" s="87"/>
      <c r="Q53" s="87"/>
      <c r="R53" s="87"/>
      <c r="S53" s="3"/>
      <c r="T53" s="3"/>
      <c r="U53" s="3"/>
      <c r="V53" s="3"/>
      <c r="W53" s="3"/>
      <c r="X53" s="3"/>
      <c r="Y53" s="3"/>
      <c r="Z53" s="3"/>
      <c r="AA53" s="3"/>
    </row>
    <row r="54" spans="1:27" s="1" customFormat="1" ht="21" hidden="1" customHeight="1" x14ac:dyDescent="0.3">
      <c r="A54" s="17" t="s">
        <v>99</v>
      </c>
      <c r="B54" s="71">
        <v>4</v>
      </c>
      <c r="C54" s="64"/>
      <c r="D54" s="64"/>
      <c r="E54" s="64"/>
      <c r="F54" s="82"/>
      <c r="G54" s="64"/>
      <c r="H54" s="72"/>
      <c r="I54" s="62">
        <f t="shared" si="4"/>
        <v>0</v>
      </c>
      <c r="L54" s="87"/>
      <c r="M54" s="87"/>
      <c r="N54" s="87"/>
      <c r="O54" s="87"/>
      <c r="P54" s="87"/>
      <c r="Q54" s="87"/>
      <c r="R54" s="87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x14ac:dyDescent="0.3">
      <c r="A55" s="70" t="s">
        <v>31</v>
      </c>
      <c r="B55" s="71">
        <v>4</v>
      </c>
      <c r="C55" s="72"/>
      <c r="D55" s="72"/>
      <c r="E55" s="64"/>
      <c r="F55" s="72"/>
      <c r="G55" s="145">
        <v>2000</v>
      </c>
      <c r="H55" s="145"/>
      <c r="I55" s="62">
        <f t="shared" si="4"/>
        <v>2000</v>
      </c>
      <c r="L55" s="87"/>
      <c r="M55" s="87"/>
      <c r="N55" s="87"/>
      <c r="O55" s="87"/>
      <c r="P55" s="87"/>
      <c r="Q55" s="87"/>
      <c r="R55" s="87"/>
    </row>
    <row r="56" spans="1:27" ht="23.25" customHeight="1" x14ac:dyDescent="0.3">
      <c r="A56" s="70" t="s">
        <v>32</v>
      </c>
      <c r="B56" s="71">
        <v>4</v>
      </c>
      <c r="C56" s="64"/>
      <c r="D56" s="64"/>
      <c r="E56" s="145"/>
      <c r="F56" s="145">
        <v>18000</v>
      </c>
      <c r="G56" s="145">
        <v>8000</v>
      </c>
      <c r="H56" s="145">
        <v>6000</v>
      </c>
      <c r="I56" s="62">
        <f t="shared" si="4"/>
        <v>32000</v>
      </c>
      <c r="L56" s="87"/>
      <c r="M56" s="87"/>
      <c r="N56" s="87"/>
      <c r="O56" s="87"/>
      <c r="P56" s="87"/>
      <c r="Q56" s="87"/>
      <c r="R56" s="87"/>
    </row>
    <row r="57" spans="1:27" ht="23.25" hidden="1" customHeight="1" x14ac:dyDescent="0.3">
      <c r="A57" s="17" t="s">
        <v>94</v>
      </c>
      <c r="B57" s="71">
        <v>4</v>
      </c>
      <c r="C57" s="64"/>
      <c r="D57" s="64"/>
      <c r="E57" s="64"/>
      <c r="F57" s="64"/>
      <c r="G57" s="64"/>
      <c r="H57" s="64"/>
      <c r="I57" s="62">
        <f t="shared" si="4"/>
        <v>0</v>
      </c>
      <c r="L57" s="87"/>
      <c r="M57" s="87"/>
      <c r="N57" s="87"/>
      <c r="O57" s="87"/>
      <c r="P57" s="87"/>
      <c r="Q57" s="87"/>
      <c r="R57" s="87"/>
    </row>
    <row r="58" spans="1:27" ht="23.25" hidden="1" customHeight="1" x14ac:dyDescent="0.3">
      <c r="A58" s="17" t="s">
        <v>100</v>
      </c>
      <c r="B58" s="71">
        <v>4</v>
      </c>
      <c r="C58" s="64"/>
      <c r="D58" s="64"/>
      <c r="E58" s="64"/>
      <c r="F58" s="64"/>
      <c r="G58" s="64"/>
      <c r="H58" s="64"/>
      <c r="I58" s="62">
        <f t="shared" si="4"/>
        <v>0</v>
      </c>
      <c r="L58" s="87"/>
      <c r="M58" s="87"/>
      <c r="N58" s="87"/>
      <c r="O58" s="87"/>
      <c r="P58" s="87"/>
      <c r="Q58" s="87"/>
      <c r="R58" s="87"/>
    </row>
    <row r="59" spans="1:27" ht="22.5" customHeight="1" x14ac:dyDescent="0.3">
      <c r="A59" s="70" t="s">
        <v>35</v>
      </c>
      <c r="B59" s="71">
        <v>4</v>
      </c>
      <c r="C59" s="64"/>
      <c r="D59" s="64"/>
      <c r="E59" s="145"/>
      <c r="F59" s="145"/>
      <c r="G59" s="145">
        <v>4000</v>
      </c>
      <c r="H59" s="75"/>
      <c r="I59" s="62">
        <f t="shared" si="4"/>
        <v>4000</v>
      </c>
      <c r="L59" s="87"/>
      <c r="M59" s="87"/>
      <c r="N59" s="87"/>
      <c r="O59" s="87"/>
      <c r="P59" s="87"/>
      <c r="Q59" s="87"/>
      <c r="R59" s="87"/>
    </row>
    <row r="60" spans="1:27" s="4" customFormat="1" ht="19.149999999999999" customHeight="1" x14ac:dyDescent="0.35">
      <c r="A60" s="88" t="s">
        <v>36</v>
      </c>
      <c r="B60" s="89"/>
      <c r="C60" s="90">
        <v>3</v>
      </c>
      <c r="D60" s="90"/>
      <c r="E60" s="90">
        <v>3</v>
      </c>
      <c r="F60" s="90">
        <v>5</v>
      </c>
      <c r="G60" s="91">
        <v>3</v>
      </c>
      <c r="H60" s="90">
        <v>4</v>
      </c>
      <c r="I60" s="92"/>
    </row>
    <row r="61" spans="1:27" ht="24.75" customHeight="1" x14ac:dyDescent="0.25">
      <c r="A61" s="93" t="s">
        <v>37</v>
      </c>
      <c r="B61" s="94"/>
      <c r="C61" s="95">
        <f>C60+C34</f>
        <v>36.466666666666669</v>
      </c>
      <c r="D61" s="95"/>
      <c r="E61" s="95">
        <f>E60+E34</f>
        <v>32.333333333333329</v>
      </c>
      <c r="F61" s="95">
        <f>F60+F34</f>
        <v>46.333333333333336</v>
      </c>
      <c r="G61" s="95">
        <f>G60+G34</f>
        <v>22.866666666666667</v>
      </c>
      <c r="H61" s="95">
        <f>H60+H34</f>
        <v>24.4</v>
      </c>
      <c r="I61" s="96"/>
      <c r="L61" s="87"/>
      <c r="M61" s="87"/>
      <c r="N61" s="87"/>
      <c r="O61" s="87"/>
      <c r="P61" s="87"/>
      <c r="Q61" s="87"/>
      <c r="R61" s="87"/>
    </row>
    <row r="62" spans="1:27" s="1" customFormat="1" ht="25.5" x14ac:dyDescent="0.35">
      <c r="A62" s="97"/>
      <c r="B62" s="98"/>
      <c r="C62" s="99" t="s">
        <v>38</v>
      </c>
      <c r="D62" s="99"/>
      <c r="E62" s="100"/>
      <c r="F62" s="33" t="s">
        <v>39</v>
      </c>
      <c r="G62" s="4"/>
      <c r="H62" s="4"/>
      <c r="I62" s="3"/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ht="25.5" x14ac:dyDescent="0.35">
      <c r="A63" s="101"/>
      <c r="B63" s="102"/>
      <c r="C63" s="103" t="s">
        <v>40</v>
      </c>
      <c r="D63" s="103"/>
      <c r="E63" s="104"/>
      <c r="F63" s="105" t="s">
        <v>41</v>
      </c>
      <c r="G63" s="4"/>
      <c r="H63" s="4"/>
      <c r="J63" s="87"/>
      <c r="K63" s="87"/>
      <c r="L63" s="106"/>
      <c r="M63" s="106"/>
      <c r="N63" s="106"/>
      <c r="O63" s="106"/>
      <c r="P63" s="106"/>
      <c r="Q63" s="106"/>
      <c r="R63" s="106"/>
    </row>
    <row r="64" spans="1:27" ht="20.25" x14ac:dyDescent="0.25">
      <c r="A64" s="107"/>
      <c r="B64" s="108"/>
      <c r="C64" s="107"/>
      <c r="D64" s="107"/>
      <c r="E64" s="107"/>
      <c r="F64" s="107"/>
      <c r="G64" s="109"/>
      <c r="H64" s="110"/>
      <c r="I64" s="1"/>
      <c r="J64" s="87"/>
      <c r="K64" s="87"/>
      <c r="L64" s="111"/>
      <c r="M64" s="111"/>
      <c r="N64" s="111"/>
      <c r="O64" s="111"/>
      <c r="P64" s="111"/>
      <c r="Q64" s="111"/>
      <c r="R64" s="111"/>
    </row>
    <row r="65" spans="1:18" x14ac:dyDescent="0.25">
      <c r="A65" s="112"/>
      <c r="B65" s="113"/>
      <c r="C65" s="112"/>
      <c r="D65" s="112"/>
      <c r="E65" s="112"/>
      <c r="F65" s="112"/>
      <c r="G65" s="112"/>
      <c r="H65" s="87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87"/>
      <c r="I66" s="87"/>
      <c r="J66" s="87"/>
      <c r="K66" s="87"/>
      <c r="L66" s="114"/>
      <c r="M66" s="114"/>
      <c r="N66" s="114"/>
      <c r="O66" s="114"/>
      <c r="P66" s="114"/>
      <c r="Q66" s="114"/>
      <c r="R66" s="114"/>
    </row>
    <row r="67" spans="1:18" x14ac:dyDescent="0.25">
      <c r="A67" s="112"/>
      <c r="B67" s="113"/>
      <c r="C67" s="112"/>
      <c r="D67" s="112"/>
      <c r="E67" s="112"/>
      <c r="F67" s="112"/>
      <c r="G67" s="112"/>
      <c r="H67" s="87"/>
      <c r="I67" s="87"/>
      <c r="J67" s="87"/>
      <c r="K67" s="87"/>
      <c r="L67" s="110"/>
      <c r="M67" s="110"/>
      <c r="N67" s="110"/>
      <c r="O67" s="110"/>
      <c r="P67" s="110"/>
      <c r="Q67" s="110"/>
      <c r="R67" s="110"/>
    </row>
    <row r="68" spans="1:18" x14ac:dyDescent="0.25"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 ht="25.5" x14ac:dyDescent="0.35">
      <c r="A69" s="1"/>
      <c r="B69" s="2"/>
      <c r="C69" s="1"/>
      <c r="D69" s="1"/>
      <c r="E69" s="1"/>
      <c r="F69" s="1"/>
      <c r="G69" s="1"/>
      <c r="H69" s="87"/>
      <c r="I69" s="87"/>
      <c r="J69" s="106"/>
      <c r="K69" s="106"/>
      <c r="L69" s="110"/>
      <c r="M69" s="110"/>
      <c r="N69" s="110"/>
      <c r="O69" s="110"/>
      <c r="P69" s="110"/>
      <c r="Q69" s="110"/>
      <c r="R69" s="110"/>
    </row>
    <row r="70" spans="1:18" x14ac:dyDescent="0.25">
      <c r="A70" s="1"/>
      <c r="B70" s="2"/>
      <c r="C70" s="1"/>
      <c r="D70" s="1"/>
      <c r="E70" s="1"/>
      <c r="F70" s="1"/>
      <c r="G70" s="1"/>
      <c r="H70" s="87"/>
      <c r="I70" s="87"/>
      <c r="J70" s="111"/>
      <c r="K70" s="111"/>
      <c r="L70" s="110"/>
      <c r="M70" s="110"/>
      <c r="N70" s="110"/>
      <c r="O70" s="110"/>
      <c r="P70" s="110"/>
      <c r="Q70" s="110"/>
      <c r="R70" s="110"/>
    </row>
    <row r="71" spans="1:18" ht="25.5" x14ac:dyDescent="0.35">
      <c r="A71" s="181"/>
      <c r="B71" s="181"/>
      <c r="C71" s="181"/>
      <c r="D71" s="181"/>
      <c r="E71" s="181"/>
      <c r="F71" s="181"/>
      <c r="G71" s="181"/>
      <c r="H71" s="106"/>
      <c r="I71" s="106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11"/>
      <c r="B72" s="113"/>
      <c r="C72" s="111"/>
      <c r="D72" s="111"/>
      <c r="E72" s="111"/>
      <c r="F72" s="111"/>
      <c r="G72" s="111"/>
      <c r="H72" s="111"/>
      <c r="I72" s="111"/>
      <c r="J72" s="114"/>
      <c r="K72" s="114"/>
      <c r="L72" s="87"/>
      <c r="M72" s="87"/>
      <c r="N72" s="87"/>
      <c r="O72" s="87"/>
      <c r="P72" s="87"/>
      <c r="Q72" s="87"/>
      <c r="R72" s="87"/>
    </row>
    <row r="73" spans="1:18" x14ac:dyDescent="0.25">
      <c r="A73" s="182"/>
      <c r="B73" s="116"/>
      <c r="C73" s="114"/>
      <c r="D73" s="114"/>
      <c r="E73" s="114"/>
      <c r="F73" s="114"/>
      <c r="G73" s="114"/>
      <c r="H73" s="114"/>
      <c r="I73" s="114"/>
      <c r="J73" s="110"/>
      <c r="K73" s="110"/>
      <c r="L73" s="87"/>
      <c r="M73" s="87"/>
      <c r="N73" s="87"/>
      <c r="O73" s="87"/>
      <c r="P73" s="87"/>
      <c r="Q73" s="87"/>
      <c r="R73" s="87"/>
    </row>
    <row r="74" spans="1:18" x14ac:dyDescent="0.25">
      <c r="A74" s="182"/>
      <c r="B74" s="116"/>
      <c r="C74" s="114"/>
      <c r="D74" s="114"/>
      <c r="E74" s="114"/>
      <c r="F74" s="114"/>
      <c r="G74" s="114"/>
      <c r="H74" s="114"/>
      <c r="I74" s="114"/>
      <c r="J74" s="87"/>
      <c r="K74" s="87"/>
    </row>
    <row r="75" spans="1:18" x14ac:dyDescent="0.25">
      <c r="A75" s="112"/>
      <c r="B75" s="113"/>
      <c r="C75" s="112"/>
      <c r="D75" s="112"/>
      <c r="E75" s="112"/>
      <c r="F75" s="112"/>
      <c r="G75" s="112"/>
      <c r="H75" s="110"/>
      <c r="I75" s="110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87"/>
      <c r="I76" s="87"/>
      <c r="J76" s="110"/>
      <c r="K76" s="110"/>
    </row>
    <row r="77" spans="1:18" x14ac:dyDescent="0.25">
      <c r="A77" s="112"/>
      <c r="B77" s="113"/>
      <c r="C77" s="112"/>
      <c r="D77" s="112"/>
      <c r="E77" s="112"/>
      <c r="F77" s="112"/>
      <c r="G77" s="112"/>
      <c r="H77" s="110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0"/>
      <c r="I78" s="110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87"/>
      <c r="I79" s="87"/>
      <c r="J79" s="87"/>
      <c r="K79" s="87"/>
    </row>
    <row r="80" spans="1:18" x14ac:dyDescent="0.25">
      <c r="A80" s="112"/>
      <c r="B80" s="113"/>
      <c r="C80" s="112"/>
      <c r="D80" s="112"/>
      <c r="E80" s="112"/>
      <c r="F80" s="112"/>
      <c r="G80" s="112"/>
      <c r="H80" s="87"/>
      <c r="I80" s="87"/>
    </row>
    <row r="81" spans="1:9" x14ac:dyDescent="0.25">
      <c r="A81" s="1"/>
      <c r="B81" s="2"/>
      <c r="C81" s="1"/>
      <c r="D81" s="1"/>
      <c r="E81" s="1"/>
      <c r="F81" s="1"/>
      <c r="G81" s="1"/>
      <c r="H81" s="87"/>
      <c r="I81" s="87"/>
    </row>
  </sheetData>
  <mergeCells count="6">
    <mergeCell ref="A73:A74"/>
    <mergeCell ref="A2:I2"/>
    <mergeCell ref="A3:R3"/>
    <mergeCell ref="A4:R4"/>
    <mergeCell ref="M26:N27"/>
    <mergeCell ref="A71:G7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059F-7AC6-4614-871A-717D349239D2}">
  <dimension ref="A1:AF91"/>
  <sheetViews>
    <sheetView topLeftCell="A2" workbookViewId="0">
      <pane ySplit="4" topLeftCell="A56" activePane="bottomLeft" state="frozen"/>
      <selection activeCell="A2" sqref="A2"/>
      <selection pane="bottomLeft" activeCell="E37" sqref="E3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108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109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46132</v>
      </c>
      <c r="D5" s="7">
        <v>46133</v>
      </c>
      <c r="E5" s="7">
        <v>46134</v>
      </c>
      <c r="F5" s="7">
        <v>46135</v>
      </c>
      <c r="G5" s="7">
        <v>46136</v>
      </c>
      <c r="H5" s="7">
        <v>46137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>
        <v>14000</v>
      </c>
      <c r="D6" s="119">
        <v>14000</v>
      </c>
      <c r="E6" s="119">
        <v>14000</v>
      </c>
      <c r="F6" s="119">
        <v>14000</v>
      </c>
      <c r="G6" s="119">
        <v>28000</v>
      </c>
      <c r="H6" s="119">
        <v>14000</v>
      </c>
      <c r="I6" s="10">
        <f t="shared" ref="I6:I39" si="0">SUM(C6:H6)</f>
        <v>98000</v>
      </c>
      <c r="J6" s="1"/>
      <c r="K6" s="11"/>
    </row>
    <row r="7" spans="1:18" s="12" customFormat="1" ht="22.5" customHeight="1" x14ac:dyDescent="0.25">
      <c r="A7" s="5"/>
      <c r="B7" s="13"/>
      <c r="C7" s="14">
        <v>14130</v>
      </c>
      <c r="D7" s="14">
        <v>14320</v>
      </c>
      <c r="E7" s="14">
        <v>28250</v>
      </c>
      <c r="F7" s="14"/>
      <c r="G7" s="14">
        <v>28220</v>
      </c>
      <c r="H7" s="14"/>
      <c r="I7" s="15">
        <f t="shared" si="0"/>
        <v>84920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61">
        <v>15000</v>
      </c>
      <c r="D8" s="161">
        <v>15000</v>
      </c>
      <c r="E8" s="161"/>
      <c r="F8" s="117"/>
      <c r="G8" s="117"/>
      <c r="H8" s="161">
        <v>15000</v>
      </c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>
        <v>14960</v>
      </c>
      <c r="D9" s="14">
        <v>15010</v>
      </c>
      <c r="E9" s="14"/>
      <c r="F9" s="14"/>
      <c r="G9" s="14"/>
      <c r="H9" s="14"/>
      <c r="I9" s="15">
        <f t="shared" si="0"/>
        <v>29970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20" t="s">
        <v>62</v>
      </c>
      <c r="B14" s="18">
        <v>2.8</v>
      </c>
      <c r="C14" s="122">
        <v>14000</v>
      </c>
      <c r="D14" s="19"/>
      <c r="E14" s="122"/>
      <c r="F14" s="122"/>
      <c r="G14" s="122"/>
      <c r="H14" s="122"/>
      <c r="I14" s="20">
        <f t="shared" si="0"/>
        <v>14000</v>
      </c>
      <c r="J14" s="1"/>
      <c r="K14" s="11"/>
    </row>
    <row r="15" spans="1:18" s="12" customFormat="1" ht="22.15" customHeight="1" x14ac:dyDescent="0.25">
      <c r="A15" s="21"/>
      <c r="B15" s="22"/>
      <c r="C15" s="23">
        <v>14480</v>
      </c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21">
        <v>5000</v>
      </c>
      <c r="D16" s="19"/>
      <c r="E16" s="122"/>
      <c r="F16" s="19"/>
      <c r="G16" s="19">
        <v>14000</v>
      </c>
      <c r="H16" s="19"/>
      <c r="I16" s="20">
        <f t="shared" si="0"/>
        <v>19000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135">
        <v>14500</v>
      </c>
      <c r="G17" s="23"/>
      <c r="H17" s="23"/>
      <c r="I17" s="15">
        <f t="shared" si="0"/>
        <v>14500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>
        <v>8000</v>
      </c>
      <c r="F22" s="150">
        <v>12000</v>
      </c>
      <c r="G22" s="150"/>
      <c r="H22" s="150"/>
      <c r="I22" s="20">
        <f t="shared" si="0"/>
        <v>20000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>
        <v>7900</v>
      </c>
      <c r="F23" s="23">
        <v>11880</v>
      </c>
      <c r="G23" s="23"/>
      <c r="H23" s="23"/>
      <c r="I23" s="15"/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146000</v>
      </c>
      <c r="D24" s="27">
        <v>91000</v>
      </c>
      <c r="E24" s="27">
        <v>100000</v>
      </c>
      <c r="F24" s="27">
        <v>57000</v>
      </c>
      <c r="G24" s="27">
        <v>45000</v>
      </c>
      <c r="H24" s="27">
        <v>14000</v>
      </c>
      <c r="I24" s="20">
        <f t="shared" si="0"/>
        <v>453000</v>
      </c>
      <c r="K24" s="11"/>
    </row>
    <row r="25" spans="1:32" s="1" customFormat="1" ht="22.15" customHeight="1" x14ac:dyDescent="0.25">
      <c r="A25" s="28"/>
      <c r="B25" s="29"/>
      <c r="C25" s="24">
        <f>20150+138940</f>
        <v>159090</v>
      </c>
      <c r="D25" s="30">
        <v>29390</v>
      </c>
      <c r="E25" s="30">
        <v>84250</v>
      </c>
      <c r="F25" s="30">
        <v>57410</v>
      </c>
      <c r="G25" s="30">
        <v>42630</v>
      </c>
      <c r="H25" s="30"/>
      <c r="I25" s="15">
        <f t="shared" si="0"/>
        <v>372770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59000</v>
      </c>
      <c r="D26" s="27">
        <v>46000</v>
      </c>
      <c r="E26" s="27">
        <v>147000</v>
      </c>
      <c r="F26" s="27">
        <v>72000</v>
      </c>
      <c r="G26" s="27">
        <v>56000</v>
      </c>
      <c r="H26" s="27">
        <v>14000</v>
      </c>
      <c r="I26" s="31">
        <f>SUM(C26:H26)</f>
        <v>394000</v>
      </c>
      <c r="J26" s="32"/>
      <c r="K26" s="11"/>
    </row>
    <row r="27" spans="1:32" s="33" customFormat="1" ht="22.15" customHeight="1" x14ac:dyDescent="0.25">
      <c r="A27" s="28"/>
      <c r="B27" s="29"/>
      <c r="C27" s="24">
        <f>29080+57210</f>
        <v>86290</v>
      </c>
      <c r="D27" s="30">
        <f>27310+970</f>
        <v>28280</v>
      </c>
      <c r="E27" s="30">
        <v>47440</v>
      </c>
      <c r="F27" s="30">
        <v>100220</v>
      </c>
      <c r="G27" s="30">
        <v>62690</v>
      </c>
      <c r="H27" s="30">
        <v>28410</v>
      </c>
      <c r="I27" s="15">
        <f>SUM(C27:H27)</f>
        <v>353330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148000</v>
      </c>
      <c r="D34" s="27">
        <v>307000</v>
      </c>
      <c r="E34" s="27">
        <v>235000</v>
      </c>
      <c r="F34" s="27">
        <v>240000</v>
      </c>
      <c r="G34" s="27">
        <v>255000</v>
      </c>
      <c r="H34" s="27">
        <v>171000</v>
      </c>
      <c r="I34" s="31">
        <f t="shared" si="0"/>
        <v>1356000</v>
      </c>
      <c r="J34" s="1"/>
    </row>
    <row r="35" spans="1:32" s="4" customFormat="1" ht="21.75" customHeight="1" x14ac:dyDescent="0.35">
      <c r="A35" s="39"/>
      <c r="B35" s="40"/>
      <c r="C35" s="24">
        <v>122850</v>
      </c>
      <c r="D35" s="30">
        <v>222890</v>
      </c>
      <c r="E35" s="30">
        <v>232610</v>
      </c>
      <c r="F35" s="30">
        <v>256650</v>
      </c>
      <c r="G35" s="30">
        <v>194820</v>
      </c>
      <c r="H35" s="30"/>
      <c r="I35" s="15">
        <f t="shared" si="0"/>
        <v>1029820</v>
      </c>
    </row>
    <row r="36" spans="1:32" s="4" customFormat="1" ht="21" customHeight="1" x14ac:dyDescent="0.35">
      <c r="A36" s="25" t="s">
        <v>14</v>
      </c>
      <c r="B36" s="26">
        <v>4</v>
      </c>
      <c r="C36" s="27">
        <v>138000</v>
      </c>
      <c r="D36" s="27">
        <v>82000</v>
      </c>
      <c r="E36" s="27">
        <v>202000</v>
      </c>
      <c r="F36" s="27">
        <v>91000</v>
      </c>
      <c r="G36" s="27">
        <v>167000</v>
      </c>
      <c r="H36" s="27">
        <v>121000</v>
      </c>
      <c r="I36" s="31">
        <f>SUM(C36:H36)</f>
        <v>801000</v>
      </c>
    </row>
    <row r="37" spans="1:32" s="4" customFormat="1" ht="20.45" customHeight="1" x14ac:dyDescent="0.35">
      <c r="A37" s="49"/>
      <c r="B37" s="148"/>
      <c r="C37" s="157">
        <v>132060</v>
      </c>
      <c r="D37" s="157">
        <v>97820</v>
      </c>
      <c r="E37" s="164">
        <v>165290</v>
      </c>
      <c r="F37" s="157">
        <v>74280</v>
      </c>
      <c r="G37" s="157">
        <v>176530</v>
      </c>
      <c r="H37" s="157"/>
      <c r="I37" s="15">
        <f t="shared" si="0"/>
        <v>645980</v>
      </c>
    </row>
    <row r="38" spans="1:32" s="4" customFormat="1" ht="20.45" customHeight="1" x14ac:dyDescent="0.35">
      <c r="A38" s="53" t="s">
        <v>15</v>
      </c>
      <c r="B38" s="54">
        <v>4</v>
      </c>
      <c r="C38" s="55"/>
      <c r="D38" s="55">
        <v>16000</v>
      </c>
      <c r="E38" s="55">
        <v>31000</v>
      </c>
      <c r="F38" s="55"/>
      <c r="G38" s="55"/>
      <c r="H38" s="55">
        <v>25000</v>
      </c>
      <c r="I38" s="31">
        <f t="shared" si="0"/>
        <v>72000</v>
      </c>
    </row>
    <row r="39" spans="1:32" s="4" customFormat="1" ht="20.45" customHeight="1" x14ac:dyDescent="0.35">
      <c r="A39" s="49"/>
      <c r="B39" s="50"/>
      <c r="C39" s="168"/>
      <c r="D39" s="169"/>
      <c r="E39" s="170"/>
      <c r="F39" s="169">
        <v>14530</v>
      </c>
      <c r="G39" s="169"/>
      <c r="H39" s="169"/>
      <c r="I39" s="15">
        <f t="shared" si="0"/>
        <v>14530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32.337333333333333</v>
      </c>
      <c r="D40" s="58">
        <f>(D12+D24+D26+D34+D37)/15000</f>
        <v>36.121333333333332</v>
      </c>
      <c r="E40" s="58">
        <f>(E12+E24+E26+E34+E37)/15000</f>
        <v>43.152666666666669</v>
      </c>
      <c r="F40" s="58">
        <f>(F12+F24+F26+F34+F37)/15000</f>
        <v>29.552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69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>
        <v>10000</v>
      </c>
      <c r="D42" s="145"/>
      <c r="E42" s="145"/>
      <c r="F42" s="145"/>
      <c r="G42" s="145"/>
      <c r="H42" s="145">
        <v>10000</v>
      </c>
      <c r="I42" s="62">
        <f t="shared" si="1"/>
        <v>20000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15000</v>
      </c>
      <c r="D43" s="145"/>
      <c r="E43" s="145">
        <v>15000</v>
      </c>
      <c r="F43" s="145"/>
      <c r="G43" s="145"/>
      <c r="H43" s="145">
        <v>15000</v>
      </c>
      <c r="I43" s="62">
        <f t="shared" si="1"/>
        <v>45000</v>
      </c>
    </row>
    <row r="44" spans="1:32" s="4" customFormat="1" ht="21" customHeight="1" x14ac:dyDescent="0.35">
      <c r="A44" s="17" t="s">
        <v>110</v>
      </c>
      <c r="B44" s="60">
        <v>4</v>
      </c>
      <c r="C44" s="145">
        <v>15000</v>
      </c>
      <c r="D44" s="145">
        <v>15000</v>
      </c>
      <c r="E44" s="145">
        <v>15000</v>
      </c>
      <c r="F44" s="145">
        <v>15000</v>
      </c>
      <c r="G44" s="145">
        <v>15000</v>
      </c>
      <c r="H44" s="145">
        <v>15000</v>
      </c>
      <c r="I44" s="62">
        <f t="shared" si="1"/>
        <v>90000</v>
      </c>
    </row>
    <row r="45" spans="1:32" s="4" customFormat="1" ht="23.25" customHeight="1" x14ac:dyDescent="0.35">
      <c r="A45" s="65">
        <v>502</v>
      </c>
      <c r="B45" s="154" t="s">
        <v>19</v>
      </c>
      <c r="C45" s="64">
        <v>14000</v>
      </c>
      <c r="D45" s="64"/>
      <c r="E45" s="64"/>
      <c r="F45" s="64"/>
      <c r="G45" s="64">
        <v>14000</v>
      </c>
      <c r="H45" s="64"/>
      <c r="I45" s="62">
        <f t="shared" si="1"/>
        <v>28000</v>
      </c>
    </row>
    <row r="46" spans="1:32" s="4" customFormat="1" ht="23.25" hidden="1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/>
      <c r="H46" s="64"/>
      <c r="I46" s="62">
        <f t="shared" si="1"/>
        <v>0</v>
      </c>
    </row>
    <row r="47" spans="1:32" s="4" customFormat="1" ht="20.25" customHeight="1" x14ac:dyDescent="0.35">
      <c r="A47" s="67" t="s">
        <v>101</v>
      </c>
      <c r="B47" s="68" t="s">
        <v>19</v>
      </c>
      <c r="C47" s="64">
        <v>26000</v>
      </c>
      <c r="D47" s="64"/>
      <c r="E47" s="64"/>
      <c r="F47" s="64"/>
      <c r="G47" s="64"/>
      <c r="H47" s="64"/>
      <c r="I47" s="62">
        <f t="shared" si="1"/>
        <v>26000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21</v>
      </c>
      <c r="B49" s="68">
        <v>4</v>
      </c>
      <c r="C49" s="64"/>
      <c r="D49" s="64"/>
      <c r="E49" s="64">
        <v>14000</v>
      </c>
      <c r="F49" s="64"/>
      <c r="G49" s="64"/>
      <c r="H49" s="64"/>
      <c r="I49" s="62">
        <f t="shared" si="1"/>
        <v>14000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64"/>
      <c r="D50" s="83"/>
      <c r="E50" s="83">
        <v>6000</v>
      </c>
      <c r="F50" s="64"/>
      <c r="G50" s="64"/>
      <c r="H50" s="64"/>
      <c r="I50" s="62">
        <f t="shared" si="1"/>
        <v>6000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hidden="1" customHeight="1" x14ac:dyDescent="0.35">
      <c r="A51" s="67" t="s">
        <v>75</v>
      </c>
      <c r="B51" s="68">
        <v>2.5</v>
      </c>
      <c r="C51" s="142"/>
      <c r="D51" s="64"/>
      <c r="E51" s="72"/>
      <c r="F51" s="72"/>
      <c r="G51" s="64"/>
      <c r="H51" s="64"/>
      <c r="I51" s="62">
        <f t="shared" si="1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/>
      <c r="D52" s="74">
        <v>14000</v>
      </c>
      <c r="E52" s="72"/>
      <c r="F52" s="72"/>
      <c r="G52" s="72">
        <v>14000</v>
      </c>
      <c r="H52" s="145">
        <v>5000</v>
      </c>
      <c r="I52" s="62">
        <f t="shared" si="1"/>
        <v>33000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hidden="1" customHeight="1" x14ac:dyDescent="0.35">
      <c r="A53" s="17" t="s">
        <v>24</v>
      </c>
      <c r="B53" s="71">
        <v>2.8</v>
      </c>
      <c r="C53" s="152"/>
      <c r="D53" s="77"/>
      <c r="E53" s="75"/>
      <c r="F53" s="75"/>
      <c r="G53" s="75"/>
      <c r="H53" s="75"/>
      <c r="I53" s="62">
        <f t="shared" si="1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>
        <v>14000</v>
      </c>
      <c r="H54" s="72"/>
      <c r="I54" s="62">
        <f t="shared" si="1"/>
        <v>14000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customHeight="1" x14ac:dyDescent="0.35">
      <c r="A55" s="17" t="s">
        <v>112</v>
      </c>
      <c r="B55" s="71">
        <v>2.8</v>
      </c>
      <c r="C55" s="72">
        <v>7000</v>
      </c>
      <c r="D55" s="80"/>
      <c r="E55" s="64"/>
      <c r="F55" s="64"/>
      <c r="G55" s="64"/>
      <c r="H55" s="64"/>
      <c r="I55" s="62">
        <f t="shared" si="1"/>
        <v>7000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customHeight="1" x14ac:dyDescent="0.35">
      <c r="A56" s="70" t="s">
        <v>26</v>
      </c>
      <c r="B56" s="71">
        <v>2.8</v>
      </c>
      <c r="C56" s="165">
        <v>9000</v>
      </c>
      <c r="D56" s="155">
        <v>8000</v>
      </c>
      <c r="E56" s="145">
        <v>11000</v>
      </c>
      <c r="F56" s="145">
        <v>5000</v>
      </c>
      <c r="G56" s="145"/>
      <c r="H56" s="145">
        <v>4000</v>
      </c>
      <c r="I56" s="62">
        <f t="shared" si="1"/>
        <v>37000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17" t="s">
        <v>106</v>
      </c>
      <c r="B57" s="71"/>
      <c r="C57" s="165"/>
      <c r="D57" s="155"/>
      <c r="E57" s="145"/>
      <c r="F57" s="145"/>
      <c r="G57" s="64">
        <v>4000</v>
      </c>
      <c r="H57" s="64">
        <v>12000</v>
      </c>
      <c r="I57" s="62">
        <f t="shared" si="1"/>
        <v>16000</v>
      </c>
      <c r="J57" s="84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70" t="s">
        <v>53</v>
      </c>
      <c r="B58" s="71">
        <v>2.8</v>
      </c>
      <c r="C58" s="145">
        <v>10000</v>
      </c>
      <c r="D58" s="155">
        <v>6000</v>
      </c>
      <c r="E58" s="145">
        <v>22000</v>
      </c>
      <c r="F58" s="72"/>
      <c r="G58" s="145"/>
      <c r="H58" s="145">
        <v>18000</v>
      </c>
      <c r="I58" s="62">
        <f t="shared" si="1"/>
        <v>56000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62" t="s">
        <v>93</v>
      </c>
      <c r="B59" s="71">
        <v>2.8</v>
      </c>
      <c r="C59" s="145"/>
      <c r="D59" s="140"/>
      <c r="E59" s="83"/>
      <c r="F59" s="145"/>
      <c r="G59" s="145"/>
      <c r="H59" s="83"/>
      <c r="I59" s="163">
        <f t="shared" si="1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7" t="s">
        <v>92</v>
      </c>
      <c r="B60" s="71"/>
      <c r="C60" s="145"/>
      <c r="D60" s="82"/>
      <c r="E60" s="64"/>
      <c r="F60" s="145"/>
      <c r="G60" s="72"/>
      <c r="H60" s="64"/>
      <c r="I60" s="62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customHeight="1" x14ac:dyDescent="0.35">
      <c r="A61" s="85">
        <v>552</v>
      </c>
      <c r="B61" s="63">
        <v>4</v>
      </c>
      <c r="C61" s="145">
        <v>10000</v>
      </c>
      <c r="D61" s="80">
        <v>33000</v>
      </c>
      <c r="E61" s="145"/>
      <c r="F61" s="145">
        <v>14000</v>
      </c>
      <c r="G61" s="145">
        <v>10000</v>
      </c>
      <c r="H61" s="145">
        <v>5000</v>
      </c>
      <c r="I61" s="62">
        <f t="shared" si="1"/>
        <v>72000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1" customFormat="1" ht="23.25" hidden="1" customHeight="1" x14ac:dyDescent="0.3">
      <c r="A62" s="70">
        <v>553</v>
      </c>
      <c r="B62" s="71">
        <v>2.8</v>
      </c>
      <c r="C62" s="64"/>
      <c r="D62" s="80"/>
      <c r="E62" s="83"/>
      <c r="F62" s="64"/>
      <c r="G62" s="64"/>
      <c r="H62" s="64"/>
      <c r="I62" s="62">
        <f t="shared" si="1"/>
        <v>0</v>
      </c>
    </row>
    <row r="63" spans="1:27" s="1" customFormat="1" ht="21" customHeight="1" x14ac:dyDescent="0.3">
      <c r="A63" s="70" t="s">
        <v>29</v>
      </c>
      <c r="B63" s="71">
        <v>4</v>
      </c>
      <c r="C63" s="72">
        <v>26000</v>
      </c>
      <c r="D63" s="155"/>
      <c r="E63" s="64"/>
      <c r="F63" s="145"/>
      <c r="G63" s="145">
        <v>9000</v>
      </c>
      <c r="H63" s="145">
        <v>23000</v>
      </c>
      <c r="I63" s="62">
        <f t="shared" si="1"/>
        <v>58000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hidden="1" customHeight="1" x14ac:dyDescent="0.3">
      <c r="A64" s="17" t="s">
        <v>30</v>
      </c>
      <c r="B64" s="71">
        <v>4</v>
      </c>
      <c r="C64" s="64"/>
      <c r="D64" s="82"/>
      <c r="E64" s="64"/>
      <c r="F64" s="64"/>
      <c r="G64" s="64"/>
      <c r="H64" s="64"/>
      <c r="I64" s="62">
        <f t="shared" si="1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customHeight="1" x14ac:dyDescent="0.3">
      <c r="A65" s="70" t="s">
        <v>31</v>
      </c>
      <c r="B65" s="71"/>
      <c r="C65" s="72"/>
      <c r="D65" s="80"/>
      <c r="E65" s="64"/>
      <c r="F65" s="145"/>
      <c r="G65" s="145"/>
      <c r="H65" s="145"/>
      <c r="I65" s="62">
        <f t="shared" si="1"/>
        <v>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hidden="1" x14ac:dyDescent="0.3">
      <c r="A66" s="17" t="s">
        <v>69</v>
      </c>
      <c r="B66" s="71">
        <v>4</v>
      </c>
      <c r="C66" s="72"/>
      <c r="D66" s="64"/>
      <c r="E66" s="64"/>
      <c r="F66" s="145"/>
      <c r="G66" s="64"/>
      <c r="H66" s="72"/>
      <c r="I66" s="62">
        <f t="shared" si="1"/>
        <v>0</v>
      </c>
      <c r="L66" s="87"/>
      <c r="M66" s="87"/>
      <c r="N66" s="87"/>
      <c r="O66" s="87"/>
      <c r="P66" s="87"/>
      <c r="Q66" s="87"/>
      <c r="R66" s="87"/>
    </row>
    <row r="67" spans="1:27" ht="18.75" customHeight="1" x14ac:dyDescent="0.3">
      <c r="A67" s="70" t="s">
        <v>32</v>
      </c>
      <c r="B67" s="71">
        <v>4</v>
      </c>
      <c r="C67" s="145"/>
      <c r="D67" s="145"/>
      <c r="E67" s="145"/>
      <c r="F67" s="145">
        <v>14000</v>
      </c>
      <c r="G67" s="145">
        <v>4000</v>
      </c>
      <c r="H67" s="145">
        <v>6000</v>
      </c>
      <c r="I67" s="62">
        <f t="shared" si="1"/>
        <v>24000</v>
      </c>
      <c r="L67" s="87"/>
      <c r="M67" s="87"/>
      <c r="N67" s="87"/>
      <c r="O67" s="87"/>
      <c r="P67" s="87"/>
      <c r="Q67" s="87"/>
      <c r="R67" s="87"/>
    </row>
    <row r="68" spans="1:27" ht="23.25" customHeight="1" x14ac:dyDescent="0.3">
      <c r="A68" s="17" t="s">
        <v>35</v>
      </c>
      <c r="B68" s="71">
        <v>4</v>
      </c>
      <c r="C68" s="64"/>
      <c r="D68" s="64"/>
      <c r="E68" s="64"/>
      <c r="F68" s="145"/>
      <c r="G68" s="145">
        <v>4000</v>
      </c>
      <c r="H68" s="64"/>
      <c r="I68" s="62">
        <f t="shared" si="1"/>
        <v>4000</v>
      </c>
      <c r="L68" s="87"/>
      <c r="M68" s="87"/>
      <c r="N68" s="87"/>
      <c r="O68" s="87"/>
      <c r="P68" s="87"/>
      <c r="Q68" s="87"/>
      <c r="R68" s="87"/>
    </row>
    <row r="69" spans="1:27" ht="30.75" customHeight="1" x14ac:dyDescent="0.3">
      <c r="A69" s="167" t="s">
        <v>111</v>
      </c>
      <c r="B69" s="71">
        <v>4</v>
      </c>
      <c r="C69" s="64"/>
      <c r="D69" s="83"/>
      <c r="E69" s="83">
        <v>18000</v>
      </c>
      <c r="F69" s="145"/>
      <c r="G69" s="145"/>
      <c r="H69" s="145"/>
      <c r="I69" s="62">
        <f t="shared" si="1"/>
        <v>18000</v>
      </c>
      <c r="L69" s="87"/>
      <c r="M69" s="87"/>
      <c r="N69" s="87"/>
      <c r="O69" s="87"/>
      <c r="P69" s="87"/>
      <c r="Q69" s="87"/>
      <c r="R69" s="87"/>
    </row>
    <row r="70" spans="1:27" s="4" customFormat="1" ht="19.149999999999999" customHeight="1" x14ac:dyDescent="0.35">
      <c r="A70" s="88" t="s">
        <v>36</v>
      </c>
      <c r="B70" s="89"/>
      <c r="C70" s="90">
        <v>3</v>
      </c>
      <c r="D70" s="90">
        <v>5</v>
      </c>
      <c r="E70" s="91">
        <v>3</v>
      </c>
      <c r="F70" s="90">
        <v>4</v>
      </c>
      <c r="G70" s="90"/>
      <c r="H70" s="90"/>
      <c r="I70" s="92"/>
    </row>
    <row r="71" spans="1:27" ht="24.75" customHeight="1" x14ac:dyDescent="0.25">
      <c r="A71" s="93" t="s">
        <v>37</v>
      </c>
      <c r="B71" s="94"/>
      <c r="C71" s="95">
        <f>C70+C40</f>
        <v>35.337333333333333</v>
      </c>
      <c r="D71" s="95">
        <f>D70+D40</f>
        <v>41.121333333333332</v>
      </c>
      <c r="E71" s="95">
        <f>E70+E40</f>
        <v>46.152666666666669</v>
      </c>
      <c r="F71" s="95">
        <f>F70+F40</f>
        <v>33.552</v>
      </c>
      <c r="G71" s="95"/>
      <c r="H71" s="95"/>
      <c r="I71" s="96"/>
      <c r="L71" s="87"/>
      <c r="M71" s="87"/>
      <c r="N71" s="87"/>
      <c r="O71" s="87"/>
      <c r="P71" s="87"/>
      <c r="Q71" s="87"/>
      <c r="R71" s="87"/>
    </row>
    <row r="72" spans="1:27" s="1" customFormat="1" ht="25.5" x14ac:dyDescent="0.35">
      <c r="A72" s="97"/>
      <c r="B72" s="98"/>
      <c r="C72" s="100"/>
      <c r="D72" s="33"/>
      <c r="E72" s="4"/>
      <c r="F72" s="4"/>
      <c r="G72" s="4"/>
      <c r="H72" s="4"/>
      <c r="I72" s="3"/>
      <c r="L72" s="87"/>
      <c r="M72" s="87"/>
      <c r="N72" s="87"/>
      <c r="O72" s="87"/>
      <c r="P72" s="87"/>
      <c r="Q72" s="87"/>
      <c r="R72" s="87"/>
      <c r="S72" s="3"/>
      <c r="T72" s="3"/>
      <c r="U72" s="3"/>
      <c r="V72" s="3"/>
      <c r="W72" s="3"/>
      <c r="X72" s="3"/>
      <c r="Y72" s="3"/>
      <c r="Z72" s="3"/>
      <c r="AA72" s="3"/>
    </row>
    <row r="73" spans="1:27" ht="25.5" x14ac:dyDescent="0.35">
      <c r="A73" s="101"/>
      <c r="B73" s="102"/>
      <c r="C73" s="104"/>
      <c r="E73" s="4"/>
      <c r="F73" s="4"/>
      <c r="G73" s="4"/>
      <c r="H73" s="4"/>
      <c r="J73" s="87"/>
      <c r="K73" s="87"/>
      <c r="L73" s="106"/>
      <c r="M73" s="106"/>
      <c r="N73" s="106"/>
      <c r="O73" s="106"/>
      <c r="P73" s="106"/>
      <c r="Q73" s="106"/>
      <c r="R73" s="106"/>
    </row>
    <row r="74" spans="1:27" ht="20.25" x14ac:dyDescent="0.25">
      <c r="A74" s="107"/>
      <c r="B74" s="108"/>
      <c r="C74" s="107"/>
      <c r="D74" s="105"/>
      <c r="E74" s="109"/>
      <c r="F74" s="110"/>
      <c r="G74" s="110"/>
      <c r="H74" s="110"/>
      <c r="I74" s="1"/>
      <c r="J74" s="87"/>
      <c r="K74" s="87"/>
      <c r="L74" s="111"/>
      <c r="M74" s="111"/>
      <c r="N74" s="111"/>
      <c r="O74" s="111"/>
      <c r="P74" s="111"/>
      <c r="Q74" s="111"/>
      <c r="R74" s="111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4"/>
      <c r="M75" s="114"/>
      <c r="N75" s="114"/>
      <c r="O75" s="114"/>
      <c r="P75" s="114"/>
      <c r="Q75" s="114"/>
      <c r="R75" s="114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0"/>
      <c r="M77" s="110"/>
      <c r="N77" s="110"/>
      <c r="O77" s="110"/>
      <c r="P77" s="110"/>
      <c r="Q77" s="110"/>
      <c r="R77" s="110"/>
    </row>
    <row r="78" spans="1:27" x14ac:dyDescent="0.25"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</row>
    <row r="79" spans="1:27" ht="25.5" x14ac:dyDescent="0.35">
      <c r="A79" s="1"/>
      <c r="B79" s="2"/>
      <c r="C79" s="1"/>
      <c r="D79" s="1"/>
      <c r="E79" s="1"/>
      <c r="F79" s="87"/>
      <c r="G79" s="87"/>
      <c r="H79" s="87"/>
      <c r="I79" s="87"/>
      <c r="J79" s="106"/>
      <c r="K79" s="106"/>
      <c r="L79" s="110"/>
      <c r="M79" s="110"/>
      <c r="N79" s="110"/>
      <c r="O79" s="110"/>
      <c r="P79" s="110"/>
      <c r="Q79" s="110"/>
      <c r="R79" s="110"/>
    </row>
    <row r="80" spans="1:27" x14ac:dyDescent="0.25">
      <c r="A80" s="1"/>
      <c r="B80" s="2"/>
      <c r="C80" s="1"/>
      <c r="D80" s="1"/>
      <c r="E80" s="1"/>
      <c r="F80" s="87"/>
      <c r="G80" s="87"/>
      <c r="H80" s="87"/>
      <c r="I80" s="87"/>
      <c r="J80" s="111"/>
      <c r="K80" s="111"/>
      <c r="L80" s="110"/>
      <c r="M80" s="110"/>
      <c r="N80" s="110"/>
      <c r="O80" s="110"/>
      <c r="P80" s="110"/>
      <c r="Q80" s="110"/>
      <c r="R80" s="110"/>
    </row>
    <row r="81" spans="1:18" ht="25.5" x14ac:dyDescent="0.35">
      <c r="A81" s="181"/>
      <c r="B81" s="181"/>
      <c r="C81" s="181"/>
      <c r="D81" s="181"/>
      <c r="E81" s="181"/>
      <c r="F81" s="106"/>
      <c r="G81" s="106"/>
      <c r="H81" s="106"/>
      <c r="I81" s="106"/>
      <c r="J81" s="114"/>
      <c r="K81" s="114"/>
      <c r="L81" s="87"/>
      <c r="M81" s="87"/>
      <c r="N81" s="87"/>
      <c r="O81" s="87"/>
      <c r="P81" s="87"/>
      <c r="Q81" s="87"/>
      <c r="R81" s="87"/>
    </row>
    <row r="82" spans="1:18" x14ac:dyDescent="0.25">
      <c r="A82" s="111"/>
      <c r="B82" s="113"/>
      <c r="C82" s="111"/>
      <c r="D82" s="111"/>
      <c r="E82" s="111"/>
      <c r="F82" s="111"/>
      <c r="G82" s="111"/>
      <c r="H82" s="111"/>
      <c r="I82" s="111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82"/>
      <c r="B83" s="116"/>
      <c r="C83" s="114"/>
      <c r="D83" s="114"/>
      <c r="E83" s="114"/>
      <c r="F83" s="114"/>
      <c r="G83" s="114"/>
      <c r="H83" s="114"/>
      <c r="I83" s="114"/>
      <c r="J83" s="110"/>
      <c r="K83" s="110"/>
      <c r="L83" s="87"/>
      <c r="M83" s="87"/>
      <c r="N83" s="87"/>
      <c r="O83" s="87"/>
      <c r="P83" s="87"/>
      <c r="Q83" s="87"/>
      <c r="R83" s="87"/>
    </row>
    <row r="84" spans="1:18" x14ac:dyDescent="0.25">
      <c r="A84" s="182"/>
      <c r="B84" s="116"/>
      <c r="C84" s="114"/>
      <c r="D84" s="114"/>
      <c r="E84" s="114"/>
      <c r="F84" s="114"/>
      <c r="G84" s="114"/>
      <c r="H84" s="114"/>
      <c r="I84" s="114"/>
      <c r="J84" s="87"/>
      <c r="K84" s="87"/>
    </row>
    <row r="85" spans="1:18" x14ac:dyDescent="0.25">
      <c r="A85" s="112"/>
      <c r="B85" s="113"/>
      <c r="C85" s="112"/>
      <c r="D85" s="112"/>
      <c r="E85" s="112"/>
      <c r="F85" s="110"/>
      <c r="G85" s="110"/>
      <c r="H85" s="110"/>
      <c r="I85" s="110"/>
      <c r="J85" s="110"/>
      <c r="K85" s="110"/>
    </row>
    <row r="86" spans="1:18" x14ac:dyDescent="0.25">
      <c r="A86" s="112"/>
      <c r="B86" s="113"/>
      <c r="C86" s="112"/>
      <c r="D86" s="112"/>
      <c r="E86" s="112"/>
      <c r="F86" s="87"/>
      <c r="G86" s="87"/>
      <c r="H86" s="87"/>
      <c r="I86" s="87"/>
      <c r="J86" s="110"/>
      <c r="K86" s="110"/>
    </row>
    <row r="87" spans="1:18" x14ac:dyDescent="0.25">
      <c r="A87" s="112"/>
      <c r="B87" s="113"/>
      <c r="C87" s="112"/>
      <c r="D87" s="112"/>
      <c r="E87" s="112"/>
      <c r="F87" s="110"/>
      <c r="G87" s="110"/>
      <c r="H87" s="110"/>
      <c r="I87" s="110"/>
      <c r="J87" s="87"/>
      <c r="K87" s="87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87"/>
      <c r="G89" s="87"/>
      <c r="H89" s="87"/>
      <c r="I89" s="87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</row>
    <row r="91" spans="1:18" x14ac:dyDescent="0.25">
      <c r="A91" s="1"/>
      <c r="B91" s="2"/>
      <c r="C91" s="1"/>
      <c r="D91" s="1"/>
      <c r="E91" s="1"/>
      <c r="F91" s="87"/>
      <c r="G91" s="87"/>
      <c r="H91" s="87"/>
      <c r="I91" s="87"/>
    </row>
  </sheetData>
  <mergeCells count="6">
    <mergeCell ref="A83:A84"/>
    <mergeCell ref="A2:I2"/>
    <mergeCell ref="A3:R3"/>
    <mergeCell ref="A4:R4"/>
    <mergeCell ref="M28:N29"/>
    <mergeCell ref="A81:E8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AD20-C6E1-4CF5-BFEA-92130FD1A4FD}">
  <dimension ref="A1:AB79"/>
  <sheetViews>
    <sheetView topLeftCell="A2" zoomScaleNormal="100" workbookViewId="0">
      <pane ySplit="4" topLeftCell="A18" activePane="bottomLeft" state="frozen"/>
      <selection activeCell="A2" sqref="A2"/>
      <selection pane="bottomLeft" activeCell="I31" sqref="I31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3" width="14.625" style="3" hidden="1" customWidth="1"/>
    <col min="4" max="5" width="14.625" style="3" customWidth="1"/>
    <col min="6" max="7" width="14.625" style="3" hidden="1" customWidth="1"/>
    <col min="8" max="10" width="14.625" style="3" customWidth="1"/>
    <col min="11" max="11" width="9.75" style="3" customWidth="1"/>
    <col min="12" max="16384" width="28.625" style="3"/>
  </cols>
  <sheetData>
    <row r="1" spans="1:19" ht="24" customHeight="1" x14ac:dyDescent="0.25">
      <c r="A1" s="1" t="s">
        <v>0</v>
      </c>
      <c r="B1" s="2"/>
      <c r="C1" s="1"/>
      <c r="D1" s="1"/>
      <c r="E1" s="1"/>
      <c r="F1" s="1"/>
      <c r="G1" s="1"/>
      <c r="H1" s="1"/>
    </row>
    <row r="2" spans="1:19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  <c r="J2" s="177"/>
    </row>
    <row r="3" spans="1:19" s="4" customFormat="1" ht="27" customHeight="1" x14ac:dyDescent="0.35">
      <c r="A3" s="178" t="s">
        <v>104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</row>
    <row r="4" spans="1:19" ht="21.75" customHeight="1" x14ac:dyDescent="0.25">
      <c r="A4" s="179" t="s">
        <v>113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</row>
    <row r="5" spans="1:19" s="1" customFormat="1" ht="18.75" x14ac:dyDescent="0.25">
      <c r="A5" s="5" t="s">
        <v>2</v>
      </c>
      <c r="B5" s="6" t="s">
        <v>3</v>
      </c>
      <c r="C5" s="7">
        <v>46139</v>
      </c>
      <c r="D5" s="7">
        <v>46140</v>
      </c>
      <c r="E5" s="7">
        <v>46141</v>
      </c>
      <c r="F5" s="139">
        <v>46142</v>
      </c>
      <c r="G5" s="139"/>
      <c r="H5" s="7">
        <v>46144</v>
      </c>
      <c r="I5" s="7">
        <v>46145</v>
      </c>
      <c r="J5" s="8"/>
    </row>
    <row r="6" spans="1:19" s="12" customFormat="1" ht="21.75" customHeight="1" x14ac:dyDescent="0.25">
      <c r="A6" s="9" t="s">
        <v>4</v>
      </c>
      <c r="B6" s="18">
        <v>4</v>
      </c>
      <c r="C6" s="118"/>
      <c r="D6" s="118">
        <v>30000</v>
      </c>
      <c r="E6" s="119">
        <v>30000</v>
      </c>
      <c r="F6" s="119"/>
      <c r="G6" s="119"/>
      <c r="H6" s="119">
        <v>15000</v>
      </c>
      <c r="I6" s="119"/>
      <c r="J6" s="10">
        <f t="shared" ref="J6:J14" si="0">SUM(C6:I6)</f>
        <v>75000</v>
      </c>
      <c r="K6" s="1"/>
      <c r="L6" s="11"/>
    </row>
    <row r="7" spans="1:19" s="12" customFormat="1" ht="22.5" customHeight="1" x14ac:dyDescent="0.25">
      <c r="A7" s="5"/>
      <c r="B7" s="13"/>
      <c r="C7" s="14"/>
      <c r="D7" s="14">
        <v>29990</v>
      </c>
      <c r="E7" s="14"/>
      <c r="F7" s="14"/>
      <c r="G7" s="14"/>
      <c r="H7" s="14">
        <v>14840</v>
      </c>
      <c r="I7" s="14"/>
      <c r="J7" s="15">
        <f t="shared" si="0"/>
        <v>44830</v>
      </c>
      <c r="K7" s="1"/>
      <c r="L7" s="11"/>
    </row>
    <row r="8" spans="1:19" s="12" customFormat="1" ht="21.75" customHeight="1" x14ac:dyDescent="0.25">
      <c r="A8" s="16" t="s">
        <v>5</v>
      </c>
      <c r="B8" s="18">
        <v>4</v>
      </c>
      <c r="C8" s="117"/>
      <c r="D8" s="117"/>
      <c r="E8" s="117">
        <v>15000</v>
      </c>
      <c r="F8" s="117"/>
      <c r="G8" s="117"/>
      <c r="H8" s="117">
        <v>15000</v>
      </c>
      <c r="I8" s="117"/>
      <c r="J8" s="10">
        <f t="shared" si="0"/>
        <v>30000</v>
      </c>
      <c r="K8" s="1"/>
      <c r="L8" s="11"/>
    </row>
    <row r="9" spans="1:19" s="12" customFormat="1" ht="21.75" customHeight="1" x14ac:dyDescent="0.25">
      <c r="A9" s="5"/>
      <c r="B9" s="13"/>
      <c r="C9" s="14"/>
      <c r="D9" s="14"/>
      <c r="E9" s="14">
        <v>14320</v>
      </c>
      <c r="F9" s="14"/>
      <c r="G9" s="14"/>
      <c r="H9" s="14"/>
      <c r="I9" s="14">
        <v>14990</v>
      </c>
      <c r="J9" s="15">
        <f t="shared" si="0"/>
        <v>29310</v>
      </c>
      <c r="K9" s="1"/>
      <c r="L9" s="11"/>
    </row>
    <row r="10" spans="1:19" s="12" customFormat="1" ht="22.15" hidden="1" customHeight="1" x14ac:dyDescent="0.25">
      <c r="A10" s="17" t="s">
        <v>44</v>
      </c>
      <c r="B10" s="18">
        <v>2.8</v>
      </c>
      <c r="C10" s="122"/>
      <c r="D10" s="122"/>
      <c r="E10" s="122"/>
      <c r="F10" s="122"/>
      <c r="G10" s="122"/>
      <c r="H10" s="122"/>
      <c r="I10" s="122"/>
      <c r="J10" s="20">
        <f t="shared" si="0"/>
        <v>0</v>
      </c>
      <c r="K10" s="1"/>
      <c r="L10" s="11"/>
    </row>
    <row r="11" spans="1:19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15">
        <f t="shared" si="0"/>
        <v>0</v>
      </c>
      <c r="K11" s="1"/>
      <c r="L11" s="11"/>
    </row>
    <row r="12" spans="1:19" s="12" customFormat="1" ht="22.15" customHeight="1" x14ac:dyDescent="0.25">
      <c r="A12" s="120" t="s">
        <v>7</v>
      </c>
      <c r="B12" s="18">
        <v>2.8</v>
      </c>
      <c r="C12" s="123"/>
      <c r="D12" s="123">
        <v>21000</v>
      </c>
      <c r="E12" s="123">
        <v>21000</v>
      </c>
      <c r="F12" s="122"/>
      <c r="G12" s="122"/>
      <c r="H12" s="123"/>
      <c r="I12" s="123"/>
      <c r="J12" s="20">
        <f t="shared" si="0"/>
        <v>42000</v>
      </c>
      <c r="K12" s="1"/>
      <c r="L12" s="11"/>
    </row>
    <row r="13" spans="1:19" s="12" customFormat="1" ht="22.15" customHeight="1" x14ac:dyDescent="0.25">
      <c r="A13" s="21"/>
      <c r="B13" s="22"/>
      <c r="C13" s="23"/>
      <c r="D13" s="23">
        <v>21240</v>
      </c>
      <c r="E13" s="23"/>
      <c r="F13" s="23"/>
      <c r="G13" s="23"/>
      <c r="H13" s="23"/>
      <c r="I13" s="23">
        <v>21170</v>
      </c>
      <c r="J13" s="15">
        <f t="shared" si="0"/>
        <v>42410</v>
      </c>
      <c r="K13" s="1"/>
      <c r="L13" s="11"/>
    </row>
    <row r="14" spans="1:19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/>
      <c r="G14" s="123"/>
      <c r="H14" s="123"/>
      <c r="I14" s="123">
        <v>5000</v>
      </c>
      <c r="J14" s="20">
        <f t="shared" si="0"/>
        <v>5000</v>
      </c>
      <c r="K14" s="1"/>
      <c r="L14" s="11"/>
    </row>
    <row r="15" spans="1:19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23">
        <v>14520</v>
      </c>
      <c r="J15" s="15"/>
      <c r="K15" s="1"/>
      <c r="L15" s="11"/>
    </row>
    <row r="16" spans="1:19" s="12" customFormat="1" ht="22.15" customHeight="1" x14ac:dyDescent="0.25">
      <c r="A16" s="120" t="s">
        <v>11</v>
      </c>
      <c r="B16" s="18">
        <v>4</v>
      </c>
      <c r="C16" s="121"/>
      <c r="D16" s="121">
        <v>7000</v>
      </c>
      <c r="E16" s="121">
        <v>19000</v>
      </c>
      <c r="F16" s="122"/>
      <c r="G16" s="122"/>
      <c r="H16" s="122">
        <v>5000</v>
      </c>
      <c r="I16" s="122"/>
      <c r="J16" s="20">
        <f>SUM(C16:I16)</f>
        <v>31000</v>
      </c>
      <c r="K16" s="1"/>
      <c r="L16" s="11"/>
    </row>
    <row r="17" spans="1:28" s="12" customFormat="1" ht="22.15" customHeight="1" x14ac:dyDescent="0.25">
      <c r="A17" s="21"/>
      <c r="B17" s="22"/>
      <c r="C17" s="24"/>
      <c r="D17" s="24">
        <v>5940</v>
      </c>
      <c r="E17" s="23">
        <v>9730</v>
      </c>
      <c r="F17" s="23"/>
      <c r="G17" s="23"/>
      <c r="H17" s="23">
        <v>3930</v>
      </c>
      <c r="I17" s="23">
        <v>6050</v>
      </c>
      <c r="J17" s="15">
        <f>SUM(C17:I17)</f>
        <v>25650</v>
      </c>
      <c r="K17" s="1"/>
      <c r="L17" s="11"/>
    </row>
    <row r="18" spans="1:28" s="12" customFormat="1" ht="22.15" customHeight="1" x14ac:dyDescent="0.25">
      <c r="A18" s="17" t="s">
        <v>68</v>
      </c>
      <c r="B18" s="26">
        <v>4</v>
      </c>
      <c r="C18" s="121"/>
      <c r="D18" s="121"/>
      <c r="E18" s="121"/>
      <c r="F18" s="121"/>
      <c r="G18" s="121"/>
      <c r="H18" s="121">
        <v>14000</v>
      </c>
      <c r="I18" s="121">
        <v>9000</v>
      </c>
      <c r="J18" s="20">
        <f>SUM(C18:I18)</f>
        <v>23000</v>
      </c>
      <c r="K18" s="1"/>
      <c r="L18" s="11"/>
    </row>
    <row r="19" spans="1:28" s="12" customFormat="1" ht="22.15" customHeight="1" x14ac:dyDescent="0.25">
      <c r="A19" s="21"/>
      <c r="B19" s="22"/>
      <c r="C19" s="24"/>
      <c r="D19" s="24"/>
      <c r="E19" s="23">
        <v>14420</v>
      </c>
      <c r="F19" s="23"/>
      <c r="G19" s="23"/>
      <c r="H19" s="23"/>
      <c r="I19" s="23"/>
      <c r="J19" s="15"/>
      <c r="K19" s="1"/>
      <c r="L19" s="11"/>
    </row>
    <row r="20" spans="1:28" s="1" customFormat="1" ht="22.15" customHeight="1" x14ac:dyDescent="0.25">
      <c r="A20" s="124" t="s">
        <v>48</v>
      </c>
      <c r="B20" s="26">
        <v>4</v>
      </c>
      <c r="C20" s="27"/>
      <c r="D20" s="27">
        <v>206000</v>
      </c>
      <c r="E20" s="27">
        <v>118000</v>
      </c>
      <c r="F20" s="27"/>
      <c r="G20" s="27"/>
      <c r="H20" s="144">
        <v>42000</v>
      </c>
      <c r="I20" s="144"/>
      <c r="J20" s="20">
        <f t="shared" ref="J20:J31" si="1">SUM(C20:I20)</f>
        <v>366000</v>
      </c>
      <c r="L20" s="11"/>
    </row>
    <row r="21" spans="1:28" s="1" customFormat="1" ht="22.15" customHeight="1" x14ac:dyDescent="0.25">
      <c r="A21" s="28"/>
      <c r="B21" s="29"/>
      <c r="C21" s="24"/>
      <c r="D21" s="24">
        <f>20210+124100</f>
        <v>144310</v>
      </c>
      <c r="E21" s="24">
        <v>101810</v>
      </c>
      <c r="F21" s="30"/>
      <c r="G21" s="30"/>
      <c r="H21" s="30">
        <v>57340</v>
      </c>
      <c r="I21" s="30"/>
      <c r="J21" s="15">
        <f t="shared" si="1"/>
        <v>303460</v>
      </c>
      <c r="L21" s="11"/>
    </row>
    <row r="22" spans="1:28" s="33" customFormat="1" ht="22.15" customHeight="1" x14ac:dyDescent="0.25">
      <c r="A22" s="25" t="s">
        <v>49</v>
      </c>
      <c r="B22" s="26">
        <v>4</v>
      </c>
      <c r="C22" s="27"/>
      <c r="D22" s="27">
        <v>30000</v>
      </c>
      <c r="E22" s="27">
        <v>28000</v>
      </c>
      <c r="F22" s="27"/>
      <c r="G22" s="27"/>
      <c r="H22" s="144">
        <v>43000</v>
      </c>
      <c r="I22" s="144"/>
      <c r="J22" s="20">
        <f t="shared" si="1"/>
        <v>101000</v>
      </c>
      <c r="K22" s="32"/>
      <c r="L22" s="11"/>
    </row>
    <row r="23" spans="1:28" s="33" customFormat="1" ht="22.15" customHeight="1" x14ac:dyDescent="0.25">
      <c r="A23" s="28"/>
      <c r="B23" s="29"/>
      <c r="C23" s="24"/>
      <c r="D23" s="24">
        <v>43180</v>
      </c>
      <c r="E23" s="24">
        <v>33860</v>
      </c>
      <c r="F23" s="30"/>
      <c r="G23" s="30"/>
      <c r="H23" s="30">
        <v>27470</v>
      </c>
      <c r="I23" s="30">
        <v>13550</v>
      </c>
      <c r="J23" s="15">
        <f t="shared" si="1"/>
        <v>118060</v>
      </c>
      <c r="K23" s="32"/>
      <c r="L23" s="11"/>
      <c r="M23" s="34"/>
      <c r="N23" s="35"/>
      <c r="O23" s="35"/>
      <c r="P23" s="35"/>
      <c r="Q23" s="35"/>
      <c r="R23" s="35"/>
      <c r="S23" s="35"/>
      <c r="T23" s="36"/>
      <c r="U23" s="35"/>
      <c r="V23" s="37"/>
      <c r="W23" s="35"/>
      <c r="X23" s="35"/>
      <c r="Y23" s="37"/>
      <c r="Z23" s="35"/>
      <c r="AA23" s="35"/>
      <c r="AB23" s="35"/>
    </row>
    <row r="24" spans="1:28" s="1" customFormat="1" ht="22.15" customHeight="1" x14ac:dyDescent="0.35">
      <c r="A24" s="25" t="s">
        <v>50</v>
      </c>
      <c r="B24" s="26">
        <v>4</v>
      </c>
      <c r="C24" s="125"/>
      <c r="D24" s="125">
        <v>30000</v>
      </c>
      <c r="E24" s="125">
        <v>102000</v>
      </c>
      <c r="F24" s="125"/>
      <c r="G24" s="125"/>
      <c r="H24" s="144">
        <v>58000</v>
      </c>
      <c r="I24" s="144">
        <v>44000</v>
      </c>
      <c r="J24" s="20">
        <f t="shared" si="1"/>
        <v>234000</v>
      </c>
      <c r="K24" s="32"/>
      <c r="L24" s="11"/>
      <c r="M24" s="4"/>
      <c r="N24" s="180" t="s">
        <v>10</v>
      </c>
      <c r="O24" s="180"/>
      <c r="Q24" s="4"/>
      <c r="Y24" s="4"/>
      <c r="Z24" s="4"/>
      <c r="AA24" s="4"/>
      <c r="AB24" s="4"/>
    </row>
    <row r="25" spans="1:28" s="1" customFormat="1" ht="22.15" customHeight="1" x14ac:dyDescent="0.35">
      <c r="A25" s="39"/>
      <c r="B25" s="40"/>
      <c r="C25" s="24"/>
      <c r="D25" s="24">
        <f>4980+9520</f>
        <v>14500</v>
      </c>
      <c r="E25" s="24">
        <v>41290</v>
      </c>
      <c r="F25" s="30"/>
      <c r="G25" s="30"/>
      <c r="H25" s="30">
        <v>71500</v>
      </c>
      <c r="I25" s="30">
        <v>43510</v>
      </c>
      <c r="J25" s="15">
        <f t="shared" si="1"/>
        <v>170800</v>
      </c>
      <c r="K25" s="32"/>
      <c r="L25" s="11"/>
      <c r="M25" s="4"/>
      <c r="N25" s="180"/>
      <c r="O25" s="180"/>
      <c r="Q25" s="4"/>
      <c r="Y25" s="4"/>
      <c r="Z25" s="4"/>
      <c r="AA25" s="4"/>
      <c r="AB25" s="4"/>
    </row>
    <row r="26" spans="1:28" s="4" customFormat="1" ht="21.75" customHeight="1" x14ac:dyDescent="0.35">
      <c r="A26" s="25" t="s">
        <v>51</v>
      </c>
      <c r="B26" s="26">
        <v>4</v>
      </c>
      <c r="C26" s="27"/>
      <c r="D26" s="27">
        <v>393000</v>
      </c>
      <c r="E26" s="27">
        <v>307000</v>
      </c>
      <c r="F26" s="27"/>
      <c r="G26" s="27"/>
      <c r="H26" s="144">
        <v>382000</v>
      </c>
      <c r="I26" s="144">
        <v>87000</v>
      </c>
      <c r="J26" s="20">
        <f t="shared" si="1"/>
        <v>1169000</v>
      </c>
      <c r="K26" s="1"/>
    </row>
    <row r="27" spans="1:28" s="4" customFormat="1" ht="21.75" customHeight="1" x14ac:dyDescent="0.35">
      <c r="A27" s="39"/>
      <c r="B27" s="40"/>
      <c r="C27" s="24"/>
      <c r="D27" s="24">
        <f>126500+52100</f>
        <v>178600</v>
      </c>
      <c r="E27" s="24">
        <v>238520</v>
      </c>
      <c r="F27" s="30"/>
      <c r="G27" s="30"/>
      <c r="H27" s="30">
        <v>247550</v>
      </c>
      <c r="I27" s="51">
        <f>161190+62650</f>
        <v>223840</v>
      </c>
      <c r="J27" s="15">
        <f>SUM(C27:I27)</f>
        <v>888510</v>
      </c>
    </row>
    <row r="28" spans="1:28" s="4" customFormat="1" ht="21" customHeight="1" x14ac:dyDescent="0.35">
      <c r="A28" s="25" t="s">
        <v>52</v>
      </c>
      <c r="B28" s="26">
        <v>4</v>
      </c>
      <c r="C28" s="27"/>
      <c r="D28" s="27">
        <v>139000</v>
      </c>
      <c r="E28" s="27">
        <v>109000</v>
      </c>
      <c r="F28" s="27"/>
      <c r="G28" s="27"/>
      <c r="H28" s="144">
        <v>185000</v>
      </c>
      <c r="I28" s="144">
        <v>77000</v>
      </c>
      <c r="J28" s="20">
        <f t="shared" si="1"/>
        <v>510000</v>
      </c>
    </row>
    <row r="29" spans="1:28" s="4" customFormat="1" ht="20.45" customHeight="1" x14ac:dyDescent="0.35">
      <c r="A29" s="49"/>
      <c r="B29" s="50"/>
      <c r="C29" s="51"/>
      <c r="D29" s="51">
        <f>35570+83000</f>
        <v>118570</v>
      </c>
      <c r="E29" s="51">
        <f>15160+78840</f>
        <v>94000</v>
      </c>
      <c r="F29" s="51"/>
      <c r="G29" s="51"/>
      <c r="H29" s="52">
        <v>166990</v>
      </c>
      <c r="I29" s="175">
        <f>72880+13930</f>
        <v>86810</v>
      </c>
      <c r="J29" s="15">
        <f t="shared" si="1"/>
        <v>466370</v>
      </c>
    </row>
    <row r="30" spans="1:28" s="4" customFormat="1" ht="20.45" customHeight="1" x14ac:dyDescent="0.35">
      <c r="A30" s="126" t="s">
        <v>15</v>
      </c>
      <c r="B30" s="127">
        <v>4</v>
      </c>
      <c r="C30" s="160"/>
      <c r="D30" s="136">
        <v>15000</v>
      </c>
      <c r="E30" s="129"/>
      <c r="F30" s="129"/>
      <c r="G30" s="129"/>
      <c r="H30" s="158">
        <v>20000</v>
      </c>
      <c r="I30" s="129"/>
      <c r="J30" s="130">
        <f>SUM(C30:I30)</f>
        <v>35000</v>
      </c>
    </row>
    <row r="31" spans="1:28" s="4" customFormat="1" ht="20.45" customHeight="1" x14ac:dyDescent="0.35">
      <c r="A31" s="49"/>
      <c r="B31" s="50"/>
      <c r="C31" s="51"/>
      <c r="D31" s="51"/>
      <c r="E31" s="143">
        <v>14160</v>
      </c>
      <c r="F31" s="51"/>
      <c r="G31" s="51"/>
      <c r="H31" s="52">
        <v>11770</v>
      </c>
      <c r="I31" s="51">
        <v>14370</v>
      </c>
      <c r="J31" s="15">
        <f t="shared" si="1"/>
        <v>40300</v>
      </c>
    </row>
    <row r="32" spans="1:28" s="4" customFormat="1" ht="19.149999999999999" customHeight="1" x14ac:dyDescent="0.35">
      <c r="A32" s="56" t="s">
        <v>16</v>
      </c>
      <c r="B32" s="57"/>
      <c r="C32" s="58" t="e">
        <f>(C6+C10+C12+C16+C18+C18+#REF!+C20++C22+C24+C26+C28+C30)/15000</f>
        <v>#REF!</v>
      </c>
      <c r="D32" s="58" t="e">
        <f>(D6+D10+D12+D16+D18+D18+#REF!+D20++D22+D24+D26+D28+D30)/15000</f>
        <v>#REF!</v>
      </c>
      <c r="E32" s="58" t="e">
        <f>(E6+E10+E12+E16+E18+E18+#REF!+E20++E22+E24+E26+E28+E30)/15000</f>
        <v>#REF!</v>
      </c>
      <c r="F32" s="58" t="e">
        <f>(F6+F10+F12+F16+F18+F18+#REF!+F20++F22+F24+F26+F28+F30)/15000</f>
        <v>#REF!</v>
      </c>
      <c r="G32" s="58" t="e">
        <f>(G6+G10+G12+G16+G18+G18+#REF!+G20++G22+G24+G26+G28+G30)/15000</f>
        <v>#REF!</v>
      </c>
      <c r="H32" s="58" t="e">
        <f>(H6+H10+H12+H16+H18+H18+#REF!+H20++H22+H24+H26+H28+H30)/15000</f>
        <v>#REF!</v>
      </c>
      <c r="I32" s="58" t="e">
        <f>(I6+I10+I12+I16+I18+I18+#REF!+I20++I22+I24+I26+I28+I30)/15000</f>
        <v>#REF!</v>
      </c>
      <c r="J32" s="59"/>
    </row>
    <row r="33" spans="1:28" s="4" customFormat="1" ht="20.45" customHeight="1" x14ac:dyDescent="0.35">
      <c r="A33" s="17" t="s">
        <v>96</v>
      </c>
      <c r="B33" s="60" t="s">
        <v>83</v>
      </c>
      <c r="C33" s="159"/>
      <c r="D33" s="159">
        <v>16000</v>
      </c>
      <c r="E33" s="159"/>
      <c r="F33" s="159"/>
      <c r="G33" s="159"/>
      <c r="H33" s="159">
        <v>17000</v>
      </c>
      <c r="I33" s="159"/>
      <c r="J33" s="62">
        <f t="shared" ref="J33:J34" si="2">SUM(C33:I33)</f>
        <v>33000</v>
      </c>
    </row>
    <row r="34" spans="1:28" s="4" customFormat="1" ht="20.45" customHeight="1" x14ac:dyDescent="0.35">
      <c r="A34" s="17" t="s">
        <v>91</v>
      </c>
      <c r="B34" s="60" t="s">
        <v>83</v>
      </c>
      <c r="C34" s="159"/>
      <c r="D34" s="159"/>
      <c r="E34" s="159"/>
      <c r="F34" s="159"/>
      <c r="G34" s="159"/>
      <c r="H34" s="159">
        <v>10000</v>
      </c>
      <c r="I34" s="159"/>
      <c r="J34" s="62">
        <f t="shared" si="2"/>
        <v>10000</v>
      </c>
    </row>
    <row r="35" spans="1:28" s="4" customFormat="1" ht="20.45" customHeight="1" x14ac:dyDescent="0.35">
      <c r="A35" s="17" t="s">
        <v>110</v>
      </c>
      <c r="B35" s="60">
        <v>4</v>
      </c>
      <c r="C35" s="61"/>
      <c r="D35" s="61">
        <v>30000</v>
      </c>
      <c r="E35" s="61"/>
      <c r="F35" s="61"/>
      <c r="G35" s="61"/>
      <c r="H35" s="61"/>
      <c r="I35" s="61"/>
      <c r="J35" s="62">
        <f>SUM(C35:I35)</f>
        <v>30000</v>
      </c>
    </row>
    <row r="36" spans="1:28" s="4" customFormat="1" ht="23.25" customHeight="1" x14ac:dyDescent="0.35">
      <c r="A36" s="65">
        <v>502</v>
      </c>
      <c r="B36" s="66" t="s">
        <v>19</v>
      </c>
      <c r="C36" s="64"/>
      <c r="D36" s="64">
        <v>14000</v>
      </c>
      <c r="E36" s="64"/>
      <c r="F36" s="64"/>
      <c r="G36" s="64"/>
      <c r="H36" s="64"/>
      <c r="I36" s="64">
        <v>14000</v>
      </c>
      <c r="J36" s="62">
        <f t="shared" ref="J36:J57" si="3">SUM(C36:I36)</f>
        <v>28000</v>
      </c>
    </row>
    <row r="37" spans="1:28" s="4" customFormat="1" ht="23.25" hidden="1" customHeight="1" x14ac:dyDescent="0.35">
      <c r="A37" s="67" t="s">
        <v>20</v>
      </c>
      <c r="B37" s="68">
        <v>2.5</v>
      </c>
      <c r="C37" s="64"/>
      <c r="D37" s="64"/>
      <c r="E37" s="64"/>
      <c r="F37" s="69"/>
      <c r="G37" s="69"/>
      <c r="H37" s="64"/>
      <c r="I37" s="64"/>
      <c r="J37" s="62">
        <f t="shared" si="3"/>
        <v>0</v>
      </c>
    </row>
    <row r="38" spans="1:28" s="4" customFormat="1" ht="20.25" hidden="1" customHeight="1" x14ac:dyDescent="0.35">
      <c r="A38" s="67" t="s">
        <v>101</v>
      </c>
      <c r="B38" s="68" t="s">
        <v>19</v>
      </c>
      <c r="C38" s="145"/>
      <c r="D38" s="145"/>
      <c r="E38" s="145"/>
      <c r="F38" s="64"/>
      <c r="G38" s="64"/>
      <c r="H38" s="145"/>
      <c r="I38" s="64"/>
      <c r="J38" s="62">
        <f t="shared" si="3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s="4" customFormat="1" ht="20.25" customHeight="1" x14ac:dyDescent="0.35">
      <c r="A39" s="67" t="s">
        <v>21</v>
      </c>
      <c r="B39" s="68">
        <v>4</v>
      </c>
      <c r="C39" s="64"/>
      <c r="D39" s="64">
        <v>28000</v>
      </c>
      <c r="E39" s="64">
        <v>28000</v>
      </c>
      <c r="F39" s="64"/>
      <c r="G39" s="64"/>
      <c r="H39" s="64"/>
      <c r="I39" s="64">
        <v>10</v>
      </c>
      <c r="J39" s="62">
        <f t="shared" si="3"/>
        <v>56010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s="4" customFormat="1" ht="37.5" customHeight="1" x14ac:dyDescent="0.35">
      <c r="A40" s="171" t="s">
        <v>114</v>
      </c>
      <c r="B40" s="68">
        <v>2.5</v>
      </c>
      <c r="C40" s="64"/>
      <c r="D40" s="64"/>
      <c r="E40" s="172">
        <v>6000</v>
      </c>
      <c r="F40" s="145"/>
      <c r="G40" s="145"/>
      <c r="H40" s="64"/>
      <c r="I40" s="64"/>
      <c r="J40" s="62">
        <f t="shared" si="3"/>
        <v>6000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s="4" customFormat="1" ht="1.5" customHeight="1" x14ac:dyDescent="0.35">
      <c r="A41" s="65" t="s">
        <v>75</v>
      </c>
      <c r="B41" s="68">
        <v>2.5</v>
      </c>
      <c r="C41" s="72"/>
      <c r="D41" s="72"/>
      <c r="E41" s="72"/>
      <c r="F41" s="72"/>
      <c r="G41" s="72"/>
      <c r="H41" s="72"/>
      <c r="I41" s="72"/>
      <c r="J41" s="62">
        <f t="shared" si="3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s="4" customFormat="1" ht="20.25" customHeight="1" x14ac:dyDescent="0.35">
      <c r="A42" s="70" t="s">
        <v>23</v>
      </c>
      <c r="B42" s="71">
        <v>2.5</v>
      </c>
      <c r="C42" s="72"/>
      <c r="D42" s="72">
        <v>14000</v>
      </c>
      <c r="E42" s="81"/>
      <c r="F42" s="165"/>
      <c r="G42" s="165"/>
      <c r="H42" s="72">
        <v>14000</v>
      </c>
      <c r="I42" s="145"/>
      <c r="J42" s="62">
        <f t="shared" si="3"/>
        <v>28000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7"/>
      <c r="H43" s="75"/>
      <c r="I43" s="75"/>
      <c r="J43" s="62">
        <f t="shared" si="3"/>
        <v>0</v>
      </c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s="4" customFormat="1" ht="18.75" hidden="1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80"/>
      <c r="H44" s="72"/>
      <c r="I44" s="64"/>
      <c r="J44" s="62">
        <f t="shared" si="3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s="4" customFormat="1" ht="18.75" hidden="1" customHeight="1" x14ac:dyDescent="0.35">
      <c r="A45" s="17" t="s">
        <v>79</v>
      </c>
      <c r="B45" s="71">
        <v>2.8</v>
      </c>
      <c r="C45" s="64"/>
      <c r="D45" s="145"/>
      <c r="E45" s="64"/>
      <c r="F45" s="80"/>
      <c r="G45" s="80"/>
      <c r="H45" s="64"/>
      <c r="I45" s="64"/>
      <c r="J45" s="62">
        <f t="shared" si="3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s="4" customFormat="1" ht="18.75" customHeight="1" x14ac:dyDescent="0.35">
      <c r="A46" s="70" t="s">
        <v>26</v>
      </c>
      <c r="B46" s="71">
        <v>2.8</v>
      </c>
      <c r="C46" s="145"/>
      <c r="D46" s="145">
        <v>18000</v>
      </c>
      <c r="E46" s="165">
        <v>6000</v>
      </c>
      <c r="F46" s="155"/>
      <c r="G46" s="155"/>
      <c r="H46" s="145">
        <v>9000</v>
      </c>
      <c r="I46" s="145"/>
      <c r="J46" s="62">
        <f t="shared" si="3"/>
        <v>33000</v>
      </c>
      <c r="K46" s="84"/>
      <c r="L46" s="1" t="s">
        <v>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s="4" customFormat="1" ht="18.75" customHeight="1" x14ac:dyDescent="0.35">
      <c r="A47" s="70" t="s">
        <v>53</v>
      </c>
      <c r="B47" s="71">
        <v>2.8</v>
      </c>
      <c r="C47" s="145"/>
      <c r="D47" s="72">
        <v>34000</v>
      </c>
      <c r="E47" s="145">
        <v>8000</v>
      </c>
      <c r="F47" s="155"/>
      <c r="G47" s="155"/>
      <c r="H47" s="145">
        <v>54000</v>
      </c>
      <c r="I47" s="145">
        <v>9000</v>
      </c>
      <c r="J47" s="62">
        <f t="shared" si="3"/>
        <v>105000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s="4" customFormat="1" ht="18.75" hidden="1" customHeight="1" x14ac:dyDescent="0.35">
      <c r="A48" s="17" t="s">
        <v>106</v>
      </c>
      <c r="B48" s="71">
        <v>2.8</v>
      </c>
      <c r="C48" s="64"/>
      <c r="D48" s="64"/>
      <c r="E48" s="64"/>
      <c r="F48" s="82"/>
      <c r="G48" s="82"/>
      <c r="H48" s="145"/>
      <c r="I48" s="64"/>
      <c r="J48" s="62">
        <f t="shared" si="3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s="4" customFormat="1" ht="18.75" customHeight="1" x14ac:dyDescent="0.35">
      <c r="A49" s="85">
        <v>552</v>
      </c>
      <c r="B49" s="63">
        <v>4</v>
      </c>
      <c r="C49" s="145"/>
      <c r="D49" s="145"/>
      <c r="E49" s="145">
        <v>19000</v>
      </c>
      <c r="F49" s="80"/>
      <c r="G49" s="80"/>
      <c r="H49" s="145"/>
      <c r="I49" s="145"/>
      <c r="J49" s="62">
        <f t="shared" si="3"/>
        <v>19000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s="1" customFormat="1" ht="23.25" hidden="1" customHeight="1" x14ac:dyDescent="0.3">
      <c r="A50" s="70">
        <v>553</v>
      </c>
      <c r="B50" s="71">
        <v>2.8</v>
      </c>
      <c r="C50" s="64"/>
      <c r="D50" s="145"/>
      <c r="E50" s="64"/>
      <c r="F50" s="80"/>
      <c r="G50" s="80"/>
      <c r="H50" s="83"/>
      <c r="I50" s="64"/>
      <c r="J50" s="62">
        <f t="shared" si="3"/>
        <v>0</v>
      </c>
    </row>
    <row r="51" spans="1:28" s="1" customFormat="1" ht="21" customHeight="1" x14ac:dyDescent="0.3">
      <c r="A51" s="70" t="s">
        <v>77</v>
      </c>
      <c r="B51" s="71">
        <v>4</v>
      </c>
      <c r="C51" s="72"/>
      <c r="D51" s="145">
        <v>14000</v>
      </c>
      <c r="E51" s="72"/>
      <c r="F51" s="155"/>
      <c r="G51" s="155"/>
      <c r="H51" s="145">
        <v>10000</v>
      </c>
      <c r="I51" s="145">
        <v>10000</v>
      </c>
      <c r="J51" s="62">
        <f t="shared" si="3"/>
        <v>34000</v>
      </c>
      <c r="M51" s="87"/>
      <c r="N51" s="87"/>
      <c r="O51" s="87"/>
      <c r="P51" s="87"/>
      <c r="Q51" s="87"/>
      <c r="R51" s="87"/>
      <c r="S51" s="87"/>
      <c r="T51" s="3"/>
      <c r="U51" s="3"/>
      <c r="V51" s="3"/>
      <c r="W51" s="3"/>
      <c r="X51" s="3"/>
      <c r="Y51" s="3"/>
      <c r="Z51" s="3"/>
      <c r="AA51" s="3"/>
      <c r="AB51" s="3"/>
    </row>
    <row r="52" spans="1:28" s="1" customFormat="1" ht="21" hidden="1" customHeight="1" x14ac:dyDescent="0.3">
      <c r="A52" s="17" t="s">
        <v>99</v>
      </c>
      <c r="B52" s="71">
        <v>4</v>
      </c>
      <c r="C52" s="64"/>
      <c r="D52" s="64"/>
      <c r="E52" s="64"/>
      <c r="F52" s="82"/>
      <c r="G52" s="82"/>
      <c r="H52" s="64"/>
      <c r="I52" s="72"/>
      <c r="J52" s="62">
        <f t="shared" si="3"/>
        <v>0</v>
      </c>
      <c r="M52" s="87"/>
      <c r="N52" s="87"/>
      <c r="O52" s="87"/>
      <c r="P52" s="87"/>
      <c r="Q52" s="87"/>
      <c r="R52" s="87"/>
      <c r="S52" s="87"/>
      <c r="T52" s="3"/>
      <c r="U52" s="3"/>
      <c r="V52" s="3"/>
      <c r="W52" s="3"/>
      <c r="X52" s="3"/>
      <c r="Y52" s="3"/>
      <c r="Z52" s="3"/>
      <c r="AA52" s="3"/>
      <c r="AB52" s="3"/>
    </row>
    <row r="53" spans="1:28" ht="18.75" x14ac:dyDescent="0.3">
      <c r="A53" s="70" t="s">
        <v>31</v>
      </c>
      <c r="B53" s="71">
        <v>4</v>
      </c>
      <c r="C53" s="72"/>
      <c r="D53" s="72"/>
      <c r="E53" s="64"/>
      <c r="F53" s="72"/>
      <c r="G53" s="72"/>
      <c r="H53" s="145"/>
      <c r="I53" s="145"/>
      <c r="J53" s="62">
        <f t="shared" si="3"/>
        <v>0</v>
      </c>
      <c r="M53" s="87"/>
      <c r="N53" s="87"/>
      <c r="O53" s="87"/>
      <c r="P53" s="87"/>
      <c r="Q53" s="87"/>
      <c r="R53" s="87"/>
      <c r="S53" s="87"/>
    </row>
    <row r="54" spans="1:28" ht="23.25" customHeight="1" x14ac:dyDescent="0.3">
      <c r="A54" s="70" t="s">
        <v>32</v>
      </c>
      <c r="B54" s="71">
        <v>4</v>
      </c>
      <c r="C54" s="64"/>
      <c r="D54" s="64"/>
      <c r="E54" s="145">
        <v>4000</v>
      </c>
      <c r="F54" s="145"/>
      <c r="G54" s="145"/>
      <c r="H54" s="145">
        <v>6000</v>
      </c>
      <c r="I54" s="145"/>
      <c r="J54" s="62">
        <f t="shared" si="3"/>
        <v>10000</v>
      </c>
      <c r="M54" s="87"/>
      <c r="N54" s="87"/>
      <c r="O54" s="87"/>
      <c r="P54" s="87"/>
      <c r="Q54" s="87"/>
      <c r="R54" s="87"/>
      <c r="S54" s="87"/>
    </row>
    <row r="55" spans="1:28" ht="23.25" customHeight="1" x14ac:dyDescent="0.3">
      <c r="A55" s="162" t="s">
        <v>115</v>
      </c>
      <c r="B55" s="71">
        <v>4</v>
      </c>
      <c r="C55" s="64"/>
      <c r="D55" s="64"/>
      <c r="E55" s="83">
        <v>18000</v>
      </c>
      <c r="F55" s="64"/>
      <c r="G55" s="64"/>
      <c r="H55" s="64"/>
      <c r="I55" s="64"/>
      <c r="J55" s="62">
        <f t="shared" si="3"/>
        <v>18000</v>
      </c>
      <c r="M55" s="87"/>
      <c r="N55" s="87"/>
      <c r="O55" s="87"/>
      <c r="P55" s="87"/>
      <c r="Q55" s="87"/>
      <c r="R55" s="87"/>
      <c r="S55" s="87"/>
    </row>
    <row r="56" spans="1:28" ht="23.25" hidden="1" customHeight="1" x14ac:dyDescent="0.3">
      <c r="A56" s="17" t="s">
        <v>100</v>
      </c>
      <c r="B56" s="71">
        <v>4</v>
      </c>
      <c r="C56" s="64"/>
      <c r="D56" s="64"/>
      <c r="E56" s="64"/>
      <c r="F56" s="64"/>
      <c r="G56" s="64"/>
      <c r="H56" s="64"/>
      <c r="I56" s="64"/>
      <c r="J56" s="62">
        <f t="shared" si="3"/>
        <v>0</v>
      </c>
      <c r="M56" s="87"/>
      <c r="N56" s="87"/>
      <c r="O56" s="87"/>
      <c r="P56" s="87"/>
      <c r="Q56" s="87"/>
      <c r="R56" s="87"/>
      <c r="S56" s="87"/>
    </row>
    <row r="57" spans="1:28" ht="22.5" customHeight="1" x14ac:dyDescent="0.3">
      <c r="A57" s="70" t="s">
        <v>35</v>
      </c>
      <c r="B57" s="71">
        <v>4</v>
      </c>
      <c r="C57" s="64"/>
      <c r="D57" s="64"/>
      <c r="E57" s="145">
        <v>4000</v>
      </c>
      <c r="F57" s="145"/>
      <c r="G57" s="145"/>
      <c r="H57" s="145"/>
      <c r="I57" s="75"/>
      <c r="J57" s="62">
        <f t="shared" si="3"/>
        <v>4000</v>
      </c>
      <c r="M57" s="87"/>
      <c r="N57" s="87"/>
      <c r="O57" s="87"/>
      <c r="P57" s="87"/>
      <c r="Q57" s="87"/>
      <c r="R57" s="87"/>
      <c r="S57" s="87"/>
    </row>
    <row r="58" spans="1:28" s="4" customFormat="1" ht="19.149999999999999" customHeight="1" x14ac:dyDescent="0.35">
      <c r="A58" s="88" t="s">
        <v>36</v>
      </c>
      <c r="B58" s="89"/>
      <c r="C58" s="90">
        <v>3</v>
      </c>
      <c r="D58" s="90"/>
      <c r="E58" s="90">
        <v>3</v>
      </c>
      <c r="F58" s="90">
        <v>5</v>
      </c>
      <c r="G58" s="90"/>
      <c r="H58" s="91">
        <v>3</v>
      </c>
      <c r="I58" s="90">
        <v>4</v>
      </c>
      <c r="J58" s="92"/>
    </row>
    <row r="59" spans="1:28" ht="24.75" customHeight="1" x14ac:dyDescent="0.25">
      <c r="A59" s="93" t="s">
        <v>37</v>
      </c>
      <c r="B59" s="94"/>
      <c r="C59" s="95" t="e">
        <f>C58+C32</f>
        <v>#REF!</v>
      </c>
      <c r="D59" s="95"/>
      <c r="E59" s="95" t="e">
        <f>E58+E32</f>
        <v>#REF!</v>
      </c>
      <c r="F59" s="95" t="e">
        <f>F58+F32</f>
        <v>#REF!</v>
      </c>
      <c r="G59" s="95"/>
      <c r="H59" s="95" t="e">
        <f>H58+H32</f>
        <v>#REF!</v>
      </c>
      <c r="I59" s="95" t="e">
        <f>I58+I32</f>
        <v>#REF!</v>
      </c>
      <c r="J59" s="96"/>
      <c r="M59" s="87"/>
      <c r="N59" s="87"/>
      <c r="O59" s="87"/>
      <c r="P59" s="87"/>
      <c r="Q59" s="87"/>
      <c r="R59" s="87"/>
      <c r="S59" s="87"/>
    </row>
    <row r="60" spans="1:28" s="1" customFormat="1" ht="25.5" x14ac:dyDescent="0.35">
      <c r="A60" s="97"/>
      <c r="B60" s="98"/>
      <c r="C60" s="99" t="s">
        <v>38</v>
      </c>
      <c r="D60" s="99"/>
      <c r="E60" s="100"/>
      <c r="F60" s="33" t="s">
        <v>39</v>
      </c>
      <c r="G60" s="33"/>
      <c r="H60" s="4"/>
      <c r="I60" s="4"/>
      <c r="J60" s="3"/>
      <c r="M60" s="87"/>
      <c r="N60" s="87"/>
      <c r="O60" s="87"/>
      <c r="P60" s="87"/>
      <c r="Q60" s="87"/>
      <c r="R60" s="87"/>
      <c r="S60" s="87"/>
      <c r="T60" s="3"/>
      <c r="U60" s="3"/>
      <c r="V60" s="3"/>
      <c r="W60" s="3"/>
      <c r="X60" s="3"/>
      <c r="Y60" s="3"/>
      <c r="Z60" s="3"/>
      <c r="AA60" s="3"/>
      <c r="AB60" s="3"/>
    </row>
    <row r="61" spans="1:28" ht="25.5" x14ac:dyDescent="0.35">
      <c r="A61" s="101"/>
      <c r="B61" s="102"/>
      <c r="C61" s="103" t="s">
        <v>40</v>
      </c>
      <c r="D61" s="103"/>
      <c r="E61" s="104"/>
      <c r="F61" s="105" t="s">
        <v>41</v>
      </c>
      <c r="G61" s="105"/>
      <c r="H61" s="4"/>
      <c r="I61" s="4"/>
      <c r="K61" s="87"/>
      <c r="L61" s="87"/>
      <c r="M61" s="106"/>
      <c r="N61" s="106"/>
      <c r="O61" s="106"/>
      <c r="P61" s="106"/>
      <c r="Q61" s="106"/>
      <c r="R61" s="106"/>
      <c r="S61" s="106"/>
    </row>
    <row r="62" spans="1:28" ht="20.25" x14ac:dyDescent="0.25">
      <c r="A62" s="107"/>
      <c r="B62" s="108"/>
      <c r="C62" s="107"/>
      <c r="D62" s="107"/>
      <c r="E62" s="107"/>
      <c r="F62" s="107"/>
      <c r="G62" s="107"/>
      <c r="H62" s="109"/>
      <c r="I62" s="110"/>
      <c r="J62" s="1"/>
      <c r="K62" s="87"/>
      <c r="L62" s="87"/>
      <c r="M62" s="111"/>
      <c r="N62" s="111"/>
      <c r="O62" s="111"/>
      <c r="P62" s="111"/>
      <c r="Q62" s="111"/>
      <c r="R62" s="111"/>
      <c r="S62" s="111"/>
    </row>
    <row r="63" spans="1:28" x14ac:dyDescent="0.25">
      <c r="A63" s="112"/>
      <c r="B63" s="113"/>
      <c r="C63" s="112"/>
      <c r="D63" s="112"/>
      <c r="E63" s="112"/>
      <c r="F63" s="112"/>
      <c r="G63" s="112"/>
      <c r="H63" s="112"/>
      <c r="I63" s="87"/>
      <c r="J63" s="87"/>
      <c r="K63" s="87"/>
      <c r="L63" s="87"/>
      <c r="M63" s="114"/>
      <c r="N63" s="114"/>
      <c r="O63" s="114"/>
      <c r="P63" s="114"/>
      <c r="Q63" s="114"/>
      <c r="R63" s="114"/>
      <c r="S63" s="114"/>
    </row>
    <row r="64" spans="1:28" x14ac:dyDescent="0.25">
      <c r="A64" s="112"/>
      <c r="B64" s="113"/>
      <c r="C64" s="112"/>
      <c r="D64" s="112"/>
      <c r="E64" s="112"/>
      <c r="F64" s="112"/>
      <c r="G64" s="112"/>
      <c r="H64" s="112"/>
      <c r="I64" s="87"/>
      <c r="J64" s="87"/>
      <c r="K64" s="87"/>
      <c r="L64" s="87"/>
      <c r="M64" s="114"/>
      <c r="N64" s="114"/>
      <c r="O64" s="114"/>
      <c r="P64" s="114"/>
      <c r="Q64" s="114"/>
      <c r="R64" s="114"/>
      <c r="S64" s="114"/>
    </row>
    <row r="65" spans="1:19" x14ac:dyDescent="0.25">
      <c r="A65" s="112"/>
      <c r="B65" s="113"/>
      <c r="C65" s="112"/>
      <c r="D65" s="112"/>
      <c r="E65" s="112"/>
      <c r="F65" s="112"/>
      <c r="G65" s="112"/>
      <c r="H65" s="112"/>
      <c r="I65" s="87"/>
      <c r="J65" s="87"/>
      <c r="K65" s="87"/>
      <c r="L65" s="87"/>
      <c r="M65" s="110"/>
      <c r="N65" s="110"/>
      <c r="O65" s="110"/>
      <c r="P65" s="110"/>
      <c r="Q65" s="110"/>
      <c r="R65" s="110"/>
      <c r="S65" s="110"/>
    </row>
    <row r="66" spans="1:19" x14ac:dyDescent="0.25"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</row>
    <row r="67" spans="1:19" ht="25.5" x14ac:dyDescent="0.35">
      <c r="A67" s="1"/>
      <c r="B67" s="2"/>
      <c r="C67" s="1"/>
      <c r="D67" s="1"/>
      <c r="E67" s="1"/>
      <c r="F67" s="1"/>
      <c r="G67" s="1"/>
      <c r="H67" s="1"/>
      <c r="I67" s="87"/>
      <c r="J67" s="87"/>
      <c r="K67" s="106"/>
      <c r="L67" s="106"/>
      <c r="M67" s="110"/>
      <c r="N67" s="110"/>
      <c r="O67" s="110"/>
      <c r="P67" s="110"/>
      <c r="Q67" s="110"/>
      <c r="R67" s="110"/>
      <c r="S67" s="110"/>
    </row>
    <row r="68" spans="1:19" x14ac:dyDescent="0.25">
      <c r="A68" s="1"/>
      <c r="B68" s="2"/>
      <c r="C68" s="1"/>
      <c r="D68" s="1"/>
      <c r="E68" s="1"/>
      <c r="F68" s="1"/>
      <c r="G68" s="1"/>
      <c r="H68" s="1"/>
      <c r="I68" s="87"/>
      <c r="J68" s="87"/>
      <c r="K68" s="111"/>
      <c r="L68" s="111"/>
      <c r="M68" s="110"/>
      <c r="N68" s="110"/>
      <c r="O68" s="110"/>
      <c r="P68" s="110"/>
      <c r="Q68" s="110"/>
      <c r="R68" s="110"/>
      <c r="S68" s="110"/>
    </row>
    <row r="69" spans="1:19" ht="25.5" x14ac:dyDescent="0.35">
      <c r="A69" s="181"/>
      <c r="B69" s="181"/>
      <c r="C69" s="181"/>
      <c r="D69" s="181"/>
      <c r="E69" s="181"/>
      <c r="F69" s="181"/>
      <c r="G69" s="181"/>
      <c r="H69" s="181"/>
      <c r="I69" s="106"/>
      <c r="J69" s="106"/>
      <c r="K69" s="114"/>
      <c r="L69" s="114"/>
      <c r="M69" s="87"/>
      <c r="N69" s="87"/>
      <c r="O69" s="87"/>
      <c r="P69" s="87"/>
      <c r="Q69" s="87"/>
      <c r="R69" s="87"/>
      <c r="S69" s="87"/>
    </row>
    <row r="70" spans="1:19" x14ac:dyDescent="0.25">
      <c r="A70" s="111"/>
      <c r="B70" s="113"/>
      <c r="C70" s="111"/>
      <c r="D70" s="111"/>
      <c r="E70" s="111"/>
      <c r="F70" s="111"/>
      <c r="G70" s="111"/>
      <c r="H70" s="111"/>
      <c r="I70" s="111"/>
      <c r="J70" s="111"/>
      <c r="K70" s="114"/>
      <c r="L70" s="114"/>
      <c r="M70" s="87"/>
      <c r="N70" s="87"/>
      <c r="O70" s="87"/>
      <c r="P70" s="87"/>
      <c r="Q70" s="87"/>
      <c r="R70" s="87"/>
      <c r="S70" s="87"/>
    </row>
    <row r="71" spans="1:19" x14ac:dyDescent="0.25">
      <c r="A71" s="182"/>
      <c r="B71" s="116"/>
      <c r="C71" s="114"/>
      <c r="D71" s="114"/>
      <c r="E71" s="114"/>
      <c r="F71" s="114"/>
      <c r="G71" s="114"/>
      <c r="H71" s="114"/>
      <c r="I71" s="114"/>
      <c r="J71" s="114"/>
      <c r="K71" s="110"/>
      <c r="L71" s="110"/>
      <c r="M71" s="87"/>
      <c r="N71" s="87"/>
      <c r="O71" s="87"/>
      <c r="P71" s="87"/>
      <c r="Q71" s="87"/>
      <c r="R71" s="87"/>
      <c r="S71" s="87"/>
    </row>
    <row r="72" spans="1:19" x14ac:dyDescent="0.25">
      <c r="A72" s="182"/>
      <c r="B72" s="116"/>
      <c r="C72" s="114"/>
      <c r="D72" s="114"/>
      <c r="E72" s="114"/>
      <c r="F72" s="114"/>
      <c r="G72" s="114"/>
      <c r="H72" s="114"/>
      <c r="I72" s="114"/>
      <c r="J72" s="114"/>
      <c r="K72" s="87"/>
      <c r="L72" s="87"/>
    </row>
    <row r="73" spans="1:19" x14ac:dyDescent="0.25">
      <c r="A73" s="112"/>
      <c r="B73" s="113"/>
      <c r="C73" s="112"/>
      <c r="D73" s="112"/>
      <c r="E73" s="112"/>
      <c r="F73" s="112"/>
      <c r="G73" s="112"/>
      <c r="H73" s="112"/>
      <c r="I73" s="110"/>
      <c r="J73" s="110"/>
      <c r="K73" s="110"/>
      <c r="L73" s="110"/>
    </row>
    <row r="74" spans="1:19" x14ac:dyDescent="0.25">
      <c r="A74" s="112"/>
      <c r="B74" s="113"/>
      <c r="C74" s="112"/>
      <c r="D74" s="112"/>
      <c r="E74" s="112"/>
      <c r="F74" s="112"/>
      <c r="G74" s="112"/>
      <c r="H74" s="112"/>
      <c r="I74" s="87"/>
      <c r="J74" s="87"/>
      <c r="K74" s="110"/>
      <c r="L74" s="110"/>
    </row>
    <row r="75" spans="1:19" x14ac:dyDescent="0.25">
      <c r="A75" s="112"/>
      <c r="B75" s="113"/>
      <c r="C75" s="112"/>
      <c r="D75" s="112"/>
      <c r="E75" s="112"/>
      <c r="F75" s="112"/>
      <c r="G75" s="112"/>
      <c r="H75" s="112"/>
      <c r="I75" s="110"/>
      <c r="J75" s="110"/>
      <c r="K75" s="87"/>
      <c r="L75" s="87"/>
    </row>
    <row r="76" spans="1:19" x14ac:dyDescent="0.25">
      <c r="A76" s="112"/>
      <c r="B76" s="113"/>
      <c r="C76" s="112"/>
      <c r="D76" s="112"/>
      <c r="E76" s="112"/>
      <c r="F76" s="112"/>
      <c r="G76" s="112"/>
      <c r="H76" s="112"/>
      <c r="I76" s="110"/>
      <c r="J76" s="110"/>
      <c r="K76" s="87"/>
      <c r="L76" s="87"/>
    </row>
    <row r="77" spans="1:19" x14ac:dyDescent="0.25">
      <c r="A77" s="112"/>
      <c r="B77" s="113"/>
      <c r="C77" s="112"/>
      <c r="D77" s="112"/>
      <c r="E77" s="112"/>
      <c r="F77" s="112"/>
      <c r="G77" s="112"/>
      <c r="H77" s="112"/>
      <c r="I77" s="87"/>
      <c r="J77" s="87"/>
      <c r="K77" s="87"/>
      <c r="L77" s="87"/>
    </row>
    <row r="78" spans="1:19" x14ac:dyDescent="0.25">
      <c r="A78" s="112"/>
      <c r="B78" s="113"/>
      <c r="C78" s="112"/>
      <c r="D78" s="112"/>
      <c r="E78" s="112"/>
      <c r="F78" s="112"/>
      <c r="G78" s="112"/>
      <c r="H78" s="112"/>
      <c r="I78" s="87"/>
      <c r="J78" s="87"/>
    </row>
    <row r="79" spans="1:19" x14ac:dyDescent="0.25">
      <c r="A79" s="1"/>
      <c r="B79" s="2"/>
      <c r="C79" s="1"/>
      <c r="D79" s="1"/>
      <c r="E79" s="1"/>
      <c r="F79" s="1"/>
      <c r="G79" s="1"/>
      <c r="H79" s="1"/>
      <c r="I79" s="87"/>
      <c r="J79" s="87"/>
    </row>
  </sheetData>
  <mergeCells count="6">
    <mergeCell ref="A71:A72"/>
    <mergeCell ref="A2:J2"/>
    <mergeCell ref="A3:S3"/>
    <mergeCell ref="A4:S4"/>
    <mergeCell ref="N24:O25"/>
    <mergeCell ref="A69:H6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D635-CF3E-4105-980E-8F667004EE08}">
  <dimension ref="A1:AF92"/>
  <sheetViews>
    <sheetView topLeftCell="A2" workbookViewId="0">
      <pane ySplit="4" topLeftCell="A37" activePane="bottomLeft" state="frozen"/>
      <selection activeCell="A2" sqref="A2"/>
      <selection pane="bottomLeft" activeCell="H37" sqref="H37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116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117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46146</v>
      </c>
      <c r="D5" s="7">
        <v>46147</v>
      </c>
      <c r="E5" s="7">
        <v>46148</v>
      </c>
      <c r="F5" s="7">
        <v>46149</v>
      </c>
      <c r="G5" s="7">
        <v>46150</v>
      </c>
      <c r="H5" s="7">
        <v>46151</v>
      </c>
      <c r="I5" s="8"/>
    </row>
    <row r="6" spans="1:18" s="12" customFormat="1" ht="21.75" customHeight="1" x14ac:dyDescent="0.25">
      <c r="A6" s="9" t="s">
        <v>4</v>
      </c>
      <c r="B6" s="18">
        <v>4</v>
      </c>
      <c r="C6" s="119"/>
      <c r="D6" s="119">
        <v>15000</v>
      </c>
      <c r="E6" s="119"/>
      <c r="F6" s="119"/>
      <c r="G6" s="119"/>
      <c r="H6" s="119"/>
      <c r="I6" s="10">
        <f t="shared" ref="I6:I39" si="0">SUM(C6:H6)</f>
        <v>15000</v>
      </c>
      <c r="J6" s="1"/>
      <c r="K6" s="11"/>
    </row>
    <row r="7" spans="1:18" s="12" customFormat="1" ht="22.5" customHeight="1" x14ac:dyDescent="0.25">
      <c r="A7" s="5"/>
      <c r="B7" s="13"/>
      <c r="C7" s="14"/>
      <c r="D7" s="14">
        <v>15000</v>
      </c>
      <c r="E7" s="14"/>
      <c r="F7" s="14"/>
      <c r="G7" s="14"/>
      <c r="H7" s="14"/>
      <c r="I7" s="15">
        <f t="shared" si="0"/>
        <v>15000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61">
        <v>15000</v>
      </c>
      <c r="D8" s="161">
        <v>15000</v>
      </c>
      <c r="E8" s="161"/>
      <c r="F8" s="117">
        <v>15000</v>
      </c>
      <c r="G8" s="117">
        <v>30000</v>
      </c>
      <c r="H8" s="117">
        <v>30000</v>
      </c>
      <c r="I8" s="10">
        <f t="shared" si="0"/>
        <v>105000</v>
      </c>
      <c r="J8" s="1"/>
      <c r="K8" s="11"/>
    </row>
    <row r="9" spans="1:18" s="12" customFormat="1" ht="21.75" customHeight="1" x14ac:dyDescent="0.25">
      <c r="A9" s="5"/>
      <c r="B9" s="13"/>
      <c r="C9" s="14">
        <v>14730</v>
      </c>
      <c r="D9" s="14">
        <v>14990</v>
      </c>
      <c r="E9" s="14"/>
      <c r="F9" s="14"/>
      <c r="G9" s="14">
        <v>44080</v>
      </c>
      <c r="H9" s="14">
        <v>14970</v>
      </c>
      <c r="I9" s="15">
        <f t="shared" si="0"/>
        <v>88770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hidden="1" customHeight="1" x14ac:dyDescent="0.25">
      <c r="A14" s="120" t="s">
        <v>62</v>
      </c>
      <c r="B14" s="18">
        <v>2.8</v>
      </c>
      <c r="C14" s="122"/>
      <c r="D14" s="19"/>
      <c r="E14" s="122"/>
      <c r="F14" s="122"/>
      <c r="G14" s="122"/>
      <c r="H14" s="122"/>
      <c r="I14" s="20">
        <f t="shared" si="0"/>
        <v>0</v>
      </c>
      <c r="J14" s="1"/>
      <c r="K14" s="11"/>
    </row>
    <row r="15" spans="1:18" s="12" customFormat="1" ht="22.15" hidden="1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9">
        <v>14000</v>
      </c>
      <c r="D16" s="19"/>
      <c r="E16" s="122"/>
      <c r="F16" s="19">
        <v>14000</v>
      </c>
      <c r="G16" s="19"/>
      <c r="H16" s="19">
        <v>14000</v>
      </c>
      <c r="I16" s="20">
        <f t="shared" si="0"/>
        <v>42000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23">
        <v>14460</v>
      </c>
      <c r="G17" s="23"/>
      <c r="H17" s="23"/>
      <c r="I17" s="15">
        <f t="shared" si="0"/>
        <v>14460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0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0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0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0"/>
        <v>0</v>
      </c>
      <c r="J21" s="1"/>
      <c r="K21" s="11"/>
    </row>
    <row r="22" spans="1:32" s="12" customFormat="1" ht="22.15" customHeight="1" x14ac:dyDescent="0.25">
      <c r="A22" s="120" t="s">
        <v>11</v>
      </c>
      <c r="B22" s="18">
        <v>4</v>
      </c>
      <c r="C22" s="150"/>
      <c r="D22" s="150"/>
      <c r="E22" s="150"/>
      <c r="F22" s="150">
        <v>15000</v>
      </c>
      <c r="G22" s="150"/>
      <c r="H22" s="150">
        <v>15000</v>
      </c>
      <c r="I22" s="20">
        <f t="shared" si="0"/>
        <v>30000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>
        <v>15220</v>
      </c>
      <c r="F23" s="23"/>
      <c r="G23" s="23"/>
      <c r="H23" s="23">
        <v>29620</v>
      </c>
      <c r="I23" s="15">
        <f t="shared" si="0"/>
        <v>44840</v>
      </c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115000</v>
      </c>
      <c r="D24" s="27">
        <v>117000</v>
      </c>
      <c r="E24" s="27">
        <v>75000</v>
      </c>
      <c r="F24" s="27">
        <v>84000</v>
      </c>
      <c r="G24" s="27">
        <v>14000</v>
      </c>
      <c r="H24" s="27" t="s">
        <v>118</v>
      </c>
      <c r="I24" s="20">
        <f t="shared" si="0"/>
        <v>405000</v>
      </c>
      <c r="K24" s="11"/>
    </row>
    <row r="25" spans="1:32" s="1" customFormat="1" ht="22.15" customHeight="1" x14ac:dyDescent="0.25">
      <c r="A25" s="28"/>
      <c r="B25" s="29"/>
      <c r="C25" s="24">
        <v>113400</v>
      </c>
      <c r="D25" s="30">
        <v>85770</v>
      </c>
      <c r="E25" s="30">
        <v>85810</v>
      </c>
      <c r="F25" s="30">
        <v>43240</v>
      </c>
      <c r="G25" s="30">
        <v>46080</v>
      </c>
      <c r="H25" s="30">
        <v>14740</v>
      </c>
      <c r="I25" s="15">
        <f t="shared" si="0"/>
        <v>389040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106000</v>
      </c>
      <c r="D26" s="27">
        <v>78000</v>
      </c>
      <c r="E26" s="27">
        <v>103000</v>
      </c>
      <c r="F26" s="27">
        <v>113000</v>
      </c>
      <c r="G26" s="27">
        <v>102000</v>
      </c>
      <c r="H26" s="27">
        <v>14000</v>
      </c>
      <c r="I26" s="31">
        <f>SUM(C26:H26)</f>
        <v>516000</v>
      </c>
      <c r="J26" s="32"/>
      <c r="K26" s="11"/>
    </row>
    <row r="27" spans="1:32" s="33" customFormat="1" ht="22.15" customHeight="1" x14ac:dyDescent="0.25">
      <c r="A27" s="28"/>
      <c r="B27" s="29"/>
      <c r="C27" s="24">
        <v>60960</v>
      </c>
      <c r="D27" s="30">
        <v>72570</v>
      </c>
      <c r="E27" s="30">
        <v>88220</v>
      </c>
      <c r="F27" s="30">
        <v>145140</v>
      </c>
      <c r="G27" s="30">
        <v>50630</v>
      </c>
      <c r="H27" s="30">
        <v>57480</v>
      </c>
      <c r="I27" s="15">
        <f>SUM(C27:H27)</f>
        <v>475000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0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0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0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0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0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0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210000</v>
      </c>
      <c r="D34" s="27">
        <v>275000</v>
      </c>
      <c r="E34" s="27">
        <v>270000</v>
      </c>
      <c r="F34" s="27">
        <v>294000</v>
      </c>
      <c r="G34" s="27">
        <v>280000</v>
      </c>
      <c r="H34" s="27">
        <v>62000</v>
      </c>
      <c r="I34" s="31">
        <f t="shared" si="0"/>
        <v>1391000</v>
      </c>
      <c r="J34" s="1"/>
    </row>
    <row r="35" spans="1:32" s="4" customFormat="1" ht="21.75" customHeight="1" x14ac:dyDescent="0.35">
      <c r="A35" s="39"/>
      <c r="B35" s="40"/>
      <c r="C35" s="24">
        <v>197610</v>
      </c>
      <c r="D35" s="30">
        <v>133950</v>
      </c>
      <c r="E35" s="30">
        <v>204320</v>
      </c>
      <c r="F35" s="30">
        <v>195060</v>
      </c>
      <c r="G35" s="30">
        <v>250190</v>
      </c>
      <c r="H35" s="30">
        <v>161170</v>
      </c>
      <c r="I35" s="15">
        <f t="shared" si="0"/>
        <v>1142300</v>
      </c>
    </row>
    <row r="36" spans="1:32" s="4" customFormat="1" ht="21" customHeight="1" x14ac:dyDescent="0.35">
      <c r="A36" s="25" t="s">
        <v>14</v>
      </c>
      <c r="B36" s="26">
        <v>4</v>
      </c>
      <c r="C36" s="27">
        <v>87000</v>
      </c>
      <c r="D36" s="27">
        <v>74000</v>
      </c>
      <c r="E36" s="27">
        <v>76000</v>
      </c>
      <c r="F36" s="27">
        <v>128000</v>
      </c>
      <c r="G36" s="27">
        <v>73000</v>
      </c>
      <c r="H36" s="27">
        <v>105000</v>
      </c>
      <c r="I36" s="31">
        <f>SUM(C36:H36)</f>
        <v>543000</v>
      </c>
    </row>
    <row r="37" spans="1:32" s="4" customFormat="1" ht="20.45" customHeight="1" x14ac:dyDescent="0.35">
      <c r="A37" s="49"/>
      <c r="B37" s="148"/>
      <c r="C37" s="157">
        <v>82670</v>
      </c>
      <c r="D37" s="157">
        <v>71560</v>
      </c>
      <c r="E37" s="164">
        <v>85060</v>
      </c>
      <c r="F37" s="157">
        <v>121430</v>
      </c>
      <c r="G37" s="157">
        <v>102660</v>
      </c>
      <c r="H37" s="157">
        <v>90090</v>
      </c>
      <c r="I37" s="15">
        <f t="shared" si="0"/>
        <v>553470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4000</v>
      </c>
      <c r="D38" s="55"/>
      <c r="E38" s="55">
        <v>15000</v>
      </c>
      <c r="F38" s="55">
        <v>10000</v>
      </c>
      <c r="G38" s="55">
        <v>28000</v>
      </c>
      <c r="H38" s="55"/>
      <c r="I38" s="31">
        <f t="shared" si="0"/>
        <v>57000</v>
      </c>
    </row>
    <row r="39" spans="1:32" s="4" customFormat="1" ht="20.45" customHeight="1" x14ac:dyDescent="0.35">
      <c r="A39" s="49"/>
      <c r="B39" s="50"/>
      <c r="C39" s="168">
        <v>4070</v>
      </c>
      <c r="D39" s="169"/>
      <c r="E39" s="170"/>
      <c r="F39" s="51">
        <v>23800</v>
      </c>
      <c r="G39" s="169"/>
      <c r="H39" s="169"/>
      <c r="I39" s="15">
        <f t="shared" si="0"/>
        <v>27870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34.244666666666667</v>
      </c>
      <c r="D40" s="58">
        <f>(D12+D24+D26+D34+D37)/15000</f>
        <v>36.103999999999999</v>
      </c>
      <c r="E40" s="58">
        <f>(E12+E24+E26+E34+E37)/15000</f>
        <v>35.537333333333336</v>
      </c>
      <c r="F40" s="58">
        <f>(F12+F24+F26+F34+F37)/15000</f>
        <v>40.828666666666663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70" si="1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/>
      <c r="D42" s="145"/>
      <c r="E42" s="145"/>
      <c r="F42" s="145"/>
      <c r="G42" s="145"/>
      <c r="H42" s="145">
        <v>10000</v>
      </c>
      <c r="I42" s="62">
        <f t="shared" si="1"/>
        <v>10000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>
        <v>17000</v>
      </c>
      <c r="D43" s="145"/>
      <c r="E43" s="145">
        <v>170000</v>
      </c>
      <c r="F43" s="145"/>
      <c r="G43" s="145">
        <v>16000</v>
      </c>
      <c r="H43" s="145"/>
      <c r="I43" s="62">
        <f t="shared" si="1"/>
        <v>203000</v>
      </c>
    </row>
    <row r="44" spans="1:32" s="4" customFormat="1" ht="21" hidden="1" customHeight="1" x14ac:dyDescent="0.35">
      <c r="A44" s="17" t="s">
        <v>110</v>
      </c>
      <c r="B44" s="60">
        <v>4</v>
      </c>
      <c r="C44" s="145"/>
      <c r="D44" s="145"/>
      <c r="E44" s="145"/>
      <c r="F44" s="145"/>
      <c r="G44" s="145"/>
      <c r="H44" s="145"/>
      <c r="I44" s="62">
        <f t="shared" si="1"/>
        <v>0</v>
      </c>
    </row>
    <row r="45" spans="1:32" s="4" customFormat="1" ht="23.25" customHeight="1" x14ac:dyDescent="0.35">
      <c r="A45" s="65">
        <v>502</v>
      </c>
      <c r="B45" s="154" t="s">
        <v>19</v>
      </c>
      <c r="C45" s="64"/>
      <c r="D45" s="64"/>
      <c r="E45" s="64"/>
      <c r="F45" s="64">
        <v>14000</v>
      </c>
      <c r="G45" s="64"/>
      <c r="H45" s="64"/>
      <c r="I45" s="62">
        <f t="shared" si="1"/>
        <v>14000</v>
      </c>
    </row>
    <row r="46" spans="1:32" s="4" customFormat="1" ht="23.25" hidden="1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/>
      <c r="H46" s="64"/>
      <c r="I46" s="62">
        <f t="shared" si="1"/>
        <v>0</v>
      </c>
    </row>
    <row r="47" spans="1:32" s="4" customFormat="1" ht="20.25" customHeight="1" x14ac:dyDescent="0.35">
      <c r="A47" s="67" t="s">
        <v>59</v>
      </c>
      <c r="B47" s="68">
        <v>2.5</v>
      </c>
      <c r="C47" s="64">
        <v>14000</v>
      </c>
      <c r="D47" s="64">
        <v>14000</v>
      </c>
      <c r="E47" s="64"/>
      <c r="F47" s="64"/>
      <c r="G47" s="64"/>
      <c r="H47" s="64"/>
      <c r="I47" s="62">
        <f t="shared" si="1"/>
        <v>28000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1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21</v>
      </c>
      <c r="B49" s="68">
        <v>4</v>
      </c>
      <c r="C49" s="64"/>
      <c r="D49" s="64">
        <v>28000</v>
      </c>
      <c r="E49" s="64"/>
      <c r="F49" s="64"/>
      <c r="G49" s="64"/>
      <c r="H49" s="64"/>
      <c r="I49" s="62">
        <f t="shared" si="1"/>
        <v>28000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166" t="s">
        <v>102</v>
      </c>
      <c r="B50" s="68">
        <v>2.5</v>
      </c>
      <c r="C50" s="83">
        <v>18000</v>
      </c>
      <c r="D50" s="83"/>
      <c r="E50" s="83"/>
      <c r="F50" s="64"/>
      <c r="G50" s="64"/>
      <c r="H50" s="64"/>
      <c r="I50" s="62">
        <f t="shared" si="1"/>
        <v>18000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67" t="s">
        <v>121</v>
      </c>
      <c r="B51" s="68">
        <v>2.5</v>
      </c>
      <c r="C51" s="142"/>
      <c r="D51" s="64"/>
      <c r="E51" s="72"/>
      <c r="F51" s="72"/>
      <c r="G51" s="64">
        <v>6000</v>
      </c>
      <c r="H51" s="64"/>
      <c r="I51" s="62">
        <f t="shared" si="1"/>
        <v>6000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67" t="s">
        <v>75</v>
      </c>
      <c r="B52" s="68">
        <v>2.5</v>
      </c>
      <c r="C52" s="142"/>
      <c r="D52" s="64"/>
      <c r="E52" s="72">
        <v>7000</v>
      </c>
      <c r="F52" s="72"/>
      <c r="G52" s="64"/>
      <c r="H52" s="64"/>
      <c r="I52" s="6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4" customFormat="1" ht="20.25" customHeight="1" x14ac:dyDescent="0.35">
      <c r="A53" s="70" t="s">
        <v>23</v>
      </c>
      <c r="B53" s="71">
        <v>2.5</v>
      </c>
      <c r="C53" s="74">
        <v>14000</v>
      </c>
      <c r="D53" s="74"/>
      <c r="E53" s="72"/>
      <c r="F53" s="72"/>
      <c r="G53" s="72">
        <v>14000</v>
      </c>
      <c r="H53" s="145"/>
      <c r="I53" s="62">
        <f t="shared" si="1"/>
        <v>28000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78" customFormat="1" ht="20.25" customHeight="1" x14ac:dyDescent="0.35">
      <c r="A54" s="17" t="s">
        <v>24</v>
      </c>
      <c r="B54" s="71">
        <v>2.8</v>
      </c>
      <c r="C54" s="152"/>
      <c r="D54" s="174">
        <v>13000</v>
      </c>
      <c r="E54" s="75"/>
      <c r="F54" s="75"/>
      <c r="G54" s="75"/>
      <c r="H54" s="75"/>
      <c r="I54" s="62">
        <f t="shared" si="1"/>
        <v>13000</v>
      </c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 spans="1:27" s="4" customFormat="1" ht="18.75" customHeight="1" x14ac:dyDescent="0.35">
      <c r="A55" s="70" t="s">
        <v>25</v>
      </c>
      <c r="B55" s="71">
        <v>2.8</v>
      </c>
      <c r="C55" s="64"/>
      <c r="D55" s="80"/>
      <c r="E55" s="72"/>
      <c r="F55" s="72"/>
      <c r="G55" s="72"/>
      <c r="H55" s="72"/>
      <c r="I55" s="62">
        <f t="shared" si="1"/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8.75" hidden="1" customHeight="1" x14ac:dyDescent="0.35">
      <c r="A56" s="17" t="s">
        <v>112</v>
      </c>
      <c r="B56" s="71">
        <v>2.8</v>
      </c>
      <c r="C56" s="72"/>
      <c r="D56" s="80"/>
      <c r="E56" s="64"/>
      <c r="F56" s="64"/>
      <c r="G56" s="64"/>
      <c r="H56" s="64"/>
      <c r="I56" s="62">
        <f t="shared" si="1"/>
        <v>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70" t="s">
        <v>26</v>
      </c>
      <c r="B57" s="71">
        <v>2.8</v>
      </c>
      <c r="C57" s="165">
        <v>5000</v>
      </c>
      <c r="D57" s="155">
        <v>18000</v>
      </c>
      <c r="E57" s="145">
        <v>13000</v>
      </c>
      <c r="F57" s="145"/>
      <c r="G57" s="145"/>
      <c r="H57" s="145">
        <v>15000</v>
      </c>
      <c r="I57" s="62">
        <f t="shared" si="1"/>
        <v>51000</v>
      </c>
      <c r="J57" s="84"/>
      <c r="K57" s="1" t="s">
        <v>27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customHeight="1" x14ac:dyDescent="0.35">
      <c r="A58" s="17" t="s">
        <v>106</v>
      </c>
      <c r="B58" s="71"/>
      <c r="C58" s="165"/>
      <c r="D58" s="155">
        <v>16000</v>
      </c>
      <c r="E58" s="145"/>
      <c r="F58" s="145"/>
      <c r="G58" s="64"/>
      <c r="H58" s="64"/>
      <c r="I58" s="62">
        <f t="shared" si="1"/>
        <v>16000</v>
      </c>
      <c r="J58" s="84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customHeight="1" x14ac:dyDescent="0.35">
      <c r="A59" s="70" t="s">
        <v>53</v>
      </c>
      <c r="B59" s="71">
        <v>2.8</v>
      </c>
      <c r="C59" s="145"/>
      <c r="D59" s="155">
        <v>37000</v>
      </c>
      <c r="E59" s="145">
        <v>6000</v>
      </c>
      <c r="F59" s="145">
        <v>19000</v>
      </c>
      <c r="G59" s="145"/>
      <c r="H59" s="145">
        <v>17000</v>
      </c>
      <c r="I59" s="62">
        <f t="shared" si="1"/>
        <v>79000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hidden="1" customHeight="1" x14ac:dyDescent="0.35">
      <c r="A60" s="162" t="s">
        <v>93</v>
      </c>
      <c r="B60" s="71">
        <v>2.8</v>
      </c>
      <c r="C60" s="145"/>
      <c r="D60" s="140"/>
      <c r="E60" s="83"/>
      <c r="F60" s="145"/>
      <c r="G60" s="145"/>
      <c r="H60" s="83"/>
      <c r="I60" s="163">
        <f t="shared" si="1"/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18.75" hidden="1" customHeight="1" x14ac:dyDescent="0.35">
      <c r="A61" s="17" t="s">
        <v>92</v>
      </c>
      <c r="B61" s="71"/>
      <c r="C61" s="145"/>
      <c r="D61" s="82"/>
      <c r="E61" s="64"/>
      <c r="F61" s="145"/>
      <c r="G61" s="72"/>
      <c r="H61" s="64"/>
      <c r="I61" s="62">
        <f t="shared" si="1"/>
        <v>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4" customFormat="1" ht="18.75" customHeight="1" x14ac:dyDescent="0.35">
      <c r="A62" s="85">
        <v>552</v>
      </c>
      <c r="B62" s="63">
        <v>4</v>
      </c>
      <c r="C62" s="145">
        <v>14000</v>
      </c>
      <c r="D62" s="155">
        <v>10000</v>
      </c>
      <c r="E62" s="145"/>
      <c r="F62" s="145"/>
      <c r="G62" s="72">
        <v>14000</v>
      </c>
      <c r="H62" s="145"/>
      <c r="I62" s="62">
        <f t="shared" si="1"/>
        <v>38000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s="1" customFormat="1" ht="23.25" hidden="1" customHeight="1" x14ac:dyDescent="0.3">
      <c r="A63" s="70">
        <v>553</v>
      </c>
      <c r="B63" s="71">
        <v>2.8</v>
      </c>
      <c r="C63" s="64"/>
      <c r="D63" s="80"/>
      <c r="E63" s="83"/>
      <c r="F63" s="64"/>
      <c r="G63" s="64"/>
      <c r="H63" s="64"/>
      <c r="I63" s="62">
        <f t="shared" si="1"/>
        <v>0</v>
      </c>
    </row>
    <row r="64" spans="1:27" s="1" customFormat="1" ht="21" customHeight="1" x14ac:dyDescent="0.3">
      <c r="A64" s="70" t="s">
        <v>29</v>
      </c>
      <c r="B64" s="71">
        <v>4</v>
      </c>
      <c r="C64" s="72">
        <v>28000</v>
      </c>
      <c r="D64" s="155">
        <v>15000</v>
      </c>
      <c r="E64" s="72">
        <v>35000</v>
      </c>
      <c r="F64" s="145"/>
      <c r="G64" s="145">
        <v>18000</v>
      </c>
      <c r="H64" s="145"/>
      <c r="I64" s="62">
        <f t="shared" si="1"/>
        <v>96000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s="1" customFormat="1" ht="21" hidden="1" customHeight="1" x14ac:dyDescent="0.3">
      <c r="A65" s="17" t="s">
        <v>30</v>
      </c>
      <c r="B65" s="71">
        <v>4</v>
      </c>
      <c r="C65" s="64"/>
      <c r="D65" s="82"/>
      <c r="E65" s="64"/>
      <c r="F65" s="64"/>
      <c r="G65" s="64"/>
      <c r="H65" s="64"/>
      <c r="I65" s="62">
        <f t="shared" si="1"/>
        <v>0</v>
      </c>
      <c r="L65" s="87"/>
      <c r="M65" s="87"/>
      <c r="N65" s="87"/>
      <c r="O65" s="87"/>
      <c r="P65" s="87"/>
      <c r="Q65" s="87"/>
      <c r="R65" s="87"/>
      <c r="S65" s="3"/>
      <c r="T65" s="3"/>
      <c r="U65" s="3"/>
      <c r="V65" s="3"/>
      <c r="W65" s="3"/>
      <c r="X65" s="3"/>
      <c r="Y65" s="3"/>
      <c r="Z65" s="3"/>
      <c r="AA65" s="3"/>
    </row>
    <row r="66" spans="1:27" s="1" customFormat="1" ht="21" customHeight="1" x14ac:dyDescent="0.3">
      <c r="A66" s="70" t="s">
        <v>31</v>
      </c>
      <c r="B66" s="71"/>
      <c r="C66" s="72"/>
      <c r="D66" s="140">
        <v>12000</v>
      </c>
      <c r="E66" s="64"/>
      <c r="F66" s="145"/>
      <c r="G66" s="145"/>
      <c r="H66" s="145"/>
      <c r="I66" s="62">
        <f t="shared" si="1"/>
        <v>12000</v>
      </c>
      <c r="L66" s="87"/>
      <c r="M66" s="87"/>
      <c r="N66" s="87"/>
      <c r="O66" s="87"/>
      <c r="P66" s="87"/>
      <c r="Q66" s="87"/>
      <c r="R66" s="87"/>
      <c r="S66" s="3"/>
      <c r="T66" s="3"/>
      <c r="U66" s="3"/>
      <c r="V66" s="3"/>
      <c r="W66" s="3"/>
      <c r="X66" s="3"/>
      <c r="Y66" s="3"/>
      <c r="Z66" s="3"/>
      <c r="AA66" s="3"/>
    </row>
    <row r="67" spans="1:27" ht="18.75" x14ac:dyDescent="0.3">
      <c r="A67" s="70" t="s">
        <v>35</v>
      </c>
      <c r="B67" s="71">
        <v>4</v>
      </c>
      <c r="C67" s="72"/>
      <c r="D67" s="64"/>
      <c r="E67" s="64"/>
      <c r="F67" s="145"/>
      <c r="G67" s="145">
        <v>4000</v>
      </c>
      <c r="H67" s="72"/>
      <c r="I67" s="62">
        <f t="shared" si="1"/>
        <v>4000</v>
      </c>
      <c r="L67" s="87"/>
      <c r="M67" s="87"/>
      <c r="N67" s="87"/>
      <c r="O67" s="87"/>
      <c r="P67" s="87"/>
      <c r="Q67" s="87"/>
      <c r="R67" s="87"/>
    </row>
    <row r="68" spans="1:27" ht="18.75" customHeight="1" x14ac:dyDescent="0.3">
      <c r="A68" s="70" t="s">
        <v>32</v>
      </c>
      <c r="B68" s="71">
        <v>4</v>
      </c>
      <c r="C68" s="145"/>
      <c r="D68" s="145">
        <v>6000</v>
      </c>
      <c r="E68" s="145"/>
      <c r="F68" s="145"/>
      <c r="G68" s="145">
        <v>4000</v>
      </c>
      <c r="H68" s="145"/>
      <c r="I68" s="62">
        <f t="shared" si="1"/>
        <v>10000</v>
      </c>
      <c r="L68" s="87"/>
      <c r="M68" s="87"/>
      <c r="N68" s="87"/>
      <c r="O68" s="87"/>
      <c r="P68" s="87"/>
      <c r="Q68" s="87"/>
      <c r="R68" s="87"/>
    </row>
    <row r="69" spans="1:27" ht="23.25" customHeight="1" x14ac:dyDescent="0.3">
      <c r="A69" s="162" t="s">
        <v>119</v>
      </c>
      <c r="B69" s="71">
        <v>4</v>
      </c>
      <c r="C69" s="64"/>
      <c r="D69" s="83">
        <v>12000</v>
      </c>
      <c r="E69" s="64"/>
      <c r="F69" s="145"/>
      <c r="G69" s="145"/>
      <c r="H69" s="64"/>
      <c r="I69" s="62">
        <f t="shared" si="1"/>
        <v>12000</v>
      </c>
      <c r="L69" s="87"/>
      <c r="M69" s="87"/>
      <c r="N69" s="87"/>
      <c r="O69" s="87"/>
      <c r="P69" s="87"/>
      <c r="Q69" s="87"/>
      <c r="R69" s="87"/>
    </row>
    <row r="70" spans="1:27" ht="30.75" customHeight="1" x14ac:dyDescent="0.3">
      <c r="A70" s="167" t="s">
        <v>120</v>
      </c>
      <c r="B70" s="71">
        <v>4</v>
      </c>
      <c r="C70" s="83">
        <v>6000</v>
      </c>
      <c r="D70" s="83"/>
      <c r="E70" s="83"/>
      <c r="F70" s="145"/>
      <c r="G70" s="145"/>
      <c r="H70" s="145"/>
      <c r="I70" s="62">
        <f t="shared" si="1"/>
        <v>6000</v>
      </c>
      <c r="L70" s="87"/>
      <c r="M70" s="87"/>
      <c r="N70" s="87"/>
      <c r="O70" s="87"/>
      <c r="P70" s="87"/>
      <c r="Q70" s="87"/>
      <c r="R70" s="87"/>
    </row>
    <row r="71" spans="1:27" s="4" customFormat="1" ht="19.149999999999999" customHeight="1" x14ac:dyDescent="0.35">
      <c r="A71" s="88" t="s">
        <v>36</v>
      </c>
      <c r="B71" s="89"/>
      <c r="C71" s="173">
        <v>3</v>
      </c>
      <c r="D71" s="90">
        <v>5</v>
      </c>
      <c r="E71" s="91">
        <v>3</v>
      </c>
      <c r="F71" s="90">
        <v>4</v>
      </c>
      <c r="G71" s="90"/>
      <c r="H71" s="90"/>
      <c r="I71" s="92"/>
    </row>
    <row r="72" spans="1:27" ht="24.75" customHeight="1" x14ac:dyDescent="0.25">
      <c r="A72" s="93" t="s">
        <v>37</v>
      </c>
      <c r="B72" s="94"/>
      <c r="C72" s="95">
        <f>C71+C40</f>
        <v>37.244666666666667</v>
      </c>
      <c r="D72" s="95">
        <f>D71+D40</f>
        <v>41.103999999999999</v>
      </c>
      <c r="E72" s="95">
        <f>E71+E40</f>
        <v>38.537333333333336</v>
      </c>
      <c r="F72" s="95">
        <f>F71+F40</f>
        <v>44.828666666666663</v>
      </c>
      <c r="G72" s="95"/>
      <c r="H72" s="95"/>
      <c r="I72" s="96"/>
      <c r="L72" s="87"/>
      <c r="M72" s="87"/>
      <c r="N72" s="87"/>
      <c r="O72" s="87"/>
      <c r="P72" s="87"/>
      <c r="Q72" s="87"/>
      <c r="R72" s="87"/>
    </row>
    <row r="73" spans="1:27" s="1" customFormat="1" ht="25.5" x14ac:dyDescent="0.35">
      <c r="A73" s="97"/>
      <c r="B73" s="98"/>
      <c r="C73" s="100"/>
      <c r="D73" s="33"/>
      <c r="E73" s="4"/>
      <c r="F73" s="4"/>
      <c r="G73" s="4"/>
      <c r="H73" s="4"/>
      <c r="I73" s="3"/>
      <c r="L73" s="87"/>
      <c r="M73" s="87"/>
      <c r="N73" s="87"/>
      <c r="O73" s="87"/>
      <c r="P73" s="87"/>
      <c r="Q73" s="87"/>
      <c r="R73" s="87"/>
      <c r="S73" s="3"/>
      <c r="T73" s="3"/>
      <c r="U73" s="3"/>
      <c r="V73" s="3"/>
      <c r="W73" s="3"/>
      <c r="X73" s="3"/>
      <c r="Y73" s="3"/>
      <c r="Z73" s="3"/>
      <c r="AA73" s="3"/>
    </row>
    <row r="74" spans="1:27" ht="25.5" x14ac:dyDescent="0.35">
      <c r="A74" s="101"/>
      <c r="B74" s="102"/>
      <c r="C74" s="104"/>
      <c r="E74" s="4"/>
      <c r="F74" s="4"/>
      <c r="G74" s="4"/>
      <c r="H74" s="4"/>
      <c r="J74" s="87"/>
      <c r="K74" s="87"/>
      <c r="L74" s="106"/>
      <c r="M74" s="106"/>
      <c r="N74" s="106"/>
      <c r="O74" s="106"/>
      <c r="P74" s="106"/>
      <c r="Q74" s="106"/>
      <c r="R74" s="106"/>
    </row>
    <row r="75" spans="1:27" ht="20.25" x14ac:dyDescent="0.25">
      <c r="A75" s="107"/>
      <c r="B75" s="108"/>
      <c r="C75" s="107"/>
      <c r="D75" s="105"/>
      <c r="E75" s="109"/>
      <c r="F75" s="110"/>
      <c r="G75" s="110"/>
      <c r="H75" s="110"/>
      <c r="I75" s="1"/>
      <c r="J75" s="87"/>
      <c r="K75" s="87"/>
      <c r="L75" s="111"/>
      <c r="M75" s="111"/>
      <c r="N75" s="111"/>
      <c r="O75" s="111"/>
      <c r="P75" s="111"/>
      <c r="Q75" s="111"/>
      <c r="R75" s="111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4"/>
      <c r="M76" s="114"/>
      <c r="N76" s="114"/>
      <c r="O76" s="114"/>
      <c r="P76" s="114"/>
      <c r="Q76" s="114"/>
      <c r="R76" s="114"/>
    </row>
    <row r="77" spans="1:27" x14ac:dyDescent="0.25">
      <c r="A77" s="112"/>
      <c r="B77" s="113"/>
      <c r="C77" s="112"/>
      <c r="D77" s="112"/>
      <c r="E77" s="112"/>
      <c r="F77" s="87"/>
      <c r="G77" s="87"/>
      <c r="H77" s="87"/>
      <c r="I77" s="87"/>
      <c r="J77" s="87"/>
      <c r="K77" s="87"/>
      <c r="L77" s="114"/>
      <c r="M77" s="114"/>
      <c r="N77" s="114"/>
      <c r="O77" s="114"/>
      <c r="P77" s="114"/>
      <c r="Q77" s="114"/>
      <c r="R77" s="114"/>
    </row>
    <row r="78" spans="1:27" x14ac:dyDescent="0.25">
      <c r="A78" s="112"/>
      <c r="B78" s="113"/>
      <c r="C78" s="112"/>
      <c r="D78" s="112"/>
      <c r="E78" s="112"/>
      <c r="F78" s="87"/>
      <c r="G78" s="87"/>
      <c r="H78" s="87"/>
      <c r="I78" s="87"/>
      <c r="J78" s="87"/>
      <c r="K78" s="87"/>
      <c r="L78" s="110"/>
      <c r="M78" s="110"/>
      <c r="N78" s="110"/>
      <c r="O78" s="110"/>
      <c r="P78" s="110"/>
      <c r="Q78" s="110"/>
      <c r="R78" s="110"/>
    </row>
    <row r="79" spans="1:27" x14ac:dyDescent="0.25"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27" ht="25.5" x14ac:dyDescent="0.35">
      <c r="A80" s="1"/>
      <c r="B80" s="2"/>
      <c r="C80" s="1"/>
      <c r="D80" s="1"/>
      <c r="E80" s="1"/>
      <c r="F80" s="87"/>
      <c r="G80" s="87"/>
      <c r="H80" s="87"/>
      <c r="I80" s="87"/>
      <c r="J80" s="106"/>
      <c r="K80" s="106"/>
      <c r="L80" s="110"/>
      <c r="M80" s="110"/>
      <c r="N80" s="110"/>
      <c r="O80" s="110"/>
      <c r="P80" s="110"/>
      <c r="Q80" s="110"/>
      <c r="R80" s="110"/>
    </row>
    <row r="81" spans="1:18" x14ac:dyDescent="0.25">
      <c r="A81" s="1"/>
      <c r="B81" s="2"/>
      <c r="C81" s="1"/>
      <c r="D81" s="1"/>
      <c r="E81" s="1"/>
      <c r="F81" s="87"/>
      <c r="G81" s="87"/>
      <c r="H81" s="87"/>
      <c r="I81" s="87"/>
      <c r="J81" s="111"/>
      <c r="K81" s="111"/>
      <c r="L81" s="110"/>
      <c r="M81" s="110"/>
      <c r="N81" s="110"/>
      <c r="O81" s="110"/>
      <c r="P81" s="110"/>
      <c r="Q81" s="110"/>
      <c r="R81" s="110"/>
    </row>
    <row r="82" spans="1:18" ht="25.5" x14ac:dyDescent="0.35">
      <c r="A82" s="181"/>
      <c r="B82" s="181"/>
      <c r="C82" s="181"/>
      <c r="D82" s="181"/>
      <c r="E82" s="181"/>
      <c r="F82" s="106"/>
      <c r="G82" s="106"/>
      <c r="H82" s="106"/>
      <c r="I82" s="106"/>
      <c r="J82" s="114"/>
      <c r="K82" s="114"/>
      <c r="L82" s="87"/>
      <c r="M82" s="87"/>
      <c r="N82" s="87"/>
      <c r="O82" s="87"/>
      <c r="P82" s="87"/>
      <c r="Q82" s="87"/>
      <c r="R82" s="87"/>
    </row>
    <row r="83" spans="1:18" x14ac:dyDescent="0.25">
      <c r="A83" s="111"/>
      <c r="B83" s="113"/>
      <c r="C83" s="111"/>
      <c r="D83" s="111"/>
      <c r="E83" s="111"/>
      <c r="F83" s="111"/>
      <c r="G83" s="111"/>
      <c r="H83" s="111"/>
      <c r="I83" s="111"/>
      <c r="J83" s="114"/>
      <c r="K83" s="114"/>
      <c r="L83" s="87"/>
      <c r="M83" s="87"/>
      <c r="N83" s="87"/>
      <c r="O83" s="87"/>
      <c r="P83" s="87"/>
      <c r="Q83" s="87"/>
      <c r="R83" s="87"/>
    </row>
    <row r="84" spans="1:18" x14ac:dyDescent="0.25">
      <c r="A84" s="182"/>
      <c r="B84" s="116"/>
      <c r="C84" s="114"/>
      <c r="D84" s="114"/>
      <c r="E84" s="114"/>
      <c r="F84" s="114"/>
      <c r="G84" s="114"/>
      <c r="H84" s="114"/>
      <c r="I84" s="114"/>
      <c r="J84" s="110"/>
      <c r="K84" s="110"/>
      <c r="L84" s="87"/>
      <c r="M84" s="87"/>
      <c r="N84" s="87"/>
      <c r="O84" s="87"/>
      <c r="P84" s="87"/>
      <c r="Q84" s="87"/>
      <c r="R84" s="87"/>
    </row>
    <row r="85" spans="1:18" x14ac:dyDescent="0.25">
      <c r="A85" s="182"/>
      <c r="B85" s="116"/>
      <c r="C85" s="114"/>
      <c r="D85" s="114"/>
      <c r="E85" s="114"/>
      <c r="F85" s="114"/>
      <c r="G85" s="114"/>
      <c r="H85" s="114"/>
      <c r="I85" s="114"/>
      <c r="J85" s="87"/>
      <c r="K85" s="87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110"/>
      <c r="K86" s="110"/>
    </row>
    <row r="87" spans="1:18" x14ac:dyDescent="0.25">
      <c r="A87" s="112"/>
      <c r="B87" s="113"/>
      <c r="C87" s="112"/>
      <c r="D87" s="112"/>
      <c r="E87" s="112"/>
      <c r="F87" s="87"/>
      <c r="G87" s="87"/>
      <c r="H87" s="87"/>
      <c r="I87" s="87"/>
      <c r="J87" s="110"/>
      <c r="K87" s="110"/>
    </row>
    <row r="88" spans="1:18" x14ac:dyDescent="0.25">
      <c r="A88" s="112"/>
      <c r="B88" s="113"/>
      <c r="C88" s="112"/>
      <c r="D88" s="112"/>
      <c r="E88" s="112"/>
      <c r="F88" s="110"/>
      <c r="G88" s="110"/>
      <c r="H88" s="110"/>
      <c r="I88" s="110"/>
      <c r="J88" s="87"/>
      <c r="K88" s="87"/>
    </row>
    <row r="89" spans="1:18" x14ac:dyDescent="0.25">
      <c r="A89" s="112"/>
      <c r="B89" s="113"/>
      <c r="C89" s="112"/>
      <c r="D89" s="112"/>
      <c r="E89" s="112"/>
      <c r="F89" s="110"/>
      <c r="G89" s="110"/>
      <c r="H89" s="110"/>
      <c r="I89" s="110"/>
      <c r="J89" s="87"/>
      <c r="K89" s="87"/>
    </row>
    <row r="90" spans="1:18" x14ac:dyDescent="0.25">
      <c r="A90" s="112"/>
      <c r="B90" s="113"/>
      <c r="C90" s="112"/>
      <c r="D90" s="112"/>
      <c r="E90" s="112"/>
      <c r="F90" s="87"/>
      <c r="G90" s="87"/>
      <c r="H90" s="87"/>
      <c r="I90" s="87"/>
      <c r="J90" s="87"/>
      <c r="K90" s="87"/>
    </row>
    <row r="91" spans="1:18" x14ac:dyDescent="0.25">
      <c r="A91" s="112"/>
      <c r="B91" s="113"/>
      <c r="C91" s="112"/>
      <c r="D91" s="112"/>
      <c r="E91" s="112"/>
      <c r="F91" s="87"/>
      <c r="G91" s="87"/>
      <c r="H91" s="87"/>
      <c r="I91" s="87"/>
    </row>
    <row r="92" spans="1:18" x14ac:dyDescent="0.25">
      <c r="A92" s="1"/>
      <c r="B92" s="2"/>
      <c r="C92" s="1"/>
      <c r="D92" s="1"/>
      <c r="E92" s="1"/>
      <c r="F92" s="87"/>
      <c r="G92" s="87"/>
      <c r="H92" s="87"/>
      <c r="I92" s="87"/>
    </row>
  </sheetData>
  <mergeCells count="6">
    <mergeCell ref="A84:A85"/>
    <mergeCell ref="A2:I2"/>
    <mergeCell ref="A3:R3"/>
    <mergeCell ref="A4:R4"/>
    <mergeCell ref="M28:N29"/>
    <mergeCell ref="A82:E8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82A6-40A6-41B8-B0F4-AF1B2CDA9458}">
  <dimension ref="A1:AA80"/>
  <sheetViews>
    <sheetView topLeftCell="A2" zoomScaleNormal="100" workbookViewId="0">
      <pane ySplit="4" topLeftCell="A34" activePane="bottomLeft" state="frozen"/>
      <selection activeCell="A2" sqref="A2"/>
      <selection pane="bottomLeft" activeCell="A40" sqref="A40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  <c r="F1" s="1"/>
      <c r="G1" s="1"/>
      <c r="H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122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123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46153</v>
      </c>
      <c r="D5" s="7">
        <v>46154</v>
      </c>
      <c r="E5" s="7">
        <v>46155</v>
      </c>
      <c r="F5" s="7">
        <v>46156</v>
      </c>
      <c r="G5" s="7">
        <v>46157</v>
      </c>
      <c r="H5" s="7">
        <v>46158</v>
      </c>
      <c r="I5" s="8"/>
    </row>
    <row r="6" spans="1:18" s="12" customFormat="1" ht="21.75" customHeight="1" x14ac:dyDescent="0.25">
      <c r="A6" s="9" t="s">
        <v>58</v>
      </c>
      <c r="B6" s="18">
        <v>2.5</v>
      </c>
      <c r="C6" s="118"/>
      <c r="D6" s="118"/>
      <c r="E6" s="119"/>
      <c r="F6" s="119"/>
      <c r="G6" s="119"/>
      <c r="H6" s="119">
        <v>15000</v>
      </c>
      <c r="I6" s="10">
        <f t="shared" ref="I6:I14" si="0">SUM(C6:H6)</f>
        <v>15000</v>
      </c>
      <c r="J6" s="1"/>
      <c r="K6" s="11"/>
    </row>
    <row r="7" spans="1:18" s="12" customFormat="1" ht="22.5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17"/>
      <c r="D8" s="117">
        <v>15000</v>
      </c>
      <c r="E8" s="117">
        <v>30000</v>
      </c>
      <c r="F8" s="117">
        <v>15000</v>
      </c>
      <c r="G8" s="117">
        <v>30000</v>
      </c>
      <c r="H8" s="117"/>
      <c r="I8" s="10">
        <f t="shared" si="0"/>
        <v>90000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>
        <v>14790</v>
      </c>
      <c r="F9" s="14"/>
      <c r="G9" s="14"/>
      <c r="H9" s="14"/>
      <c r="I9" s="15">
        <f t="shared" si="0"/>
        <v>14790</v>
      </c>
      <c r="J9" s="1"/>
      <c r="K9" s="11"/>
    </row>
    <row r="10" spans="1:18" s="12" customFormat="1" ht="22.15" customHeight="1" x14ac:dyDescent="0.25">
      <c r="A10" s="17" t="s">
        <v>126</v>
      </c>
      <c r="B10" s="18">
        <v>4</v>
      </c>
      <c r="C10" s="122"/>
      <c r="D10" s="122"/>
      <c r="E10" s="122"/>
      <c r="F10" s="122">
        <v>16000</v>
      </c>
      <c r="G10" s="122"/>
      <c r="H10" s="122"/>
      <c r="I10" s="20">
        <f t="shared" si="0"/>
        <v>16000</v>
      </c>
      <c r="J10" s="1"/>
      <c r="K10" s="11"/>
    </row>
    <row r="11" spans="1:18" s="12" customFormat="1" ht="22.15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customHeight="1" x14ac:dyDescent="0.25">
      <c r="A12" s="120" t="s">
        <v>7</v>
      </c>
      <c r="B12" s="18">
        <v>2.8</v>
      </c>
      <c r="C12" s="123"/>
      <c r="D12" s="123"/>
      <c r="E12" s="123"/>
      <c r="F12" s="122"/>
      <c r="G12" s="122"/>
      <c r="H12" s="123"/>
      <c r="I12" s="20">
        <f t="shared" si="0"/>
        <v>0</v>
      </c>
      <c r="J12" s="1"/>
      <c r="K12" s="11"/>
    </row>
    <row r="13" spans="1:18" s="12" customFormat="1" ht="22.15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customHeight="1" x14ac:dyDescent="0.25">
      <c r="A14" s="17" t="s">
        <v>62</v>
      </c>
      <c r="B14" s="18">
        <v>2.8</v>
      </c>
      <c r="C14" s="123"/>
      <c r="D14" s="123"/>
      <c r="E14" s="123"/>
      <c r="F14" s="123"/>
      <c r="G14" s="123"/>
      <c r="H14" s="123"/>
      <c r="I14" s="20">
        <f t="shared" si="0"/>
        <v>0</v>
      </c>
      <c r="J14" s="1"/>
      <c r="K14" s="11"/>
    </row>
    <row r="15" spans="1:18" s="12" customFormat="1" ht="22.15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20" t="s">
        <v>11</v>
      </c>
      <c r="B16" s="18">
        <v>4</v>
      </c>
      <c r="C16" s="121"/>
      <c r="D16" s="121">
        <v>15000</v>
      </c>
      <c r="E16" s="121"/>
      <c r="F16" s="122"/>
      <c r="G16" s="122"/>
      <c r="H16" s="122"/>
      <c r="I16" s="20">
        <f>SUM(C16:H16)</f>
        <v>15000</v>
      </c>
      <c r="J16" s="1"/>
      <c r="K16" s="11"/>
    </row>
    <row r="17" spans="1:27" s="12" customFormat="1" ht="22.15" customHeight="1" x14ac:dyDescent="0.25">
      <c r="A17" s="21"/>
      <c r="B17" s="22"/>
      <c r="C17" s="24"/>
      <c r="D17" s="24">
        <v>14920</v>
      </c>
      <c r="E17" s="23"/>
      <c r="F17" s="23"/>
      <c r="G17" s="23"/>
      <c r="H17" s="23"/>
      <c r="I17" s="15">
        <f>SUM(C17:H17)</f>
        <v>14920</v>
      </c>
      <c r="J17" s="1"/>
      <c r="K17" s="11"/>
    </row>
    <row r="18" spans="1:27" s="12" customFormat="1" ht="22.15" customHeight="1" x14ac:dyDescent="0.25">
      <c r="A18" s="17" t="s">
        <v>68</v>
      </c>
      <c r="B18" s="26">
        <v>4</v>
      </c>
      <c r="C18" s="121">
        <v>14000</v>
      </c>
      <c r="D18" s="121"/>
      <c r="E18" s="121"/>
      <c r="F18" s="121"/>
      <c r="G18" s="121"/>
      <c r="H18" s="121"/>
      <c r="I18" s="20">
        <f>SUM(C18:H18)</f>
        <v>14000</v>
      </c>
      <c r="J18" s="1"/>
      <c r="K18" s="11"/>
    </row>
    <row r="19" spans="1:27" s="12" customFormat="1" ht="22.15" customHeight="1" x14ac:dyDescent="0.25">
      <c r="A19" s="21"/>
      <c r="B19" s="22"/>
      <c r="C19" s="24"/>
      <c r="D19" s="24"/>
      <c r="E19" s="23"/>
      <c r="F19" s="23"/>
      <c r="G19" s="23"/>
      <c r="H19" s="23"/>
      <c r="I19" s="15"/>
      <c r="J19" s="1"/>
      <c r="K19" s="11"/>
    </row>
    <row r="20" spans="1:27" s="1" customFormat="1" ht="22.15" customHeight="1" x14ac:dyDescent="0.25">
      <c r="A20" s="124" t="s">
        <v>48</v>
      </c>
      <c r="B20" s="26">
        <v>4</v>
      </c>
      <c r="C20" s="27">
        <v>60000</v>
      </c>
      <c r="D20" s="27">
        <v>162000</v>
      </c>
      <c r="E20" s="27">
        <v>30000</v>
      </c>
      <c r="F20" s="27">
        <v>56000</v>
      </c>
      <c r="G20" s="27">
        <v>45000</v>
      </c>
      <c r="H20" s="144"/>
      <c r="I20" s="20">
        <f t="shared" ref="I20:I31" si="1">SUM(C20:H20)</f>
        <v>353000</v>
      </c>
      <c r="K20" s="11"/>
    </row>
    <row r="21" spans="1:27" s="1" customFormat="1" ht="22.15" customHeight="1" x14ac:dyDescent="0.25">
      <c r="A21" s="28"/>
      <c r="B21" s="29"/>
      <c r="C21" s="24">
        <f>14090+86680</f>
        <v>100770</v>
      </c>
      <c r="D21" s="24">
        <v>57910</v>
      </c>
      <c r="E21" s="24">
        <v>42510</v>
      </c>
      <c r="F21" s="30"/>
      <c r="G21" s="30"/>
      <c r="H21" s="30"/>
      <c r="I21" s="15">
        <f t="shared" si="1"/>
        <v>201190</v>
      </c>
      <c r="K21" s="11"/>
    </row>
    <row r="22" spans="1:27" s="33" customFormat="1" ht="22.15" customHeight="1" x14ac:dyDescent="0.25">
      <c r="A22" s="25" t="s">
        <v>49</v>
      </c>
      <c r="B22" s="26">
        <v>4</v>
      </c>
      <c r="C22" s="27"/>
      <c r="D22" s="27">
        <v>46000</v>
      </c>
      <c r="E22" s="27">
        <v>43000</v>
      </c>
      <c r="F22" s="27">
        <v>30000</v>
      </c>
      <c r="G22" s="27">
        <v>31000</v>
      </c>
      <c r="H22" s="144"/>
      <c r="I22" s="20">
        <f t="shared" si="1"/>
        <v>150000</v>
      </c>
      <c r="J22" s="32"/>
      <c r="K22" s="11"/>
    </row>
    <row r="23" spans="1:27" s="33" customFormat="1" ht="22.15" customHeight="1" x14ac:dyDescent="0.25">
      <c r="A23" s="28"/>
      <c r="B23" s="29"/>
      <c r="C23" s="24"/>
      <c r="D23" s="24">
        <v>29720</v>
      </c>
      <c r="E23" s="24"/>
      <c r="F23" s="30"/>
      <c r="G23" s="30"/>
      <c r="H23" s="30"/>
      <c r="I23" s="15">
        <f t="shared" si="1"/>
        <v>29720</v>
      </c>
      <c r="J23" s="32"/>
      <c r="K23" s="11"/>
      <c r="L23" s="34"/>
      <c r="M23" s="35"/>
      <c r="N23" s="35"/>
      <c r="O23" s="35"/>
      <c r="P23" s="35"/>
      <c r="Q23" s="35"/>
      <c r="R23" s="35"/>
      <c r="S23" s="36"/>
      <c r="T23" s="35"/>
      <c r="U23" s="37"/>
      <c r="V23" s="35"/>
      <c r="W23" s="35"/>
      <c r="X23" s="37"/>
      <c r="Y23" s="35"/>
      <c r="Z23" s="35"/>
      <c r="AA23" s="35"/>
    </row>
    <row r="24" spans="1:27" s="1" customFormat="1" ht="22.15" customHeight="1" x14ac:dyDescent="0.35">
      <c r="A24" s="25" t="s">
        <v>50</v>
      </c>
      <c r="B24" s="26">
        <v>4</v>
      </c>
      <c r="C24" s="125">
        <v>28000</v>
      </c>
      <c r="D24" s="125">
        <v>59000</v>
      </c>
      <c r="E24" s="125">
        <v>47000</v>
      </c>
      <c r="F24" s="125">
        <v>71000</v>
      </c>
      <c r="G24" s="125">
        <v>58000</v>
      </c>
      <c r="H24" s="144">
        <v>48000</v>
      </c>
      <c r="I24" s="20">
        <f t="shared" si="1"/>
        <v>311000</v>
      </c>
      <c r="J24" s="32"/>
      <c r="K24" s="11"/>
      <c r="L24" s="4"/>
      <c r="M24" s="180" t="s">
        <v>10</v>
      </c>
      <c r="N24" s="180"/>
      <c r="P24" s="4"/>
      <c r="X24" s="4"/>
      <c r="Y24" s="4"/>
      <c r="Z24" s="4"/>
      <c r="AA24" s="4"/>
    </row>
    <row r="25" spans="1:27" s="1" customFormat="1" ht="22.15" customHeight="1" x14ac:dyDescent="0.35">
      <c r="A25" s="39"/>
      <c r="B25" s="40"/>
      <c r="C25" s="24">
        <v>70930</v>
      </c>
      <c r="D25" s="24">
        <v>31770</v>
      </c>
      <c r="E25" s="24">
        <v>86990</v>
      </c>
      <c r="F25" s="30"/>
      <c r="G25" s="30"/>
      <c r="H25" s="30"/>
      <c r="I25" s="15">
        <f t="shared" si="1"/>
        <v>189690</v>
      </c>
      <c r="J25" s="32"/>
      <c r="K25" s="11"/>
      <c r="L25" s="4"/>
      <c r="M25" s="180"/>
      <c r="N25" s="180"/>
      <c r="P25" s="4"/>
      <c r="X25" s="4"/>
      <c r="Y25" s="4"/>
      <c r="Z25" s="4"/>
      <c r="AA25" s="4"/>
    </row>
    <row r="26" spans="1:27" s="4" customFormat="1" ht="21.75" customHeight="1" x14ac:dyDescent="0.35">
      <c r="A26" s="25" t="s">
        <v>51</v>
      </c>
      <c r="B26" s="26">
        <v>4</v>
      </c>
      <c r="C26" s="27">
        <v>236000</v>
      </c>
      <c r="D26" s="27">
        <v>348000</v>
      </c>
      <c r="E26" s="27">
        <v>260000</v>
      </c>
      <c r="F26" s="27">
        <v>328000</v>
      </c>
      <c r="G26" s="27">
        <v>273000</v>
      </c>
      <c r="H26" s="144">
        <v>135000</v>
      </c>
      <c r="I26" s="20">
        <f t="shared" si="1"/>
        <v>1580000</v>
      </c>
      <c r="J26" s="1"/>
    </row>
    <row r="27" spans="1:27" s="4" customFormat="1" ht="21.75" customHeight="1" x14ac:dyDescent="0.35">
      <c r="A27" s="39"/>
      <c r="B27" s="40"/>
      <c r="C27" s="24">
        <f>256930+15290</f>
        <v>272220</v>
      </c>
      <c r="D27" s="24">
        <v>279530</v>
      </c>
      <c r="E27" s="24">
        <v>175270</v>
      </c>
      <c r="F27" s="30"/>
      <c r="G27" s="30"/>
      <c r="H27" s="30"/>
      <c r="I27" s="15">
        <f t="shared" si="1"/>
        <v>727020</v>
      </c>
    </row>
    <row r="28" spans="1:27" s="4" customFormat="1" ht="21" customHeight="1" x14ac:dyDescent="0.35">
      <c r="A28" s="25" t="s">
        <v>52</v>
      </c>
      <c r="B28" s="26">
        <v>4</v>
      </c>
      <c r="C28" s="27">
        <v>58000</v>
      </c>
      <c r="D28" s="27">
        <v>43000</v>
      </c>
      <c r="E28" s="27">
        <v>122000</v>
      </c>
      <c r="F28" s="27">
        <v>72000</v>
      </c>
      <c r="G28" s="27">
        <v>28000</v>
      </c>
      <c r="H28" s="144">
        <v>87000</v>
      </c>
      <c r="I28" s="20">
        <f t="shared" si="1"/>
        <v>410000</v>
      </c>
    </row>
    <row r="29" spans="1:27" s="4" customFormat="1" ht="20.45" customHeight="1" x14ac:dyDescent="0.35">
      <c r="A29" s="49"/>
      <c r="B29" s="50"/>
      <c r="C29" s="51">
        <v>58910</v>
      </c>
      <c r="D29" s="51">
        <v>45230</v>
      </c>
      <c r="E29" s="51">
        <v>28770</v>
      </c>
      <c r="F29" s="51"/>
      <c r="G29" s="51"/>
      <c r="H29" s="52"/>
      <c r="I29" s="15">
        <f t="shared" si="1"/>
        <v>132910</v>
      </c>
    </row>
    <row r="30" spans="1:27" s="4" customFormat="1" ht="20.45" customHeight="1" x14ac:dyDescent="0.35">
      <c r="A30" s="126" t="s">
        <v>15</v>
      </c>
      <c r="B30" s="127">
        <v>4</v>
      </c>
      <c r="C30" s="160">
        <v>15000</v>
      </c>
      <c r="D30" s="136">
        <v>33000</v>
      </c>
      <c r="E30" s="129">
        <v>16000</v>
      </c>
      <c r="F30" s="129"/>
      <c r="G30" s="129">
        <v>47000</v>
      </c>
      <c r="H30" s="158">
        <v>31000</v>
      </c>
      <c r="I30" s="130">
        <f t="shared" si="1"/>
        <v>142000</v>
      </c>
    </row>
    <row r="31" spans="1:27" s="4" customFormat="1" ht="20.45" customHeight="1" x14ac:dyDescent="0.35">
      <c r="A31" s="49"/>
      <c r="B31" s="50"/>
      <c r="C31" s="51">
        <v>14690</v>
      </c>
      <c r="D31" s="51">
        <v>31090</v>
      </c>
      <c r="E31" s="143"/>
      <c r="F31" s="51"/>
      <c r="G31" s="51"/>
      <c r="H31" s="52"/>
      <c r="I31" s="15">
        <f t="shared" si="1"/>
        <v>45780</v>
      </c>
    </row>
    <row r="32" spans="1:27" s="4" customFormat="1" ht="19.149999999999999" customHeight="1" x14ac:dyDescent="0.35">
      <c r="A32" s="56" t="s">
        <v>16</v>
      </c>
      <c r="B32" s="57"/>
      <c r="C32" s="58" t="e">
        <f>(C6+C10+C12+C16+C18+C18+#REF!+C20++C22+C24+C26+C28+C30)/15000</f>
        <v>#REF!</v>
      </c>
      <c r="D32" s="58" t="e">
        <f>(D6+D10+D12+D16+D18+D18+#REF!+D20++D22+D24+D26+D28+D30)/15000</f>
        <v>#REF!</v>
      </c>
      <c r="E32" s="58" t="e">
        <f>(E6+E10+E12+E16+E18+E18+#REF!+E20++E22+E24+E26+E28+E30)/15000</f>
        <v>#REF!</v>
      </c>
      <c r="F32" s="58" t="e">
        <f>(F6+F10+F12+F16+F18+F18+#REF!+F20++F22+F24+F26+F28+F30)/15000</f>
        <v>#REF!</v>
      </c>
      <c r="G32" s="58" t="e">
        <f>(G6+G10+G12+G16+G18+G18+#REF!+G20++G22+G24+G26+G28+G30)/15000</f>
        <v>#REF!</v>
      </c>
      <c r="H32" s="58" t="e">
        <f>(H6+H10+H12+H16+H18+H18+#REF!+H20++H22+H24+H26+H28+H30)/15000</f>
        <v>#REF!</v>
      </c>
      <c r="I32" s="59"/>
    </row>
    <row r="33" spans="1:27" s="4" customFormat="1" ht="20.45" customHeight="1" x14ac:dyDescent="0.35">
      <c r="A33" s="17" t="s">
        <v>96</v>
      </c>
      <c r="B33" s="60" t="s">
        <v>83</v>
      </c>
      <c r="C33" s="159">
        <v>16000</v>
      </c>
      <c r="D33" s="159"/>
      <c r="E33" s="159"/>
      <c r="F33" s="159">
        <v>16000</v>
      </c>
      <c r="G33" s="159"/>
      <c r="H33" s="159">
        <v>16000</v>
      </c>
      <c r="I33" s="62">
        <f t="shared" ref="I33:I58" si="2">SUM(C33:H33)</f>
        <v>48000</v>
      </c>
    </row>
    <row r="34" spans="1:27" s="4" customFormat="1" ht="20.45" customHeight="1" x14ac:dyDescent="0.35">
      <c r="A34" s="17" t="s">
        <v>91</v>
      </c>
      <c r="B34" s="60" t="s">
        <v>83</v>
      </c>
      <c r="C34" s="159"/>
      <c r="D34" s="159"/>
      <c r="E34" s="159"/>
      <c r="F34" s="159"/>
      <c r="G34" s="159"/>
      <c r="H34" s="159">
        <v>10000</v>
      </c>
      <c r="I34" s="62">
        <f t="shared" si="2"/>
        <v>10000</v>
      </c>
    </row>
    <row r="35" spans="1:27" s="4" customFormat="1" ht="20.45" hidden="1" customHeight="1" x14ac:dyDescent="0.35">
      <c r="A35" s="17" t="s">
        <v>110</v>
      </c>
      <c r="B35" s="60">
        <v>4</v>
      </c>
      <c r="C35" s="61"/>
      <c r="D35" s="61"/>
      <c r="E35" s="61"/>
      <c r="F35" s="61"/>
      <c r="G35" s="61"/>
      <c r="H35" s="61"/>
      <c r="I35" s="62">
        <f t="shared" si="2"/>
        <v>0</v>
      </c>
    </row>
    <row r="36" spans="1:27" s="4" customFormat="1" ht="23.25" customHeight="1" x14ac:dyDescent="0.35">
      <c r="A36" s="65">
        <v>502</v>
      </c>
      <c r="B36" s="66" t="s">
        <v>19</v>
      </c>
      <c r="C36" s="64"/>
      <c r="D36" s="64"/>
      <c r="E36" s="64">
        <v>14000</v>
      </c>
      <c r="F36" s="64"/>
      <c r="G36" s="64"/>
      <c r="H36" s="64">
        <v>14000</v>
      </c>
      <c r="I36" s="62">
        <f t="shared" si="2"/>
        <v>28000</v>
      </c>
    </row>
    <row r="37" spans="1:27" s="4" customFormat="1" ht="23.25" hidden="1" customHeight="1" x14ac:dyDescent="0.35">
      <c r="A37" s="67" t="s">
        <v>20</v>
      </c>
      <c r="B37" s="68">
        <v>2.5</v>
      </c>
      <c r="C37" s="64"/>
      <c r="D37" s="64"/>
      <c r="E37" s="64"/>
      <c r="F37" s="69"/>
      <c r="G37" s="69"/>
      <c r="H37" s="64"/>
      <c r="I37" s="62">
        <f t="shared" si="2"/>
        <v>0</v>
      </c>
    </row>
    <row r="38" spans="1:27" s="4" customFormat="1" ht="20.25" hidden="1" customHeight="1" x14ac:dyDescent="0.35">
      <c r="A38" s="67" t="s">
        <v>101</v>
      </c>
      <c r="B38" s="68" t="s">
        <v>19</v>
      </c>
      <c r="C38" s="145"/>
      <c r="D38" s="145"/>
      <c r="E38" s="145"/>
      <c r="F38" s="64"/>
      <c r="G38" s="64"/>
      <c r="H38" s="145"/>
      <c r="I38" s="62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t="20.25" customHeight="1" x14ac:dyDescent="0.35">
      <c r="A39" s="67" t="s">
        <v>21</v>
      </c>
      <c r="B39" s="68">
        <v>4</v>
      </c>
      <c r="C39" s="64"/>
      <c r="D39" s="64"/>
      <c r="E39" s="64"/>
      <c r="F39" s="64"/>
      <c r="G39" s="64"/>
      <c r="H39" s="64"/>
      <c r="I39" s="62">
        <f t="shared" si="2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4" customFormat="1" ht="37.5" customHeight="1" x14ac:dyDescent="0.35">
      <c r="A40" s="171" t="s">
        <v>114</v>
      </c>
      <c r="B40" s="68">
        <v>2.5</v>
      </c>
      <c r="C40" s="83">
        <v>24000</v>
      </c>
      <c r="D40" s="64"/>
      <c r="E40" s="172"/>
      <c r="F40" s="145"/>
      <c r="G40" s="145"/>
      <c r="H40" s="64"/>
      <c r="I40" s="62">
        <f t="shared" si="2"/>
        <v>24000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4" customFormat="1" ht="20.25" customHeight="1" x14ac:dyDescent="0.35">
      <c r="A41" s="65" t="s">
        <v>75</v>
      </c>
      <c r="B41" s="68">
        <v>2.5</v>
      </c>
      <c r="C41" s="72"/>
      <c r="D41" s="72"/>
      <c r="E41" s="72">
        <v>7000</v>
      </c>
      <c r="F41" s="72"/>
      <c r="G41" s="72"/>
      <c r="H41" s="72"/>
      <c r="I41" s="62">
        <f t="shared" si="2"/>
        <v>7000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4" customFormat="1" ht="20.25" customHeight="1" x14ac:dyDescent="0.35">
      <c r="A42" s="70" t="s">
        <v>23</v>
      </c>
      <c r="B42" s="71">
        <v>2.5</v>
      </c>
      <c r="C42" s="72">
        <v>23000</v>
      </c>
      <c r="D42" s="72"/>
      <c r="E42" s="81"/>
      <c r="F42" s="165"/>
      <c r="G42" s="165"/>
      <c r="H42" s="72">
        <v>14000</v>
      </c>
      <c r="I42" s="62">
        <f t="shared" si="2"/>
        <v>37000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78" customFormat="1" ht="20.25" hidden="1" customHeight="1" x14ac:dyDescent="0.35">
      <c r="A43" s="17" t="s">
        <v>24</v>
      </c>
      <c r="B43" s="71">
        <v>2.8</v>
      </c>
      <c r="C43" s="75"/>
      <c r="D43" s="141"/>
      <c r="E43" s="76"/>
      <c r="F43" s="77"/>
      <c r="G43" s="77"/>
      <c r="H43" s="75"/>
      <c r="I43" s="62">
        <f t="shared" si="2"/>
        <v>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4" customFormat="1" ht="18.75" customHeight="1" x14ac:dyDescent="0.35">
      <c r="A44" s="70" t="s">
        <v>25</v>
      </c>
      <c r="B44" s="71">
        <v>2.8</v>
      </c>
      <c r="C44" s="64"/>
      <c r="D44" s="72"/>
      <c r="E44" s="72"/>
      <c r="F44" s="80"/>
      <c r="G44" s="80"/>
      <c r="H44" s="72">
        <v>14000</v>
      </c>
      <c r="I44" s="62">
        <f t="shared" si="2"/>
        <v>14000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18.75" hidden="1" customHeight="1" x14ac:dyDescent="0.35">
      <c r="A45" s="17" t="s">
        <v>79</v>
      </c>
      <c r="B45" s="71">
        <v>2.8</v>
      </c>
      <c r="C45" s="64"/>
      <c r="D45" s="145"/>
      <c r="E45" s="64"/>
      <c r="F45" s="80"/>
      <c r="G45" s="80"/>
      <c r="H45" s="64"/>
      <c r="I45" s="62">
        <f t="shared" si="2"/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18.75" customHeight="1" x14ac:dyDescent="0.35">
      <c r="A46" s="70" t="s">
        <v>26</v>
      </c>
      <c r="B46" s="71">
        <v>2.8</v>
      </c>
      <c r="C46" s="145">
        <v>10000</v>
      </c>
      <c r="D46" s="145"/>
      <c r="E46" s="165">
        <v>16000</v>
      </c>
      <c r="F46" s="155"/>
      <c r="G46" s="155">
        <v>10000</v>
      </c>
      <c r="H46" s="145"/>
      <c r="I46" s="62">
        <f t="shared" si="2"/>
        <v>36000</v>
      </c>
      <c r="J46" s="84"/>
      <c r="K46" s="1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18.75" customHeight="1" x14ac:dyDescent="0.35">
      <c r="A47" s="70" t="s">
        <v>53</v>
      </c>
      <c r="B47" s="71">
        <v>2.8</v>
      </c>
      <c r="C47" s="145"/>
      <c r="D47" s="72"/>
      <c r="E47" s="145">
        <v>27000</v>
      </c>
      <c r="F47" s="155">
        <v>8000</v>
      </c>
      <c r="G47" s="155">
        <v>19000</v>
      </c>
      <c r="H47" s="145"/>
      <c r="I47" s="62">
        <f t="shared" si="2"/>
        <v>54000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18.75" customHeight="1" x14ac:dyDescent="0.35">
      <c r="A48" s="17" t="s">
        <v>106</v>
      </c>
      <c r="B48" s="71">
        <v>2.8</v>
      </c>
      <c r="C48" s="64"/>
      <c r="D48" s="64"/>
      <c r="E48" s="64"/>
      <c r="F48" s="82"/>
      <c r="G48" s="82">
        <v>16000</v>
      </c>
      <c r="H48" s="145"/>
      <c r="I48" s="62">
        <f t="shared" si="2"/>
        <v>16000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18.75" customHeight="1" x14ac:dyDescent="0.35">
      <c r="A49" s="85">
        <v>552</v>
      </c>
      <c r="B49" s="63">
        <v>4</v>
      </c>
      <c r="C49" s="145">
        <v>15000</v>
      </c>
      <c r="D49" s="145">
        <v>4000</v>
      </c>
      <c r="E49" s="145"/>
      <c r="F49" s="155"/>
      <c r="G49" s="155">
        <v>9000</v>
      </c>
      <c r="H49" s="145"/>
      <c r="I49" s="62">
        <f t="shared" si="2"/>
        <v>28000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" customFormat="1" ht="23.25" hidden="1" customHeight="1" x14ac:dyDescent="0.3">
      <c r="A50" s="70">
        <v>553</v>
      </c>
      <c r="B50" s="71">
        <v>2.8</v>
      </c>
      <c r="C50" s="64"/>
      <c r="D50" s="145"/>
      <c r="E50" s="64"/>
      <c r="F50" s="80"/>
      <c r="G50" s="80"/>
      <c r="H50" s="83"/>
      <c r="I50" s="62">
        <f t="shared" si="2"/>
        <v>0</v>
      </c>
    </row>
    <row r="51" spans="1:27" s="1" customFormat="1" ht="21" customHeight="1" x14ac:dyDescent="0.3">
      <c r="A51" s="70" t="s">
        <v>77</v>
      </c>
      <c r="B51" s="71">
        <v>4</v>
      </c>
      <c r="C51" s="72">
        <v>18000</v>
      </c>
      <c r="D51" s="145">
        <v>15000</v>
      </c>
      <c r="E51" s="72">
        <v>30000</v>
      </c>
      <c r="F51" s="155">
        <v>13000</v>
      </c>
      <c r="G51" s="155"/>
      <c r="H51" s="145"/>
      <c r="I51" s="62">
        <f t="shared" si="2"/>
        <v>76000</v>
      </c>
      <c r="L51" s="87"/>
      <c r="M51" s="87"/>
      <c r="N51" s="87"/>
      <c r="O51" s="87"/>
      <c r="P51" s="87"/>
      <c r="Q51" s="87"/>
      <c r="R51" s="87"/>
      <c r="S51" s="3"/>
      <c r="T51" s="3"/>
      <c r="U51" s="3"/>
      <c r="V51" s="3"/>
      <c r="W51" s="3"/>
      <c r="X51" s="3"/>
      <c r="Y51" s="3"/>
      <c r="Z51" s="3"/>
      <c r="AA51" s="3"/>
    </row>
    <row r="52" spans="1:27" s="1" customFormat="1" ht="21" hidden="1" customHeight="1" x14ac:dyDescent="0.3">
      <c r="A52" s="17" t="s">
        <v>99</v>
      </c>
      <c r="B52" s="71">
        <v>4</v>
      </c>
      <c r="C52" s="64"/>
      <c r="D52" s="64"/>
      <c r="E52" s="64"/>
      <c r="F52" s="82"/>
      <c r="G52" s="82"/>
      <c r="H52" s="64"/>
      <c r="I52" s="62">
        <f t="shared" si="2"/>
        <v>0</v>
      </c>
      <c r="L52" s="87"/>
      <c r="M52" s="87"/>
      <c r="N52" s="87"/>
      <c r="O52" s="87"/>
      <c r="P52" s="87"/>
      <c r="Q52" s="87"/>
      <c r="R52" s="87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x14ac:dyDescent="0.3">
      <c r="A53" s="70" t="s">
        <v>31</v>
      </c>
      <c r="B53" s="71">
        <v>4</v>
      </c>
      <c r="C53" s="72"/>
      <c r="D53" s="72"/>
      <c r="E53" s="64"/>
      <c r="F53" s="72"/>
      <c r="G53" s="72"/>
      <c r="H53" s="145"/>
      <c r="I53" s="62">
        <f t="shared" si="2"/>
        <v>0</v>
      </c>
      <c r="L53" s="87"/>
      <c r="M53" s="87"/>
      <c r="N53" s="87"/>
      <c r="O53" s="87"/>
      <c r="P53" s="87"/>
      <c r="Q53" s="87"/>
      <c r="R53" s="87"/>
    </row>
    <row r="54" spans="1:27" ht="23.25" customHeight="1" x14ac:dyDescent="0.3">
      <c r="A54" s="70" t="s">
        <v>32</v>
      </c>
      <c r="B54" s="71">
        <v>4</v>
      </c>
      <c r="C54" s="64"/>
      <c r="D54" s="64"/>
      <c r="E54" s="145"/>
      <c r="F54" s="145">
        <v>6000</v>
      </c>
      <c r="G54" s="145"/>
      <c r="H54" s="145"/>
      <c r="I54" s="62">
        <f t="shared" si="2"/>
        <v>6000</v>
      </c>
      <c r="L54" s="87"/>
      <c r="M54" s="87"/>
      <c r="N54" s="87"/>
      <c r="O54" s="87"/>
      <c r="P54" s="87"/>
      <c r="Q54" s="87"/>
      <c r="R54" s="87"/>
    </row>
    <row r="55" spans="1:27" ht="23.25" customHeight="1" x14ac:dyDescent="0.3">
      <c r="A55" s="17" t="s">
        <v>124</v>
      </c>
      <c r="B55" s="71"/>
      <c r="C55" s="64"/>
      <c r="D55" s="64"/>
      <c r="E55" s="64">
        <v>8000</v>
      </c>
      <c r="F55" s="145"/>
      <c r="G55" s="145"/>
      <c r="H55" s="145"/>
      <c r="I55" s="62"/>
      <c r="L55" s="87"/>
      <c r="M55" s="87"/>
      <c r="N55" s="87"/>
      <c r="O55" s="87"/>
      <c r="P55" s="87"/>
      <c r="Q55" s="87"/>
      <c r="R55" s="87"/>
    </row>
    <row r="56" spans="1:27" ht="23.25" hidden="1" customHeight="1" x14ac:dyDescent="0.3">
      <c r="A56" s="162" t="s">
        <v>115</v>
      </c>
      <c r="B56" s="71">
        <v>4</v>
      </c>
      <c r="C56" s="64"/>
      <c r="D56" s="64"/>
      <c r="E56" s="83"/>
      <c r="F56" s="64"/>
      <c r="G56" s="64"/>
      <c r="H56" s="64"/>
      <c r="I56" s="62">
        <f t="shared" si="2"/>
        <v>0</v>
      </c>
      <c r="L56" s="87"/>
      <c r="M56" s="87"/>
      <c r="N56" s="87"/>
      <c r="O56" s="87"/>
      <c r="P56" s="87"/>
      <c r="Q56" s="87"/>
      <c r="R56" s="87"/>
    </row>
    <row r="57" spans="1:27" ht="23.25" customHeight="1" x14ac:dyDescent="0.3">
      <c r="A57" s="17" t="s">
        <v>125</v>
      </c>
      <c r="B57" s="71">
        <v>4</v>
      </c>
      <c r="C57" s="64"/>
      <c r="D57" s="64"/>
      <c r="E57" s="64">
        <v>6000</v>
      </c>
      <c r="F57" s="64"/>
      <c r="G57" s="64"/>
      <c r="H57" s="64"/>
      <c r="I57" s="62">
        <f t="shared" si="2"/>
        <v>6000</v>
      </c>
      <c r="L57" s="87"/>
      <c r="M57" s="87"/>
      <c r="N57" s="87"/>
      <c r="O57" s="87"/>
      <c r="P57" s="87"/>
      <c r="Q57" s="87"/>
      <c r="R57" s="87"/>
    </row>
    <row r="58" spans="1:27" ht="22.5" customHeight="1" x14ac:dyDescent="0.3">
      <c r="A58" s="70" t="s">
        <v>35</v>
      </c>
      <c r="B58" s="71">
        <v>4</v>
      </c>
      <c r="C58" s="64"/>
      <c r="D58" s="64"/>
      <c r="E58" s="145"/>
      <c r="F58" s="145"/>
      <c r="G58" s="145"/>
      <c r="H58" s="145"/>
      <c r="I58" s="62">
        <f t="shared" si="2"/>
        <v>0</v>
      </c>
      <c r="L58" s="87"/>
      <c r="M58" s="87"/>
      <c r="N58" s="87"/>
      <c r="O58" s="87"/>
      <c r="P58" s="87"/>
      <c r="Q58" s="87"/>
      <c r="R58" s="87"/>
    </row>
    <row r="59" spans="1:27" s="4" customFormat="1" ht="19.149999999999999" customHeight="1" x14ac:dyDescent="0.35">
      <c r="A59" s="88" t="s">
        <v>36</v>
      </c>
      <c r="B59" s="89"/>
      <c r="C59" s="90">
        <v>3</v>
      </c>
      <c r="D59" s="90"/>
      <c r="E59" s="90">
        <v>3</v>
      </c>
      <c r="F59" s="90">
        <v>5</v>
      </c>
      <c r="G59" s="90"/>
      <c r="H59" s="91">
        <v>3</v>
      </c>
      <c r="I59" s="92"/>
    </row>
    <row r="60" spans="1:27" ht="24.75" customHeight="1" x14ac:dyDescent="0.25">
      <c r="A60" s="93" t="s">
        <v>37</v>
      </c>
      <c r="B60" s="94"/>
      <c r="C60" s="95" t="e">
        <f>C59+C32</f>
        <v>#REF!</v>
      </c>
      <c r="D60" s="95"/>
      <c r="E60" s="95" t="e">
        <f>E59+E32</f>
        <v>#REF!</v>
      </c>
      <c r="F60" s="95" t="e">
        <f>F59+F32</f>
        <v>#REF!</v>
      </c>
      <c r="G60" s="95"/>
      <c r="H60" s="95" t="e">
        <f>H59+H32</f>
        <v>#REF!</v>
      </c>
      <c r="I60" s="96"/>
      <c r="L60" s="87"/>
      <c r="M60" s="87"/>
      <c r="N60" s="87"/>
      <c r="O60" s="87"/>
      <c r="P60" s="87"/>
      <c r="Q60" s="87"/>
      <c r="R60" s="87"/>
    </row>
    <row r="61" spans="1:27" s="1" customFormat="1" ht="25.5" x14ac:dyDescent="0.35">
      <c r="A61" s="97"/>
      <c r="B61" s="98"/>
      <c r="C61" s="99" t="s">
        <v>38</v>
      </c>
      <c r="D61" s="99"/>
      <c r="E61" s="100"/>
      <c r="F61" s="33" t="s">
        <v>39</v>
      </c>
      <c r="G61" s="33"/>
      <c r="H61" s="4"/>
      <c r="I61" s="3"/>
      <c r="L61" s="87"/>
      <c r="M61" s="87"/>
      <c r="N61" s="87"/>
      <c r="O61" s="87"/>
      <c r="P61" s="87"/>
      <c r="Q61" s="87"/>
      <c r="R61" s="87"/>
      <c r="S61" s="3"/>
      <c r="T61" s="3"/>
      <c r="U61" s="3"/>
      <c r="V61" s="3"/>
      <c r="W61" s="3"/>
      <c r="X61" s="3"/>
      <c r="Y61" s="3"/>
      <c r="Z61" s="3"/>
      <c r="AA61" s="3"/>
    </row>
    <row r="62" spans="1:27" ht="25.5" x14ac:dyDescent="0.35">
      <c r="A62" s="101"/>
      <c r="B62" s="102"/>
      <c r="C62" s="103" t="s">
        <v>40</v>
      </c>
      <c r="D62" s="103"/>
      <c r="E62" s="104"/>
      <c r="F62" s="105" t="s">
        <v>41</v>
      </c>
      <c r="G62" s="105"/>
      <c r="H62" s="4"/>
      <c r="J62" s="87"/>
      <c r="K62" s="87"/>
      <c r="L62" s="106"/>
      <c r="M62" s="106"/>
      <c r="N62" s="106"/>
      <c r="O62" s="106"/>
      <c r="P62" s="106"/>
      <c r="Q62" s="106"/>
      <c r="R62" s="106"/>
    </row>
    <row r="63" spans="1:27" ht="20.25" x14ac:dyDescent="0.25">
      <c r="A63" s="107"/>
      <c r="B63" s="108"/>
      <c r="C63" s="107"/>
      <c r="D63" s="107"/>
      <c r="E63" s="107"/>
      <c r="F63" s="107"/>
      <c r="G63" s="107"/>
      <c r="H63" s="109"/>
      <c r="I63" s="1"/>
      <c r="J63" s="87"/>
      <c r="K63" s="87"/>
      <c r="L63" s="111"/>
      <c r="M63" s="111"/>
      <c r="N63" s="111"/>
      <c r="O63" s="111"/>
      <c r="P63" s="111"/>
      <c r="Q63" s="111"/>
      <c r="R63" s="111"/>
    </row>
    <row r="64" spans="1:27" x14ac:dyDescent="0.25">
      <c r="A64" s="112"/>
      <c r="B64" s="113"/>
      <c r="C64" s="112"/>
      <c r="D64" s="112"/>
      <c r="E64" s="112"/>
      <c r="F64" s="112"/>
      <c r="G64" s="112"/>
      <c r="H64" s="112"/>
      <c r="I64" s="87"/>
      <c r="J64" s="87"/>
      <c r="K64" s="87"/>
      <c r="L64" s="114"/>
      <c r="M64" s="114"/>
      <c r="N64" s="114"/>
      <c r="O64" s="114"/>
      <c r="P64" s="114"/>
      <c r="Q64" s="114"/>
      <c r="R64" s="114"/>
    </row>
    <row r="65" spans="1:18" x14ac:dyDescent="0.25">
      <c r="A65" s="112"/>
      <c r="B65" s="113"/>
      <c r="C65" s="112"/>
      <c r="D65" s="112"/>
      <c r="E65" s="112"/>
      <c r="F65" s="112"/>
      <c r="G65" s="112"/>
      <c r="H65" s="112"/>
      <c r="I65" s="87"/>
      <c r="J65" s="87"/>
      <c r="K65" s="87"/>
      <c r="L65" s="114"/>
      <c r="M65" s="114"/>
      <c r="N65" s="114"/>
      <c r="O65" s="114"/>
      <c r="P65" s="114"/>
      <c r="Q65" s="114"/>
      <c r="R65" s="114"/>
    </row>
    <row r="66" spans="1:18" x14ac:dyDescent="0.25">
      <c r="A66" s="112"/>
      <c r="B66" s="113"/>
      <c r="C66" s="112"/>
      <c r="D66" s="112"/>
      <c r="E66" s="112"/>
      <c r="F66" s="112"/>
      <c r="G66" s="112"/>
      <c r="H66" s="112"/>
      <c r="I66" s="87"/>
      <c r="J66" s="87"/>
      <c r="K66" s="87"/>
      <c r="L66" s="110"/>
      <c r="M66" s="110"/>
      <c r="N66" s="110"/>
      <c r="O66" s="110"/>
      <c r="P66" s="110"/>
      <c r="Q66" s="110"/>
      <c r="R66" s="110"/>
    </row>
    <row r="67" spans="1:18" x14ac:dyDescent="0.25">
      <c r="I67" s="87"/>
      <c r="J67" s="87"/>
      <c r="K67" s="87"/>
      <c r="L67" s="87"/>
      <c r="M67" s="87"/>
      <c r="N67" s="87"/>
      <c r="O67" s="87"/>
      <c r="P67" s="87"/>
      <c r="Q67" s="87"/>
      <c r="R67" s="87"/>
    </row>
    <row r="68" spans="1:18" ht="25.5" x14ac:dyDescent="0.35">
      <c r="A68" s="1"/>
      <c r="B68" s="2"/>
      <c r="C68" s="1"/>
      <c r="D68" s="1"/>
      <c r="E68" s="1"/>
      <c r="F68" s="1"/>
      <c r="G68" s="1"/>
      <c r="H68" s="1"/>
      <c r="I68" s="87"/>
      <c r="J68" s="106"/>
      <c r="K68" s="106"/>
      <c r="L68" s="110"/>
      <c r="M68" s="110"/>
      <c r="N68" s="110"/>
      <c r="O68" s="110"/>
      <c r="P68" s="110"/>
      <c r="Q68" s="110"/>
      <c r="R68" s="110"/>
    </row>
    <row r="69" spans="1:18" x14ac:dyDescent="0.25">
      <c r="A69" s="1"/>
      <c r="B69" s="2"/>
      <c r="C69" s="1"/>
      <c r="D69" s="1"/>
      <c r="E69" s="1"/>
      <c r="F69" s="1"/>
      <c r="G69" s="1"/>
      <c r="H69" s="1"/>
      <c r="I69" s="87"/>
      <c r="J69" s="111"/>
      <c r="K69" s="111"/>
      <c r="L69" s="110"/>
      <c r="M69" s="110"/>
      <c r="N69" s="110"/>
      <c r="O69" s="110"/>
      <c r="P69" s="110"/>
      <c r="Q69" s="110"/>
      <c r="R69" s="110"/>
    </row>
    <row r="70" spans="1:18" ht="25.5" x14ac:dyDescent="0.35">
      <c r="A70" s="181"/>
      <c r="B70" s="181"/>
      <c r="C70" s="181"/>
      <c r="D70" s="181"/>
      <c r="E70" s="181"/>
      <c r="F70" s="181"/>
      <c r="G70" s="181"/>
      <c r="H70" s="181"/>
      <c r="I70" s="106"/>
      <c r="J70" s="114"/>
      <c r="K70" s="114"/>
      <c r="L70" s="87"/>
      <c r="M70" s="87"/>
      <c r="N70" s="87"/>
      <c r="O70" s="87"/>
      <c r="P70" s="87"/>
      <c r="Q70" s="87"/>
      <c r="R70" s="87"/>
    </row>
    <row r="71" spans="1:18" x14ac:dyDescent="0.25">
      <c r="A71" s="111"/>
      <c r="B71" s="113"/>
      <c r="C71" s="111"/>
      <c r="D71" s="111"/>
      <c r="E71" s="111"/>
      <c r="F71" s="111"/>
      <c r="G71" s="111"/>
      <c r="H71" s="111"/>
      <c r="I71" s="111"/>
      <c r="J71" s="114"/>
      <c r="K71" s="114"/>
      <c r="L71" s="87"/>
      <c r="M71" s="87"/>
      <c r="N71" s="87"/>
      <c r="O71" s="87"/>
      <c r="P71" s="87"/>
      <c r="Q71" s="87"/>
      <c r="R71" s="87"/>
    </row>
    <row r="72" spans="1:18" x14ac:dyDescent="0.25">
      <c r="A72" s="182"/>
      <c r="B72" s="116"/>
      <c r="C72" s="114"/>
      <c r="D72" s="114"/>
      <c r="E72" s="114"/>
      <c r="F72" s="114"/>
      <c r="G72" s="114"/>
      <c r="H72" s="114"/>
      <c r="I72" s="114"/>
      <c r="J72" s="110"/>
      <c r="K72" s="110"/>
      <c r="L72" s="87"/>
      <c r="M72" s="87"/>
      <c r="N72" s="87"/>
      <c r="O72" s="87"/>
      <c r="P72" s="87"/>
      <c r="Q72" s="87"/>
      <c r="R72" s="87"/>
    </row>
    <row r="73" spans="1:18" x14ac:dyDescent="0.25">
      <c r="A73" s="182"/>
      <c r="B73" s="116"/>
      <c r="C73" s="114"/>
      <c r="D73" s="114"/>
      <c r="E73" s="114"/>
      <c r="F73" s="114"/>
      <c r="G73" s="114"/>
      <c r="H73" s="114"/>
      <c r="I73" s="114"/>
      <c r="J73" s="87"/>
      <c r="K73" s="87"/>
    </row>
    <row r="74" spans="1:18" x14ac:dyDescent="0.25">
      <c r="A74" s="112"/>
      <c r="B74" s="113"/>
      <c r="C74" s="112"/>
      <c r="D74" s="112"/>
      <c r="E74" s="112"/>
      <c r="F74" s="112"/>
      <c r="G74" s="112"/>
      <c r="H74" s="112"/>
      <c r="I74" s="110"/>
      <c r="J74" s="110"/>
      <c r="K74" s="110"/>
    </row>
    <row r="75" spans="1:18" x14ac:dyDescent="0.25">
      <c r="A75" s="112"/>
      <c r="B75" s="113"/>
      <c r="C75" s="112"/>
      <c r="D75" s="112"/>
      <c r="E75" s="112"/>
      <c r="F75" s="112"/>
      <c r="G75" s="112"/>
      <c r="H75" s="112"/>
      <c r="I75" s="87"/>
      <c r="J75" s="110"/>
      <c r="K75" s="110"/>
    </row>
    <row r="76" spans="1:18" x14ac:dyDescent="0.25">
      <c r="A76" s="112"/>
      <c r="B76" s="113"/>
      <c r="C76" s="112"/>
      <c r="D76" s="112"/>
      <c r="E76" s="112"/>
      <c r="F76" s="112"/>
      <c r="G76" s="112"/>
      <c r="H76" s="112"/>
      <c r="I76" s="110"/>
      <c r="J76" s="87"/>
      <c r="K76" s="87"/>
    </row>
    <row r="77" spans="1:18" x14ac:dyDescent="0.25">
      <c r="A77" s="112"/>
      <c r="B77" s="113"/>
      <c r="C77" s="112"/>
      <c r="D77" s="112"/>
      <c r="E77" s="112"/>
      <c r="F77" s="112"/>
      <c r="G77" s="112"/>
      <c r="H77" s="112"/>
      <c r="I77" s="110"/>
      <c r="J77" s="87"/>
      <c r="K77" s="87"/>
    </row>
    <row r="78" spans="1:18" x14ac:dyDescent="0.25">
      <c r="A78" s="112"/>
      <c r="B78" s="113"/>
      <c r="C78" s="112"/>
      <c r="D78" s="112"/>
      <c r="E78" s="112"/>
      <c r="F78" s="112"/>
      <c r="G78" s="112"/>
      <c r="H78" s="112"/>
      <c r="I78" s="87"/>
      <c r="J78" s="87"/>
      <c r="K78" s="87"/>
    </row>
    <row r="79" spans="1:18" x14ac:dyDescent="0.25">
      <c r="A79" s="112"/>
      <c r="B79" s="113"/>
      <c r="C79" s="112"/>
      <c r="D79" s="112"/>
      <c r="E79" s="112"/>
      <c r="F79" s="112"/>
      <c r="G79" s="112"/>
      <c r="H79" s="112"/>
      <c r="I79" s="87"/>
    </row>
    <row r="80" spans="1:18" x14ac:dyDescent="0.25">
      <c r="A80" s="1"/>
      <c r="B80" s="2"/>
      <c r="C80" s="1"/>
      <c r="D80" s="1"/>
      <c r="E80" s="1"/>
      <c r="F80" s="1"/>
      <c r="G80" s="1"/>
      <c r="H80" s="1"/>
      <c r="I80" s="87"/>
    </row>
  </sheetData>
  <mergeCells count="6">
    <mergeCell ref="A72:A73"/>
    <mergeCell ref="A2:I2"/>
    <mergeCell ref="A3:R3"/>
    <mergeCell ref="A4:R4"/>
    <mergeCell ref="M24:N25"/>
    <mergeCell ref="A70:H7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BA55-2868-4A65-ADB2-FE345EF6D207}">
  <dimension ref="A1:AF90"/>
  <sheetViews>
    <sheetView tabSelected="1" topLeftCell="A2" workbookViewId="0">
      <pane ySplit="4" topLeftCell="A64" activePane="bottomLeft" state="frozen"/>
      <selection activeCell="A2" sqref="A2"/>
      <selection pane="bottomLeft" activeCell="G24" sqref="G24"/>
    </sheetView>
  </sheetViews>
  <sheetFormatPr defaultColWidth="28.625" defaultRowHeight="15.75" x14ac:dyDescent="0.25"/>
  <cols>
    <col min="1" max="1" width="19.875" style="3" customWidth="1"/>
    <col min="2" max="2" width="11.875" style="115" customWidth="1"/>
    <col min="3" max="9" width="14.625" style="3" customWidth="1"/>
    <col min="10" max="10" width="9.75" style="3" customWidth="1"/>
    <col min="11" max="16384" width="28.625" style="3"/>
  </cols>
  <sheetData>
    <row r="1" spans="1:18" ht="24" customHeight="1" x14ac:dyDescent="0.25">
      <c r="A1" s="1" t="s">
        <v>0</v>
      </c>
      <c r="B1" s="2"/>
      <c r="C1" s="1"/>
      <c r="D1" s="1"/>
      <c r="E1" s="1"/>
    </row>
    <row r="2" spans="1:18" ht="30" customHeight="1" x14ac:dyDescent="0.25">
      <c r="A2" s="177" t="s">
        <v>1</v>
      </c>
      <c r="B2" s="177"/>
      <c r="C2" s="177"/>
      <c r="D2" s="177"/>
      <c r="E2" s="177"/>
      <c r="F2" s="177"/>
      <c r="G2" s="177"/>
      <c r="H2" s="177"/>
      <c r="I2" s="177"/>
    </row>
    <row r="3" spans="1:18" s="4" customFormat="1" ht="27" customHeight="1" x14ac:dyDescent="0.35">
      <c r="A3" s="178" t="s">
        <v>127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</row>
    <row r="4" spans="1:18" ht="21.75" customHeight="1" x14ac:dyDescent="0.25">
      <c r="A4" s="179" t="s">
        <v>128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1:18" s="1" customFormat="1" ht="18.75" x14ac:dyDescent="0.25">
      <c r="A5" s="5" t="s">
        <v>2</v>
      </c>
      <c r="B5" s="6" t="s">
        <v>3</v>
      </c>
      <c r="C5" s="7">
        <v>46160</v>
      </c>
      <c r="D5" s="7">
        <v>46161</v>
      </c>
      <c r="E5" s="7">
        <v>46162</v>
      </c>
      <c r="F5" s="7">
        <v>46163</v>
      </c>
      <c r="G5" s="7">
        <v>46164</v>
      </c>
      <c r="H5" s="7">
        <v>46165</v>
      </c>
      <c r="I5" s="8"/>
    </row>
    <row r="6" spans="1:18" s="12" customFormat="1" ht="21.75" hidden="1" customHeight="1" x14ac:dyDescent="0.25">
      <c r="A6" s="9" t="s">
        <v>4</v>
      </c>
      <c r="B6" s="18">
        <v>4</v>
      </c>
      <c r="C6" s="119"/>
      <c r="D6" s="119"/>
      <c r="E6" s="119"/>
      <c r="F6" s="119"/>
      <c r="G6" s="119"/>
      <c r="H6" s="119"/>
      <c r="I6" s="10">
        <f t="shared" ref="I6:I14" si="0">SUM(C6:H6)</f>
        <v>0</v>
      </c>
      <c r="J6" s="1"/>
      <c r="K6" s="11"/>
    </row>
    <row r="7" spans="1:18" s="12" customFormat="1" ht="22.5" hidden="1" customHeight="1" x14ac:dyDescent="0.25">
      <c r="A7" s="5"/>
      <c r="B7" s="13"/>
      <c r="C7" s="14"/>
      <c r="D7" s="14"/>
      <c r="E7" s="14"/>
      <c r="F7" s="14"/>
      <c r="G7" s="14"/>
      <c r="H7" s="14"/>
      <c r="I7" s="15">
        <f t="shared" si="0"/>
        <v>0</v>
      </c>
      <c r="J7" s="1"/>
      <c r="K7" s="11"/>
    </row>
    <row r="8" spans="1:18" s="12" customFormat="1" ht="21.75" customHeight="1" x14ac:dyDescent="0.25">
      <c r="A8" s="16" t="s">
        <v>5</v>
      </c>
      <c r="B8" s="18">
        <v>4</v>
      </c>
      <c r="C8" s="161">
        <v>15000</v>
      </c>
      <c r="D8" s="161">
        <v>15000</v>
      </c>
      <c r="E8" s="161">
        <v>15000</v>
      </c>
      <c r="F8" s="117"/>
      <c r="G8" s="117"/>
      <c r="H8" s="117"/>
      <c r="I8" s="10">
        <f t="shared" si="0"/>
        <v>45000</v>
      </c>
      <c r="J8" s="1"/>
      <c r="K8" s="11"/>
    </row>
    <row r="9" spans="1:18" s="12" customFormat="1" ht="21.75" customHeight="1" x14ac:dyDescent="0.25">
      <c r="A9" s="5"/>
      <c r="B9" s="13"/>
      <c r="C9" s="14"/>
      <c r="D9" s="14"/>
      <c r="E9" s="14"/>
      <c r="F9" s="14"/>
      <c r="G9" s="14"/>
      <c r="H9" s="14"/>
      <c r="I9" s="15">
        <f t="shared" si="0"/>
        <v>0</v>
      </c>
      <c r="J9" s="1"/>
      <c r="K9" s="11"/>
    </row>
    <row r="10" spans="1:18" s="12" customFormat="1" ht="22.15" hidden="1" customHeight="1" x14ac:dyDescent="0.25">
      <c r="A10" s="17" t="s">
        <v>44</v>
      </c>
      <c r="B10" s="18">
        <v>2.8</v>
      </c>
      <c r="C10" s="19"/>
      <c r="D10" s="19"/>
      <c r="E10" s="19"/>
      <c r="F10" s="19"/>
      <c r="G10" s="19"/>
      <c r="H10" s="19"/>
      <c r="I10" s="20">
        <f t="shared" si="0"/>
        <v>0</v>
      </c>
      <c r="J10" s="1"/>
      <c r="K10" s="11"/>
    </row>
    <row r="11" spans="1:18" s="12" customFormat="1" ht="22.15" hidden="1" customHeight="1" x14ac:dyDescent="0.25">
      <c r="A11" s="21"/>
      <c r="B11" s="22"/>
      <c r="C11" s="23"/>
      <c r="D11" s="23"/>
      <c r="E11" s="23"/>
      <c r="F11" s="23"/>
      <c r="G11" s="23"/>
      <c r="H11" s="23"/>
      <c r="I11" s="15">
        <f t="shared" si="0"/>
        <v>0</v>
      </c>
      <c r="J11" s="1"/>
      <c r="K11" s="11"/>
    </row>
    <row r="12" spans="1:18" s="12" customFormat="1" ht="22.15" hidden="1" customHeight="1" x14ac:dyDescent="0.25">
      <c r="A12" s="120" t="s">
        <v>6</v>
      </c>
      <c r="B12" s="18">
        <v>2.8</v>
      </c>
      <c r="C12" s="123"/>
      <c r="D12" s="122"/>
      <c r="E12" s="123"/>
      <c r="F12" s="123"/>
      <c r="G12" s="123"/>
      <c r="H12" s="123"/>
      <c r="I12" s="20">
        <f t="shared" si="0"/>
        <v>0</v>
      </c>
      <c r="J12" s="1"/>
      <c r="K12" s="11"/>
    </row>
    <row r="13" spans="1:18" s="12" customFormat="1" ht="22.15" hidden="1" customHeight="1" x14ac:dyDescent="0.25">
      <c r="A13" s="21"/>
      <c r="B13" s="22"/>
      <c r="C13" s="23"/>
      <c r="D13" s="23"/>
      <c r="E13" s="23"/>
      <c r="F13" s="23"/>
      <c r="G13" s="23"/>
      <c r="H13" s="23"/>
      <c r="I13" s="15">
        <f t="shared" si="0"/>
        <v>0</v>
      </c>
      <c r="J13" s="1"/>
      <c r="K13" s="11"/>
    </row>
    <row r="14" spans="1:18" s="12" customFormat="1" ht="22.15" hidden="1" customHeight="1" x14ac:dyDescent="0.25">
      <c r="A14" s="120" t="s">
        <v>62</v>
      </c>
      <c r="B14" s="18">
        <v>2.8</v>
      </c>
      <c r="C14" s="122"/>
      <c r="D14" s="19"/>
      <c r="E14" s="122"/>
      <c r="F14" s="122"/>
      <c r="G14" s="122"/>
      <c r="H14" s="122"/>
      <c r="I14" s="20">
        <f t="shared" si="0"/>
        <v>0</v>
      </c>
      <c r="J14" s="1"/>
      <c r="K14" s="11"/>
    </row>
    <row r="15" spans="1:18" s="12" customFormat="1" ht="22.15" hidden="1" customHeight="1" x14ac:dyDescent="0.25">
      <c r="A15" s="21"/>
      <c r="B15" s="22"/>
      <c r="C15" s="23"/>
      <c r="D15" s="23"/>
      <c r="E15" s="23"/>
      <c r="F15" s="23"/>
      <c r="G15" s="23"/>
      <c r="H15" s="23"/>
      <c r="I15" s="15"/>
      <c r="J15" s="1"/>
      <c r="K15" s="11"/>
    </row>
    <row r="16" spans="1:18" s="12" customFormat="1" ht="22.15" customHeight="1" x14ac:dyDescent="0.25">
      <c r="A16" s="17" t="s">
        <v>68</v>
      </c>
      <c r="B16" s="18">
        <v>4</v>
      </c>
      <c r="C16" s="19">
        <v>5000</v>
      </c>
      <c r="D16" s="19"/>
      <c r="E16" s="122"/>
      <c r="F16" s="19"/>
      <c r="G16" s="19"/>
      <c r="H16" s="19"/>
      <c r="I16" s="20">
        <f t="shared" ref="I16:I39" si="1">SUM(C16:H16)</f>
        <v>5000</v>
      </c>
      <c r="J16" s="1"/>
      <c r="K16" s="11"/>
    </row>
    <row r="17" spans="1:32" s="12" customFormat="1" ht="22.15" customHeight="1" x14ac:dyDescent="0.25">
      <c r="A17" s="16"/>
      <c r="B17" s="132"/>
      <c r="C17" s="23"/>
      <c r="D17" s="23"/>
      <c r="E17" s="134"/>
      <c r="F17" s="23"/>
      <c r="G17" s="23"/>
      <c r="H17" s="23"/>
      <c r="I17" s="15">
        <f t="shared" si="1"/>
        <v>0</v>
      </c>
      <c r="K17" s="11"/>
    </row>
    <row r="18" spans="1:32" s="12" customFormat="1" ht="22.15" hidden="1" customHeight="1" x14ac:dyDescent="0.25">
      <c r="A18" s="120" t="s">
        <v>56</v>
      </c>
      <c r="B18" s="18">
        <v>4</v>
      </c>
      <c r="C18" s="121"/>
      <c r="D18" s="122"/>
      <c r="E18" s="122"/>
      <c r="F18" s="19"/>
      <c r="G18" s="19"/>
      <c r="H18" s="19"/>
      <c r="I18" s="20">
        <f t="shared" si="1"/>
        <v>0</v>
      </c>
      <c r="J18" s="1"/>
      <c r="K18" s="11"/>
    </row>
    <row r="19" spans="1:32" s="12" customFormat="1" ht="22.15" hidden="1" customHeight="1" x14ac:dyDescent="0.25">
      <c r="A19" s="21"/>
      <c r="B19" s="22"/>
      <c r="C19" s="23"/>
      <c r="D19" s="23"/>
      <c r="E19" s="23"/>
      <c r="F19" s="23"/>
      <c r="G19" s="23"/>
      <c r="H19" s="23"/>
      <c r="I19" s="15">
        <f t="shared" si="1"/>
        <v>0</v>
      </c>
      <c r="J19" s="1"/>
      <c r="K19" s="11"/>
    </row>
    <row r="20" spans="1:32" s="12" customFormat="1" ht="22.15" hidden="1" customHeight="1" x14ac:dyDescent="0.25">
      <c r="A20" s="120" t="s">
        <v>56</v>
      </c>
      <c r="B20" s="18">
        <v>4</v>
      </c>
      <c r="C20" s="150"/>
      <c r="D20" s="150"/>
      <c r="E20" s="150"/>
      <c r="F20" s="150"/>
      <c r="G20" s="150"/>
      <c r="H20" s="150"/>
      <c r="I20" s="20">
        <f t="shared" si="1"/>
        <v>0</v>
      </c>
      <c r="J20" s="1"/>
      <c r="K20" s="11"/>
    </row>
    <row r="21" spans="1:32" s="12" customFormat="1" ht="22.15" hidden="1" customHeight="1" x14ac:dyDescent="0.25">
      <c r="A21" s="21"/>
      <c r="B21" s="22"/>
      <c r="C21" s="23"/>
      <c r="D21" s="23"/>
      <c r="E21" s="23"/>
      <c r="F21" s="23"/>
      <c r="G21" s="23"/>
      <c r="H21" s="23"/>
      <c r="I21" s="15">
        <f t="shared" si="1"/>
        <v>0</v>
      </c>
      <c r="J21" s="1"/>
      <c r="K21" s="11"/>
    </row>
    <row r="22" spans="1:32" s="12" customFormat="1" ht="22.15" customHeight="1" x14ac:dyDescent="0.25">
      <c r="A22" s="120" t="s">
        <v>56</v>
      </c>
      <c r="B22" s="18">
        <v>4</v>
      </c>
      <c r="C22" s="150">
        <v>23000</v>
      </c>
      <c r="D22" s="150"/>
      <c r="E22" s="150"/>
      <c r="F22" s="150"/>
      <c r="G22" s="150">
        <v>14000</v>
      </c>
      <c r="H22" s="150"/>
      <c r="I22" s="20">
        <f t="shared" si="1"/>
        <v>37000</v>
      </c>
      <c r="J22" s="1"/>
      <c r="K22" s="11"/>
    </row>
    <row r="23" spans="1:32" s="12" customFormat="1" ht="22.15" customHeight="1" x14ac:dyDescent="0.25">
      <c r="A23" s="21"/>
      <c r="B23" s="22"/>
      <c r="C23" s="23"/>
      <c r="D23" s="23"/>
      <c r="E23" s="23"/>
      <c r="F23" s="23"/>
      <c r="G23" s="23"/>
      <c r="H23" s="23"/>
      <c r="I23" s="15">
        <f t="shared" si="1"/>
        <v>0</v>
      </c>
      <c r="J23" s="1"/>
      <c r="K23" s="11"/>
    </row>
    <row r="24" spans="1:32" s="1" customFormat="1" ht="22.15" customHeight="1" x14ac:dyDescent="0.25">
      <c r="A24" s="25" t="s">
        <v>8</v>
      </c>
      <c r="B24" s="26">
        <v>4</v>
      </c>
      <c r="C24" s="27">
        <v>104000</v>
      </c>
      <c r="D24" s="27">
        <v>148000</v>
      </c>
      <c r="E24" s="27">
        <v>85000</v>
      </c>
      <c r="F24" s="27">
        <v>85000</v>
      </c>
      <c r="G24" s="27">
        <v>15000</v>
      </c>
      <c r="H24" s="27" t="s">
        <v>118</v>
      </c>
      <c r="I24" s="20">
        <f t="shared" si="1"/>
        <v>437000</v>
      </c>
      <c r="K24" s="11"/>
    </row>
    <row r="25" spans="1:32" s="1" customFormat="1" ht="22.15" customHeight="1" x14ac:dyDescent="0.25">
      <c r="A25" s="28"/>
      <c r="B25" s="29"/>
      <c r="C25" s="24"/>
      <c r="D25" s="30"/>
      <c r="E25" s="30"/>
      <c r="F25" s="30"/>
      <c r="G25" s="30"/>
      <c r="H25" s="30"/>
      <c r="I25" s="15">
        <f t="shared" si="1"/>
        <v>0</v>
      </c>
      <c r="K25" s="11"/>
    </row>
    <row r="26" spans="1:32" s="33" customFormat="1" ht="22.15" customHeight="1" x14ac:dyDescent="0.25">
      <c r="A26" s="25" t="s">
        <v>9</v>
      </c>
      <c r="B26" s="26">
        <v>4</v>
      </c>
      <c r="C26" s="27">
        <v>58000</v>
      </c>
      <c r="D26" s="27">
        <v>61000</v>
      </c>
      <c r="E26" s="27">
        <v>60000</v>
      </c>
      <c r="F26" s="27">
        <v>142000</v>
      </c>
      <c r="G26" s="27">
        <v>115000</v>
      </c>
      <c r="H26" s="27">
        <v>15000</v>
      </c>
      <c r="I26" s="31">
        <f t="shared" si="1"/>
        <v>451000</v>
      </c>
      <c r="J26" s="32"/>
      <c r="K26" s="11"/>
    </row>
    <row r="27" spans="1:32" s="33" customFormat="1" ht="22.15" customHeight="1" x14ac:dyDescent="0.25">
      <c r="A27" s="28"/>
      <c r="B27" s="29"/>
      <c r="C27" s="24"/>
      <c r="D27" s="30"/>
      <c r="E27" s="30"/>
      <c r="F27" s="30"/>
      <c r="G27" s="30"/>
      <c r="H27" s="30"/>
      <c r="I27" s="15">
        <f t="shared" si="1"/>
        <v>0</v>
      </c>
      <c r="J27" s="32"/>
      <c r="K27" s="11"/>
      <c r="L27" s="34"/>
      <c r="M27" s="35"/>
      <c r="N27" s="35"/>
      <c r="O27" s="35"/>
      <c r="P27" s="35"/>
      <c r="Q27" s="35"/>
      <c r="R27" s="35"/>
      <c r="S27" s="36"/>
      <c r="T27" s="35"/>
      <c r="U27" s="37"/>
      <c r="V27" s="35"/>
      <c r="W27" s="35"/>
      <c r="X27" s="37"/>
      <c r="Y27" s="35"/>
      <c r="Z27" s="35"/>
      <c r="AA27" s="35"/>
    </row>
    <row r="28" spans="1:32" s="1" customFormat="1" ht="22.15" hidden="1" customHeight="1" x14ac:dyDescent="0.35">
      <c r="A28" s="25" t="s">
        <v>7</v>
      </c>
      <c r="B28" s="26">
        <v>2.8</v>
      </c>
      <c r="C28" s="38"/>
      <c r="D28" s="38"/>
      <c r="E28" s="38"/>
      <c r="F28" s="38"/>
      <c r="G28" s="38"/>
      <c r="H28" s="38"/>
      <c r="I28" s="31">
        <f t="shared" si="1"/>
        <v>0</v>
      </c>
      <c r="J28" s="32"/>
      <c r="K28" s="11"/>
      <c r="L28" s="4"/>
      <c r="M28" s="180" t="s">
        <v>10</v>
      </c>
      <c r="N28" s="180"/>
      <c r="P28" s="4"/>
      <c r="X28" s="4"/>
      <c r="Y28" s="4"/>
      <c r="Z28" s="4"/>
      <c r="AA28" s="4"/>
    </row>
    <row r="29" spans="1:32" s="1" customFormat="1" ht="22.15" hidden="1" customHeight="1" x14ac:dyDescent="0.35">
      <c r="A29" s="39"/>
      <c r="B29" s="40"/>
      <c r="C29" s="24"/>
      <c r="D29" s="30"/>
      <c r="E29" s="30"/>
      <c r="F29" s="30"/>
      <c r="G29" s="30"/>
      <c r="H29" s="30"/>
      <c r="I29" s="15">
        <f t="shared" si="1"/>
        <v>0</v>
      </c>
      <c r="J29" s="32"/>
      <c r="K29" s="11"/>
      <c r="L29" s="4"/>
      <c r="M29" s="180"/>
      <c r="N29" s="180"/>
      <c r="P29" s="4"/>
      <c r="X29" s="4"/>
      <c r="Y29" s="4"/>
      <c r="Z29" s="4"/>
      <c r="AA29" s="4"/>
    </row>
    <row r="30" spans="1:32" ht="24.75" hidden="1" customHeight="1" x14ac:dyDescent="0.35">
      <c r="A30" s="25" t="s">
        <v>11</v>
      </c>
      <c r="B30" s="26">
        <v>4</v>
      </c>
      <c r="C30" s="41"/>
      <c r="D30" s="41"/>
      <c r="E30" s="41"/>
      <c r="F30" s="41"/>
      <c r="G30" s="41"/>
      <c r="H30" s="41"/>
      <c r="I30" s="31">
        <f t="shared" si="1"/>
        <v>0</v>
      </c>
      <c r="J30" s="42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2" ht="24.75" hidden="1" customHeight="1" x14ac:dyDescent="0.35">
      <c r="A31" s="39"/>
      <c r="B31" s="40"/>
      <c r="C31" s="24"/>
      <c r="D31" s="30"/>
      <c r="E31" s="30"/>
      <c r="F31" s="30"/>
      <c r="G31" s="30"/>
      <c r="H31" s="30"/>
      <c r="I31" s="15">
        <f t="shared" si="1"/>
        <v>0</v>
      </c>
      <c r="J31" s="42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2" ht="24.75" hidden="1" customHeight="1" x14ac:dyDescent="0.35">
      <c r="A32" s="25" t="s">
        <v>12</v>
      </c>
      <c r="B32" s="26">
        <v>4</v>
      </c>
      <c r="C32" s="43"/>
      <c r="D32" s="44"/>
      <c r="E32" s="43"/>
      <c r="F32" s="43"/>
      <c r="G32" s="43"/>
      <c r="H32" s="43"/>
      <c r="I32" s="31">
        <f t="shared" si="1"/>
        <v>0</v>
      </c>
      <c r="J32" s="42"/>
      <c r="K32" s="4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6"/>
      <c r="AC32" s="46"/>
      <c r="AD32" s="46"/>
      <c r="AE32" s="46"/>
      <c r="AF32" s="46"/>
    </row>
    <row r="33" spans="1:32" ht="24.75" hidden="1" customHeight="1" x14ac:dyDescent="0.35">
      <c r="A33" s="47"/>
      <c r="B33" s="48"/>
      <c r="C33" s="24"/>
      <c r="D33" s="30"/>
      <c r="E33" s="30"/>
      <c r="F33" s="30"/>
      <c r="G33" s="30"/>
      <c r="H33" s="30"/>
      <c r="I33" s="15">
        <f t="shared" si="1"/>
        <v>0</v>
      </c>
      <c r="J33" s="42"/>
      <c r="K33" s="4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6"/>
      <c r="AC33" s="46"/>
      <c r="AD33" s="46"/>
      <c r="AE33" s="46"/>
      <c r="AF33" s="46"/>
    </row>
    <row r="34" spans="1:32" s="4" customFormat="1" ht="21.75" customHeight="1" x14ac:dyDescent="0.35">
      <c r="A34" s="25" t="s">
        <v>13</v>
      </c>
      <c r="B34" s="26">
        <v>4</v>
      </c>
      <c r="C34" s="27">
        <v>124000</v>
      </c>
      <c r="D34" s="27">
        <v>370000</v>
      </c>
      <c r="E34" s="27">
        <v>300000</v>
      </c>
      <c r="F34" s="27">
        <v>325000</v>
      </c>
      <c r="G34" s="27">
        <v>283000</v>
      </c>
      <c r="H34" s="27">
        <v>119000</v>
      </c>
      <c r="I34" s="31">
        <f t="shared" si="1"/>
        <v>1521000</v>
      </c>
      <c r="J34" s="1"/>
    </row>
    <row r="35" spans="1:32" s="4" customFormat="1" ht="21.75" customHeight="1" x14ac:dyDescent="0.35">
      <c r="A35" s="39"/>
      <c r="B35" s="40"/>
      <c r="C35" s="24"/>
      <c r="D35" s="30"/>
      <c r="E35" s="30"/>
      <c r="F35" s="30"/>
      <c r="G35" s="30"/>
      <c r="H35" s="30"/>
      <c r="I35" s="15">
        <f t="shared" si="1"/>
        <v>0</v>
      </c>
    </row>
    <row r="36" spans="1:32" s="4" customFormat="1" ht="21" customHeight="1" x14ac:dyDescent="0.35">
      <c r="A36" s="25" t="s">
        <v>14</v>
      </c>
      <c r="B36" s="26">
        <v>4</v>
      </c>
      <c r="C36" s="27">
        <v>59000</v>
      </c>
      <c r="D36" s="27">
        <v>74000</v>
      </c>
      <c r="E36" s="27">
        <v>86000</v>
      </c>
      <c r="F36" s="27">
        <v>44000</v>
      </c>
      <c r="G36" s="27">
        <v>57000</v>
      </c>
      <c r="H36" s="27">
        <v>87000</v>
      </c>
      <c r="I36" s="31">
        <f t="shared" si="1"/>
        <v>407000</v>
      </c>
    </row>
    <row r="37" spans="1:32" s="4" customFormat="1" ht="20.45" customHeight="1" x14ac:dyDescent="0.35">
      <c r="A37" s="49"/>
      <c r="B37" s="148"/>
      <c r="C37" s="157"/>
      <c r="D37" s="157"/>
      <c r="E37" s="164"/>
      <c r="F37" s="157"/>
      <c r="G37" s="157"/>
      <c r="H37" s="157"/>
      <c r="I37" s="15">
        <f t="shared" si="1"/>
        <v>0</v>
      </c>
    </row>
    <row r="38" spans="1:32" s="4" customFormat="1" ht="20.45" customHeight="1" x14ac:dyDescent="0.35">
      <c r="A38" s="53" t="s">
        <v>15</v>
      </c>
      <c r="B38" s="54">
        <v>4</v>
      </c>
      <c r="C38" s="55">
        <v>33000</v>
      </c>
      <c r="D38" s="55"/>
      <c r="E38" s="55">
        <v>16000</v>
      </c>
      <c r="F38" s="55"/>
      <c r="G38" s="55">
        <v>16000</v>
      </c>
      <c r="H38" s="55">
        <v>33000</v>
      </c>
      <c r="I38" s="31">
        <f t="shared" si="1"/>
        <v>98000</v>
      </c>
    </row>
    <row r="39" spans="1:32" s="4" customFormat="1" ht="20.45" customHeight="1" x14ac:dyDescent="0.35">
      <c r="A39" s="49"/>
      <c r="B39" s="50"/>
      <c r="C39" s="168"/>
      <c r="D39" s="169"/>
      <c r="E39" s="170"/>
      <c r="F39" s="51"/>
      <c r="G39" s="169"/>
      <c r="H39" s="169"/>
      <c r="I39" s="15">
        <f t="shared" si="1"/>
        <v>0</v>
      </c>
    </row>
    <row r="40" spans="1:32" s="4" customFormat="1" ht="19.149999999999999" customHeight="1" x14ac:dyDescent="0.35">
      <c r="A40" s="56" t="s">
        <v>16</v>
      </c>
      <c r="B40" s="57"/>
      <c r="C40" s="58">
        <f>(C12+C24+C26+C34+C37)/15000</f>
        <v>19.066666666666666</v>
      </c>
      <c r="D40" s="58">
        <f>(D12+D24+D26+D34+D37)/15000</f>
        <v>38.6</v>
      </c>
      <c r="E40" s="58">
        <f>(E12+E24+E26+E34+E37)/15000</f>
        <v>29.666666666666668</v>
      </c>
      <c r="F40" s="58">
        <f>(F12+F24+F26+F34+F37)/15000</f>
        <v>36.799999999999997</v>
      </c>
      <c r="G40" s="58"/>
      <c r="H40" s="58"/>
      <c r="I40" s="59"/>
    </row>
    <row r="41" spans="1:32" s="4" customFormat="1" ht="20.45" hidden="1" customHeight="1" x14ac:dyDescent="0.35">
      <c r="A41" s="146" t="s">
        <v>90</v>
      </c>
      <c r="B41" s="147" t="s">
        <v>83</v>
      </c>
      <c r="C41" s="61"/>
      <c r="D41" s="61"/>
      <c r="E41" s="61"/>
      <c r="F41" s="61"/>
      <c r="G41" s="61"/>
      <c r="H41" s="61"/>
      <c r="I41" s="62">
        <f t="shared" ref="I41:I68" si="2">SUM(C41:H41)</f>
        <v>0</v>
      </c>
    </row>
    <row r="42" spans="1:32" s="4" customFormat="1" ht="20.45" customHeight="1" x14ac:dyDescent="0.35">
      <c r="A42" s="146" t="s">
        <v>91</v>
      </c>
      <c r="B42" s="147" t="s">
        <v>83</v>
      </c>
      <c r="C42" s="145"/>
      <c r="D42" s="145"/>
      <c r="E42" s="145"/>
      <c r="F42" s="145"/>
      <c r="G42" s="145"/>
      <c r="H42" s="145">
        <v>10000</v>
      </c>
      <c r="I42" s="62">
        <f t="shared" si="2"/>
        <v>10000</v>
      </c>
    </row>
    <row r="43" spans="1:32" s="4" customFormat="1" ht="20.45" customHeight="1" x14ac:dyDescent="0.35">
      <c r="A43" s="146" t="s">
        <v>96</v>
      </c>
      <c r="B43" s="147" t="s">
        <v>83</v>
      </c>
      <c r="C43" s="145"/>
      <c r="D43" s="145"/>
      <c r="E43" s="145">
        <v>16000</v>
      </c>
      <c r="F43" s="145"/>
      <c r="G43" s="145"/>
      <c r="H43" s="145">
        <v>16000</v>
      </c>
      <c r="I43" s="62">
        <f t="shared" si="2"/>
        <v>32000</v>
      </c>
    </row>
    <row r="44" spans="1:32" s="4" customFormat="1" ht="21" hidden="1" customHeight="1" x14ac:dyDescent="0.35">
      <c r="A44" s="17" t="s">
        <v>110</v>
      </c>
      <c r="B44" s="60">
        <v>4</v>
      </c>
      <c r="C44" s="145"/>
      <c r="D44" s="145"/>
      <c r="E44" s="145"/>
      <c r="F44" s="145"/>
      <c r="G44" s="145"/>
      <c r="H44" s="145"/>
      <c r="I44" s="62">
        <f t="shared" si="2"/>
        <v>0</v>
      </c>
    </row>
    <row r="45" spans="1:32" s="4" customFormat="1" ht="23.25" customHeight="1" x14ac:dyDescent="0.35">
      <c r="A45" s="65">
        <v>502</v>
      </c>
      <c r="B45" s="154" t="s">
        <v>19</v>
      </c>
      <c r="C45" s="64"/>
      <c r="D45" s="64"/>
      <c r="E45" s="64">
        <v>14000</v>
      </c>
      <c r="F45" s="64"/>
      <c r="G45" s="64"/>
      <c r="H45" s="64">
        <v>14000</v>
      </c>
      <c r="I45" s="62">
        <f t="shared" si="2"/>
        <v>28000</v>
      </c>
    </row>
    <row r="46" spans="1:32" s="4" customFormat="1" ht="23.25" hidden="1" customHeight="1" x14ac:dyDescent="0.35">
      <c r="A46" s="67" t="s">
        <v>59</v>
      </c>
      <c r="B46" s="68">
        <v>2.5</v>
      </c>
      <c r="C46" s="64"/>
      <c r="D46" s="69"/>
      <c r="E46" s="64"/>
      <c r="F46" s="64"/>
      <c r="G46" s="64"/>
      <c r="H46" s="64"/>
      <c r="I46" s="62">
        <f t="shared" si="2"/>
        <v>0</v>
      </c>
    </row>
    <row r="47" spans="1:32" s="4" customFormat="1" ht="20.25" customHeight="1" x14ac:dyDescent="0.35">
      <c r="A47" s="67" t="s">
        <v>59</v>
      </c>
      <c r="B47" s="68">
        <v>2.5</v>
      </c>
      <c r="C47" s="64"/>
      <c r="D47" s="64"/>
      <c r="E47" s="64"/>
      <c r="F47" s="64"/>
      <c r="G47" s="64"/>
      <c r="H47" s="64"/>
      <c r="I47" s="62">
        <f t="shared" si="2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2" s="4" customFormat="1" ht="20.25" hidden="1" customHeight="1" x14ac:dyDescent="0.35">
      <c r="A48" s="67" t="s">
        <v>20</v>
      </c>
      <c r="B48" s="68">
        <v>2.5</v>
      </c>
      <c r="C48" s="64"/>
      <c r="D48" s="64"/>
      <c r="E48" s="64"/>
      <c r="F48" s="64"/>
      <c r="G48" s="64"/>
      <c r="H48" s="64"/>
      <c r="I48" s="62">
        <f t="shared" si="2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t="20.25" customHeight="1" x14ac:dyDescent="0.35">
      <c r="A49" s="67" t="s">
        <v>21</v>
      </c>
      <c r="B49" s="68">
        <v>4</v>
      </c>
      <c r="C49" s="64"/>
      <c r="D49" s="64"/>
      <c r="E49" s="64"/>
      <c r="F49" s="64"/>
      <c r="G49" s="64"/>
      <c r="H49" s="64"/>
      <c r="I49" s="62">
        <f t="shared" si="2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4" customFormat="1" ht="20.25" customHeight="1" x14ac:dyDescent="0.35">
      <c r="A50" s="67" t="s">
        <v>121</v>
      </c>
      <c r="B50" s="68">
        <v>2.5</v>
      </c>
      <c r="C50" s="64"/>
      <c r="D50" s="64"/>
      <c r="E50" s="72"/>
      <c r="F50" s="64">
        <v>4000</v>
      </c>
      <c r="G50" s="64"/>
      <c r="H50" s="64"/>
      <c r="I50" s="62">
        <f t="shared" si="2"/>
        <v>4000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4" customFormat="1" ht="20.25" customHeight="1" x14ac:dyDescent="0.35">
      <c r="A51" s="67" t="s">
        <v>75</v>
      </c>
      <c r="B51" s="68">
        <v>2.5</v>
      </c>
      <c r="C51" s="64"/>
      <c r="D51" s="64"/>
      <c r="E51" s="72">
        <v>7000</v>
      </c>
      <c r="F51" s="72"/>
      <c r="G51" s="64"/>
      <c r="H51" s="64"/>
      <c r="I51" s="6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4" customFormat="1" ht="20.25" customHeight="1" x14ac:dyDescent="0.35">
      <c r="A52" s="70" t="s">
        <v>23</v>
      </c>
      <c r="B52" s="71">
        <v>2.5</v>
      </c>
      <c r="C52" s="74"/>
      <c r="D52" s="74"/>
      <c r="E52" s="72">
        <v>14000</v>
      </c>
      <c r="F52" s="72"/>
      <c r="G52" s="72"/>
      <c r="H52" s="72">
        <v>14000</v>
      </c>
      <c r="I52" s="62">
        <f t="shared" si="2"/>
        <v>28000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78" customFormat="1" ht="20.25" customHeight="1" x14ac:dyDescent="0.35">
      <c r="A53" s="17" t="s">
        <v>24</v>
      </c>
      <c r="B53" s="71">
        <v>2.8</v>
      </c>
      <c r="C53" s="152"/>
      <c r="D53" s="174"/>
      <c r="E53" s="75"/>
      <c r="F53" s="75"/>
      <c r="G53" s="75"/>
      <c r="H53" s="75"/>
      <c r="I53" s="62">
        <f t="shared" si="2"/>
        <v>0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4" customFormat="1" ht="18.75" customHeight="1" x14ac:dyDescent="0.35">
      <c r="A54" s="70" t="s">
        <v>25</v>
      </c>
      <c r="B54" s="71">
        <v>2.8</v>
      </c>
      <c r="C54" s="64"/>
      <c r="D54" s="80"/>
      <c r="E54" s="72"/>
      <c r="F54" s="72"/>
      <c r="G54" s="72"/>
      <c r="H54" s="72">
        <v>14000</v>
      </c>
      <c r="I54" s="62">
        <f t="shared" si="2"/>
        <v>14000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18.75" hidden="1" customHeight="1" x14ac:dyDescent="0.35">
      <c r="A55" s="17" t="s">
        <v>112</v>
      </c>
      <c r="B55" s="71">
        <v>2.8</v>
      </c>
      <c r="C55" s="72"/>
      <c r="D55" s="80"/>
      <c r="E55" s="64"/>
      <c r="F55" s="64"/>
      <c r="G55" s="64"/>
      <c r="H55" s="64"/>
      <c r="I55" s="62">
        <f t="shared" si="2"/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19.5" customHeight="1" x14ac:dyDescent="0.35">
      <c r="A56" s="70" t="s">
        <v>26</v>
      </c>
      <c r="B56" s="71">
        <v>2.8</v>
      </c>
      <c r="C56" s="165"/>
      <c r="D56" s="155"/>
      <c r="E56" s="145"/>
      <c r="F56" s="145"/>
      <c r="G56" s="145"/>
      <c r="H56" s="145"/>
      <c r="I56" s="62">
        <f t="shared" si="2"/>
        <v>0</v>
      </c>
      <c r="J56" s="84"/>
      <c r="K56" s="1" t="s">
        <v>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18.75" customHeight="1" x14ac:dyDescent="0.35">
      <c r="A57" s="70" t="s">
        <v>53</v>
      </c>
      <c r="B57" s="71">
        <v>2.8</v>
      </c>
      <c r="C57" s="145"/>
      <c r="D57" s="155"/>
      <c r="E57" s="72">
        <v>14000</v>
      </c>
      <c r="F57" s="145"/>
      <c r="G57" s="145"/>
      <c r="H57" s="145"/>
      <c r="I57" s="62">
        <f t="shared" si="2"/>
        <v>14000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18.75" hidden="1" customHeight="1" x14ac:dyDescent="0.35">
      <c r="A58" s="162" t="s">
        <v>93</v>
      </c>
      <c r="B58" s="71">
        <v>2.8</v>
      </c>
      <c r="C58" s="145"/>
      <c r="D58" s="140"/>
      <c r="E58" s="83"/>
      <c r="F58" s="145"/>
      <c r="G58" s="145"/>
      <c r="H58" s="83"/>
      <c r="I58" s="163">
        <f t="shared" si="2"/>
        <v>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18.75" hidden="1" customHeight="1" x14ac:dyDescent="0.35">
      <c r="A59" s="17" t="s">
        <v>92</v>
      </c>
      <c r="B59" s="71"/>
      <c r="C59" s="145"/>
      <c r="D59" s="82"/>
      <c r="E59" s="64"/>
      <c r="F59" s="145"/>
      <c r="G59" s="72"/>
      <c r="H59" s="64"/>
      <c r="I59" s="62">
        <f t="shared" si="2"/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18.75" customHeight="1" x14ac:dyDescent="0.35">
      <c r="A60" s="85">
        <v>552</v>
      </c>
      <c r="B60" s="63">
        <v>4</v>
      </c>
      <c r="C60" s="145"/>
      <c r="D60" s="155"/>
      <c r="E60" s="145">
        <v>16000</v>
      </c>
      <c r="F60" s="145"/>
      <c r="G60" s="72"/>
      <c r="H60" s="145"/>
      <c r="I60" s="62">
        <f t="shared" si="2"/>
        <v>16000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1" customFormat="1" ht="23.25" hidden="1" customHeight="1" x14ac:dyDescent="0.3">
      <c r="A61" s="70">
        <v>553</v>
      </c>
      <c r="B61" s="71">
        <v>2.8</v>
      </c>
      <c r="C61" s="64"/>
      <c r="D61" s="80"/>
      <c r="E61" s="83"/>
      <c r="F61" s="64"/>
      <c r="G61" s="64"/>
      <c r="H61" s="64"/>
      <c r="I61" s="62">
        <f t="shared" si="2"/>
        <v>0</v>
      </c>
    </row>
    <row r="62" spans="1:27" s="1" customFormat="1" ht="21" customHeight="1" x14ac:dyDescent="0.3">
      <c r="A62" s="70" t="s">
        <v>29</v>
      </c>
      <c r="B62" s="71">
        <v>4</v>
      </c>
      <c r="C62" s="72"/>
      <c r="D62" s="155"/>
      <c r="E62" s="72">
        <v>21000</v>
      </c>
      <c r="F62" s="145"/>
      <c r="G62" s="145"/>
      <c r="H62" s="145"/>
      <c r="I62" s="62">
        <f t="shared" si="2"/>
        <v>21000</v>
      </c>
      <c r="L62" s="87"/>
      <c r="M62" s="87"/>
      <c r="N62" s="87"/>
      <c r="O62" s="87"/>
      <c r="P62" s="87"/>
      <c r="Q62" s="87"/>
      <c r="R62" s="87"/>
      <c r="S62" s="3"/>
      <c r="T62" s="3"/>
      <c r="U62" s="3"/>
      <c r="V62" s="3"/>
      <c r="W62" s="3"/>
      <c r="X62" s="3"/>
      <c r="Y62" s="3"/>
      <c r="Z62" s="3"/>
      <c r="AA62" s="3"/>
    </row>
    <row r="63" spans="1:27" s="1" customFormat="1" ht="21" hidden="1" customHeight="1" x14ac:dyDescent="0.3">
      <c r="A63" s="17" t="s">
        <v>30</v>
      </c>
      <c r="B63" s="71">
        <v>4</v>
      </c>
      <c r="C63" s="64"/>
      <c r="D63" s="82"/>
      <c r="E63" s="64"/>
      <c r="F63" s="64"/>
      <c r="G63" s="64"/>
      <c r="H63" s="64"/>
      <c r="I63" s="62">
        <f t="shared" si="2"/>
        <v>0</v>
      </c>
      <c r="L63" s="87"/>
      <c r="M63" s="87"/>
      <c r="N63" s="87"/>
      <c r="O63" s="87"/>
      <c r="P63" s="87"/>
      <c r="Q63" s="87"/>
      <c r="R63" s="87"/>
      <c r="S63" s="3"/>
      <c r="T63" s="3"/>
      <c r="U63" s="3"/>
      <c r="V63" s="3"/>
      <c r="W63" s="3"/>
      <c r="X63" s="3"/>
      <c r="Y63" s="3"/>
      <c r="Z63" s="3"/>
      <c r="AA63" s="3"/>
    </row>
    <row r="64" spans="1:27" s="1" customFormat="1" ht="21" customHeight="1" x14ac:dyDescent="0.3">
      <c r="A64" s="70" t="s">
        <v>31</v>
      </c>
      <c r="B64" s="71"/>
      <c r="C64" s="72"/>
      <c r="D64" s="140"/>
      <c r="E64" s="64"/>
      <c r="F64" s="145"/>
      <c r="G64" s="145"/>
      <c r="H64" s="145"/>
      <c r="I64" s="62">
        <f t="shared" si="2"/>
        <v>0</v>
      </c>
      <c r="L64" s="87"/>
      <c r="M64" s="87"/>
      <c r="N64" s="87"/>
      <c r="O64" s="87"/>
      <c r="P64" s="87"/>
      <c r="Q64" s="87"/>
      <c r="R64" s="87"/>
      <c r="S64" s="3"/>
      <c r="T64" s="3"/>
      <c r="U64" s="3"/>
      <c r="V64" s="3"/>
      <c r="W64" s="3"/>
      <c r="X64" s="3"/>
      <c r="Y64" s="3"/>
      <c r="Z64" s="3"/>
      <c r="AA64" s="3"/>
    </row>
    <row r="65" spans="1:27" ht="18.75" x14ac:dyDescent="0.3">
      <c r="A65" s="70" t="s">
        <v>35</v>
      </c>
      <c r="B65" s="71">
        <v>4</v>
      </c>
      <c r="C65" s="72"/>
      <c r="D65" s="64"/>
      <c r="E65" s="64"/>
      <c r="F65" s="145"/>
      <c r="G65" s="145"/>
      <c r="H65" s="72"/>
      <c r="I65" s="62">
        <f t="shared" si="2"/>
        <v>0</v>
      </c>
      <c r="L65" s="87"/>
      <c r="M65" s="87"/>
      <c r="N65" s="87"/>
      <c r="O65" s="87"/>
      <c r="P65" s="87"/>
      <c r="Q65" s="87"/>
      <c r="R65" s="87"/>
    </row>
    <row r="66" spans="1:27" ht="18.75" customHeight="1" x14ac:dyDescent="0.3">
      <c r="A66" s="70" t="s">
        <v>32</v>
      </c>
      <c r="B66" s="71">
        <v>4</v>
      </c>
      <c r="C66" s="145"/>
      <c r="D66" s="145"/>
      <c r="E66" s="145"/>
      <c r="F66" s="145"/>
      <c r="G66" s="145"/>
      <c r="H66" s="145"/>
      <c r="I66" s="62">
        <f t="shared" si="2"/>
        <v>0</v>
      </c>
      <c r="L66" s="87"/>
      <c r="M66" s="87"/>
      <c r="N66" s="87"/>
      <c r="O66" s="87"/>
      <c r="P66" s="87"/>
      <c r="Q66" s="87"/>
      <c r="R66" s="87"/>
    </row>
    <row r="67" spans="1:27" ht="23.25" customHeight="1" x14ac:dyDescent="0.3">
      <c r="A67" s="162" t="s">
        <v>70</v>
      </c>
      <c r="B67" s="71">
        <v>4</v>
      </c>
      <c r="C67" s="64"/>
      <c r="D67" s="83"/>
      <c r="E67" s="64"/>
      <c r="F67" s="64">
        <v>8000</v>
      </c>
      <c r="G67" s="145"/>
      <c r="H67" s="64"/>
      <c r="I67" s="62">
        <f t="shared" si="2"/>
        <v>8000</v>
      </c>
      <c r="L67" s="87"/>
      <c r="M67" s="87"/>
      <c r="N67" s="87"/>
      <c r="O67" s="87"/>
      <c r="P67" s="87"/>
      <c r="Q67" s="87"/>
      <c r="R67" s="87"/>
    </row>
    <row r="68" spans="1:27" ht="18.75" customHeight="1" x14ac:dyDescent="0.3">
      <c r="A68" s="176" t="s">
        <v>71</v>
      </c>
      <c r="B68" s="71">
        <v>4</v>
      </c>
      <c r="C68" s="83"/>
      <c r="D68" s="83"/>
      <c r="E68" s="83"/>
      <c r="F68" s="64">
        <v>4000</v>
      </c>
      <c r="G68" s="145"/>
      <c r="H68" s="145"/>
      <c r="I68" s="62">
        <f t="shared" si="2"/>
        <v>4000</v>
      </c>
      <c r="L68" s="87"/>
      <c r="M68" s="87"/>
      <c r="N68" s="87"/>
      <c r="O68" s="87"/>
      <c r="P68" s="87"/>
      <c r="Q68" s="87"/>
      <c r="R68" s="87"/>
    </row>
    <row r="69" spans="1:27" s="4" customFormat="1" ht="19.149999999999999" customHeight="1" x14ac:dyDescent="0.35">
      <c r="A69" s="88" t="s">
        <v>36</v>
      </c>
      <c r="B69" s="89"/>
      <c r="C69" s="173">
        <v>3</v>
      </c>
      <c r="D69" s="90">
        <v>5</v>
      </c>
      <c r="E69" s="91">
        <v>3</v>
      </c>
      <c r="F69" s="90">
        <v>4</v>
      </c>
      <c r="G69" s="90"/>
      <c r="H69" s="90"/>
      <c r="I69" s="92"/>
    </row>
    <row r="70" spans="1:27" ht="24.75" customHeight="1" x14ac:dyDescent="0.25">
      <c r="A70" s="93" t="s">
        <v>37</v>
      </c>
      <c r="B70" s="94"/>
      <c r="C70" s="95">
        <f>C69+C40</f>
        <v>22.066666666666666</v>
      </c>
      <c r="D70" s="95">
        <f>D69+D40</f>
        <v>43.6</v>
      </c>
      <c r="E70" s="95">
        <f>E69+E40</f>
        <v>32.666666666666671</v>
      </c>
      <c r="F70" s="95">
        <f>F69+F40</f>
        <v>40.799999999999997</v>
      </c>
      <c r="G70" s="95"/>
      <c r="H70" s="95"/>
      <c r="I70" s="96"/>
      <c r="L70" s="87"/>
      <c r="M70" s="87"/>
      <c r="N70" s="87"/>
      <c r="O70" s="87"/>
      <c r="P70" s="87"/>
      <c r="Q70" s="87"/>
      <c r="R70" s="87"/>
    </row>
    <row r="71" spans="1:27" s="1" customFormat="1" ht="25.5" x14ac:dyDescent="0.35">
      <c r="A71" s="97"/>
      <c r="B71" s="98"/>
      <c r="C71" s="100"/>
      <c r="D71" s="33"/>
      <c r="E71" s="4"/>
      <c r="F71" s="4"/>
      <c r="G71" s="4"/>
      <c r="H71" s="4"/>
      <c r="I71" s="3"/>
      <c r="L71" s="87"/>
      <c r="M71" s="87"/>
      <c r="N71" s="87"/>
      <c r="O71" s="87"/>
      <c r="P71" s="87"/>
      <c r="Q71" s="87"/>
      <c r="R71" s="87"/>
      <c r="S71" s="3"/>
      <c r="T71" s="3"/>
      <c r="U71" s="3"/>
      <c r="V71" s="3"/>
      <c r="W71" s="3"/>
      <c r="X71" s="3"/>
      <c r="Y71" s="3"/>
      <c r="Z71" s="3"/>
      <c r="AA71" s="3"/>
    </row>
    <row r="72" spans="1:27" ht="25.5" x14ac:dyDescent="0.35">
      <c r="A72" s="101"/>
      <c r="B72" s="102"/>
      <c r="C72" s="104"/>
      <c r="E72" s="4"/>
      <c r="F72" s="4"/>
      <c r="G72" s="4"/>
      <c r="H72" s="4"/>
      <c r="J72" s="87"/>
      <c r="K72" s="87"/>
      <c r="L72" s="106"/>
      <c r="M72" s="106"/>
      <c r="N72" s="106"/>
      <c r="O72" s="106"/>
      <c r="P72" s="106"/>
      <c r="Q72" s="106"/>
      <c r="R72" s="106"/>
    </row>
    <row r="73" spans="1:27" ht="20.25" x14ac:dyDescent="0.25">
      <c r="A73" s="107"/>
      <c r="B73" s="108"/>
      <c r="C73" s="107"/>
      <c r="D73" s="105"/>
      <c r="E73" s="109"/>
      <c r="F73" s="110"/>
      <c r="G73" s="110"/>
      <c r="H73" s="110"/>
      <c r="I73" s="1"/>
      <c r="J73" s="87"/>
      <c r="K73" s="87"/>
      <c r="L73" s="111"/>
      <c r="M73" s="111"/>
      <c r="N73" s="111"/>
      <c r="O73" s="111"/>
      <c r="P73" s="111"/>
      <c r="Q73" s="111"/>
      <c r="R73" s="111"/>
    </row>
    <row r="74" spans="1:27" x14ac:dyDescent="0.25">
      <c r="A74" s="112"/>
      <c r="B74" s="113"/>
      <c r="C74" s="112"/>
      <c r="D74" s="112"/>
      <c r="E74" s="112"/>
      <c r="F74" s="87"/>
      <c r="G74" s="87"/>
      <c r="H74" s="87"/>
      <c r="I74" s="87"/>
      <c r="J74" s="87"/>
      <c r="K74" s="87"/>
      <c r="L74" s="114"/>
      <c r="M74" s="114"/>
      <c r="N74" s="114"/>
      <c r="O74" s="114"/>
      <c r="P74" s="114"/>
      <c r="Q74" s="114"/>
      <c r="R74" s="114"/>
    </row>
    <row r="75" spans="1:27" x14ac:dyDescent="0.25">
      <c r="A75" s="112"/>
      <c r="B75" s="113"/>
      <c r="C75" s="112"/>
      <c r="D75" s="112"/>
      <c r="E75" s="112"/>
      <c r="F75" s="87"/>
      <c r="G75" s="87"/>
      <c r="H75" s="87"/>
      <c r="I75" s="87"/>
      <c r="J75" s="87"/>
      <c r="K75" s="87"/>
      <c r="L75" s="114"/>
      <c r="M75" s="114"/>
      <c r="N75" s="114"/>
      <c r="O75" s="114"/>
      <c r="P75" s="114"/>
      <c r="Q75" s="114"/>
      <c r="R75" s="114"/>
    </row>
    <row r="76" spans="1:27" x14ac:dyDescent="0.25">
      <c r="A76" s="112"/>
      <c r="B76" s="113"/>
      <c r="C76" s="112"/>
      <c r="D76" s="112"/>
      <c r="E76" s="112"/>
      <c r="F76" s="87"/>
      <c r="G76" s="87"/>
      <c r="H76" s="87"/>
      <c r="I76" s="87"/>
      <c r="J76" s="87"/>
      <c r="K76" s="87"/>
      <c r="L76" s="110"/>
      <c r="M76" s="110"/>
      <c r="N76" s="110"/>
      <c r="O76" s="110"/>
      <c r="P76" s="110"/>
      <c r="Q76" s="110"/>
      <c r="R76" s="110"/>
    </row>
    <row r="77" spans="1:27" x14ac:dyDescent="0.25"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</row>
    <row r="78" spans="1:27" ht="25.5" x14ac:dyDescent="0.35">
      <c r="A78" s="1"/>
      <c r="B78" s="2"/>
      <c r="C78" s="1"/>
      <c r="D78" s="1"/>
      <c r="E78" s="1"/>
      <c r="F78" s="87"/>
      <c r="G78" s="87"/>
      <c r="H78" s="87"/>
      <c r="I78" s="87"/>
      <c r="J78" s="106"/>
      <c r="K78" s="106"/>
      <c r="L78" s="110"/>
      <c r="M78" s="110"/>
      <c r="N78" s="110"/>
      <c r="O78" s="110"/>
      <c r="P78" s="110"/>
      <c r="Q78" s="110"/>
      <c r="R78" s="110"/>
    </row>
    <row r="79" spans="1:27" x14ac:dyDescent="0.25">
      <c r="A79" s="1"/>
      <c r="B79" s="2"/>
      <c r="C79" s="1"/>
      <c r="D79" s="1"/>
      <c r="E79" s="1"/>
      <c r="F79" s="87"/>
      <c r="G79" s="87"/>
      <c r="H79" s="87"/>
      <c r="I79" s="87"/>
      <c r="J79" s="111"/>
      <c r="K79" s="111"/>
      <c r="L79" s="110"/>
      <c r="M79" s="110"/>
      <c r="N79" s="110"/>
      <c r="O79" s="110"/>
      <c r="P79" s="110"/>
      <c r="Q79" s="110"/>
      <c r="R79" s="110"/>
    </row>
    <row r="80" spans="1:27" ht="25.5" x14ac:dyDescent="0.35">
      <c r="A80" s="181"/>
      <c r="B80" s="181"/>
      <c r="C80" s="181"/>
      <c r="D80" s="181"/>
      <c r="E80" s="181"/>
      <c r="F80" s="106"/>
      <c r="G80" s="106"/>
      <c r="H80" s="106"/>
      <c r="I80" s="106"/>
      <c r="J80" s="114"/>
      <c r="K80" s="114"/>
      <c r="L80" s="87"/>
      <c r="M80" s="87"/>
      <c r="N80" s="87"/>
      <c r="O80" s="87"/>
      <c r="P80" s="87"/>
      <c r="Q80" s="87"/>
      <c r="R80" s="87"/>
    </row>
    <row r="81" spans="1:18" x14ac:dyDescent="0.25">
      <c r="A81" s="111"/>
      <c r="B81" s="113"/>
      <c r="C81" s="111"/>
      <c r="D81" s="111"/>
      <c r="E81" s="111"/>
      <c r="F81" s="111"/>
      <c r="G81" s="111"/>
      <c r="H81" s="111"/>
      <c r="I81" s="111"/>
      <c r="J81" s="114"/>
      <c r="K81" s="114"/>
      <c r="L81" s="87"/>
      <c r="M81" s="87"/>
      <c r="N81" s="87"/>
      <c r="O81" s="87"/>
      <c r="P81" s="87"/>
      <c r="Q81" s="87"/>
      <c r="R81" s="87"/>
    </row>
    <row r="82" spans="1:18" x14ac:dyDescent="0.25">
      <c r="A82" s="182"/>
      <c r="B82" s="116"/>
      <c r="C82" s="114"/>
      <c r="D82" s="114"/>
      <c r="E82" s="114"/>
      <c r="F82" s="114"/>
      <c r="G82" s="114"/>
      <c r="H82" s="114"/>
      <c r="I82" s="114"/>
      <c r="J82" s="110"/>
      <c r="K82" s="110"/>
      <c r="L82" s="87"/>
      <c r="M82" s="87"/>
      <c r="N82" s="87"/>
      <c r="O82" s="87"/>
      <c r="P82" s="87"/>
      <c r="Q82" s="87"/>
      <c r="R82" s="87"/>
    </row>
    <row r="83" spans="1:18" x14ac:dyDescent="0.25">
      <c r="A83" s="182"/>
      <c r="B83" s="116"/>
      <c r="C83" s="114"/>
      <c r="D83" s="114"/>
      <c r="E83" s="114"/>
      <c r="F83" s="114"/>
      <c r="G83" s="114"/>
      <c r="H83" s="114"/>
      <c r="I83" s="114"/>
      <c r="J83" s="87"/>
      <c r="K83" s="87"/>
    </row>
    <row r="84" spans="1:18" x14ac:dyDescent="0.25">
      <c r="A84" s="112"/>
      <c r="B84" s="113"/>
      <c r="C84" s="112"/>
      <c r="D84" s="112"/>
      <c r="E84" s="112"/>
      <c r="F84" s="110"/>
      <c r="G84" s="110"/>
      <c r="H84" s="110"/>
      <c r="I84" s="110"/>
      <c r="J84" s="110"/>
      <c r="K84" s="110"/>
    </row>
    <row r="85" spans="1:18" x14ac:dyDescent="0.25">
      <c r="A85" s="112"/>
      <c r="B85" s="113"/>
      <c r="C85" s="112"/>
      <c r="D85" s="112"/>
      <c r="E85" s="112"/>
      <c r="F85" s="87"/>
      <c r="G85" s="87"/>
      <c r="H85" s="87"/>
      <c r="I85" s="87"/>
      <c r="J85" s="110"/>
      <c r="K85" s="110"/>
    </row>
    <row r="86" spans="1:18" x14ac:dyDescent="0.25">
      <c r="A86" s="112"/>
      <c r="B86" s="113"/>
      <c r="C86" s="112"/>
      <c r="D86" s="112"/>
      <c r="E86" s="112"/>
      <c r="F86" s="110"/>
      <c r="G86" s="110"/>
      <c r="H86" s="110"/>
      <c r="I86" s="110"/>
      <c r="J86" s="87"/>
      <c r="K86" s="87"/>
    </row>
    <row r="87" spans="1:18" x14ac:dyDescent="0.25">
      <c r="A87" s="112"/>
      <c r="B87" s="113"/>
      <c r="C87" s="112"/>
      <c r="D87" s="112"/>
      <c r="E87" s="112"/>
      <c r="F87" s="110"/>
      <c r="G87" s="110"/>
      <c r="H87" s="110"/>
      <c r="I87" s="110"/>
      <c r="J87" s="87"/>
      <c r="K87" s="87"/>
    </row>
    <row r="88" spans="1:18" x14ac:dyDescent="0.25">
      <c r="A88" s="112"/>
      <c r="B88" s="113"/>
      <c r="C88" s="112"/>
      <c r="D88" s="112"/>
      <c r="E88" s="112"/>
      <c r="F88" s="87"/>
      <c r="G88" s="87"/>
      <c r="H88" s="87"/>
      <c r="I88" s="87"/>
      <c r="J88" s="87"/>
      <c r="K88" s="87"/>
    </row>
    <row r="89" spans="1:18" x14ac:dyDescent="0.25">
      <c r="A89" s="112"/>
      <c r="B89" s="113"/>
      <c r="C89" s="112"/>
      <c r="D89" s="112"/>
      <c r="E89" s="112"/>
      <c r="F89" s="87"/>
      <c r="G89" s="87"/>
      <c r="H89" s="87"/>
      <c r="I89" s="87"/>
    </row>
    <row r="90" spans="1:18" x14ac:dyDescent="0.25">
      <c r="A90" s="1"/>
      <c r="B90" s="2"/>
      <c r="C90" s="1"/>
      <c r="D90" s="1"/>
      <c r="E90" s="1"/>
      <c r="F90" s="87"/>
      <c r="G90" s="87"/>
      <c r="H90" s="87"/>
      <c r="I90" s="87"/>
    </row>
  </sheetData>
  <mergeCells count="6">
    <mergeCell ref="A82:A83"/>
    <mergeCell ref="A2:I2"/>
    <mergeCell ref="A3:R3"/>
    <mergeCell ref="A4:R4"/>
    <mergeCell ref="M28:N29"/>
    <mergeCell ref="A80:E8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22b212-d16b-4e6f-ba84-752ae31d199c}" enabled="0" method="" siteId="{0722b212-d16b-4e6f-ba84-752ae31d19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29-03-01-2026</vt:lpstr>
      <vt:lpstr>05-10-01-2026</vt:lpstr>
      <vt:lpstr>12-17-01-2026</vt:lpstr>
      <vt:lpstr>19-24-01-2026</vt:lpstr>
      <vt:lpstr>25-31-01-2026</vt:lpstr>
      <vt:lpstr>01-07-02-2026 </vt:lpstr>
      <vt:lpstr>08-15-01-2026</vt:lpstr>
      <vt:lpstr>20-21-02-2026  </vt:lpstr>
      <vt:lpstr>23-28-02-2026 </vt:lpstr>
      <vt:lpstr>02-07-03-2026</vt:lpstr>
      <vt:lpstr>09-14-02-2026</vt:lpstr>
      <vt:lpstr>16-21-03-2026</vt:lpstr>
      <vt:lpstr>23-28-03-2026</vt:lpstr>
      <vt:lpstr>30-04-04-2026</vt:lpstr>
      <vt:lpstr>06-11-04-2026 </vt:lpstr>
      <vt:lpstr>13-18-04-2026</vt:lpstr>
      <vt:lpstr>20-25-04-2026 </vt:lpstr>
      <vt:lpstr>27-03-05-2026 </vt:lpstr>
      <vt:lpstr>04-09-05-2026</vt:lpstr>
      <vt:lpstr>11-16-05-2026</vt:lpstr>
      <vt:lpstr>18-23-05-2026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Tuan</dc:creator>
  <cp:lastModifiedBy>Le Anh Tuan</cp:lastModifiedBy>
  <dcterms:created xsi:type="dcterms:W3CDTF">2025-12-26T01:09:53Z</dcterms:created>
  <dcterms:modified xsi:type="dcterms:W3CDTF">2026-05-15T04:20:23Z</dcterms:modified>
</cp:coreProperties>
</file>