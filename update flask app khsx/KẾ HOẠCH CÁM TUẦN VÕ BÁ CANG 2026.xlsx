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cpvn-my.sharepoint.com/personal/anhtuancp_cp_com_vn/Documents/Desktop/"/>
    </mc:Choice>
  </mc:AlternateContent>
  <xr:revisionPtr revIDLastSave="1" documentId="13_ncr:1_{339DDB21-FAD0-4936-9EF5-B480992DFD05}" xr6:coauthVersionLast="47" xr6:coauthVersionMax="47" xr10:uidLastSave="{5BCEE631-B0D7-4A04-A2CF-23E1421334DE}"/>
  <bookViews>
    <workbookView xWindow="-120" yWindow="-120" windowWidth="20640" windowHeight="11040" activeTab="1" xr2:uid="{E27CDD7D-B4F0-485C-9DC3-4F14BDF1C1CA}"/>
  </bookViews>
  <sheets>
    <sheet name="TUẦN 19" sheetId="20" r:id="rId1"/>
    <sheet name="TUẦN 18" sheetId="19" r:id="rId2"/>
    <sheet name="TUẦN 17" sheetId="18" r:id="rId3"/>
    <sheet name="TUẦN 16" sheetId="17" r:id="rId4"/>
    <sheet name="TUẦN 15" sheetId="16" r:id="rId5"/>
    <sheet name="TUẦN 14" sheetId="15" r:id="rId6"/>
    <sheet name="TUẦN 13" sheetId="14" r:id="rId7"/>
    <sheet name="TUẦN 12" sheetId="13" r:id="rId8"/>
    <sheet name="TUẦN 11" sheetId="12" r:id="rId9"/>
    <sheet name="TUẦN 10" sheetId="11" r:id="rId10"/>
    <sheet name="TUẦN 09" sheetId="10" r:id="rId11"/>
    <sheet name="TUẦN 08" sheetId="9" r:id="rId12"/>
    <sheet name="TUẦN 07" sheetId="8" r:id="rId13"/>
    <sheet name="TUẦN 06" sheetId="7" r:id="rId14"/>
    <sheet name="TUẦN 05" sheetId="6" r:id="rId15"/>
    <sheet name="TUẦN 4" sheetId="5" r:id="rId16"/>
    <sheet name="TUẦN 3" sheetId="4" r:id="rId17"/>
    <sheet name="TUẦN 2" sheetId="3" r:id="rId18"/>
    <sheet name="TUẦN 1" sheetId="2" r:id="rId19"/>
    <sheet name="TUẦN 52@" sheetId="1" r:id="rId2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1" i="20" l="1"/>
  <c r="G19" i="20"/>
  <c r="F19" i="20"/>
  <c r="E19" i="20"/>
  <c r="D19" i="20"/>
  <c r="C19" i="20"/>
  <c r="B19" i="20"/>
  <c r="H18" i="20"/>
  <c r="I18" i="20" s="1"/>
  <c r="H17" i="20"/>
  <c r="I17" i="20" s="1"/>
  <c r="H16" i="20"/>
  <c r="I16" i="20" s="1"/>
  <c r="H15" i="20"/>
  <c r="I15" i="20" s="1"/>
  <c r="H14" i="20"/>
  <c r="I14" i="20" s="1"/>
  <c r="H13" i="20"/>
  <c r="I13" i="20" s="1"/>
  <c r="H12" i="20"/>
  <c r="I12" i="20" s="1"/>
  <c r="H11" i="20"/>
  <c r="I11" i="20" s="1"/>
  <c r="H10" i="20"/>
  <c r="I10" i="20" s="1"/>
  <c r="H9" i="20"/>
  <c r="I9" i="20" s="1"/>
  <c r="H8" i="20"/>
  <c r="D30" i="19"/>
  <c r="G19" i="19"/>
  <c r="F19" i="19"/>
  <c r="E19" i="19"/>
  <c r="D19" i="19"/>
  <c r="C19" i="19"/>
  <c r="B19" i="19"/>
  <c r="H18" i="19"/>
  <c r="I18" i="19" s="1"/>
  <c r="H17" i="19"/>
  <c r="I17" i="19" s="1"/>
  <c r="H16" i="19"/>
  <c r="I16" i="19" s="1"/>
  <c r="H15" i="19"/>
  <c r="I15" i="19" s="1"/>
  <c r="H14" i="19"/>
  <c r="I14" i="19" s="1"/>
  <c r="H13" i="19"/>
  <c r="I13" i="19" s="1"/>
  <c r="H12" i="19"/>
  <c r="I12" i="19" s="1"/>
  <c r="H11" i="19"/>
  <c r="I11" i="19" s="1"/>
  <c r="H10" i="19"/>
  <c r="I10" i="19" s="1"/>
  <c r="H9" i="19"/>
  <c r="I9" i="19" s="1"/>
  <c r="H8" i="19"/>
  <c r="D31" i="18"/>
  <c r="G19" i="18"/>
  <c r="F19" i="18"/>
  <c r="E19" i="18"/>
  <c r="D19" i="18"/>
  <c r="C19" i="18"/>
  <c r="B19" i="18"/>
  <c r="H18" i="18"/>
  <c r="I18" i="18" s="1"/>
  <c r="H17" i="18"/>
  <c r="I17" i="18" s="1"/>
  <c r="H16" i="18"/>
  <c r="I16" i="18" s="1"/>
  <c r="H15" i="18"/>
  <c r="I15" i="18" s="1"/>
  <c r="H14" i="18"/>
  <c r="I14" i="18" s="1"/>
  <c r="H13" i="18"/>
  <c r="I13" i="18" s="1"/>
  <c r="H12" i="18"/>
  <c r="I12" i="18" s="1"/>
  <c r="H11" i="18"/>
  <c r="I11" i="18" s="1"/>
  <c r="H10" i="18"/>
  <c r="I10" i="18" s="1"/>
  <c r="H9" i="18"/>
  <c r="I9" i="18" s="1"/>
  <c r="H8" i="18"/>
  <c r="I8" i="18" s="1"/>
  <c r="D29" i="17"/>
  <c r="G19" i="17"/>
  <c r="F19" i="17"/>
  <c r="E19" i="17"/>
  <c r="D19" i="17"/>
  <c r="C19" i="17"/>
  <c r="B19" i="17"/>
  <c r="H18" i="17"/>
  <c r="I18" i="17" s="1"/>
  <c r="H17" i="17"/>
  <c r="I17" i="17" s="1"/>
  <c r="H16" i="17"/>
  <c r="I16" i="17" s="1"/>
  <c r="H15" i="17"/>
  <c r="I15" i="17" s="1"/>
  <c r="H14" i="17"/>
  <c r="I14" i="17" s="1"/>
  <c r="H13" i="17"/>
  <c r="I13" i="17" s="1"/>
  <c r="H12" i="17"/>
  <c r="I12" i="17" s="1"/>
  <c r="H11" i="17"/>
  <c r="I11" i="17" s="1"/>
  <c r="H10" i="17"/>
  <c r="I10" i="17" s="1"/>
  <c r="H9" i="17"/>
  <c r="I9" i="17" s="1"/>
  <c r="H8" i="17"/>
  <c r="I8" i="17" s="1"/>
  <c r="H12" i="16"/>
  <c r="I12" i="16" s="1"/>
  <c r="D31" i="16"/>
  <c r="G19" i="16"/>
  <c r="F19" i="16"/>
  <c r="E19" i="16"/>
  <c r="D19" i="16"/>
  <c r="C19" i="16"/>
  <c r="B19" i="16"/>
  <c r="H18" i="16"/>
  <c r="I18" i="16" s="1"/>
  <c r="H17" i="16"/>
  <c r="I17" i="16" s="1"/>
  <c r="H16" i="16"/>
  <c r="I16" i="16" s="1"/>
  <c r="H15" i="16"/>
  <c r="I15" i="16" s="1"/>
  <c r="H14" i="16"/>
  <c r="I14" i="16" s="1"/>
  <c r="H13" i="16"/>
  <c r="I13" i="16" s="1"/>
  <c r="H11" i="16"/>
  <c r="I11" i="16" s="1"/>
  <c r="H10" i="16"/>
  <c r="I10" i="16" s="1"/>
  <c r="H9" i="16"/>
  <c r="I9" i="16" s="1"/>
  <c r="H8" i="16"/>
  <c r="I8" i="16" s="1"/>
  <c r="D32" i="15"/>
  <c r="G19" i="15"/>
  <c r="F19" i="15"/>
  <c r="E19" i="15"/>
  <c r="D19" i="15"/>
  <c r="C19" i="15"/>
  <c r="B19" i="15"/>
  <c r="H18" i="15"/>
  <c r="I18" i="15" s="1"/>
  <c r="H17" i="15"/>
  <c r="I17" i="15" s="1"/>
  <c r="H16" i="15"/>
  <c r="I16" i="15" s="1"/>
  <c r="H15" i="15"/>
  <c r="I15" i="15" s="1"/>
  <c r="H14" i="15"/>
  <c r="I14" i="15" s="1"/>
  <c r="H13" i="15"/>
  <c r="I13" i="15" s="1"/>
  <c r="H12" i="15"/>
  <c r="I12" i="15" s="1"/>
  <c r="H11" i="15"/>
  <c r="I11" i="15" s="1"/>
  <c r="H10" i="15"/>
  <c r="H9" i="15"/>
  <c r="I9" i="15" s="1"/>
  <c r="H8" i="15"/>
  <c r="I8" i="15" s="1"/>
  <c r="F19" i="14"/>
  <c r="D19" i="14"/>
  <c r="D33" i="14"/>
  <c r="G19" i="14"/>
  <c r="C19" i="14"/>
  <c r="H18" i="14"/>
  <c r="I18" i="14" s="1"/>
  <c r="H17" i="14"/>
  <c r="I17" i="14" s="1"/>
  <c r="H16" i="14"/>
  <c r="I16" i="14" s="1"/>
  <c r="H15" i="14"/>
  <c r="I15" i="14" s="1"/>
  <c r="H14" i="14"/>
  <c r="I14" i="14" s="1"/>
  <c r="E19" i="14"/>
  <c r="H12" i="14"/>
  <c r="I12" i="14" s="1"/>
  <c r="H11" i="14"/>
  <c r="I11" i="14" s="1"/>
  <c r="H10" i="14"/>
  <c r="I10" i="14" s="1"/>
  <c r="H9" i="14"/>
  <c r="I9" i="14" s="1"/>
  <c r="H8" i="14"/>
  <c r="I8" i="14" s="1"/>
  <c r="E13" i="13"/>
  <c r="B13" i="13"/>
  <c r="B15" i="13"/>
  <c r="H15" i="13" s="1"/>
  <c r="I15" i="13" s="1"/>
  <c r="B9" i="13"/>
  <c r="H9" i="13"/>
  <c r="I9" i="13" s="1"/>
  <c r="D33" i="13"/>
  <c r="G19" i="13"/>
  <c r="F19" i="13"/>
  <c r="E19" i="13"/>
  <c r="D19" i="13"/>
  <c r="H18" i="13"/>
  <c r="I18" i="13" s="1"/>
  <c r="H17" i="13"/>
  <c r="I17" i="13" s="1"/>
  <c r="H16" i="13"/>
  <c r="I16" i="13" s="1"/>
  <c r="H14" i="13"/>
  <c r="I14" i="13" s="1"/>
  <c r="H13" i="13"/>
  <c r="I13" i="13" s="1"/>
  <c r="H12" i="13"/>
  <c r="I12" i="13" s="1"/>
  <c r="H11" i="13"/>
  <c r="I11" i="13" s="1"/>
  <c r="H10" i="13"/>
  <c r="I10" i="13" s="1"/>
  <c r="H8" i="13"/>
  <c r="C11" i="12"/>
  <c r="C10" i="12"/>
  <c r="H19" i="20" l="1"/>
  <c r="I8" i="20"/>
  <c r="I19" i="20" s="1"/>
  <c r="I8" i="19"/>
  <c r="I19" i="19" s="1"/>
  <c r="H19" i="19"/>
  <c r="I19" i="18"/>
  <c r="H19" i="18"/>
  <c r="I19" i="17"/>
  <c r="H19" i="17"/>
  <c r="H19" i="16"/>
  <c r="I19" i="16"/>
  <c r="H19" i="15"/>
  <c r="I10" i="15"/>
  <c r="I19" i="15" s="1"/>
  <c r="H13" i="14"/>
  <c r="I13" i="14" s="1"/>
  <c r="I19" i="14" s="1"/>
  <c r="B19" i="14"/>
  <c r="B19" i="13"/>
  <c r="H19" i="13"/>
  <c r="I8" i="13"/>
  <c r="I19" i="13" s="1"/>
  <c r="C19" i="13"/>
  <c r="D33" i="12"/>
  <c r="G19" i="12"/>
  <c r="C19" i="12"/>
  <c r="H18" i="12"/>
  <c r="I18" i="12" s="1"/>
  <c r="H17" i="12"/>
  <c r="I17" i="12" s="1"/>
  <c r="H16" i="12"/>
  <c r="I16" i="12" s="1"/>
  <c r="H15" i="12"/>
  <c r="I15" i="12" s="1"/>
  <c r="H14" i="12"/>
  <c r="I14" i="12" s="1"/>
  <c r="H13" i="12"/>
  <c r="I13" i="12" s="1"/>
  <c r="H12" i="12"/>
  <c r="I12" i="12" s="1"/>
  <c r="H11" i="12"/>
  <c r="I11" i="12" s="1"/>
  <c r="E19" i="12"/>
  <c r="D19" i="12"/>
  <c r="B19" i="12"/>
  <c r="H9" i="12"/>
  <c r="I9" i="12" s="1"/>
  <c r="H8" i="12"/>
  <c r="I8" i="12" s="1"/>
  <c r="F13" i="11"/>
  <c r="F19" i="11" s="1"/>
  <c r="E10" i="11"/>
  <c r="H10" i="11" s="1"/>
  <c r="B10" i="11"/>
  <c r="B9" i="11"/>
  <c r="B18" i="11"/>
  <c r="B19" i="11" s="1"/>
  <c r="E13" i="11"/>
  <c r="D11" i="11"/>
  <c r="D10" i="11"/>
  <c r="H9" i="11"/>
  <c r="I9" i="11" s="1"/>
  <c r="D32" i="11"/>
  <c r="G19" i="11"/>
  <c r="D19" i="11"/>
  <c r="C19" i="11"/>
  <c r="H18" i="11"/>
  <c r="I18" i="11" s="1"/>
  <c r="H17" i="11"/>
  <c r="I17" i="11" s="1"/>
  <c r="H16" i="11"/>
  <c r="I16" i="11" s="1"/>
  <c r="H15" i="11"/>
  <c r="I15" i="11" s="1"/>
  <c r="H14" i="11"/>
  <c r="I14" i="11" s="1"/>
  <c r="H12" i="11"/>
  <c r="I12" i="11" s="1"/>
  <c r="H11" i="11"/>
  <c r="I11" i="11" s="1"/>
  <c r="H8" i="11"/>
  <c r="I8" i="11" s="1"/>
  <c r="D34" i="10"/>
  <c r="G19" i="10"/>
  <c r="F19" i="10"/>
  <c r="E19" i="10"/>
  <c r="D19" i="10"/>
  <c r="C19" i="10"/>
  <c r="B19" i="10"/>
  <c r="H18" i="10"/>
  <c r="I18" i="10" s="1"/>
  <c r="H17" i="10"/>
  <c r="I17" i="10" s="1"/>
  <c r="H16" i="10"/>
  <c r="I16" i="10" s="1"/>
  <c r="H15" i="10"/>
  <c r="I15" i="10" s="1"/>
  <c r="H14" i="10"/>
  <c r="I14" i="10" s="1"/>
  <c r="H13" i="10"/>
  <c r="I13" i="10" s="1"/>
  <c r="H12" i="10"/>
  <c r="I12" i="10" s="1"/>
  <c r="H11" i="10"/>
  <c r="I11" i="10" s="1"/>
  <c r="H10" i="10"/>
  <c r="I10" i="10" s="1"/>
  <c r="H9" i="10"/>
  <c r="H8" i="10"/>
  <c r="I8" i="10" s="1"/>
  <c r="H19" i="14" l="1"/>
  <c r="H10" i="12"/>
  <c r="I10" i="12" s="1"/>
  <c r="I19" i="12" s="1"/>
  <c r="F19" i="12"/>
  <c r="E19" i="11"/>
  <c r="H13" i="11"/>
  <c r="I13" i="11" s="1"/>
  <c r="H19" i="11"/>
  <c r="I10" i="11"/>
  <c r="I19" i="11" s="1"/>
  <c r="H19" i="10"/>
  <c r="I9" i="10"/>
  <c r="I19" i="10" s="1"/>
  <c r="H19" i="12" l="1"/>
  <c r="D32" i="9"/>
  <c r="G19" i="9"/>
  <c r="F19" i="9"/>
  <c r="E19" i="9"/>
  <c r="D19" i="9"/>
  <c r="C19" i="9"/>
  <c r="B19" i="9"/>
  <c r="H18" i="9"/>
  <c r="I18" i="9" s="1"/>
  <c r="H17" i="9"/>
  <c r="I17" i="9" s="1"/>
  <c r="H16" i="9"/>
  <c r="I16" i="9" s="1"/>
  <c r="H15" i="9"/>
  <c r="I15" i="9" s="1"/>
  <c r="H14" i="9"/>
  <c r="I14" i="9" s="1"/>
  <c r="H13" i="9"/>
  <c r="I13" i="9" s="1"/>
  <c r="H12" i="9"/>
  <c r="I12" i="9" s="1"/>
  <c r="H11" i="9"/>
  <c r="I11" i="9" s="1"/>
  <c r="H10" i="9"/>
  <c r="I10" i="9" s="1"/>
  <c r="H9" i="9"/>
  <c r="I9" i="9" s="1"/>
  <c r="H8" i="9"/>
  <c r="I9" i="8"/>
  <c r="I10" i="8"/>
  <c r="I11" i="8"/>
  <c r="I12" i="8"/>
  <c r="I13" i="8"/>
  <c r="I14" i="8"/>
  <c r="I15" i="8"/>
  <c r="I16" i="8"/>
  <c r="I17" i="8"/>
  <c r="I18" i="8"/>
  <c r="I8" i="8"/>
  <c r="H19" i="8"/>
  <c r="H19" i="9" l="1"/>
  <c r="I8" i="9"/>
  <c r="I19" i="9" s="1"/>
  <c r="I19" i="8"/>
  <c r="D33" i="8" l="1"/>
  <c r="G19" i="8"/>
  <c r="F19" i="8"/>
  <c r="E19" i="8"/>
  <c r="D19" i="8"/>
  <c r="C19" i="8"/>
  <c r="B19" i="8"/>
  <c r="J18" i="8"/>
  <c r="J17" i="8"/>
  <c r="J16" i="8"/>
  <c r="J15" i="8"/>
  <c r="J14" i="8"/>
  <c r="J13" i="8"/>
  <c r="J12" i="8"/>
  <c r="J11" i="8"/>
  <c r="J10" i="8"/>
  <c r="J9" i="8"/>
  <c r="J8" i="8"/>
  <c r="J19" i="8" l="1"/>
  <c r="D34" i="7"/>
  <c r="G19" i="7"/>
  <c r="F19" i="7"/>
  <c r="E19" i="7"/>
  <c r="D19" i="7"/>
  <c r="C19" i="7"/>
  <c r="B19" i="7"/>
  <c r="H18" i="7"/>
  <c r="I18" i="7" s="1"/>
  <c r="H17" i="7"/>
  <c r="I17" i="7" s="1"/>
  <c r="H16" i="7"/>
  <c r="I16" i="7" s="1"/>
  <c r="H15" i="7"/>
  <c r="I15" i="7" s="1"/>
  <c r="H14" i="7"/>
  <c r="I14" i="7" s="1"/>
  <c r="H13" i="7"/>
  <c r="I13" i="7" s="1"/>
  <c r="H12" i="7"/>
  <c r="I12" i="7" s="1"/>
  <c r="H11" i="7"/>
  <c r="I11" i="7" s="1"/>
  <c r="H10" i="7"/>
  <c r="I10" i="7" s="1"/>
  <c r="H9" i="7"/>
  <c r="I9" i="7" s="1"/>
  <c r="H8" i="7"/>
  <c r="I8" i="7" s="1"/>
  <c r="D33" i="6"/>
  <c r="G19" i="6"/>
  <c r="F19" i="6"/>
  <c r="E19" i="6"/>
  <c r="D19" i="6"/>
  <c r="C19" i="6"/>
  <c r="H18" i="6"/>
  <c r="I18" i="6" s="1"/>
  <c r="H17" i="6"/>
  <c r="I17" i="6" s="1"/>
  <c r="H16" i="6"/>
  <c r="I16" i="6" s="1"/>
  <c r="H15" i="6"/>
  <c r="I15" i="6" s="1"/>
  <c r="H14" i="6"/>
  <c r="I14" i="6" s="1"/>
  <c r="H13" i="6"/>
  <c r="I13" i="6" s="1"/>
  <c r="H12" i="6"/>
  <c r="I12" i="6" s="1"/>
  <c r="H11" i="6"/>
  <c r="I11" i="6" s="1"/>
  <c r="H10" i="6"/>
  <c r="I10" i="6" s="1"/>
  <c r="H9" i="6"/>
  <c r="I9" i="6" s="1"/>
  <c r="B19" i="6"/>
  <c r="H8" i="6"/>
  <c r="I8" i="6" s="1"/>
  <c r="B11" i="5"/>
  <c r="B9" i="5"/>
  <c r="H9" i="5" s="1"/>
  <c r="I9" i="5" s="1"/>
  <c r="H11" i="5"/>
  <c r="I11" i="5" s="1"/>
  <c r="H12" i="5"/>
  <c r="I12" i="5" s="1"/>
  <c r="H13" i="5"/>
  <c r="I13" i="5"/>
  <c r="H14" i="5"/>
  <c r="I14" i="5" s="1"/>
  <c r="H15" i="5"/>
  <c r="I15" i="5"/>
  <c r="H16" i="5"/>
  <c r="I16" i="5" s="1"/>
  <c r="H17" i="5"/>
  <c r="I17" i="5"/>
  <c r="H18" i="5"/>
  <c r="I18" i="5"/>
  <c r="G19" i="5"/>
  <c r="D33" i="5"/>
  <c r="F19" i="5"/>
  <c r="E19" i="5"/>
  <c r="D19" i="5"/>
  <c r="D33" i="4"/>
  <c r="G19" i="4"/>
  <c r="F19" i="4"/>
  <c r="E19" i="4"/>
  <c r="D19" i="4"/>
  <c r="C19" i="4"/>
  <c r="B19" i="4"/>
  <c r="H18" i="4"/>
  <c r="I18" i="4" s="1"/>
  <c r="H17" i="4"/>
  <c r="I17" i="4" s="1"/>
  <c r="H16" i="4"/>
  <c r="I16" i="4" s="1"/>
  <c r="H15" i="4"/>
  <c r="I15" i="4" s="1"/>
  <c r="H14" i="4"/>
  <c r="I14" i="4" s="1"/>
  <c r="H13" i="4"/>
  <c r="I13" i="4" s="1"/>
  <c r="H12" i="4"/>
  <c r="I12" i="4" s="1"/>
  <c r="H11" i="4"/>
  <c r="I11" i="4" s="1"/>
  <c r="H10" i="4"/>
  <c r="H9" i="4"/>
  <c r="I9" i="4" s="1"/>
  <c r="H8" i="4"/>
  <c r="I8" i="4" s="1"/>
  <c r="E19" i="3"/>
  <c r="D34" i="3"/>
  <c r="G19" i="3"/>
  <c r="F19" i="3"/>
  <c r="D19" i="3"/>
  <c r="C19" i="3"/>
  <c r="B19" i="3"/>
  <c r="H18" i="3"/>
  <c r="I18" i="3" s="1"/>
  <c r="H17" i="3"/>
  <c r="I17" i="3" s="1"/>
  <c r="H16" i="3"/>
  <c r="I16" i="3" s="1"/>
  <c r="H15" i="3"/>
  <c r="I15" i="3" s="1"/>
  <c r="H14" i="3"/>
  <c r="I14" i="3" s="1"/>
  <c r="H13" i="3"/>
  <c r="I13" i="3" s="1"/>
  <c r="H12" i="3"/>
  <c r="I12" i="3" s="1"/>
  <c r="H11" i="3"/>
  <c r="I11" i="3" s="1"/>
  <c r="H10" i="3"/>
  <c r="I10" i="3" s="1"/>
  <c r="H9" i="3"/>
  <c r="I9" i="3" s="1"/>
  <c r="H8" i="3"/>
  <c r="I8" i="3" s="1"/>
  <c r="H12" i="2"/>
  <c r="I12" i="2" s="1"/>
  <c r="H18" i="2"/>
  <c r="I18" i="2" s="1"/>
  <c r="D33" i="2"/>
  <c r="E19" i="2"/>
  <c r="H9" i="2"/>
  <c r="I9" i="2" s="1"/>
  <c r="D34" i="1"/>
  <c r="G19" i="1"/>
  <c r="F19" i="1"/>
  <c r="E19" i="1"/>
  <c r="D19" i="1"/>
  <c r="C19" i="1"/>
  <c r="B19" i="1"/>
  <c r="H18" i="1"/>
  <c r="I18" i="1" s="1"/>
  <c r="I17" i="1"/>
  <c r="H17" i="1"/>
  <c r="H16" i="1"/>
  <c r="I16" i="1" s="1"/>
  <c r="I15" i="1"/>
  <c r="H15" i="1"/>
  <c r="I14" i="1"/>
  <c r="H14" i="1"/>
  <c r="H13" i="1"/>
  <c r="I13" i="1" s="1"/>
  <c r="I12" i="1"/>
  <c r="H12" i="1"/>
  <c r="I11" i="1"/>
  <c r="H11" i="1"/>
  <c r="H10" i="1"/>
  <c r="I10" i="1" s="1"/>
  <c r="I9" i="1"/>
  <c r="H9" i="1"/>
  <c r="I8" i="1"/>
  <c r="H8" i="1"/>
  <c r="H19" i="7" l="1"/>
  <c r="F33" i="7" s="1"/>
  <c r="I19" i="7"/>
  <c r="H19" i="6"/>
  <c r="I19" i="6"/>
  <c r="C19" i="5"/>
  <c r="H10" i="5"/>
  <c r="I10" i="5" s="1"/>
  <c r="H8" i="5"/>
  <c r="I8" i="5" s="1"/>
  <c r="B19" i="5"/>
  <c r="H19" i="4"/>
  <c r="I10" i="4"/>
  <c r="I19" i="4" s="1"/>
  <c r="I19" i="3"/>
  <c r="H19" i="3"/>
  <c r="G19" i="2"/>
  <c r="H15" i="2"/>
  <c r="I15" i="2" s="1"/>
  <c r="H14" i="2"/>
  <c r="I14" i="2" s="1"/>
  <c r="F19" i="2"/>
  <c r="H13" i="2"/>
  <c r="I13" i="2" s="1"/>
  <c r="D19" i="2"/>
  <c r="H17" i="2"/>
  <c r="I17" i="2" s="1"/>
  <c r="H11" i="2"/>
  <c r="I11" i="2" s="1"/>
  <c r="H16" i="2"/>
  <c r="I16" i="2" s="1"/>
  <c r="H10" i="2"/>
  <c r="I10" i="2" s="1"/>
  <c r="C19" i="2"/>
  <c r="H8" i="2"/>
  <c r="I8" i="2" s="1"/>
  <c r="B19" i="2"/>
  <c r="I19" i="1"/>
  <c r="H19" i="1"/>
  <c r="I19" i="5" l="1"/>
  <c r="H19" i="5"/>
  <c r="I19" i="2"/>
  <c r="H19" i="2"/>
</calcChain>
</file>

<file path=xl/sharedStrings.xml><?xml version="1.0" encoding="utf-8"?>
<sst xmlns="http://schemas.openxmlformats.org/spreadsheetml/2006/main" count="882" uniqueCount="128">
  <si>
    <t>Đại Lý : Võ Bá Cang và Lê Thị Bích Thủy</t>
  </si>
  <si>
    <t>MSKH : 2000004656</t>
  </si>
  <si>
    <t>ĐC : Vĩnh Tân -Tân Uyên- Bình Dương</t>
  </si>
  <si>
    <t>DỰ KIẾN LỊCH LẤY CÁM TRONG TUẦN</t>
  </si>
  <si>
    <t>Tuần 52 (Từ 22/12/2025 Đến 28/12/2025)</t>
  </si>
  <si>
    <t>CÁM BAO</t>
  </si>
  <si>
    <t>THỨ 2</t>
  </si>
  <si>
    <t>THỨ 3</t>
  </si>
  <si>
    <t>THỨ 4</t>
  </si>
  <si>
    <t xml:space="preserve">THỨ 5 </t>
  </si>
  <si>
    <t>THỨ 6</t>
  </si>
  <si>
    <t>THỨ 7</t>
  </si>
  <si>
    <t xml:space="preserve">TOTAL </t>
  </si>
  <si>
    <t>Ngày</t>
  </si>
  <si>
    <t>22/12/2025</t>
  </si>
  <si>
    <t>23/12/2025</t>
  </si>
  <si>
    <t>24/12/2025</t>
  </si>
  <si>
    <t>25/12/2025</t>
  </si>
  <si>
    <t>26/12/2025</t>
  </si>
  <si>
    <t>28/12/2025</t>
  </si>
  <si>
    <t>BAG</t>
  </si>
  <si>
    <t>TON</t>
  </si>
  <si>
    <t>550P</t>
  </si>
  <si>
    <t>550S</t>
  </si>
  <si>
    <t>551GP</t>
  </si>
  <si>
    <t>552S</t>
  </si>
  <si>
    <t>553S</t>
  </si>
  <si>
    <t>562P</t>
  </si>
  <si>
    <t>567S</t>
  </si>
  <si>
    <t>TOTAL</t>
  </si>
  <si>
    <t>THỨ</t>
  </si>
  <si>
    <t>NGÀY</t>
  </si>
  <si>
    <t>MÃ CÁM</t>
  </si>
  <si>
    <t xml:space="preserve">SỐ LƯỢNG </t>
  </si>
  <si>
    <t>ĐVT</t>
  </si>
  <si>
    <t>THỨ 5</t>
  </si>
  <si>
    <t>Tuần 01 (Từ 29/12/2025 Đến 03/01/2026)</t>
  </si>
  <si>
    <t>29/12/2025</t>
  </si>
  <si>
    <t>30/12/2025</t>
  </si>
  <si>
    <t>31/12/2025</t>
  </si>
  <si>
    <t>Tuần 02 (Từ 05/01/2026 Đến 10/01/2026)</t>
  </si>
  <si>
    <t>Tuần 03 (Từ 12/01/2026 Đến 17/01/2026)</t>
  </si>
  <si>
    <t>13/1/2026</t>
  </si>
  <si>
    <t>14/1/2026</t>
  </si>
  <si>
    <t>15/1/2026</t>
  </si>
  <si>
    <t>16/1/2026</t>
  </si>
  <si>
    <t>17/1/2026</t>
  </si>
  <si>
    <t>Tuần 04 (Từ 19/01/2026 Đến 24/01/2026)</t>
  </si>
  <si>
    <t>19/1/2026</t>
  </si>
  <si>
    <t>20/1/2026</t>
  </si>
  <si>
    <t>21/1/2026</t>
  </si>
  <si>
    <t>22/1/2026</t>
  </si>
  <si>
    <t>23/1/2026</t>
  </si>
  <si>
    <t>24/1/2026</t>
  </si>
  <si>
    <t>26/1/2026</t>
  </si>
  <si>
    <t>27/1/2026</t>
  </si>
  <si>
    <t>28/1/2026</t>
  </si>
  <si>
    <t>29/1/2026</t>
  </si>
  <si>
    <t>30/1/2026</t>
  </si>
  <si>
    <t>31/1/2026</t>
  </si>
  <si>
    <t>Tuần 05 (Từ 26/01/2026 Đến 31/01/2026)</t>
  </si>
  <si>
    <t>Tuần 06 (Từ 02/02/2026 Đến 07/02/2026)</t>
  </si>
  <si>
    <t>Tuần 07 (Từ 09/02/2026 Đến 14/02/2026)</t>
  </si>
  <si>
    <t>13/2/2026</t>
  </si>
  <si>
    <t>14/2/2026</t>
  </si>
  <si>
    <t>CHỦ NHẬT</t>
  </si>
  <si>
    <t>15/2/2026</t>
  </si>
  <si>
    <t>Tuần 08 (Từ 16/02/2026 Đến 21/02/2026)</t>
  </si>
  <si>
    <t>16/2/2026</t>
  </si>
  <si>
    <t>17/2/2026</t>
  </si>
  <si>
    <t>18/2/2026</t>
  </si>
  <si>
    <t>19/2/2026</t>
  </si>
  <si>
    <t>20/2/2026</t>
  </si>
  <si>
    <t>21/2/2026</t>
  </si>
  <si>
    <t>Tuần 09 (Từ 23/02/2026 Đến 28/02/2026)</t>
  </si>
  <si>
    <t>23/2/2026</t>
  </si>
  <si>
    <t>24/2/2026</t>
  </si>
  <si>
    <t>25/2/2026</t>
  </si>
  <si>
    <t>26/2/2026</t>
  </si>
  <si>
    <t>27/2/2026</t>
  </si>
  <si>
    <t>28/2/2026</t>
  </si>
  <si>
    <t>550s</t>
  </si>
  <si>
    <t>Tuần 10 (Từ 02/03/2026 Đến 07/03/2026)</t>
  </si>
  <si>
    <t>550SX</t>
  </si>
  <si>
    <t>551X</t>
  </si>
  <si>
    <t>551GPX</t>
  </si>
  <si>
    <t>Tuần 11 (Từ 09/03/2026 Đến 14/03/2026)</t>
  </si>
  <si>
    <t>13/3/2026</t>
  </si>
  <si>
    <t>14/3/2026</t>
  </si>
  <si>
    <t>16/3/2026</t>
  </si>
  <si>
    <t>17/3/2026</t>
  </si>
  <si>
    <t>18/3/2026</t>
  </si>
  <si>
    <t>19/3/2026</t>
  </si>
  <si>
    <t>20/3/2026</t>
  </si>
  <si>
    <t>21/3/2026</t>
  </si>
  <si>
    <t>Tuần 12 (Từ 16/03/2026 Đến 21/03/2026)</t>
  </si>
  <si>
    <t>Tuần 13 (Từ 23/03/2026 Đến 28/03/2026)</t>
  </si>
  <si>
    <t>23/3/2026</t>
  </si>
  <si>
    <t>24/3/2026</t>
  </si>
  <si>
    <t>25/3/2026</t>
  </si>
  <si>
    <t>26/3/2026</t>
  </si>
  <si>
    <t>27/3/2026</t>
  </si>
  <si>
    <t>28/3/2026</t>
  </si>
  <si>
    <t>Tuần 14 (Từ 30/03/2026 Đến 04/04/2026)</t>
  </si>
  <si>
    <t>30/3/2026</t>
  </si>
  <si>
    <t>31/3/2026</t>
  </si>
  <si>
    <t>Tuần 15 (Từ 06/04/2026 Đến 11/04/2026)</t>
  </si>
  <si>
    <t>Tuần 16 (Từ 13/04/2026 Đến 18/04/2026)</t>
  </si>
  <si>
    <t>13/4/2026</t>
  </si>
  <si>
    <t>14/4/2026</t>
  </si>
  <si>
    <t>15/4/2026</t>
  </si>
  <si>
    <t>16/4/2026</t>
  </si>
  <si>
    <t>17/4/2026</t>
  </si>
  <si>
    <t>18/4/2026</t>
  </si>
  <si>
    <t>20/4/2026</t>
  </si>
  <si>
    <t>21/4/2026</t>
  </si>
  <si>
    <t>22/4/2026</t>
  </si>
  <si>
    <t>23/4/2026</t>
  </si>
  <si>
    <t>24/4/2026</t>
  </si>
  <si>
    <t>25/4/2026</t>
  </si>
  <si>
    <t>Tuần 17 (Từ 20/04/2026 Đến 25/04/2026)</t>
  </si>
  <si>
    <t>553s</t>
  </si>
  <si>
    <t>Tuần 18 (Từ 27/04/2026 Đến 02/05/2026)</t>
  </si>
  <si>
    <t>27/4/2026</t>
  </si>
  <si>
    <t>28/4/2026</t>
  </si>
  <si>
    <t>29/4/2026</t>
  </si>
  <si>
    <t>30/4/2026</t>
  </si>
  <si>
    <t>Tuần 19 (Từ 04/05/2026 Đến 09/05/2026)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</si>
</sst>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(* #,##0_);_(* \(#,##0\);_(* &quot;-&quot;??_);_(@_)"/>
    <numFmt numFmtId="165" formatCode="_-* #,##0.00_-;\-* #,##0.00_-;_-* &quot;-&quot;??_-;_-@_-"/>
  </numFmts>
  <fonts count="16"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0"/>
      <name val="VNI-Times"/>
    </font>
    <font>
      <b/>
      <sz val="12"/>
      <name val="Arial"/>
      <family val="2"/>
    </font>
    <font>
      <sz val="12"/>
      <color theme="1"/>
      <name val="Arial"/>
      <family val="2"/>
    </font>
    <font>
      <b/>
      <sz val="14"/>
      <name val="Arial"/>
      <family val="2"/>
    </font>
    <font>
      <b/>
      <sz val="14"/>
      <color rgb="FFFF0000"/>
      <name val="Arial"/>
      <family val="2"/>
    </font>
    <font>
      <b/>
      <sz val="12"/>
      <color rgb="FFFF0000"/>
      <name val="Arial"/>
      <family val="2"/>
    </font>
    <font>
      <b/>
      <sz val="13"/>
      <name val="Times New Roman"/>
      <family val="1"/>
    </font>
    <font>
      <b/>
      <sz val="12"/>
      <color theme="1"/>
      <name val="Arial"/>
      <family val="2"/>
    </font>
    <font>
      <sz val="12"/>
      <name val="Arial"/>
      <family val="2"/>
    </font>
    <font>
      <b/>
      <sz val="14"/>
      <name val="Times New Roman"/>
      <family val="1"/>
    </font>
    <font>
      <sz val="12"/>
      <color theme="1"/>
      <name val="Arial"/>
      <family val="2"/>
      <scheme val="minor"/>
    </font>
    <font>
      <sz val="14"/>
      <name val="Times New Roman"/>
      <family val="1"/>
    </font>
    <font>
      <sz val="16"/>
      <name val="Times New Roman"/>
      <family val="1"/>
    </font>
    <font>
      <sz val="12"/>
      <color theme="1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0" fontId="2" fillId="0" borderId="0"/>
    <xf numFmtId="43" fontId="1" fillId="0" borderId="0" applyFont="0" applyFill="0" applyBorder="0" applyAlignment="0" applyProtection="0"/>
  </cellStyleXfs>
  <cellXfs count="74">
    <xf numFmtId="0" fontId="0" fillId="0" borderId="0" xfId="0"/>
    <xf numFmtId="0" fontId="3" fillId="0" borderId="0" xfId="2" applyFont="1" applyAlignment="1">
      <alignment horizontal="left" vertical="center"/>
    </xf>
    <xf numFmtId="0" fontId="3" fillId="0" borderId="0" xfId="2" applyFont="1" applyAlignment="1">
      <alignment horizontal="center" vertical="center"/>
    </xf>
    <xf numFmtId="0" fontId="4" fillId="0" borderId="0" xfId="0" applyFont="1"/>
    <xf numFmtId="0" fontId="3" fillId="0" borderId="0" xfId="2" applyFont="1" applyAlignment="1">
      <alignment vertical="center"/>
    </xf>
    <xf numFmtId="0" fontId="7" fillId="0" borderId="0" xfId="2" applyFont="1" applyAlignment="1">
      <alignment horizontal="center" vertical="center"/>
    </xf>
    <xf numFmtId="0" fontId="4" fillId="0" borderId="0" xfId="0" applyFont="1" applyAlignment="1">
      <alignment vertical="center"/>
    </xf>
    <xf numFmtId="0" fontId="3" fillId="2" borderId="2" xfId="2" applyFont="1" applyFill="1" applyBorder="1" applyAlignment="1">
      <alignment horizontal="left" vertical="center"/>
    </xf>
    <xf numFmtId="0" fontId="8" fillId="2" borderId="2" xfId="2" applyFont="1" applyFill="1" applyBorder="1" applyAlignment="1">
      <alignment horizontal="center" vertical="center"/>
    </xf>
    <xf numFmtId="0" fontId="9" fillId="2" borderId="2" xfId="0" applyFont="1" applyFill="1" applyBorder="1" applyAlignment="1">
      <alignment horizontal="center" vertical="center"/>
    </xf>
    <xf numFmtId="0" fontId="4" fillId="0" borderId="3" xfId="0" applyFont="1" applyBorder="1"/>
    <xf numFmtId="0" fontId="10" fillId="2" borderId="2" xfId="2" applyFont="1" applyFill="1" applyBorder="1" applyAlignment="1">
      <alignment horizontal="left" vertical="center"/>
    </xf>
    <xf numFmtId="14" fontId="10" fillId="2" borderId="2" xfId="2" applyNumberFormat="1" applyFont="1" applyFill="1" applyBorder="1" applyAlignment="1">
      <alignment horizontal="center" vertical="center"/>
    </xf>
    <xf numFmtId="0" fontId="9" fillId="0" borderId="2" xfId="0" applyFont="1" applyBorder="1" applyAlignment="1">
      <alignment horizontal="left" vertical="center"/>
    </xf>
    <xf numFmtId="164" fontId="4" fillId="3" borderId="2" xfId="1" quotePrefix="1" applyNumberFormat="1" applyFont="1" applyFill="1" applyBorder="1" applyAlignment="1">
      <alignment horizontal="center" vertical="center"/>
    </xf>
    <xf numFmtId="164" fontId="10" fillId="3" borderId="2" xfId="1" quotePrefix="1" applyNumberFormat="1" applyFont="1" applyFill="1" applyBorder="1" applyAlignment="1">
      <alignment horizontal="center" vertical="center"/>
    </xf>
    <xf numFmtId="164" fontId="9" fillId="0" borderId="2" xfId="1" applyNumberFormat="1" applyFont="1" applyBorder="1" applyAlignment="1">
      <alignment vertical="center"/>
    </xf>
    <xf numFmtId="165" fontId="9" fillId="0" borderId="2" xfId="0" applyNumberFormat="1" applyFont="1" applyBorder="1" applyAlignment="1">
      <alignment vertical="center"/>
    </xf>
    <xf numFmtId="0" fontId="3" fillId="3" borderId="2" xfId="0" applyFont="1" applyFill="1" applyBorder="1" applyAlignment="1">
      <alignment horizontal="left" vertical="center"/>
    </xf>
    <xf numFmtId="0" fontId="3" fillId="0" borderId="2" xfId="0" applyFont="1" applyBorder="1" applyAlignment="1">
      <alignment horizontal="left" vertical="center"/>
    </xf>
    <xf numFmtId="164" fontId="9" fillId="0" borderId="2" xfId="0" applyNumberFormat="1" applyFont="1" applyBorder="1" applyAlignment="1">
      <alignment vertical="center"/>
    </xf>
    <xf numFmtId="0" fontId="9" fillId="2" borderId="2" xfId="0" applyFont="1" applyFill="1" applyBorder="1" applyAlignment="1">
      <alignment horizontal="left" vertical="center"/>
    </xf>
    <xf numFmtId="164" fontId="9" fillId="2" borderId="2" xfId="0" applyNumberFormat="1" applyFont="1" applyFill="1" applyBorder="1" applyAlignment="1">
      <alignment horizontal="center" vertical="center"/>
    </xf>
    <xf numFmtId="165" fontId="9" fillId="2" borderId="2" xfId="0" applyNumberFormat="1" applyFont="1" applyFill="1" applyBorder="1" applyAlignment="1">
      <alignment horizontal="center" vertical="center"/>
    </xf>
    <xf numFmtId="164" fontId="4" fillId="0" borderId="0" xfId="0" applyNumberFormat="1" applyFont="1" applyAlignment="1">
      <alignment vertical="center"/>
    </xf>
    <xf numFmtId="0" fontId="4" fillId="0" borderId="0" xfId="0" quotePrefix="1" applyFont="1"/>
    <xf numFmtId="164" fontId="4" fillId="0" borderId="0" xfId="0" applyNumberFormat="1" applyFont="1"/>
    <xf numFmtId="0" fontId="11" fillId="2" borderId="2" xfId="2" applyFont="1" applyFill="1" applyBorder="1" applyAlignment="1">
      <alignment horizontal="center" vertical="center" wrapText="1"/>
    </xf>
    <xf numFmtId="164" fontId="11" fillId="2" borderId="2" xfId="3" applyNumberFormat="1" applyFont="1" applyFill="1" applyBorder="1" applyAlignment="1">
      <alignment horizontal="center" vertical="center" wrapText="1"/>
    </xf>
    <xf numFmtId="0" fontId="12" fillId="0" borderId="0" xfId="0" applyFont="1"/>
    <xf numFmtId="0" fontId="13" fillId="3" borderId="2" xfId="2" applyFont="1" applyFill="1" applyBorder="1" applyAlignment="1">
      <alignment horizontal="center" vertical="center"/>
    </xf>
    <xf numFmtId="14" fontId="13" fillId="3" borderId="2" xfId="2" applyNumberFormat="1" applyFont="1" applyFill="1" applyBorder="1" applyAlignment="1">
      <alignment horizontal="center" vertical="center"/>
    </xf>
    <xf numFmtId="0" fontId="14" fillId="0" borderId="2" xfId="0" applyFont="1" applyBorder="1" applyAlignment="1">
      <alignment horizontal="center" vertical="center" wrapText="1"/>
    </xf>
    <xf numFmtId="3" fontId="14" fillId="0" borderId="2" xfId="0" applyNumberFormat="1" applyFont="1" applyBorder="1" applyAlignment="1">
      <alignment horizontal="center" vertical="center"/>
    </xf>
    <xf numFmtId="0" fontId="15" fillId="0" borderId="0" xfId="0" applyFont="1"/>
    <xf numFmtId="43" fontId="13" fillId="3" borderId="4" xfId="3" applyFont="1" applyFill="1" applyBorder="1" applyAlignment="1">
      <alignment horizontal="center" vertical="center"/>
    </xf>
    <xf numFmtId="14" fontId="13" fillId="3" borderId="4" xfId="2" applyNumberFormat="1" applyFont="1" applyFill="1" applyBorder="1" applyAlignment="1">
      <alignment horizontal="center" vertical="center"/>
    </xf>
    <xf numFmtId="0" fontId="13" fillId="3" borderId="4" xfId="2" applyFont="1" applyFill="1" applyBorder="1" applyAlignment="1">
      <alignment horizontal="center" vertical="center"/>
    </xf>
    <xf numFmtId="0" fontId="13" fillId="3" borderId="7" xfId="2" applyFont="1" applyFill="1" applyBorder="1" applyAlignment="1">
      <alignment horizontal="center" vertical="center"/>
    </xf>
    <xf numFmtId="3" fontId="4" fillId="0" borderId="0" xfId="0" applyNumberFormat="1" applyFont="1"/>
    <xf numFmtId="43" fontId="13" fillId="3" borderId="2" xfId="3" applyFont="1" applyFill="1" applyBorder="1" applyAlignment="1">
      <alignment horizontal="center" vertical="center"/>
    </xf>
    <xf numFmtId="164" fontId="15" fillId="0" borderId="0" xfId="0" applyNumberFormat="1" applyFont="1"/>
    <xf numFmtId="164" fontId="12" fillId="0" borderId="0" xfId="0" applyNumberFormat="1" applyFont="1"/>
    <xf numFmtId="0" fontId="4" fillId="0" borderId="2" xfId="0" applyFont="1" applyBorder="1" applyAlignment="1">
      <alignment vertical="center"/>
    </xf>
    <xf numFmtId="0" fontId="13" fillId="3" borderId="6" xfId="2" applyFont="1" applyFill="1" applyBorder="1" applyAlignment="1">
      <alignment horizontal="center" vertical="center"/>
    </xf>
    <xf numFmtId="14" fontId="13" fillId="3" borderId="6" xfId="2" applyNumberFormat="1" applyFont="1" applyFill="1" applyBorder="1" applyAlignment="1">
      <alignment horizontal="center" vertical="center"/>
    </xf>
    <xf numFmtId="0" fontId="14" fillId="0" borderId="2" xfId="2" applyFont="1" applyBorder="1" applyAlignment="1">
      <alignment horizontal="center" vertical="center" wrapText="1"/>
    </xf>
    <xf numFmtId="0" fontId="13" fillId="3" borderId="2" xfId="2" applyFont="1" applyFill="1" applyBorder="1" applyAlignment="1">
      <alignment horizontal="center" vertical="center" wrapText="1"/>
    </xf>
    <xf numFmtId="3" fontId="13" fillId="3" borderId="2" xfId="0" applyNumberFormat="1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left" vertical="center"/>
    </xf>
    <xf numFmtId="164" fontId="4" fillId="4" borderId="2" xfId="1" quotePrefix="1" applyNumberFormat="1" applyFont="1" applyFill="1" applyBorder="1" applyAlignment="1">
      <alignment horizontal="center" vertical="center"/>
    </xf>
    <xf numFmtId="164" fontId="10" fillId="4" borderId="2" xfId="1" quotePrefix="1" applyNumberFormat="1" applyFont="1" applyFill="1" applyBorder="1" applyAlignment="1">
      <alignment horizontal="center" vertical="center"/>
    </xf>
    <xf numFmtId="164" fontId="9" fillId="4" borderId="2" xfId="1" applyNumberFormat="1" applyFont="1" applyFill="1" applyBorder="1" applyAlignment="1">
      <alignment vertical="center"/>
    </xf>
    <xf numFmtId="165" fontId="9" fillId="4" borderId="2" xfId="0" applyNumberFormat="1" applyFont="1" applyFill="1" applyBorder="1" applyAlignment="1">
      <alignment vertical="center"/>
    </xf>
    <xf numFmtId="164" fontId="9" fillId="4" borderId="2" xfId="0" applyNumberFormat="1" applyFont="1" applyFill="1" applyBorder="1" applyAlignment="1">
      <alignment vertical="center"/>
    </xf>
    <xf numFmtId="0" fontId="4" fillId="4" borderId="2" xfId="0" applyFont="1" applyFill="1" applyBorder="1" applyAlignment="1">
      <alignment vertical="center"/>
    </xf>
    <xf numFmtId="43" fontId="13" fillId="3" borderId="2" xfId="3" applyFont="1" applyFill="1" applyBorder="1" applyAlignment="1">
      <alignment vertical="center"/>
    </xf>
    <xf numFmtId="14" fontId="13" fillId="3" borderId="2" xfId="2" applyNumberFormat="1" applyFont="1" applyFill="1" applyBorder="1" applyAlignment="1">
      <alignment vertical="center"/>
    </xf>
    <xf numFmtId="43" fontId="13" fillId="3" borderId="4" xfId="3" applyFont="1" applyFill="1" applyBorder="1" applyAlignment="1">
      <alignment horizontal="center" vertical="center"/>
    </xf>
    <xf numFmtId="43" fontId="13" fillId="3" borderId="6" xfId="3" applyFont="1" applyFill="1" applyBorder="1" applyAlignment="1">
      <alignment horizontal="center" vertical="center"/>
    </xf>
    <xf numFmtId="14" fontId="13" fillId="3" borderId="4" xfId="2" applyNumberFormat="1" applyFont="1" applyFill="1" applyBorder="1" applyAlignment="1">
      <alignment horizontal="center" vertical="center"/>
    </xf>
    <xf numFmtId="14" fontId="13" fillId="3" borderId="6" xfId="2" applyNumberFormat="1" applyFont="1" applyFill="1" applyBorder="1" applyAlignment="1">
      <alignment horizontal="center" vertical="center"/>
    </xf>
    <xf numFmtId="0" fontId="3" fillId="0" borderId="0" xfId="2" applyFont="1" applyAlignment="1">
      <alignment horizontal="left" vertical="center"/>
    </xf>
    <xf numFmtId="0" fontId="5" fillId="0" borderId="0" xfId="2" applyFont="1" applyAlignment="1">
      <alignment horizontal="center" vertical="center"/>
    </xf>
    <xf numFmtId="0" fontId="6" fillId="0" borderId="1" xfId="2" applyFont="1" applyBorder="1" applyAlignment="1">
      <alignment horizontal="center" vertical="center"/>
    </xf>
    <xf numFmtId="0" fontId="9" fillId="2" borderId="2" xfId="0" applyFont="1" applyFill="1" applyBorder="1" applyAlignment="1">
      <alignment horizontal="center" vertical="center"/>
    </xf>
    <xf numFmtId="0" fontId="13" fillId="3" borderId="4" xfId="2" applyFont="1" applyFill="1" applyBorder="1" applyAlignment="1">
      <alignment horizontal="center" vertical="center"/>
    </xf>
    <xf numFmtId="0" fontId="13" fillId="3" borderId="6" xfId="2" applyFont="1" applyFill="1" applyBorder="1" applyAlignment="1">
      <alignment horizontal="center" vertical="center"/>
    </xf>
    <xf numFmtId="43" fontId="13" fillId="3" borderId="2" xfId="3" applyFont="1" applyFill="1" applyBorder="1" applyAlignment="1">
      <alignment horizontal="center" vertical="center"/>
    </xf>
    <xf numFmtId="14" fontId="13" fillId="3" borderId="2" xfId="2" applyNumberFormat="1" applyFont="1" applyFill="1" applyBorder="1" applyAlignment="1">
      <alignment horizontal="center" vertical="center"/>
    </xf>
    <xf numFmtId="43" fontId="13" fillId="3" borderId="5" xfId="3" applyFont="1" applyFill="1" applyBorder="1" applyAlignment="1">
      <alignment horizontal="center" vertical="center"/>
    </xf>
    <xf numFmtId="14" fontId="13" fillId="3" borderId="5" xfId="2" applyNumberFormat="1" applyFont="1" applyFill="1" applyBorder="1" applyAlignment="1">
      <alignment horizontal="center" vertical="center"/>
    </xf>
    <xf numFmtId="0" fontId="13" fillId="3" borderId="5" xfId="2" applyFont="1" applyFill="1" applyBorder="1" applyAlignment="1">
      <alignment horizontal="center" vertical="center"/>
    </xf>
    <xf numFmtId="0" fontId="13" fillId="3" borderId="2" xfId="2" applyFont="1" applyFill="1" applyBorder="1" applyAlignment="1">
      <alignment horizontal="center" vertical="center"/>
    </xf>
  </cellXfs>
  <cellStyles count="4">
    <cellStyle name="Comma" xfId="1" builtinId="3"/>
    <cellStyle name="Comma 2" xfId="3" xr:uid="{40DC6D74-32D0-48E0-81E2-78F04CBB0928}"/>
    <cellStyle name="Normal" xfId="0" builtinId="0"/>
    <cellStyle name="Normal 2" xfId="2" xr:uid="{146E0975-920C-4B95-88F7-47BC964C62B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microsoft.com/office/2017/10/relationships/person" Target="persons/perso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4C9A59-4E12-4942-AA8F-5ECEBC1C8BFD}">
  <sheetPr>
    <tabColor rgb="FFFFFF00"/>
  </sheetPr>
  <dimension ref="A1:K31"/>
  <sheetViews>
    <sheetView topLeftCell="A4" zoomScale="90" zoomScaleNormal="90" workbookViewId="0">
      <selection activeCell="A16" sqref="A16:XFD16"/>
    </sheetView>
  </sheetViews>
  <sheetFormatPr defaultColWidth="9.125" defaultRowHeight="15"/>
  <cols>
    <col min="1" max="1" width="16.375" style="3" customWidth="1"/>
    <col min="2" max="2" width="15.75" style="3" bestFit="1" customWidth="1"/>
    <col min="3" max="7" width="14.625" style="3" customWidth="1"/>
    <col min="8" max="8" width="13.625" style="3" customWidth="1"/>
    <col min="9" max="9" width="16.75" style="3" customWidth="1"/>
    <col min="10" max="10" width="16.625" style="3" customWidth="1"/>
    <col min="11" max="11" width="12" style="3" customWidth="1"/>
    <col min="12" max="12" width="14.875" style="3" customWidth="1"/>
    <col min="13" max="13" width="11.875" style="3" customWidth="1"/>
    <col min="14" max="14" width="12.875" style="3" bestFit="1" customWidth="1"/>
    <col min="15" max="15" width="11.75" style="3" customWidth="1"/>
    <col min="16" max="16384" width="9.125" style="3"/>
  </cols>
  <sheetData>
    <row r="1" spans="1:10" ht="15.75">
      <c r="A1" s="62" t="s">
        <v>0</v>
      </c>
      <c r="B1" s="62"/>
      <c r="C1" s="62"/>
      <c r="D1" s="62"/>
      <c r="E1" s="62"/>
      <c r="F1" s="1"/>
      <c r="G1" s="1"/>
      <c r="H1" s="2"/>
      <c r="I1" s="2"/>
      <c r="J1" s="2"/>
    </row>
    <row r="2" spans="1:10" ht="15.75">
      <c r="A2" s="62" t="s">
        <v>1</v>
      </c>
      <c r="B2" s="62"/>
      <c r="C2" s="62"/>
      <c r="D2" s="62"/>
      <c r="E2" s="62"/>
      <c r="F2" s="1"/>
      <c r="G2" s="1"/>
      <c r="H2" s="2"/>
      <c r="I2" s="2"/>
      <c r="J2" s="2"/>
    </row>
    <row r="3" spans="1:10" ht="15.75">
      <c r="A3" s="62" t="s">
        <v>2</v>
      </c>
      <c r="B3" s="62"/>
      <c r="C3" s="62"/>
      <c r="D3" s="62"/>
      <c r="E3" s="62"/>
      <c r="F3" s="1"/>
      <c r="G3" s="1"/>
      <c r="H3" s="2"/>
      <c r="I3" s="2"/>
      <c r="J3" s="2"/>
    </row>
    <row r="4" spans="1:10" ht="27.75" customHeight="1">
      <c r="A4" s="63" t="s">
        <v>3</v>
      </c>
      <c r="B4" s="63"/>
      <c r="C4" s="63"/>
      <c r="D4" s="63"/>
      <c r="E4" s="63"/>
      <c r="F4" s="63"/>
      <c r="G4" s="63"/>
      <c r="H4" s="63"/>
      <c r="I4" s="63"/>
      <c r="J4" s="4"/>
    </row>
    <row r="5" spans="1:10" s="6" customFormat="1" ht="23.25" customHeight="1">
      <c r="A5" s="64" t="s">
        <v>127</v>
      </c>
      <c r="B5" s="64"/>
      <c r="C5" s="64"/>
      <c r="D5" s="64"/>
      <c r="E5" s="64"/>
      <c r="F5" s="64"/>
      <c r="G5" s="64"/>
      <c r="H5" s="64"/>
      <c r="I5" s="64"/>
      <c r="J5" s="5"/>
    </row>
    <row r="6" spans="1:10" ht="55.5" customHeight="1">
      <c r="A6" s="7" t="s">
        <v>5</v>
      </c>
      <c r="B6" s="8" t="s">
        <v>6</v>
      </c>
      <c r="C6" s="8" t="s">
        <v>7</v>
      </c>
      <c r="D6" s="8" t="s">
        <v>8</v>
      </c>
      <c r="E6" s="8" t="s">
        <v>9</v>
      </c>
      <c r="F6" s="8" t="s">
        <v>10</v>
      </c>
      <c r="G6" s="8" t="s">
        <v>11</v>
      </c>
      <c r="H6" s="65" t="s">
        <v>12</v>
      </c>
      <c r="I6" s="65"/>
      <c r="J6" s="10"/>
    </row>
    <row r="7" spans="1:10" ht="31.5" customHeight="1">
      <c r="A7" s="11" t="s">
        <v>13</v>
      </c>
      <c r="B7" s="12">
        <v>46117</v>
      </c>
      <c r="C7" s="12">
        <v>46147</v>
      </c>
      <c r="D7" s="12">
        <v>46178</v>
      </c>
      <c r="E7" s="12">
        <v>46208</v>
      </c>
      <c r="F7" s="12">
        <v>46239</v>
      </c>
      <c r="G7" s="12">
        <v>46270</v>
      </c>
      <c r="H7" s="9" t="s">
        <v>20</v>
      </c>
      <c r="I7" s="9" t="s">
        <v>21</v>
      </c>
    </row>
    <row r="8" spans="1:10" s="6" customFormat="1" ht="22.5" customHeight="1">
      <c r="A8" s="13" t="s">
        <v>22</v>
      </c>
      <c r="B8" s="14"/>
      <c r="C8" s="14"/>
      <c r="D8" s="15"/>
      <c r="E8" s="14"/>
      <c r="F8" s="14"/>
      <c r="G8" s="14"/>
      <c r="H8" s="16">
        <f t="shared" ref="H8:H18" si="0">SUM(B8:G8)</f>
        <v>0</v>
      </c>
      <c r="I8" s="17">
        <f>H8*10/1000</f>
        <v>0</v>
      </c>
    </row>
    <row r="9" spans="1:10" s="6" customFormat="1" ht="22.5" customHeight="1">
      <c r="A9" s="49" t="s">
        <v>83</v>
      </c>
      <c r="B9" s="50"/>
      <c r="C9" s="50"/>
      <c r="D9" s="51">
        <v>640</v>
      </c>
      <c r="E9" s="50"/>
      <c r="F9" s="50"/>
      <c r="G9" s="50"/>
      <c r="H9" s="52">
        <f t="shared" si="0"/>
        <v>640</v>
      </c>
      <c r="I9" s="53">
        <f>H9*25/1000</f>
        <v>16</v>
      </c>
    </row>
    <row r="10" spans="1:10" s="6" customFormat="1" ht="22.5" customHeight="1">
      <c r="A10" s="49" t="s">
        <v>84</v>
      </c>
      <c r="B10" s="50">
        <v>200</v>
      </c>
      <c r="C10" s="50"/>
      <c r="D10" s="51">
        <v>320</v>
      </c>
      <c r="E10" s="50"/>
      <c r="F10" s="50"/>
      <c r="G10" s="50"/>
      <c r="H10" s="52">
        <f t="shared" si="0"/>
        <v>520</v>
      </c>
      <c r="I10" s="54">
        <f>H10*25/1000</f>
        <v>13</v>
      </c>
    </row>
    <row r="11" spans="1:10" s="6" customFormat="1" ht="22.5" customHeight="1">
      <c r="A11" s="49" t="s">
        <v>85</v>
      </c>
      <c r="B11" s="50"/>
      <c r="C11" s="50"/>
      <c r="D11" s="51"/>
      <c r="E11" s="50"/>
      <c r="F11" s="50"/>
      <c r="G11" s="55"/>
      <c r="H11" s="52">
        <f t="shared" si="0"/>
        <v>0</v>
      </c>
      <c r="I11" s="54">
        <f t="shared" ref="I11:I18" si="1">H11*25/1000</f>
        <v>0</v>
      </c>
    </row>
    <row r="12" spans="1:10" s="6" customFormat="1" ht="22.5" customHeight="1">
      <c r="A12" s="19">
        <v>552</v>
      </c>
      <c r="B12" s="14"/>
      <c r="C12" s="14">
        <v>664</v>
      </c>
      <c r="D12" s="15"/>
      <c r="E12" s="14">
        <v>664</v>
      </c>
      <c r="F12" s="14">
        <v>664</v>
      </c>
      <c r="G12" s="14"/>
      <c r="H12" s="16">
        <f t="shared" si="0"/>
        <v>1992</v>
      </c>
      <c r="I12" s="20">
        <f t="shared" si="1"/>
        <v>49.8</v>
      </c>
    </row>
    <row r="13" spans="1:10" s="6" customFormat="1" ht="22.5" customHeight="1">
      <c r="A13" s="19" t="s">
        <v>25</v>
      </c>
      <c r="B13" s="14">
        <v>664</v>
      </c>
      <c r="C13" s="14"/>
      <c r="D13" s="15">
        <v>664</v>
      </c>
      <c r="E13" s="14"/>
      <c r="F13" s="14"/>
      <c r="G13" s="14">
        <v>664</v>
      </c>
      <c r="H13" s="16">
        <f t="shared" si="0"/>
        <v>1992</v>
      </c>
      <c r="I13" s="20">
        <f t="shared" si="1"/>
        <v>49.8</v>
      </c>
    </row>
    <row r="14" spans="1:10" s="6" customFormat="1" ht="22.5" customHeight="1">
      <c r="A14" s="19" t="s">
        <v>26</v>
      </c>
      <c r="B14" s="14"/>
      <c r="C14" s="14"/>
      <c r="D14" s="15"/>
      <c r="E14" s="14"/>
      <c r="F14" s="14"/>
      <c r="G14" s="14"/>
      <c r="H14" s="16">
        <f t="shared" si="0"/>
        <v>0</v>
      </c>
      <c r="I14" s="20">
        <f t="shared" si="1"/>
        <v>0</v>
      </c>
    </row>
    <row r="15" spans="1:10" s="6" customFormat="1" ht="22.5" customHeight="1">
      <c r="A15" s="19" t="s">
        <v>27</v>
      </c>
      <c r="B15" s="14">
        <v>120</v>
      </c>
      <c r="C15" s="14"/>
      <c r="D15" s="15"/>
      <c r="E15" s="14"/>
      <c r="F15" s="14"/>
      <c r="G15" s="14"/>
      <c r="H15" s="16">
        <f t="shared" si="0"/>
        <v>120</v>
      </c>
      <c r="I15" s="20">
        <f t="shared" si="1"/>
        <v>3</v>
      </c>
    </row>
    <row r="16" spans="1:10" s="6" customFormat="1" ht="21.75" customHeight="1">
      <c r="A16" s="19">
        <v>562</v>
      </c>
      <c r="B16" s="14"/>
      <c r="C16" s="14">
        <v>976</v>
      </c>
      <c r="D16" s="15"/>
      <c r="E16" s="14"/>
      <c r="F16" s="14">
        <v>976</v>
      </c>
      <c r="G16" s="14"/>
      <c r="H16" s="16">
        <f t="shared" si="0"/>
        <v>1952</v>
      </c>
      <c r="I16" s="20">
        <f t="shared" si="1"/>
        <v>48.8</v>
      </c>
    </row>
    <row r="17" spans="1:11" s="6" customFormat="1" ht="22.5" customHeight="1">
      <c r="A17" s="19">
        <v>566</v>
      </c>
      <c r="B17" s="14">
        <v>600</v>
      </c>
      <c r="C17" s="14"/>
      <c r="D17" s="15"/>
      <c r="F17" s="14"/>
      <c r="G17" s="14"/>
      <c r="H17" s="16">
        <f t="shared" si="0"/>
        <v>600</v>
      </c>
      <c r="I17" s="20">
        <f t="shared" si="1"/>
        <v>15</v>
      </c>
    </row>
    <row r="18" spans="1:11" s="6" customFormat="1" ht="22.5" customHeight="1">
      <c r="A18" s="19" t="s">
        <v>28</v>
      </c>
      <c r="B18" s="14">
        <v>280</v>
      </c>
      <c r="C18" s="14">
        <v>1200</v>
      </c>
      <c r="D18" s="15">
        <v>240</v>
      </c>
      <c r="E18" s="14"/>
      <c r="F18" s="14"/>
      <c r="G18" s="14"/>
      <c r="H18" s="16">
        <f t="shared" si="0"/>
        <v>1720</v>
      </c>
      <c r="I18" s="20">
        <f t="shared" si="1"/>
        <v>43</v>
      </c>
    </row>
    <row r="19" spans="1:11" s="6" customFormat="1" ht="30.75" customHeight="1">
      <c r="A19" s="21" t="s">
        <v>29</v>
      </c>
      <c r="B19" s="22">
        <f>SUM(B8:B18)</f>
        <v>1864</v>
      </c>
      <c r="C19" s="22">
        <f t="shared" ref="C19:G19" si="2">SUM(C8:C18)</f>
        <v>2840</v>
      </c>
      <c r="D19" s="22">
        <f t="shared" si="2"/>
        <v>1864</v>
      </c>
      <c r="E19" s="22">
        <f t="shared" si="2"/>
        <v>664</v>
      </c>
      <c r="F19" s="22">
        <f t="shared" si="2"/>
        <v>1640</v>
      </c>
      <c r="G19" s="22">
        <f t="shared" si="2"/>
        <v>664</v>
      </c>
      <c r="H19" s="22">
        <f>SUM(H8:H18)</f>
        <v>9536</v>
      </c>
      <c r="I19" s="23">
        <f>SUM(I8:I18)</f>
        <v>238.39999999999998</v>
      </c>
      <c r="J19" s="24"/>
      <c r="K19" s="24"/>
    </row>
    <row r="20" spans="1:11" ht="12" customHeight="1">
      <c r="A20" s="25"/>
      <c r="J20" s="26"/>
    </row>
    <row r="21" spans="1:11" ht="12.75" customHeight="1">
      <c r="A21" s="25"/>
      <c r="H21" s="26"/>
      <c r="J21" s="26"/>
    </row>
    <row r="22" spans="1:11" s="29" customFormat="1" ht="45" customHeight="1">
      <c r="A22" s="27" t="s">
        <v>30</v>
      </c>
      <c r="B22" s="27" t="s">
        <v>31</v>
      </c>
      <c r="C22" s="27" t="s">
        <v>32</v>
      </c>
      <c r="D22" s="28" t="s">
        <v>33</v>
      </c>
      <c r="E22" s="27" t="s">
        <v>34</v>
      </c>
    </row>
    <row r="23" spans="1:11" s="34" customFormat="1" ht="28.5" customHeight="1">
      <c r="A23" s="66" t="s">
        <v>6</v>
      </c>
      <c r="B23" s="60">
        <v>46146</v>
      </c>
      <c r="C23" s="32" t="s">
        <v>23</v>
      </c>
      <c r="D23" s="33">
        <v>14000</v>
      </c>
      <c r="E23" s="30"/>
      <c r="F23" s="29"/>
      <c r="G23" s="41"/>
      <c r="H23" s="41"/>
    </row>
    <row r="24" spans="1:11" s="34" customFormat="1" ht="28.5" customHeight="1">
      <c r="A24" s="67"/>
      <c r="B24" s="61"/>
      <c r="C24" s="32" t="s">
        <v>26</v>
      </c>
      <c r="D24" s="33">
        <v>14000</v>
      </c>
      <c r="E24" s="30"/>
      <c r="F24" s="29"/>
      <c r="G24" s="41"/>
      <c r="H24" s="41"/>
    </row>
    <row r="25" spans="1:11" s="34" customFormat="1" ht="28.5" customHeight="1">
      <c r="A25" s="35" t="s">
        <v>7</v>
      </c>
      <c r="B25" s="36">
        <v>46147</v>
      </c>
      <c r="C25" s="32"/>
      <c r="D25" s="33"/>
      <c r="E25" s="30"/>
      <c r="F25" s="29"/>
      <c r="G25" s="41"/>
      <c r="H25" s="41"/>
    </row>
    <row r="26" spans="1:11" s="34" customFormat="1" ht="28.5" customHeight="1">
      <c r="A26" s="35" t="s">
        <v>8</v>
      </c>
      <c r="B26" s="36">
        <v>46148</v>
      </c>
      <c r="C26" s="32"/>
      <c r="D26" s="33"/>
      <c r="E26" s="30"/>
      <c r="F26" s="29"/>
    </row>
    <row r="27" spans="1:11" s="34" customFormat="1" ht="28.5" customHeight="1">
      <c r="A27" s="35" t="s">
        <v>35</v>
      </c>
      <c r="B27" s="36">
        <v>46149</v>
      </c>
      <c r="C27" s="32"/>
      <c r="D27" s="33"/>
      <c r="E27" s="30"/>
      <c r="F27" s="29"/>
    </row>
    <row r="28" spans="1:11" s="34" customFormat="1" ht="28.5" customHeight="1">
      <c r="A28" s="58" t="s">
        <v>10</v>
      </c>
      <c r="B28" s="60">
        <v>46150</v>
      </c>
      <c r="C28" s="32" t="s">
        <v>23</v>
      </c>
      <c r="D28" s="33">
        <v>14000</v>
      </c>
      <c r="E28" s="30"/>
      <c r="F28" s="29"/>
    </row>
    <row r="29" spans="1:11" s="34" customFormat="1" ht="28.5" customHeight="1">
      <c r="A29" s="59"/>
      <c r="B29" s="61"/>
      <c r="C29" s="32" t="s">
        <v>24</v>
      </c>
      <c r="D29" s="33">
        <v>14000</v>
      </c>
      <c r="E29" s="30"/>
      <c r="F29" s="29"/>
    </row>
    <row r="30" spans="1:11" s="34" customFormat="1" ht="28.5" customHeight="1">
      <c r="A30" s="30" t="s">
        <v>11</v>
      </c>
      <c r="B30" s="31">
        <v>46151</v>
      </c>
      <c r="C30" s="32"/>
      <c r="D30" s="33"/>
      <c r="E30" s="30"/>
      <c r="F30" s="29"/>
    </row>
    <row r="31" spans="1:11">
      <c r="D31" s="39">
        <f>SUM(D23:D30)</f>
        <v>56000</v>
      </c>
    </row>
  </sheetData>
  <mergeCells count="10">
    <mergeCell ref="A28:A29"/>
    <mergeCell ref="B28:B29"/>
    <mergeCell ref="A1:E1"/>
    <mergeCell ref="A2:E2"/>
    <mergeCell ref="A3:E3"/>
    <mergeCell ref="A4:I4"/>
    <mergeCell ref="A5:I5"/>
    <mergeCell ref="H6:I6"/>
    <mergeCell ref="A23:A24"/>
    <mergeCell ref="B23:B24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5C8C45-9014-4226-88B2-051BA1B91B8E}">
  <sheetPr>
    <tabColor rgb="FFFFFF00"/>
  </sheetPr>
  <dimension ref="A1:K30"/>
  <sheetViews>
    <sheetView tabSelected="1" topLeftCell="A9" zoomScale="90" zoomScaleNormal="90" workbookViewId="0">
      <selection activeCell="A4" sqref="A4:I4"/>
    </sheetView>
  </sheetViews>
  <sheetFormatPr defaultColWidth="9.125" defaultRowHeight="15"/>
  <cols>
    <col min="1" max="1" width="16.375" style="3" customWidth="1"/>
    <col min="2" max="2" width="15.75" style="3" bestFit="1" customWidth="1"/>
    <col min="3" max="7" width="14.625" style="3" customWidth="1"/>
    <col min="8" max="8" width="13.625" style="3" customWidth="1"/>
    <col min="9" max="9" width="16.75" style="3" customWidth="1"/>
    <col min="10" max="10" width="16.625" style="3" customWidth="1"/>
    <col min="11" max="11" width="12" style="3" customWidth="1"/>
    <col min="12" max="12" width="14.875" style="3" customWidth="1"/>
    <col min="13" max="13" width="11.875" style="3" customWidth="1"/>
    <col min="14" max="14" width="12.875" style="3" bestFit="1" customWidth="1"/>
    <col min="15" max="15" width="11.75" style="3" customWidth="1"/>
    <col min="16" max="16384" width="9.125" style="3"/>
  </cols>
  <sheetData>
    <row r="1" spans="1:10" ht="15.75">
      <c r="A1" s="62" t="s">
        <v>0</v>
      </c>
      <c r="B1" s="62"/>
      <c r="C1" s="62"/>
      <c r="D1" s="62"/>
      <c r="E1" s="62"/>
      <c r="F1" s="1"/>
      <c r="G1" s="1"/>
      <c r="H1" s="2"/>
      <c r="I1" s="2"/>
      <c r="J1" s="2"/>
    </row>
    <row r="2" spans="1:10" ht="15.75">
      <c r="A2" s="62" t="s">
        <v>1</v>
      </c>
      <c r="B2" s="62"/>
      <c r="C2" s="62"/>
      <c r="D2" s="62"/>
      <c r="E2" s="62"/>
      <c r="F2" s="1"/>
      <c r="G2" s="1"/>
      <c r="H2" s="2"/>
      <c r="I2" s="2"/>
      <c r="J2" s="2"/>
    </row>
    <row r="3" spans="1:10" ht="15.75">
      <c r="A3" s="62" t="s">
        <v>2</v>
      </c>
      <c r="B3" s="62"/>
      <c r="C3" s="62"/>
      <c r="D3" s="62"/>
      <c r="E3" s="62"/>
      <c r="F3" s="1"/>
      <c r="G3" s="1"/>
      <c r="H3" s="2"/>
      <c r="I3" s="2"/>
      <c r="J3" s="2"/>
    </row>
    <row r="4" spans="1:10" ht="27.75" customHeight="1">
      <c r="A4" s="63" t="s">
        <v>3</v>
      </c>
      <c r="B4" s="63"/>
      <c r="C4" s="63"/>
      <c r="D4" s="63"/>
      <c r="E4" s="63"/>
      <c r="F4" s="63"/>
      <c r="G4" s="63"/>
      <c r="H4" s="63"/>
      <c r="I4" s="63"/>
      <c r="J4" s="4"/>
    </row>
    <row r="5" spans="1:10" s="6" customFormat="1" ht="23.25" customHeight="1">
      <c r="A5" s="64" t="s">
        <v>122</v>
      </c>
      <c r="B5" s="64"/>
      <c r="C5" s="64"/>
      <c r="D5" s="64"/>
      <c r="E5" s="64"/>
      <c r="F5" s="64"/>
      <c r="G5" s="64"/>
      <c r="H5" s="64"/>
      <c r="I5" s="64"/>
      <c r="J5" s="5"/>
    </row>
    <row r="6" spans="1:10" ht="55.5" customHeight="1">
      <c r="A6" s="7" t="s">
        <v>5</v>
      </c>
      <c r="B6" s="8" t="s">
        <v>6</v>
      </c>
      <c r="C6" s="8" t="s">
        <v>7</v>
      </c>
      <c r="D6" s="8" t="s">
        <v>8</v>
      </c>
      <c r="E6" s="8" t="s">
        <v>9</v>
      </c>
      <c r="F6" s="8" t="s">
        <v>10</v>
      </c>
      <c r="G6" s="8" t="s">
        <v>11</v>
      </c>
      <c r="H6" s="65" t="s">
        <v>12</v>
      </c>
      <c r="I6" s="65"/>
      <c r="J6" s="10"/>
    </row>
    <row r="7" spans="1:10" ht="31.5" customHeight="1">
      <c r="A7" s="11" t="s">
        <v>13</v>
      </c>
      <c r="B7" s="12" t="s">
        <v>123</v>
      </c>
      <c r="C7" s="12" t="s">
        <v>124</v>
      </c>
      <c r="D7" s="12" t="s">
        <v>125</v>
      </c>
      <c r="E7" s="12" t="s">
        <v>126</v>
      </c>
      <c r="F7" s="12">
        <v>46027</v>
      </c>
      <c r="G7" s="12">
        <v>46058</v>
      </c>
      <c r="H7" s="9" t="s">
        <v>20</v>
      </c>
      <c r="I7" s="9" t="s">
        <v>21</v>
      </c>
    </row>
    <row r="8" spans="1:10" s="6" customFormat="1" ht="22.5" customHeight="1">
      <c r="A8" s="13" t="s">
        <v>22</v>
      </c>
      <c r="B8" s="14"/>
      <c r="C8" s="14"/>
      <c r="D8" s="15"/>
      <c r="E8" s="14"/>
      <c r="F8" s="14"/>
      <c r="G8" s="14"/>
      <c r="H8" s="16">
        <f t="shared" ref="H8:H18" si="0">SUM(B8:G8)</f>
        <v>0</v>
      </c>
      <c r="I8" s="17">
        <f>H8*10/1000</f>
        <v>0</v>
      </c>
    </row>
    <row r="9" spans="1:10" s="6" customFormat="1" ht="22.5" customHeight="1">
      <c r="A9" s="49" t="s">
        <v>83</v>
      </c>
      <c r="B9" s="50"/>
      <c r="C9" s="50"/>
      <c r="D9" s="51">
        <v>640</v>
      </c>
      <c r="E9" s="50"/>
      <c r="F9" s="50"/>
      <c r="G9" s="50"/>
      <c r="H9" s="52">
        <f t="shared" si="0"/>
        <v>640</v>
      </c>
      <c r="I9" s="53">
        <f>H9*25/1000</f>
        <v>16</v>
      </c>
    </row>
    <row r="10" spans="1:10" s="6" customFormat="1" ht="22.5" customHeight="1">
      <c r="A10" s="49" t="s">
        <v>84</v>
      </c>
      <c r="B10" s="50"/>
      <c r="C10" s="50"/>
      <c r="D10" s="51">
        <v>120</v>
      </c>
      <c r="E10" s="50"/>
      <c r="F10" s="50"/>
      <c r="G10" s="50"/>
      <c r="H10" s="52">
        <f t="shared" si="0"/>
        <v>120</v>
      </c>
      <c r="I10" s="54">
        <f>H10*25/1000</f>
        <v>3</v>
      </c>
    </row>
    <row r="11" spans="1:10" s="6" customFormat="1" ht="22.5" customHeight="1">
      <c r="A11" s="49" t="s">
        <v>85</v>
      </c>
      <c r="B11" s="50"/>
      <c r="C11" s="50"/>
      <c r="D11" s="51"/>
      <c r="E11" s="50"/>
      <c r="F11" s="50"/>
      <c r="G11" s="55"/>
      <c r="H11" s="52">
        <f t="shared" si="0"/>
        <v>0</v>
      </c>
      <c r="I11" s="54">
        <f t="shared" ref="I11:I18" si="1">H11*25/1000</f>
        <v>0</v>
      </c>
    </row>
    <row r="12" spans="1:10" s="6" customFormat="1" ht="22.5" customHeight="1">
      <c r="A12" s="19">
        <v>552</v>
      </c>
      <c r="B12" s="14"/>
      <c r="C12" s="14">
        <v>664</v>
      </c>
      <c r="D12" s="15">
        <v>664</v>
      </c>
      <c r="E12" s="14"/>
      <c r="F12" s="14"/>
      <c r="G12" s="14"/>
      <c r="H12" s="16">
        <f t="shared" si="0"/>
        <v>1328</v>
      </c>
      <c r="I12" s="20">
        <f t="shared" si="1"/>
        <v>33.200000000000003</v>
      </c>
    </row>
    <row r="13" spans="1:10" s="6" customFormat="1" ht="22.5" customHeight="1">
      <c r="A13" s="19" t="s">
        <v>25</v>
      </c>
      <c r="B13" s="14"/>
      <c r="C13" s="14"/>
      <c r="D13" s="15">
        <v>440</v>
      </c>
      <c r="E13" s="14"/>
      <c r="F13" s="14"/>
      <c r="G13" s="14">
        <v>664</v>
      </c>
      <c r="H13" s="16">
        <f t="shared" si="0"/>
        <v>1104</v>
      </c>
      <c r="I13" s="20">
        <f t="shared" si="1"/>
        <v>27.6</v>
      </c>
    </row>
    <row r="14" spans="1:10" s="6" customFormat="1" ht="22.5" customHeight="1">
      <c r="A14" s="19" t="s">
        <v>26</v>
      </c>
      <c r="B14" s="14"/>
      <c r="C14" s="14"/>
      <c r="D14" s="15"/>
      <c r="E14" s="14"/>
      <c r="F14" s="14"/>
      <c r="G14" s="14"/>
      <c r="H14" s="16">
        <f t="shared" si="0"/>
        <v>0</v>
      </c>
      <c r="I14" s="20">
        <f t="shared" si="1"/>
        <v>0</v>
      </c>
    </row>
    <row r="15" spans="1:10" s="6" customFormat="1" ht="22.5" customHeight="1">
      <c r="A15" s="19" t="s">
        <v>27</v>
      </c>
      <c r="B15" s="14"/>
      <c r="C15" s="14">
        <v>180</v>
      </c>
      <c r="D15" s="15"/>
      <c r="E15" s="14"/>
      <c r="F15" s="14"/>
      <c r="G15" s="14"/>
      <c r="H15" s="16">
        <f t="shared" si="0"/>
        <v>180</v>
      </c>
      <c r="I15" s="20">
        <f t="shared" si="1"/>
        <v>4.5</v>
      </c>
    </row>
    <row r="16" spans="1:10" s="6" customFormat="1" ht="22.5" customHeight="1">
      <c r="A16" s="19">
        <v>562</v>
      </c>
      <c r="B16" s="14"/>
      <c r="C16" s="14">
        <v>976</v>
      </c>
      <c r="D16" s="15"/>
      <c r="E16" s="14"/>
      <c r="F16" s="14"/>
      <c r="G16" s="14">
        <v>976</v>
      </c>
      <c r="H16" s="16">
        <f t="shared" si="0"/>
        <v>1952</v>
      </c>
      <c r="I16" s="20">
        <f t="shared" si="1"/>
        <v>48.8</v>
      </c>
    </row>
    <row r="17" spans="1:11" s="6" customFormat="1" ht="22.5" customHeight="1">
      <c r="A17" s="19">
        <v>566</v>
      </c>
      <c r="B17" s="14"/>
      <c r="C17" s="14">
        <v>240</v>
      </c>
      <c r="D17" s="15"/>
      <c r="F17" s="14"/>
      <c r="G17" s="14"/>
      <c r="H17" s="16">
        <f t="shared" si="0"/>
        <v>240</v>
      </c>
      <c r="I17" s="20">
        <f t="shared" si="1"/>
        <v>6</v>
      </c>
    </row>
    <row r="18" spans="1:11" s="6" customFormat="1" ht="22.5" customHeight="1">
      <c r="A18" s="19" t="s">
        <v>28</v>
      </c>
      <c r="B18" s="14"/>
      <c r="C18" s="14">
        <v>780</v>
      </c>
      <c r="D18" s="15"/>
      <c r="E18" s="14"/>
      <c r="F18" s="14"/>
      <c r="G18" s="14">
        <v>1200</v>
      </c>
      <c r="H18" s="16">
        <f t="shared" si="0"/>
        <v>1980</v>
      </c>
      <c r="I18" s="20">
        <f t="shared" si="1"/>
        <v>49.5</v>
      </c>
    </row>
    <row r="19" spans="1:11" s="6" customFormat="1" ht="30.75" customHeight="1">
      <c r="A19" s="21" t="s">
        <v>29</v>
      </c>
      <c r="B19" s="22">
        <f>SUM(B8:B18)</f>
        <v>0</v>
      </c>
      <c r="C19" s="22">
        <f t="shared" ref="C19:G19" si="2">SUM(C8:C18)</f>
        <v>2840</v>
      </c>
      <c r="D19" s="22">
        <f t="shared" si="2"/>
        <v>1864</v>
      </c>
      <c r="E19" s="22">
        <f t="shared" si="2"/>
        <v>0</v>
      </c>
      <c r="F19" s="22">
        <f t="shared" si="2"/>
        <v>0</v>
      </c>
      <c r="G19" s="22">
        <f t="shared" si="2"/>
        <v>2840</v>
      </c>
      <c r="H19" s="22">
        <f>SUM(H8:H18)</f>
        <v>7544</v>
      </c>
      <c r="I19" s="23">
        <f>SUM(I8:I18)</f>
        <v>188.60000000000002</v>
      </c>
      <c r="J19" s="24"/>
      <c r="K19" s="24"/>
    </row>
    <row r="20" spans="1:11" ht="12" customHeight="1">
      <c r="A20" s="25"/>
      <c r="J20" s="26"/>
    </row>
    <row r="21" spans="1:11" ht="12.75" customHeight="1">
      <c r="A21" s="25"/>
      <c r="H21" s="26"/>
      <c r="J21" s="26"/>
    </row>
    <row r="22" spans="1:11" s="29" customFormat="1" ht="45" customHeight="1">
      <c r="A22" s="27" t="s">
        <v>30</v>
      </c>
      <c r="B22" s="27" t="s">
        <v>31</v>
      </c>
      <c r="C22" s="27" t="s">
        <v>32</v>
      </c>
      <c r="D22" s="28" t="s">
        <v>33</v>
      </c>
      <c r="E22" s="27" t="s">
        <v>34</v>
      </c>
    </row>
    <row r="23" spans="1:11" s="34" customFormat="1" ht="28.5" customHeight="1">
      <c r="A23" s="37" t="s">
        <v>6</v>
      </c>
      <c r="B23" s="36">
        <v>46139</v>
      </c>
      <c r="C23" s="32"/>
      <c r="D23" s="33"/>
      <c r="E23" s="30"/>
      <c r="F23" s="29"/>
      <c r="G23" s="41"/>
      <c r="H23" s="41"/>
    </row>
    <row r="24" spans="1:11" s="34" customFormat="1" ht="28.5" customHeight="1">
      <c r="A24" s="58" t="s">
        <v>7</v>
      </c>
      <c r="B24" s="60">
        <v>46140</v>
      </c>
      <c r="C24" s="32" t="s">
        <v>23</v>
      </c>
      <c r="D24" s="33">
        <v>14000</v>
      </c>
      <c r="E24" s="30"/>
      <c r="F24" s="29"/>
      <c r="G24" s="41"/>
      <c r="H24" s="41"/>
    </row>
    <row r="25" spans="1:11" s="34" customFormat="1" ht="28.5" customHeight="1">
      <c r="A25" s="59"/>
      <c r="B25" s="61"/>
      <c r="C25" s="32" t="s">
        <v>25</v>
      </c>
      <c r="D25" s="33">
        <v>14000</v>
      </c>
      <c r="E25" s="30"/>
      <c r="F25" s="29"/>
      <c r="G25" s="41"/>
    </row>
    <row r="26" spans="1:11" s="34" customFormat="1" ht="28.5" customHeight="1">
      <c r="A26" s="35" t="s">
        <v>8</v>
      </c>
      <c r="B26" s="36">
        <v>46141</v>
      </c>
      <c r="C26" s="32"/>
      <c r="D26" s="33"/>
      <c r="E26" s="30"/>
      <c r="F26" s="29"/>
    </row>
    <row r="27" spans="1:11" s="34" customFormat="1" ht="28.5" customHeight="1">
      <c r="A27" s="35" t="s">
        <v>35</v>
      </c>
      <c r="B27" s="36">
        <v>46142</v>
      </c>
      <c r="C27" s="32"/>
      <c r="D27" s="33"/>
      <c r="E27" s="30"/>
      <c r="F27" s="29"/>
    </row>
    <row r="28" spans="1:11" s="34" customFormat="1" ht="28.5" customHeight="1">
      <c r="A28" s="35" t="s">
        <v>10</v>
      </c>
      <c r="B28" s="36">
        <v>46143</v>
      </c>
      <c r="C28" s="32"/>
      <c r="D28" s="33"/>
      <c r="E28" s="30"/>
      <c r="F28" s="29"/>
    </row>
    <row r="29" spans="1:11" s="34" customFormat="1" ht="28.5" customHeight="1">
      <c r="A29" s="30" t="s">
        <v>11</v>
      </c>
      <c r="B29" s="31">
        <v>46144</v>
      </c>
      <c r="C29" s="32"/>
      <c r="D29" s="33"/>
      <c r="E29" s="30"/>
      <c r="F29" s="29"/>
    </row>
    <row r="30" spans="1:11">
      <c r="D30" s="39">
        <f>SUM(D23:D29)</f>
        <v>28000</v>
      </c>
    </row>
  </sheetData>
  <mergeCells count="8">
    <mergeCell ref="A24:A25"/>
    <mergeCell ref="B24:B25"/>
    <mergeCell ref="A1:E1"/>
    <mergeCell ref="A2:E2"/>
    <mergeCell ref="A3:E3"/>
    <mergeCell ref="A4:I4"/>
    <mergeCell ref="A5:I5"/>
    <mergeCell ref="H6:I6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4E3C9D-22E1-45C8-BF70-A6194D8272F6}">
  <sheetPr>
    <tabColor rgb="FFFFFF00"/>
  </sheetPr>
  <dimension ref="A1:K31"/>
  <sheetViews>
    <sheetView zoomScale="90" zoomScaleNormal="90" workbookViewId="0">
      <selection activeCell="A4" sqref="A4:I4"/>
    </sheetView>
  </sheetViews>
  <sheetFormatPr defaultColWidth="9.125" defaultRowHeight="15"/>
  <cols>
    <col min="1" max="1" width="16.375" style="3" customWidth="1"/>
    <col min="2" max="2" width="15.75" style="3" bestFit="1" customWidth="1"/>
    <col min="3" max="7" width="14.625" style="3" customWidth="1"/>
    <col min="8" max="8" width="13.625" style="3" customWidth="1"/>
    <col min="9" max="9" width="16.75" style="3" customWidth="1"/>
    <col min="10" max="10" width="16.625" style="3" customWidth="1"/>
    <col min="11" max="11" width="12" style="3" customWidth="1"/>
    <col min="12" max="12" width="14.875" style="3" customWidth="1"/>
    <col min="13" max="13" width="11.875" style="3" customWidth="1"/>
    <col min="14" max="14" width="12.875" style="3" bestFit="1" customWidth="1"/>
    <col min="15" max="15" width="11.75" style="3" customWidth="1"/>
    <col min="16" max="16384" width="9.125" style="3"/>
  </cols>
  <sheetData>
    <row r="1" spans="1:10" ht="15.75">
      <c r="A1" s="62" t="s">
        <v>0</v>
      </c>
      <c r="B1" s="62"/>
      <c r="C1" s="62"/>
      <c r="D1" s="62"/>
      <c r="E1" s="62"/>
      <c r="F1" s="1"/>
      <c r="G1" s="1"/>
      <c r="H1" s="2"/>
      <c r="I1" s="2"/>
      <c r="J1" s="2"/>
    </row>
    <row r="2" spans="1:10" ht="15.75">
      <c r="A2" s="62" t="s">
        <v>1</v>
      </c>
      <c r="B2" s="62"/>
      <c r="C2" s="62"/>
      <c r="D2" s="62"/>
      <c r="E2" s="62"/>
      <c r="F2" s="1"/>
      <c r="G2" s="1"/>
      <c r="H2" s="2"/>
      <c r="I2" s="2"/>
      <c r="J2" s="2"/>
    </row>
    <row r="3" spans="1:10" ht="15.75">
      <c r="A3" s="62" t="s">
        <v>2</v>
      </c>
      <c r="B3" s="62"/>
      <c r="C3" s="62"/>
      <c r="D3" s="62"/>
      <c r="E3" s="62"/>
      <c r="F3" s="1"/>
      <c r="G3" s="1"/>
      <c r="H3" s="2"/>
      <c r="I3" s="2"/>
      <c r="J3" s="2"/>
    </row>
    <row r="4" spans="1:10" ht="27.75" customHeight="1">
      <c r="A4" s="63" t="s">
        <v>3</v>
      </c>
      <c r="B4" s="63"/>
      <c r="C4" s="63"/>
      <c r="D4" s="63"/>
      <c r="E4" s="63"/>
      <c r="F4" s="63"/>
      <c r="G4" s="63"/>
      <c r="H4" s="63"/>
      <c r="I4" s="63"/>
      <c r="J4" s="4"/>
    </row>
    <row r="5" spans="1:10" s="6" customFormat="1" ht="23.25" customHeight="1">
      <c r="A5" s="64" t="s">
        <v>120</v>
      </c>
      <c r="B5" s="64"/>
      <c r="C5" s="64"/>
      <c r="D5" s="64"/>
      <c r="E5" s="64"/>
      <c r="F5" s="64"/>
      <c r="G5" s="64"/>
      <c r="H5" s="64"/>
      <c r="I5" s="64"/>
      <c r="J5" s="5"/>
    </row>
    <row r="6" spans="1:10" ht="55.5" customHeight="1">
      <c r="A6" s="7" t="s">
        <v>5</v>
      </c>
      <c r="B6" s="8" t="s">
        <v>6</v>
      </c>
      <c r="C6" s="8" t="s">
        <v>7</v>
      </c>
      <c r="D6" s="8" t="s">
        <v>8</v>
      </c>
      <c r="E6" s="8" t="s">
        <v>9</v>
      </c>
      <c r="F6" s="8" t="s">
        <v>10</v>
      </c>
      <c r="G6" s="8" t="s">
        <v>11</v>
      </c>
      <c r="H6" s="65" t="s">
        <v>12</v>
      </c>
      <c r="I6" s="65"/>
      <c r="J6" s="10"/>
    </row>
    <row r="7" spans="1:10" ht="31.5" customHeight="1">
      <c r="A7" s="11" t="s">
        <v>13</v>
      </c>
      <c r="B7" s="12" t="s">
        <v>114</v>
      </c>
      <c r="C7" s="12" t="s">
        <v>115</v>
      </c>
      <c r="D7" s="12" t="s">
        <v>116</v>
      </c>
      <c r="E7" s="12" t="s">
        <v>117</v>
      </c>
      <c r="F7" s="12" t="s">
        <v>118</v>
      </c>
      <c r="G7" s="12" t="s">
        <v>119</v>
      </c>
      <c r="H7" s="9" t="s">
        <v>20</v>
      </c>
      <c r="I7" s="9" t="s">
        <v>21</v>
      </c>
    </row>
    <row r="8" spans="1:10" s="6" customFormat="1" ht="22.5" customHeight="1">
      <c r="A8" s="13" t="s">
        <v>22</v>
      </c>
      <c r="B8" s="14"/>
      <c r="C8" s="14"/>
      <c r="D8" s="15"/>
      <c r="E8" s="14"/>
      <c r="F8" s="14"/>
      <c r="G8" s="14"/>
      <c r="H8" s="16">
        <f t="shared" ref="H8:H18" si="0">SUM(B8:G8)</f>
        <v>0</v>
      </c>
      <c r="I8" s="17">
        <f>H8*10/1000</f>
        <v>0</v>
      </c>
    </row>
    <row r="9" spans="1:10" s="6" customFormat="1" ht="22.5" customHeight="1">
      <c r="A9" s="49" t="s">
        <v>83</v>
      </c>
      <c r="B9" s="50">
        <v>320</v>
      </c>
      <c r="C9" s="50"/>
      <c r="D9" s="51"/>
      <c r="E9" s="50"/>
      <c r="F9" s="50"/>
      <c r="G9" s="50"/>
      <c r="H9" s="52">
        <f t="shared" si="0"/>
        <v>320</v>
      </c>
      <c r="I9" s="53">
        <f>H9*25/1000</f>
        <v>8</v>
      </c>
    </row>
    <row r="10" spans="1:10" s="6" customFormat="1" ht="22.5" customHeight="1">
      <c r="A10" s="49" t="s">
        <v>84</v>
      </c>
      <c r="B10" s="50"/>
      <c r="C10" s="50"/>
      <c r="D10" s="51"/>
      <c r="E10" s="50"/>
      <c r="F10" s="50"/>
      <c r="G10" s="50"/>
      <c r="H10" s="52">
        <f t="shared" si="0"/>
        <v>0</v>
      </c>
      <c r="I10" s="54">
        <f>H10*25/1000</f>
        <v>0</v>
      </c>
    </row>
    <row r="11" spans="1:10" s="6" customFormat="1" ht="22.5" customHeight="1">
      <c r="A11" s="49" t="s">
        <v>85</v>
      </c>
      <c r="B11" s="50">
        <v>58</v>
      </c>
      <c r="C11" s="50"/>
      <c r="D11" s="51"/>
      <c r="E11" s="50"/>
      <c r="F11" s="50"/>
      <c r="G11" s="55"/>
      <c r="H11" s="52">
        <f t="shared" si="0"/>
        <v>58</v>
      </c>
      <c r="I11" s="54">
        <f t="shared" ref="I11:I18" si="1">H11*25/1000</f>
        <v>1.45</v>
      </c>
    </row>
    <row r="12" spans="1:10" s="6" customFormat="1" ht="22.5" customHeight="1">
      <c r="A12" s="19">
        <v>552</v>
      </c>
      <c r="B12" s="14"/>
      <c r="C12" s="14">
        <v>664</v>
      </c>
      <c r="D12" s="15">
        <v>664</v>
      </c>
      <c r="E12" s="14">
        <v>664</v>
      </c>
      <c r="F12" s="14"/>
      <c r="G12" s="14"/>
      <c r="H12" s="16">
        <f t="shared" si="0"/>
        <v>1992</v>
      </c>
      <c r="I12" s="20">
        <f t="shared" si="1"/>
        <v>49.8</v>
      </c>
    </row>
    <row r="13" spans="1:10" s="6" customFormat="1" ht="22.5" customHeight="1">
      <c r="A13" s="19" t="s">
        <v>25</v>
      </c>
      <c r="B13" s="14">
        <v>664</v>
      </c>
      <c r="C13" s="14"/>
      <c r="D13" s="15"/>
      <c r="E13" s="14"/>
      <c r="F13" s="14"/>
      <c r="G13" s="14"/>
      <c r="H13" s="16">
        <f t="shared" si="0"/>
        <v>664</v>
      </c>
      <c r="I13" s="20">
        <f t="shared" si="1"/>
        <v>16.600000000000001</v>
      </c>
    </row>
    <row r="14" spans="1:10" s="6" customFormat="1" ht="22.5" customHeight="1">
      <c r="A14" s="19" t="s">
        <v>26</v>
      </c>
      <c r="B14" s="14"/>
      <c r="C14" s="14"/>
      <c r="D14" s="15"/>
      <c r="E14" s="14"/>
      <c r="F14" s="14"/>
      <c r="G14" s="14"/>
      <c r="H14" s="16">
        <f t="shared" si="0"/>
        <v>0</v>
      </c>
      <c r="I14" s="20">
        <f t="shared" si="1"/>
        <v>0</v>
      </c>
    </row>
    <row r="15" spans="1:10" s="6" customFormat="1" ht="22.5" customHeight="1">
      <c r="A15" s="19" t="s">
        <v>27</v>
      </c>
      <c r="B15" s="14">
        <v>180</v>
      </c>
      <c r="C15" s="14"/>
      <c r="D15" s="15"/>
      <c r="E15" s="14"/>
      <c r="F15" s="14"/>
      <c r="G15" s="14"/>
      <c r="H15" s="16">
        <f t="shared" si="0"/>
        <v>180</v>
      </c>
      <c r="I15" s="20">
        <f t="shared" si="1"/>
        <v>4.5</v>
      </c>
    </row>
    <row r="16" spans="1:10" s="6" customFormat="1" ht="22.5" customHeight="1">
      <c r="A16" s="19">
        <v>562</v>
      </c>
      <c r="B16" s="14">
        <v>976</v>
      </c>
      <c r="C16" s="14"/>
      <c r="D16" s="15"/>
      <c r="E16" s="14">
        <v>976</v>
      </c>
      <c r="F16" s="14"/>
      <c r="G16" s="14"/>
      <c r="H16" s="16">
        <f t="shared" si="0"/>
        <v>1952</v>
      </c>
      <c r="I16" s="20">
        <f t="shared" si="1"/>
        <v>48.8</v>
      </c>
    </row>
    <row r="17" spans="1:11" s="6" customFormat="1" ht="22.5" customHeight="1">
      <c r="A17" s="19">
        <v>566</v>
      </c>
      <c r="B17" s="14"/>
      <c r="C17" s="14"/>
      <c r="D17" s="15"/>
      <c r="F17" s="14"/>
      <c r="G17" s="14"/>
      <c r="H17" s="16">
        <f t="shared" si="0"/>
        <v>0</v>
      </c>
      <c r="I17" s="20">
        <f t="shared" si="1"/>
        <v>0</v>
      </c>
    </row>
    <row r="18" spans="1:11" s="6" customFormat="1" ht="22.5" customHeight="1">
      <c r="A18" s="19" t="s">
        <v>28</v>
      </c>
      <c r="B18" s="14">
        <v>642</v>
      </c>
      <c r="C18" s="14">
        <v>1200</v>
      </c>
      <c r="D18" s="15"/>
      <c r="E18" s="14"/>
      <c r="F18" s="14"/>
      <c r="G18" s="14"/>
      <c r="H18" s="16">
        <f t="shared" si="0"/>
        <v>1842</v>
      </c>
      <c r="I18" s="20">
        <f t="shared" si="1"/>
        <v>46.05</v>
      </c>
    </row>
    <row r="19" spans="1:11" s="6" customFormat="1" ht="30.75" customHeight="1">
      <c r="A19" s="21" t="s">
        <v>29</v>
      </c>
      <c r="B19" s="22">
        <f>SUM(B8:B18)</f>
        <v>2840</v>
      </c>
      <c r="C19" s="22">
        <f t="shared" ref="C19:G19" si="2">SUM(C8:C18)</f>
        <v>1864</v>
      </c>
      <c r="D19" s="22">
        <f t="shared" si="2"/>
        <v>664</v>
      </c>
      <c r="E19" s="22">
        <f t="shared" si="2"/>
        <v>1640</v>
      </c>
      <c r="F19" s="22">
        <f t="shared" si="2"/>
        <v>0</v>
      </c>
      <c r="G19" s="22">
        <f t="shared" si="2"/>
        <v>0</v>
      </c>
      <c r="H19" s="22">
        <f>SUM(H8:H18)</f>
        <v>7008</v>
      </c>
      <c r="I19" s="23">
        <f>SUM(I8:I18)</f>
        <v>175.2</v>
      </c>
      <c r="J19" s="24"/>
      <c r="K19" s="24"/>
    </row>
    <row r="20" spans="1:11" ht="12" customHeight="1">
      <c r="A20" s="25"/>
      <c r="J20" s="26"/>
    </row>
    <row r="21" spans="1:11" ht="12.75" customHeight="1">
      <c r="A21" s="25"/>
      <c r="H21" s="26"/>
      <c r="J21" s="26"/>
    </row>
    <row r="22" spans="1:11" s="29" customFormat="1" ht="45" customHeight="1">
      <c r="A22" s="27" t="s">
        <v>30</v>
      </c>
      <c r="B22" s="27" t="s">
        <v>31</v>
      </c>
      <c r="C22" s="27" t="s">
        <v>32</v>
      </c>
      <c r="D22" s="28" t="s">
        <v>33</v>
      </c>
      <c r="E22" s="27" t="s">
        <v>34</v>
      </c>
    </row>
    <row r="23" spans="1:11" s="34" customFormat="1" ht="28.5" customHeight="1">
      <c r="A23" s="37" t="s">
        <v>6</v>
      </c>
      <c r="B23" s="36">
        <v>46132</v>
      </c>
      <c r="C23" s="32"/>
      <c r="D23" s="33"/>
      <c r="E23" s="30"/>
      <c r="F23" s="29"/>
      <c r="G23" s="41"/>
      <c r="H23" s="41"/>
    </row>
    <row r="24" spans="1:11" s="34" customFormat="1" ht="28.5" customHeight="1">
      <c r="A24" s="58" t="s">
        <v>7</v>
      </c>
      <c r="B24" s="60">
        <v>46133</v>
      </c>
      <c r="C24" s="32" t="s">
        <v>23</v>
      </c>
      <c r="D24" s="33">
        <v>14000</v>
      </c>
      <c r="E24" s="30"/>
      <c r="F24" s="29"/>
      <c r="G24" s="41"/>
      <c r="H24" s="41"/>
    </row>
    <row r="25" spans="1:11" s="34" customFormat="1" ht="28.5" customHeight="1">
      <c r="A25" s="59"/>
      <c r="B25" s="61"/>
      <c r="C25" s="32">
        <v>552</v>
      </c>
      <c r="D25" s="33">
        <v>14000</v>
      </c>
      <c r="E25" s="30"/>
      <c r="F25" s="29"/>
      <c r="G25" s="41"/>
    </row>
    <row r="26" spans="1:11" s="34" customFormat="1" ht="28.5" customHeight="1">
      <c r="A26" s="35" t="s">
        <v>8</v>
      </c>
      <c r="B26" s="36">
        <v>46134</v>
      </c>
      <c r="C26" s="32"/>
      <c r="D26" s="33"/>
      <c r="E26" s="30"/>
      <c r="F26" s="29"/>
    </row>
    <row r="27" spans="1:11" s="34" customFormat="1" ht="28.5" customHeight="1">
      <c r="A27" s="35" t="s">
        <v>35</v>
      </c>
      <c r="B27" s="36">
        <v>46135</v>
      </c>
      <c r="C27" s="32"/>
      <c r="D27" s="33"/>
      <c r="E27" s="30"/>
      <c r="F27" s="29"/>
    </row>
    <row r="28" spans="1:11" s="34" customFormat="1" ht="28.5" customHeight="1">
      <c r="A28" s="58" t="s">
        <v>10</v>
      </c>
      <c r="B28" s="60">
        <v>46136</v>
      </c>
      <c r="C28" s="32" t="s">
        <v>23</v>
      </c>
      <c r="D28" s="33">
        <v>14000</v>
      </c>
      <c r="E28" s="30"/>
      <c r="F28" s="29"/>
    </row>
    <row r="29" spans="1:11" s="34" customFormat="1" ht="28.5" customHeight="1">
      <c r="A29" s="59"/>
      <c r="B29" s="61"/>
      <c r="C29" s="32" t="s">
        <v>121</v>
      </c>
      <c r="D29" s="33">
        <v>14000</v>
      </c>
      <c r="E29" s="30"/>
      <c r="F29" s="29"/>
    </row>
    <row r="30" spans="1:11" s="34" customFormat="1" ht="28.5" customHeight="1">
      <c r="A30" s="30" t="s">
        <v>11</v>
      </c>
      <c r="B30" s="31">
        <v>46137</v>
      </c>
      <c r="C30" s="32"/>
      <c r="D30" s="33"/>
      <c r="E30" s="30"/>
      <c r="F30" s="29"/>
    </row>
    <row r="31" spans="1:11">
      <c r="D31" s="39">
        <f>SUM(D23:D30)</f>
        <v>56000</v>
      </c>
    </row>
  </sheetData>
  <mergeCells count="10">
    <mergeCell ref="H6:I6"/>
    <mergeCell ref="A24:A25"/>
    <mergeCell ref="B24:B25"/>
    <mergeCell ref="A28:A29"/>
    <mergeCell ref="B28:B29"/>
    <mergeCell ref="A1:E1"/>
    <mergeCell ref="A2:E2"/>
    <mergeCell ref="A3:E3"/>
    <mergeCell ref="A4:I4"/>
    <mergeCell ref="A5:I5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5276F9-994C-4214-B677-E01C552233B9}">
  <sheetPr>
    <tabColor rgb="FFFFFF00"/>
  </sheetPr>
  <dimension ref="A1:K29"/>
  <sheetViews>
    <sheetView topLeftCell="A6" zoomScale="90" zoomScaleNormal="90" workbookViewId="0">
      <selection activeCell="E10" sqref="E10"/>
    </sheetView>
  </sheetViews>
  <sheetFormatPr defaultColWidth="9.125" defaultRowHeight="15"/>
  <cols>
    <col min="1" max="1" width="16.375" style="3" customWidth="1"/>
    <col min="2" max="2" width="15.75" style="3" bestFit="1" customWidth="1"/>
    <col min="3" max="7" width="14.625" style="3" customWidth="1"/>
    <col min="8" max="8" width="13.625" style="3" customWidth="1"/>
    <col min="9" max="9" width="16.75" style="3" customWidth="1"/>
    <col min="10" max="10" width="16.625" style="3" customWidth="1"/>
    <col min="11" max="11" width="12" style="3" customWidth="1"/>
    <col min="12" max="12" width="14.875" style="3" customWidth="1"/>
    <col min="13" max="13" width="11.875" style="3" customWidth="1"/>
    <col min="14" max="14" width="12.875" style="3" bestFit="1" customWidth="1"/>
    <col min="15" max="15" width="11.75" style="3" customWidth="1"/>
    <col min="16" max="16384" width="9.125" style="3"/>
  </cols>
  <sheetData>
    <row r="1" spans="1:10" ht="15.75">
      <c r="A1" s="62" t="s">
        <v>0</v>
      </c>
      <c r="B1" s="62"/>
      <c r="C1" s="62"/>
      <c r="D1" s="62"/>
      <c r="E1" s="62"/>
      <c r="F1" s="1"/>
      <c r="G1" s="1"/>
      <c r="H1" s="2"/>
      <c r="I1" s="2"/>
      <c r="J1" s="2"/>
    </row>
    <row r="2" spans="1:10" ht="15.75">
      <c r="A2" s="62" t="s">
        <v>1</v>
      </c>
      <c r="B2" s="62"/>
      <c r="C2" s="62"/>
      <c r="D2" s="62"/>
      <c r="E2" s="62"/>
      <c r="F2" s="1"/>
      <c r="G2" s="1"/>
      <c r="H2" s="2"/>
      <c r="I2" s="2"/>
      <c r="J2" s="2"/>
    </row>
    <row r="3" spans="1:10" ht="15.75">
      <c r="A3" s="62" t="s">
        <v>2</v>
      </c>
      <c r="B3" s="62"/>
      <c r="C3" s="62"/>
      <c r="D3" s="62"/>
      <c r="E3" s="62"/>
      <c r="F3" s="1"/>
      <c r="G3" s="1"/>
      <c r="H3" s="2"/>
      <c r="I3" s="2"/>
      <c r="J3" s="2"/>
    </row>
    <row r="4" spans="1:10" ht="27.75" customHeight="1">
      <c r="A4" s="63" t="s">
        <v>3</v>
      </c>
      <c r="B4" s="63"/>
      <c r="C4" s="63"/>
      <c r="D4" s="63"/>
      <c r="E4" s="63"/>
      <c r="F4" s="63"/>
      <c r="G4" s="63"/>
      <c r="H4" s="63"/>
      <c r="I4" s="63"/>
      <c r="J4" s="4"/>
    </row>
    <row r="5" spans="1:10" s="6" customFormat="1" ht="23.25" customHeight="1">
      <c r="A5" s="64" t="s">
        <v>107</v>
      </c>
      <c r="B5" s="64"/>
      <c r="C5" s="64"/>
      <c r="D5" s="64"/>
      <c r="E5" s="64"/>
      <c r="F5" s="64"/>
      <c r="G5" s="64"/>
      <c r="H5" s="64"/>
      <c r="I5" s="64"/>
      <c r="J5" s="5"/>
    </row>
    <row r="6" spans="1:10" ht="55.5" customHeight="1">
      <c r="A6" s="7" t="s">
        <v>5</v>
      </c>
      <c r="B6" s="8" t="s">
        <v>6</v>
      </c>
      <c r="C6" s="8" t="s">
        <v>7</v>
      </c>
      <c r="D6" s="8" t="s">
        <v>8</v>
      </c>
      <c r="E6" s="8" t="s">
        <v>9</v>
      </c>
      <c r="F6" s="8" t="s">
        <v>10</v>
      </c>
      <c r="G6" s="8" t="s">
        <v>11</v>
      </c>
      <c r="H6" s="65" t="s">
        <v>12</v>
      </c>
      <c r="I6" s="65"/>
      <c r="J6" s="10"/>
    </row>
    <row r="7" spans="1:10" ht="31.5" customHeight="1">
      <c r="A7" s="11" t="s">
        <v>13</v>
      </c>
      <c r="B7" s="12" t="s">
        <v>108</v>
      </c>
      <c r="C7" s="12" t="s">
        <v>109</v>
      </c>
      <c r="D7" s="12" t="s">
        <v>110</v>
      </c>
      <c r="E7" s="12" t="s">
        <v>111</v>
      </c>
      <c r="F7" s="12" t="s">
        <v>112</v>
      </c>
      <c r="G7" s="12" t="s">
        <v>113</v>
      </c>
      <c r="H7" s="9" t="s">
        <v>20</v>
      </c>
      <c r="I7" s="9" t="s">
        <v>21</v>
      </c>
    </row>
    <row r="8" spans="1:10" s="6" customFormat="1" ht="22.5" customHeight="1">
      <c r="A8" s="13" t="s">
        <v>22</v>
      </c>
      <c r="B8" s="14"/>
      <c r="C8" s="14"/>
      <c r="D8" s="15"/>
      <c r="E8" s="14"/>
      <c r="F8" s="14"/>
      <c r="G8" s="14"/>
      <c r="H8" s="16">
        <f t="shared" ref="H8:H18" si="0">SUM(B8:G8)</f>
        <v>0</v>
      </c>
      <c r="I8" s="17">
        <f>H8*10/1000</f>
        <v>0</v>
      </c>
    </row>
    <row r="9" spans="1:10" s="6" customFormat="1" ht="22.5" customHeight="1">
      <c r="A9" s="49" t="s">
        <v>83</v>
      </c>
      <c r="B9" s="50"/>
      <c r="C9" s="50"/>
      <c r="D9" s="51"/>
      <c r="E9" s="50">
        <v>320</v>
      </c>
      <c r="F9" s="50"/>
      <c r="G9" s="50"/>
      <c r="H9" s="52">
        <f t="shared" si="0"/>
        <v>320</v>
      </c>
      <c r="I9" s="53">
        <f>H9*25/1000</f>
        <v>8</v>
      </c>
    </row>
    <row r="10" spans="1:10" s="6" customFormat="1" ht="22.5" customHeight="1">
      <c r="A10" s="49" t="s">
        <v>84</v>
      </c>
      <c r="B10" s="50"/>
      <c r="C10" s="50"/>
      <c r="D10" s="51"/>
      <c r="E10" s="50"/>
      <c r="F10" s="50"/>
      <c r="G10" s="50"/>
      <c r="H10" s="52">
        <f t="shared" si="0"/>
        <v>0</v>
      </c>
      <c r="I10" s="54">
        <f>H10*25/1000</f>
        <v>0</v>
      </c>
    </row>
    <row r="11" spans="1:10" s="6" customFormat="1" ht="22.5" customHeight="1">
      <c r="A11" s="49" t="s">
        <v>85</v>
      </c>
      <c r="B11" s="50"/>
      <c r="C11" s="50"/>
      <c r="D11" s="51"/>
      <c r="E11" s="50"/>
      <c r="F11" s="50"/>
      <c r="G11" s="55"/>
      <c r="H11" s="52">
        <f t="shared" si="0"/>
        <v>0</v>
      </c>
      <c r="I11" s="54">
        <f t="shared" ref="I11:I18" si="1">H11*25/1000</f>
        <v>0</v>
      </c>
    </row>
    <row r="12" spans="1:10" s="6" customFormat="1" ht="22.5" customHeight="1">
      <c r="A12" s="19">
        <v>552</v>
      </c>
      <c r="B12" s="14">
        <v>664</v>
      </c>
      <c r="C12" s="14">
        <v>664</v>
      </c>
      <c r="D12" s="15">
        <v>664</v>
      </c>
      <c r="E12" s="14"/>
      <c r="F12" s="14"/>
      <c r="G12" s="14"/>
      <c r="H12" s="16">
        <f t="shared" si="0"/>
        <v>1992</v>
      </c>
      <c r="I12" s="20">
        <f t="shared" si="1"/>
        <v>49.8</v>
      </c>
    </row>
    <row r="13" spans="1:10" s="6" customFormat="1" ht="22.5" customHeight="1">
      <c r="A13" s="19" t="s">
        <v>25</v>
      </c>
      <c r="B13" s="14"/>
      <c r="C13" s="14">
        <v>480</v>
      </c>
      <c r="D13" s="15"/>
      <c r="E13" s="14"/>
      <c r="F13" s="14"/>
      <c r="G13" s="14"/>
      <c r="H13" s="16">
        <f t="shared" si="0"/>
        <v>480</v>
      </c>
      <c r="I13" s="20">
        <f t="shared" si="1"/>
        <v>12</v>
      </c>
    </row>
    <row r="14" spans="1:10" s="6" customFormat="1" ht="22.5" customHeight="1">
      <c r="A14" s="19" t="s">
        <v>26</v>
      </c>
      <c r="B14" s="14"/>
      <c r="C14" s="14"/>
      <c r="D14" s="15"/>
      <c r="E14" s="14"/>
      <c r="F14" s="14"/>
      <c r="G14" s="14"/>
      <c r="H14" s="16">
        <f t="shared" si="0"/>
        <v>0</v>
      </c>
      <c r="I14" s="20">
        <f t="shared" si="1"/>
        <v>0</v>
      </c>
    </row>
    <row r="15" spans="1:10" s="6" customFormat="1" ht="22.5" customHeight="1">
      <c r="A15" s="19" t="s">
        <v>27</v>
      </c>
      <c r="B15" s="14"/>
      <c r="C15" s="14"/>
      <c r="D15" s="15"/>
      <c r="E15" s="14"/>
      <c r="F15" s="14"/>
      <c r="G15" s="14"/>
      <c r="H15" s="16">
        <f t="shared" si="0"/>
        <v>0</v>
      </c>
      <c r="I15" s="20">
        <f t="shared" si="1"/>
        <v>0</v>
      </c>
    </row>
    <row r="16" spans="1:10" s="6" customFormat="1" ht="22.5" customHeight="1">
      <c r="A16" s="19">
        <v>562</v>
      </c>
      <c r="B16" s="14">
        <v>1200</v>
      </c>
      <c r="C16" s="14">
        <v>720</v>
      </c>
      <c r="D16" s="15"/>
      <c r="E16" s="14"/>
      <c r="F16" s="14"/>
      <c r="G16" s="14"/>
      <c r="H16" s="16">
        <f t="shared" si="0"/>
        <v>1920</v>
      </c>
      <c r="I16" s="20">
        <f t="shared" si="1"/>
        <v>48</v>
      </c>
    </row>
    <row r="17" spans="1:11" s="6" customFormat="1" ht="22.5" customHeight="1">
      <c r="A17" s="19">
        <v>566</v>
      </c>
      <c r="B17" s="14"/>
      <c r="C17" s="14"/>
      <c r="D17" s="15">
        <v>600</v>
      </c>
      <c r="F17" s="14"/>
      <c r="G17" s="14"/>
      <c r="H17" s="16">
        <f t="shared" si="0"/>
        <v>600</v>
      </c>
      <c r="I17" s="20">
        <f t="shared" si="1"/>
        <v>15</v>
      </c>
    </row>
    <row r="18" spans="1:11" s="6" customFormat="1" ht="22.5" customHeight="1">
      <c r="A18" s="19" t="s">
        <v>28</v>
      </c>
      <c r="B18" s="14"/>
      <c r="C18" s="14"/>
      <c r="D18" s="15">
        <v>600</v>
      </c>
      <c r="E18" s="14">
        <v>880</v>
      </c>
      <c r="F18" s="14"/>
      <c r="G18" s="14"/>
      <c r="H18" s="16">
        <f t="shared" si="0"/>
        <v>1480</v>
      </c>
      <c r="I18" s="20">
        <f t="shared" si="1"/>
        <v>37</v>
      </c>
    </row>
    <row r="19" spans="1:11" s="6" customFormat="1" ht="30.75" customHeight="1">
      <c r="A19" s="21" t="s">
        <v>29</v>
      </c>
      <c r="B19" s="22">
        <f>SUM(B8:B18)</f>
        <v>1864</v>
      </c>
      <c r="C19" s="22">
        <f t="shared" ref="C19:G19" si="2">SUM(C8:C18)</f>
        <v>1864</v>
      </c>
      <c r="D19" s="22">
        <f t="shared" si="2"/>
        <v>1864</v>
      </c>
      <c r="E19" s="22">
        <f t="shared" si="2"/>
        <v>1200</v>
      </c>
      <c r="F19" s="22">
        <f t="shared" si="2"/>
        <v>0</v>
      </c>
      <c r="G19" s="22">
        <f t="shared" si="2"/>
        <v>0</v>
      </c>
      <c r="H19" s="22">
        <f>SUM(H8:H18)</f>
        <v>6792</v>
      </c>
      <c r="I19" s="23">
        <f>SUM(I8:I18)</f>
        <v>169.8</v>
      </c>
      <c r="J19" s="24"/>
      <c r="K19" s="24"/>
    </row>
    <row r="20" spans="1:11" ht="12" customHeight="1">
      <c r="A20" s="25"/>
      <c r="J20" s="26"/>
    </row>
    <row r="21" spans="1:11" ht="12.75" customHeight="1">
      <c r="A21" s="25"/>
      <c r="H21" s="26"/>
      <c r="J21" s="26"/>
    </row>
    <row r="22" spans="1:11" s="29" customFormat="1" ht="45" customHeight="1">
      <c r="A22" s="27" t="s">
        <v>30</v>
      </c>
      <c r="B22" s="27" t="s">
        <v>31</v>
      </c>
      <c r="C22" s="27" t="s">
        <v>32</v>
      </c>
      <c r="D22" s="28" t="s">
        <v>33</v>
      </c>
      <c r="E22" s="27" t="s">
        <v>34</v>
      </c>
    </row>
    <row r="23" spans="1:11" s="34" customFormat="1" ht="28.5" customHeight="1">
      <c r="A23" s="37" t="s">
        <v>6</v>
      </c>
      <c r="B23" s="36">
        <v>46125</v>
      </c>
      <c r="C23" s="32" t="s">
        <v>23</v>
      </c>
      <c r="D23" s="33">
        <v>28000</v>
      </c>
      <c r="E23" s="30"/>
      <c r="F23" s="29"/>
      <c r="G23" s="41"/>
      <c r="H23" s="41"/>
    </row>
    <row r="24" spans="1:11" s="34" customFormat="1" ht="28.5" customHeight="1">
      <c r="A24" s="35" t="s">
        <v>7</v>
      </c>
      <c r="B24" s="36">
        <v>46126</v>
      </c>
      <c r="C24" s="32"/>
      <c r="D24" s="33"/>
      <c r="E24" s="30"/>
      <c r="F24" s="29"/>
      <c r="G24" s="41"/>
    </row>
    <row r="25" spans="1:11" s="34" customFormat="1" ht="28.5" customHeight="1">
      <c r="A25" s="35" t="s">
        <v>8</v>
      </c>
      <c r="B25" s="36">
        <v>46127</v>
      </c>
      <c r="C25" s="32"/>
      <c r="D25" s="33"/>
      <c r="E25" s="30"/>
      <c r="F25" s="29"/>
    </row>
    <row r="26" spans="1:11" s="34" customFormat="1" ht="28.5" customHeight="1">
      <c r="A26" s="35" t="s">
        <v>35</v>
      </c>
      <c r="B26" s="36">
        <v>46128</v>
      </c>
      <c r="C26" s="32"/>
      <c r="D26" s="33"/>
      <c r="E26" s="30"/>
      <c r="F26" s="29"/>
    </row>
    <row r="27" spans="1:11" s="34" customFormat="1" ht="28.5" customHeight="1">
      <c r="A27" s="40" t="s">
        <v>10</v>
      </c>
      <c r="B27" s="31">
        <v>46129</v>
      </c>
      <c r="C27" s="32" t="s">
        <v>23</v>
      </c>
      <c r="D27" s="33">
        <v>28000</v>
      </c>
      <c r="E27" s="30"/>
      <c r="F27" s="29"/>
    </row>
    <row r="28" spans="1:11" s="34" customFormat="1" ht="28.5" customHeight="1">
      <c r="A28" s="30" t="s">
        <v>11</v>
      </c>
      <c r="B28" s="31">
        <v>46130</v>
      </c>
      <c r="C28" s="32"/>
      <c r="D28" s="33"/>
      <c r="E28" s="30"/>
      <c r="F28" s="29"/>
    </row>
    <row r="29" spans="1:11">
      <c r="D29" s="39">
        <f>SUM(D23:D28)</f>
        <v>56000</v>
      </c>
    </row>
  </sheetData>
  <mergeCells count="6">
    <mergeCell ref="H6:I6"/>
    <mergeCell ref="A1:E1"/>
    <mergeCell ref="A2:E2"/>
    <mergeCell ref="A3:E3"/>
    <mergeCell ref="A4:I4"/>
    <mergeCell ref="A5:I5"/>
  </mergeCell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B2D927-02C0-49FF-9AEA-0CD6ADC15776}">
  <sheetPr>
    <tabColor rgb="FFFFFF00"/>
  </sheetPr>
  <dimension ref="A1:K31"/>
  <sheetViews>
    <sheetView topLeftCell="A2" zoomScale="90" zoomScaleNormal="90" workbookViewId="0">
      <selection activeCell="A4" sqref="A4:I4"/>
    </sheetView>
  </sheetViews>
  <sheetFormatPr defaultColWidth="9.125" defaultRowHeight="15"/>
  <cols>
    <col min="1" max="1" width="16.375" style="3" customWidth="1"/>
    <col min="2" max="2" width="15.75" style="3" bestFit="1" customWidth="1"/>
    <col min="3" max="7" width="14.625" style="3" customWidth="1"/>
    <col min="8" max="8" width="13.625" style="3" customWidth="1"/>
    <col min="9" max="9" width="16.75" style="3" customWidth="1"/>
    <col min="10" max="10" width="16.625" style="3" customWidth="1"/>
    <col min="11" max="11" width="12" style="3" customWidth="1"/>
    <col min="12" max="12" width="14.875" style="3" customWidth="1"/>
    <col min="13" max="13" width="11.875" style="3" customWidth="1"/>
    <col min="14" max="14" width="12.875" style="3" bestFit="1" customWidth="1"/>
    <col min="15" max="15" width="11.75" style="3" customWidth="1"/>
    <col min="16" max="16384" width="9.125" style="3"/>
  </cols>
  <sheetData>
    <row r="1" spans="1:10" ht="15.75">
      <c r="A1" s="62" t="s">
        <v>0</v>
      </c>
      <c r="B1" s="62"/>
      <c r="C1" s="62"/>
      <c r="D1" s="62"/>
      <c r="E1" s="62"/>
      <c r="F1" s="1"/>
      <c r="G1" s="1"/>
      <c r="H1" s="2"/>
      <c r="I1" s="2"/>
      <c r="J1" s="2"/>
    </row>
    <row r="2" spans="1:10" ht="15.75">
      <c r="A2" s="62" t="s">
        <v>1</v>
      </c>
      <c r="B2" s="62"/>
      <c r="C2" s="62"/>
      <c r="D2" s="62"/>
      <c r="E2" s="62"/>
      <c r="F2" s="1"/>
      <c r="G2" s="1"/>
      <c r="H2" s="2"/>
      <c r="I2" s="2"/>
      <c r="J2" s="2"/>
    </row>
    <row r="3" spans="1:10" ht="15.75">
      <c r="A3" s="62" t="s">
        <v>2</v>
      </c>
      <c r="B3" s="62"/>
      <c r="C3" s="62"/>
      <c r="D3" s="62"/>
      <c r="E3" s="62"/>
      <c r="F3" s="1"/>
      <c r="G3" s="1"/>
      <c r="H3" s="2"/>
      <c r="I3" s="2"/>
      <c r="J3" s="2"/>
    </row>
    <row r="4" spans="1:10" ht="27.75" customHeight="1">
      <c r="A4" s="63" t="s">
        <v>3</v>
      </c>
      <c r="B4" s="63"/>
      <c r="C4" s="63"/>
      <c r="D4" s="63"/>
      <c r="E4" s="63"/>
      <c r="F4" s="63"/>
      <c r="G4" s="63"/>
      <c r="H4" s="63"/>
      <c r="I4" s="63"/>
      <c r="J4" s="4"/>
    </row>
    <row r="5" spans="1:10" s="6" customFormat="1" ht="23.25" customHeight="1">
      <c r="A5" s="64" t="s">
        <v>106</v>
      </c>
      <c r="B5" s="64"/>
      <c r="C5" s="64"/>
      <c r="D5" s="64"/>
      <c r="E5" s="64"/>
      <c r="F5" s="64"/>
      <c r="G5" s="64"/>
      <c r="H5" s="64"/>
      <c r="I5" s="64"/>
      <c r="J5" s="5"/>
    </row>
    <row r="6" spans="1:10" ht="55.5" customHeight="1">
      <c r="A6" s="7" t="s">
        <v>5</v>
      </c>
      <c r="B6" s="8" t="s">
        <v>6</v>
      </c>
      <c r="C6" s="8" t="s">
        <v>7</v>
      </c>
      <c r="D6" s="8" t="s">
        <v>8</v>
      </c>
      <c r="E6" s="8" t="s">
        <v>9</v>
      </c>
      <c r="F6" s="8" t="s">
        <v>10</v>
      </c>
      <c r="G6" s="8" t="s">
        <v>11</v>
      </c>
      <c r="H6" s="65" t="s">
        <v>12</v>
      </c>
      <c r="I6" s="65"/>
      <c r="J6" s="10"/>
    </row>
    <row r="7" spans="1:10" ht="31.5" customHeight="1">
      <c r="A7" s="11" t="s">
        <v>13</v>
      </c>
      <c r="B7" s="12">
        <v>46177</v>
      </c>
      <c r="C7" s="12">
        <v>46207</v>
      </c>
      <c r="D7" s="12">
        <v>46238</v>
      </c>
      <c r="E7" s="12">
        <v>46269</v>
      </c>
      <c r="F7" s="12">
        <v>46299</v>
      </c>
      <c r="G7" s="12">
        <v>46330</v>
      </c>
      <c r="H7" s="9" t="s">
        <v>20</v>
      </c>
      <c r="I7" s="9" t="s">
        <v>21</v>
      </c>
    </row>
    <row r="8" spans="1:10" s="6" customFormat="1" ht="22.5" customHeight="1">
      <c r="A8" s="13" t="s">
        <v>22</v>
      </c>
      <c r="B8" s="14"/>
      <c r="C8" s="14"/>
      <c r="D8" s="15"/>
      <c r="E8" s="14"/>
      <c r="F8" s="14"/>
      <c r="G8" s="14"/>
      <c r="H8" s="16">
        <f t="shared" ref="H8:H18" si="0">SUM(B8:G8)</f>
        <v>0</v>
      </c>
      <c r="I8" s="17">
        <f>H8*10/1000</f>
        <v>0</v>
      </c>
    </row>
    <row r="9" spans="1:10" s="6" customFormat="1" ht="22.5" customHeight="1">
      <c r="A9" s="49" t="s">
        <v>83</v>
      </c>
      <c r="B9" s="50"/>
      <c r="C9" s="50">
        <v>320</v>
      </c>
      <c r="D9" s="51"/>
      <c r="E9" s="50"/>
      <c r="F9" s="50"/>
      <c r="G9" s="50"/>
      <c r="H9" s="52">
        <f t="shared" si="0"/>
        <v>320</v>
      </c>
      <c r="I9" s="53">
        <f>H9*25/1000</f>
        <v>8</v>
      </c>
    </row>
    <row r="10" spans="1:10" s="6" customFormat="1" ht="22.5" customHeight="1">
      <c r="A10" s="49" t="s">
        <v>84</v>
      </c>
      <c r="B10" s="50"/>
      <c r="C10" s="50"/>
      <c r="D10" s="51"/>
      <c r="E10" s="50"/>
      <c r="F10" s="50"/>
      <c r="G10" s="50"/>
      <c r="H10" s="52">
        <f t="shared" si="0"/>
        <v>0</v>
      </c>
      <c r="I10" s="54">
        <f>H10*25/1000</f>
        <v>0</v>
      </c>
    </row>
    <row r="11" spans="1:10" s="6" customFormat="1" ht="22.5" customHeight="1">
      <c r="A11" s="49" t="s">
        <v>85</v>
      </c>
      <c r="B11" s="50">
        <v>125</v>
      </c>
      <c r="C11" s="50"/>
      <c r="D11" s="51"/>
      <c r="E11" s="50">
        <v>195</v>
      </c>
      <c r="F11" s="50"/>
      <c r="G11" s="55"/>
      <c r="H11" s="52">
        <f t="shared" si="0"/>
        <v>320</v>
      </c>
      <c r="I11" s="54">
        <f t="shared" ref="I11:I18" si="1">H11*25/1000</f>
        <v>8</v>
      </c>
    </row>
    <row r="12" spans="1:10" s="6" customFormat="1" ht="22.5" customHeight="1">
      <c r="A12" s="19">
        <v>552</v>
      </c>
      <c r="B12" s="14">
        <v>851</v>
      </c>
      <c r="C12" s="14">
        <v>664</v>
      </c>
      <c r="D12" s="15">
        <v>1640</v>
      </c>
      <c r="E12" s="14">
        <v>976</v>
      </c>
      <c r="F12" s="14">
        <v>976</v>
      </c>
      <c r="G12" s="14"/>
      <c r="H12" s="16">
        <f t="shared" si="0"/>
        <v>5107</v>
      </c>
      <c r="I12" s="20">
        <f t="shared" si="1"/>
        <v>127.675</v>
      </c>
    </row>
    <row r="13" spans="1:10" s="6" customFormat="1" ht="22.5" customHeight="1">
      <c r="A13" s="19" t="s">
        <v>25</v>
      </c>
      <c r="B13" s="14">
        <v>664</v>
      </c>
      <c r="C13" s="14">
        <v>700</v>
      </c>
      <c r="D13" s="15"/>
      <c r="E13" s="14">
        <v>469</v>
      </c>
      <c r="F13" s="14"/>
      <c r="G13" s="14">
        <v>976</v>
      </c>
      <c r="H13" s="16">
        <f t="shared" si="0"/>
        <v>2809</v>
      </c>
      <c r="I13" s="20">
        <f t="shared" si="1"/>
        <v>70.224999999999994</v>
      </c>
    </row>
    <row r="14" spans="1:10" s="6" customFormat="1" ht="22.5" customHeight="1">
      <c r="A14" s="19" t="s">
        <v>26</v>
      </c>
      <c r="B14" s="14"/>
      <c r="C14" s="14"/>
      <c r="D14" s="15"/>
      <c r="E14" s="14"/>
      <c r="F14" s="14"/>
      <c r="G14" s="14"/>
      <c r="H14" s="16">
        <f t="shared" si="0"/>
        <v>0</v>
      </c>
      <c r="I14" s="20">
        <f t="shared" si="1"/>
        <v>0</v>
      </c>
    </row>
    <row r="15" spans="1:10" s="6" customFormat="1" ht="22.5" customHeight="1">
      <c r="A15" s="19" t="s">
        <v>27</v>
      </c>
      <c r="B15" s="14"/>
      <c r="C15" s="14">
        <v>180</v>
      </c>
      <c r="D15" s="15"/>
      <c r="E15" s="14"/>
      <c r="F15" s="14"/>
      <c r="G15" s="14"/>
      <c r="H15" s="16">
        <f t="shared" si="0"/>
        <v>180</v>
      </c>
      <c r="I15" s="20">
        <f t="shared" si="1"/>
        <v>4.5</v>
      </c>
    </row>
    <row r="16" spans="1:10" s="6" customFormat="1" ht="22.5" customHeight="1">
      <c r="A16" s="19">
        <v>562</v>
      </c>
      <c r="B16" s="14"/>
      <c r="C16" s="14"/>
      <c r="D16" s="15">
        <v>960</v>
      </c>
      <c r="E16" s="14">
        <v>960</v>
      </c>
      <c r="F16" s="14"/>
      <c r="G16" s="14"/>
      <c r="H16" s="16">
        <f t="shared" si="0"/>
        <v>1920</v>
      </c>
      <c r="I16" s="20">
        <f t="shared" si="1"/>
        <v>48</v>
      </c>
    </row>
    <row r="17" spans="1:11" s="6" customFormat="1" ht="22.5" customHeight="1">
      <c r="A17" s="19">
        <v>566</v>
      </c>
      <c r="B17" s="14"/>
      <c r="C17" s="14"/>
      <c r="D17" s="15"/>
      <c r="E17" s="6">
        <v>240</v>
      </c>
      <c r="F17" s="14">
        <v>600</v>
      </c>
      <c r="G17" s="14"/>
      <c r="H17" s="16">
        <f t="shared" si="0"/>
        <v>840</v>
      </c>
      <c r="I17" s="20">
        <f t="shared" si="1"/>
        <v>21</v>
      </c>
    </row>
    <row r="18" spans="1:11" s="6" customFormat="1" ht="22.5" customHeight="1">
      <c r="A18" s="19" t="s">
        <v>28</v>
      </c>
      <c r="B18" s="14">
        <v>1200</v>
      </c>
      <c r="C18" s="14"/>
      <c r="D18" s="15">
        <v>240</v>
      </c>
      <c r="E18" s="14"/>
      <c r="F18" s="14">
        <v>600</v>
      </c>
      <c r="G18" s="14"/>
      <c r="H18" s="16">
        <f t="shared" si="0"/>
        <v>2040</v>
      </c>
      <c r="I18" s="20">
        <f t="shared" si="1"/>
        <v>51</v>
      </c>
    </row>
    <row r="19" spans="1:11" s="6" customFormat="1" ht="30.75" customHeight="1">
      <c r="A19" s="21" t="s">
        <v>29</v>
      </c>
      <c r="B19" s="22">
        <f>SUM(B8:B18)</f>
        <v>2840</v>
      </c>
      <c r="C19" s="22">
        <f t="shared" ref="C19:G19" si="2">SUM(C8:C18)</f>
        <v>1864</v>
      </c>
      <c r="D19" s="22">
        <f t="shared" si="2"/>
        <v>2840</v>
      </c>
      <c r="E19" s="22">
        <f t="shared" si="2"/>
        <v>2840</v>
      </c>
      <c r="F19" s="22">
        <f t="shared" si="2"/>
        <v>2176</v>
      </c>
      <c r="G19" s="22">
        <f t="shared" si="2"/>
        <v>976</v>
      </c>
      <c r="H19" s="22">
        <f>SUM(H8:H18)</f>
        <v>13536</v>
      </c>
      <c r="I19" s="23">
        <f>SUM(I8:I18)</f>
        <v>338.4</v>
      </c>
      <c r="J19" s="24"/>
      <c r="K19" s="24"/>
    </row>
    <row r="20" spans="1:11" ht="12" customHeight="1">
      <c r="A20" s="25"/>
      <c r="J20" s="26"/>
    </row>
    <row r="21" spans="1:11" ht="12.75" customHeight="1">
      <c r="A21" s="25"/>
      <c r="H21" s="26"/>
      <c r="J21" s="26"/>
    </row>
    <row r="22" spans="1:11" s="29" customFormat="1" ht="45" customHeight="1">
      <c r="A22" s="27" t="s">
        <v>30</v>
      </c>
      <c r="B22" s="27" t="s">
        <v>31</v>
      </c>
      <c r="C22" s="27" t="s">
        <v>32</v>
      </c>
      <c r="D22" s="28" t="s">
        <v>33</v>
      </c>
      <c r="E22" s="27" t="s">
        <v>34</v>
      </c>
    </row>
    <row r="23" spans="1:11" s="34" customFormat="1" ht="28.5" customHeight="1">
      <c r="A23" s="66" t="s">
        <v>6</v>
      </c>
      <c r="B23" s="60">
        <v>46118</v>
      </c>
      <c r="C23" s="32" t="s">
        <v>23</v>
      </c>
      <c r="D23" s="33">
        <v>14000</v>
      </c>
      <c r="E23" s="30"/>
      <c r="F23" s="29"/>
      <c r="G23" s="41"/>
      <c r="H23" s="41"/>
    </row>
    <row r="24" spans="1:11" s="34" customFormat="1" ht="28.5" customHeight="1">
      <c r="A24" s="67"/>
      <c r="B24" s="61"/>
      <c r="C24" s="32" t="s">
        <v>25</v>
      </c>
      <c r="D24" s="33">
        <v>14000</v>
      </c>
      <c r="E24" s="30"/>
      <c r="F24" s="29"/>
      <c r="G24" s="41"/>
    </row>
    <row r="25" spans="1:11" s="34" customFormat="1" ht="28.5" customHeight="1">
      <c r="A25" s="35" t="s">
        <v>7</v>
      </c>
      <c r="B25" s="36">
        <v>46119</v>
      </c>
      <c r="C25" s="32"/>
      <c r="D25" s="33"/>
      <c r="E25" s="30"/>
      <c r="F25" s="29"/>
      <c r="G25" s="41"/>
    </row>
    <row r="26" spans="1:11" s="34" customFormat="1" ht="28.5" customHeight="1">
      <c r="A26" s="35" t="s">
        <v>8</v>
      </c>
      <c r="B26" s="36">
        <v>46120</v>
      </c>
      <c r="C26" s="32"/>
      <c r="D26" s="33"/>
      <c r="E26" s="30"/>
      <c r="F26" s="29"/>
    </row>
    <row r="27" spans="1:11" s="34" customFormat="1" ht="28.5" customHeight="1">
      <c r="A27" s="58" t="s">
        <v>35</v>
      </c>
      <c r="B27" s="60">
        <v>46121</v>
      </c>
      <c r="C27" s="32" t="s">
        <v>23</v>
      </c>
      <c r="D27" s="33">
        <v>14000</v>
      </c>
      <c r="E27" s="30"/>
      <c r="F27" s="29"/>
    </row>
    <row r="28" spans="1:11" s="34" customFormat="1" ht="28.5" customHeight="1">
      <c r="A28" s="59"/>
      <c r="B28" s="61"/>
      <c r="C28" s="32" t="s">
        <v>25</v>
      </c>
      <c r="D28" s="33">
        <v>14000</v>
      </c>
      <c r="E28" s="30"/>
      <c r="F28" s="29"/>
    </row>
    <row r="29" spans="1:11" s="34" customFormat="1" ht="28.5" customHeight="1">
      <c r="A29" s="40" t="s">
        <v>10</v>
      </c>
      <c r="B29" s="31">
        <v>46122</v>
      </c>
      <c r="C29" s="32"/>
      <c r="D29" s="33"/>
      <c r="E29" s="30"/>
      <c r="F29" s="29"/>
    </row>
    <row r="30" spans="1:11" s="34" customFormat="1" ht="28.5" customHeight="1">
      <c r="A30" s="30" t="s">
        <v>11</v>
      </c>
      <c r="B30" s="31">
        <v>46123</v>
      </c>
      <c r="C30" s="32"/>
      <c r="D30" s="33"/>
      <c r="E30" s="30"/>
      <c r="F30" s="29"/>
    </row>
    <row r="31" spans="1:11">
      <c r="D31" s="39">
        <f>SUM(D23:D30)</f>
        <v>56000</v>
      </c>
    </row>
  </sheetData>
  <mergeCells count="10">
    <mergeCell ref="A23:A24"/>
    <mergeCell ref="B23:B24"/>
    <mergeCell ref="A27:A28"/>
    <mergeCell ref="B27:B28"/>
    <mergeCell ref="A1:E1"/>
    <mergeCell ref="A2:E2"/>
    <mergeCell ref="A3:E3"/>
    <mergeCell ref="A4:I4"/>
    <mergeCell ref="A5:I5"/>
    <mergeCell ref="H6:I6"/>
  </mergeCells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930A22-C0AE-4CAF-97D2-08A01BA6237B}">
  <sheetPr>
    <tabColor rgb="FFFFFF00"/>
  </sheetPr>
  <dimension ref="A1:K32"/>
  <sheetViews>
    <sheetView topLeftCell="A13" zoomScale="90" zoomScaleNormal="90" workbookViewId="0">
      <selection activeCell="G23" sqref="G23"/>
    </sheetView>
  </sheetViews>
  <sheetFormatPr defaultColWidth="9.125" defaultRowHeight="15"/>
  <cols>
    <col min="1" max="1" width="16.375" style="3" customWidth="1"/>
    <col min="2" max="2" width="15.75" style="3" bestFit="1" customWidth="1"/>
    <col min="3" max="7" width="14.625" style="3" customWidth="1"/>
    <col min="8" max="8" width="13.625" style="3" customWidth="1"/>
    <col min="9" max="9" width="16.75" style="3" customWidth="1"/>
    <col min="10" max="10" width="16.625" style="3" customWidth="1"/>
    <col min="11" max="11" width="12" style="3" customWidth="1"/>
    <col min="12" max="12" width="14.875" style="3" customWidth="1"/>
    <col min="13" max="13" width="11.875" style="3" customWidth="1"/>
    <col min="14" max="14" width="12.875" style="3" bestFit="1" customWidth="1"/>
    <col min="15" max="15" width="11.75" style="3" customWidth="1"/>
    <col min="16" max="16384" width="9.125" style="3"/>
  </cols>
  <sheetData>
    <row r="1" spans="1:10" ht="15.75">
      <c r="A1" s="62" t="s">
        <v>0</v>
      </c>
      <c r="B1" s="62"/>
      <c r="C1" s="62"/>
      <c r="D1" s="62"/>
      <c r="E1" s="62"/>
      <c r="F1" s="1"/>
      <c r="G1" s="1"/>
      <c r="H1" s="2"/>
      <c r="I1" s="2"/>
      <c r="J1" s="2"/>
    </row>
    <row r="2" spans="1:10" ht="15.75">
      <c r="A2" s="62" t="s">
        <v>1</v>
      </c>
      <c r="B2" s="62"/>
      <c r="C2" s="62"/>
      <c r="D2" s="62"/>
      <c r="E2" s="62"/>
      <c r="F2" s="1"/>
      <c r="G2" s="1"/>
      <c r="H2" s="2"/>
      <c r="I2" s="2"/>
      <c r="J2" s="2"/>
    </row>
    <row r="3" spans="1:10" ht="15.75">
      <c r="A3" s="62" t="s">
        <v>2</v>
      </c>
      <c r="B3" s="62"/>
      <c r="C3" s="62"/>
      <c r="D3" s="62"/>
      <c r="E3" s="62"/>
      <c r="F3" s="1"/>
      <c r="G3" s="1"/>
      <c r="H3" s="2"/>
      <c r="I3" s="2"/>
      <c r="J3" s="2"/>
    </row>
    <row r="4" spans="1:10" ht="27.75" customHeight="1">
      <c r="A4" s="63" t="s">
        <v>3</v>
      </c>
      <c r="B4" s="63"/>
      <c r="C4" s="63"/>
      <c r="D4" s="63"/>
      <c r="E4" s="63"/>
      <c r="F4" s="63"/>
      <c r="G4" s="63"/>
      <c r="H4" s="63"/>
      <c r="I4" s="63"/>
      <c r="J4" s="4"/>
    </row>
    <row r="5" spans="1:10" s="6" customFormat="1" ht="23.25" customHeight="1">
      <c r="A5" s="64" t="s">
        <v>103</v>
      </c>
      <c r="B5" s="64"/>
      <c r="C5" s="64"/>
      <c r="D5" s="64"/>
      <c r="E5" s="64"/>
      <c r="F5" s="64"/>
      <c r="G5" s="64"/>
      <c r="H5" s="64"/>
      <c r="I5" s="64"/>
      <c r="J5" s="5"/>
    </row>
    <row r="6" spans="1:10" ht="55.5" customHeight="1">
      <c r="A6" s="7" t="s">
        <v>5</v>
      </c>
      <c r="B6" s="8" t="s">
        <v>6</v>
      </c>
      <c r="C6" s="8" t="s">
        <v>7</v>
      </c>
      <c r="D6" s="8" t="s">
        <v>8</v>
      </c>
      <c r="E6" s="8" t="s">
        <v>9</v>
      </c>
      <c r="F6" s="8" t="s">
        <v>10</v>
      </c>
      <c r="G6" s="8" t="s">
        <v>11</v>
      </c>
      <c r="H6" s="65" t="s">
        <v>12</v>
      </c>
      <c r="I6" s="65"/>
      <c r="J6" s="10"/>
    </row>
    <row r="7" spans="1:10" ht="31.5" customHeight="1">
      <c r="A7" s="11" t="s">
        <v>13</v>
      </c>
      <c r="B7" s="12" t="s">
        <v>104</v>
      </c>
      <c r="C7" s="12" t="s">
        <v>105</v>
      </c>
      <c r="D7" s="12">
        <v>46026</v>
      </c>
      <c r="E7" s="12">
        <v>46057</v>
      </c>
      <c r="F7" s="12">
        <v>46085</v>
      </c>
      <c r="G7" s="12">
        <v>46116</v>
      </c>
      <c r="H7" s="9" t="s">
        <v>20</v>
      </c>
      <c r="I7" s="9" t="s">
        <v>21</v>
      </c>
    </row>
    <row r="8" spans="1:10" s="6" customFormat="1" ht="22.5" customHeight="1">
      <c r="A8" s="13" t="s">
        <v>22</v>
      </c>
      <c r="B8" s="14"/>
      <c r="C8" s="14"/>
      <c r="D8" s="15"/>
      <c r="E8" s="14"/>
      <c r="F8" s="14"/>
      <c r="G8" s="14"/>
      <c r="H8" s="16">
        <f t="shared" ref="H8:H18" si="0">SUM(B8:G8)</f>
        <v>0</v>
      </c>
      <c r="I8" s="17">
        <f>H8*10/1000</f>
        <v>0</v>
      </c>
    </row>
    <row r="9" spans="1:10" s="6" customFormat="1" ht="22.5" customHeight="1">
      <c r="A9" s="49" t="s">
        <v>83</v>
      </c>
      <c r="B9" s="50">
        <v>360</v>
      </c>
      <c r="C9" s="50"/>
      <c r="D9" s="51"/>
      <c r="E9" s="50"/>
      <c r="F9" s="50">
        <v>600</v>
      </c>
      <c r="G9" s="50"/>
      <c r="H9" s="52">
        <f t="shared" si="0"/>
        <v>960</v>
      </c>
      <c r="I9" s="53">
        <f>H9*25/1000</f>
        <v>24</v>
      </c>
    </row>
    <row r="10" spans="1:10" s="6" customFormat="1" ht="22.5" customHeight="1">
      <c r="A10" s="49" t="s">
        <v>84</v>
      </c>
      <c r="B10" s="50"/>
      <c r="C10" s="50"/>
      <c r="D10" s="51"/>
      <c r="E10" s="50"/>
      <c r="F10" s="50"/>
      <c r="G10" s="50"/>
      <c r="H10" s="52">
        <f t="shared" si="0"/>
        <v>0</v>
      </c>
      <c r="I10" s="54">
        <f>H10*25/1000</f>
        <v>0</v>
      </c>
    </row>
    <row r="11" spans="1:10" s="6" customFormat="1" ht="22.5" customHeight="1">
      <c r="A11" s="49" t="s">
        <v>85</v>
      </c>
      <c r="B11" s="50"/>
      <c r="C11" s="50"/>
      <c r="D11" s="51">
        <v>320</v>
      </c>
      <c r="E11" s="50"/>
      <c r="F11" s="50"/>
      <c r="G11" s="55"/>
      <c r="H11" s="52">
        <f t="shared" si="0"/>
        <v>320</v>
      </c>
      <c r="I11" s="54">
        <f t="shared" ref="I11:I18" si="1">H11*25/1000</f>
        <v>8</v>
      </c>
    </row>
    <row r="12" spans="1:10" s="6" customFormat="1" ht="22.5" customHeight="1">
      <c r="A12" s="19">
        <v>552</v>
      </c>
      <c r="B12" s="14"/>
      <c r="C12" s="14"/>
      <c r="D12" s="15">
        <v>976</v>
      </c>
      <c r="E12" s="14"/>
      <c r="F12" s="14">
        <v>1640</v>
      </c>
      <c r="G12" s="14">
        <v>1640</v>
      </c>
      <c r="H12" s="16">
        <f t="shared" si="0"/>
        <v>4256</v>
      </c>
      <c r="I12" s="20">
        <f t="shared" si="1"/>
        <v>106.4</v>
      </c>
    </row>
    <row r="13" spans="1:10" s="6" customFormat="1" ht="22.5" customHeight="1">
      <c r="A13" s="19" t="s">
        <v>25</v>
      </c>
      <c r="B13" s="14">
        <v>1396</v>
      </c>
      <c r="C13" s="14"/>
      <c r="D13" s="15">
        <v>1544</v>
      </c>
      <c r="E13" s="14">
        <v>1640</v>
      </c>
      <c r="F13" s="14"/>
      <c r="G13" s="14"/>
      <c r="H13" s="16">
        <f t="shared" si="0"/>
        <v>4580</v>
      </c>
      <c r="I13" s="20">
        <f t="shared" si="1"/>
        <v>114.5</v>
      </c>
    </row>
    <row r="14" spans="1:10" s="6" customFormat="1" ht="22.5" customHeight="1">
      <c r="A14" s="19" t="s">
        <v>26</v>
      </c>
      <c r="B14" s="14"/>
      <c r="C14" s="14"/>
      <c r="D14" s="15"/>
      <c r="E14" s="14"/>
      <c r="F14" s="14"/>
      <c r="G14" s="14"/>
      <c r="H14" s="16">
        <f t="shared" si="0"/>
        <v>0</v>
      </c>
      <c r="I14" s="20">
        <f t="shared" si="1"/>
        <v>0</v>
      </c>
    </row>
    <row r="15" spans="1:10" s="6" customFormat="1" ht="22.5" customHeight="1">
      <c r="A15" s="19" t="s">
        <v>27</v>
      </c>
      <c r="B15" s="14"/>
      <c r="C15" s="14"/>
      <c r="D15" s="15"/>
      <c r="E15" s="14"/>
      <c r="F15" s="14"/>
      <c r="G15" s="14"/>
      <c r="H15" s="16">
        <f t="shared" si="0"/>
        <v>0</v>
      </c>
      <c r="I15" s="20">
        <f t="shared" si="1"/>
        <v>0</v>
      </c>
    </row>
    <row r="16" spans="1:10" s="6" customFormat="1" ht="22.5" customHeight="1">
      <c r="A16" s="19">
        <v>562</v>
      </c>
      <c r="B16" s="14">
        <v>320</v>
      </c>
      <c r="C16" s="14"/>
      <c r="D16" s="15"/>
      <c r="E16" s="14">
        <v>960</v>
      </c>
      <c r="F16" s="14"/>
      <c r="G16" s="14"/>
      <c r="H16" s="16">
        <f t="shared" si="0"/>
        <v>1280</v>
      </c>
      <c r="I16" s="20">
        <f t="shared" si="1"/>
        <v>32</v>
      </c>
    </row>
    <row r="17" spans="1:11" s="6" customFormat="1" ht="22.5" customHeight="1">
      <c r="A17" s="19">
        <v>566</v>
      </c>
      <c r="B17" s="14"/>
      <c r="C17" s="14">
        <v>1200</v>
      </c>
      <c r="D17" s="15"/>
      <c r="F17" s="14"/>
      <c r="G17" s="14"/>
      <c r="H17" s="16">
        <f t="shared" si="0"/>
        <v>1200</v>
      </c>
      <c r="I17" s="20">
        <f t="shared" si="1"/>
        <v>30</v>
      </c>
    </row>
    <row r="18" spans="1:11" s="6" customFormat="1" ht="22.5" customHeight="1">
      <c r="A18" s="19" t="s">
        <v>28</v>
      </c>
      <c r="B18" s="14">
        <v>100</v>
      </c>
      <c r="C18" s="14"/>
      <c r="D18" s="15"/>
      <c r="E18" s="14">
        <v>240</v>
      </c>
      <c r="F18" s="14">
        <v>600</v>
      </c>
      <c r="G18" s="14"/>
      <c r="H18" s="16">
        <f t="shared" si="0"/>
        <v>940</v>
      </c>
      <c r="I18" s="20">
        <f t="shared" si="1"/>
        <v>23.5</v>
      </c>
    </row>
    <row r="19" spans="1:11" s="6" customFormat="1" ht="30.75" customHeight="1">
      <c r="A19" s="21" t="s">
        <v>29</v>
      </c>
      <c r="B19" s="22">
        <f>SUM(B8:B18)</f>
        <v>2176</v>
      </c>
      <c r="C19" s="22">
        <f t="shared" ref="C19:G19" si="2">SUM(C8:C18)</f>
        <v>1200</v>
      </c>
      <c r="D19" s="22">
        <f t="shared" si="2"/>
        <v>2840</v>
      </c>
      <c r="E19" s="22">
        <f t="shared" si="2"/>
        <v>2840</v>
      </c>
      <c r="F19" s="22">
        <f t="shared" si="2"/>
        <v>2840</v>
      </c>
      <c r="G19" s="22">
        <f t="shared" si="2"/>
        <v>1640</v>
      </c>
      <c r="H19" s="22">
        <f>SUM(H8:H18)</f>
        <v>13536</v>
      </c>
      <c r="I19" s="23">
        <f>SUM(I8:I18)</f>
        <v>338.4</v>
      </c>
      <c r="J19" s="24"/>
      <c r="K19" s="24"/>
    </row>
    <row r="20" spans="1:11" ht="12" customHeight="1">
      <c r="A20" s="25"/>
      <c r="J20" s="26"/>
    </row>
    <row r="21" spans="1:11" ht="12.75" customHeight="1">
      <c r="A21" s="25"/>
      <c r="H21" s="26"/>
      <c r="J21" s="26"/>
    </row>
    <row r="22" spans="1:11" s="29" customFormat="1" ht="45" customHeight="1">
      <c r="A22" s="27" t="s">
        <v>30</v>
      </c>
      <c r="B22" s="27" t="s">
        <v>31</v>
      </c>
      <c r="C22" s="27" t="s">
        <v>32</v>
      </c>
      <c r="D22" s="28" t="s">
        <v>33</v>
      </c>
      <c r="E22" s="27" t="s">
        <v>34</v>
      </c>
    </row>
    <row r="23" spans="1:11" s="34" customFormat="1" ht="28.5" customHeight="1">
      <c r="A23" s="66" t="s">
        <v>6</v>
      </c>
      <c r="B23" s="60">
        <v>46111</v>
      </c>
      <c r="C23" s="32" t="s">
        <v>23</v>
      </c>
      <c r="D23" s="33">
        <v>14000</v>
      </c>
      <c r="E23" s="30"/>
      <c r="F23" s="29"/>
      <c r="G23" s="41"/>
      <c r="H23" s="41"/>
    </row>
    <row r="24" spans="1:11" s="34" customFormat="1" ht="28.5" customHeight="1">
      <c r="A24" s="67"/>
      <c r="B24" s="61"/>
      <c r="C24" s="32" t="s">
        <v>25</v>
      </c>
      <c r="D24" s="33">
        <v>14000</v>
      </c>
      <c r="E24" s="30"/>
      <c r="F24" s="29"/>
      <c r="G24" s="41"/>
    </row>
    <row r="25" spans="1:11" s="34" customFormat="1" ht="28.5" customHeight="1">
      <c r="A25" s="35" t="s">
        <v>7</v>
      </c>
      <c r="B25" s="36">
        <v>46112</v>
      </c>
      <c r="C25" s="32"/>
      <c r="D25" s="33"/>
      <c r="E25" s="30"/>
      <c r="F25" s="29"/>
      <c r="G25" s="41"/>
    </row>
    <row r="26" spans="1:11" s="34" customFormat="1" ht="28.5" customHeight="1">
      <c r="A26" s="35" t="s">
        <v>8</v>
      </c>
      <c r="B26" s="36">
        <v>46113</v>
      </c>
      <c r="C26" s="32"/>
      <c r="D26" s="33"/>
      <c r="E26" s="30"/>
      <c r="F26" s="29"/>
    </row>
    <row r="27" spans="1:11" s="34" customFormat="1" ht="28.5" customHeight="1">
      <c r="A27" s="58" t="s">
        <v>35</v>
      </c>
      <c r="B27" s="60">
        <v>46114</v>
      </c>
      <c r="C27" s="32">
        <v>552</v>
      </c>
      <c r="D27" s="33">
        <v>14000</v>
      </c>
      <c r="E27" s="30"/>
      <c r="F27" s="29"/>
    </row>
    <row r="28" spans="1:11" s="34" customFormat="1" ht="28.5" customHeight="1">
      <c r="A28" s="59"/>
      <c r="B28" s="61"/>
      <c r="C28" s="32" t="s">
        <v>27</v>
      </c>
      <c r="D28" s="33">
        <v>14000</v>
      </c>
      <c r="E28" s="30"/>
      <c r="F28" s="29"/>
    </row>
    <row r="29" spans="1:11" s="34" customFormat="1" ht="28.5" customHeight="1">
      <c r="A29" s="68" t="s">
        <v>10</v>
      </c>
      <c r="B29" s="69">
        <v>46115</v>
      </c>
      <c r="C29" s="32" t="s">
        <v>23</v>
      </c>
      <c r="D29" s="33">
        <v>14000</v>
      </c>
      <c r="E29" s="30"/>
      <c r="F29" s="29"/>
    </row>
    <row r="30" spans="1:11" s="34" customFormat="1" ht="28.5" customHeight="1">
      <c r="A30" s="68"/>
      <c r="B30" s="69"/>
      <c r="C30" s="32" t="s">
        <v>25</v>
      </c>
      <c r="D30" s="33">
        <v>14000</v>
      </c>
      <c r="E30" s="30"/>
      <c r="F30" s="29"/>
    </row>
    <row r="31" spans="1:11" s="34" customFormat="1" ht="28.5" customHeight="1">
      <c r="A31" s="30" t="s">
        <v>11</v>
      </c>
      <c r="B31" s="31">
        <v>46116</v>
      </c>
      <c r="C31" s="32"/>
      <c r="D31" s="33"/>
      <c r="E31" s="30"/>
      <c r="F31" s="29"/>
    </row>
    <row r="32" spans="1:11">
      <c r="D32" s="39">
        <f>SUM(D23:D31)</f>
        <v>84000</v>
      </c>
    </row>
  </sheetData>
  <mergeCells count="12">
    <mergeCell ref="A29:A30"/>
    <mergeCell ref="B29:B30"/>
    <mergeCell ref="A27:A28"/>
    <mergeCell ref="B27:B28"/>
    <mergeCell ref="A23:A24"/>
    <mergeCell ref="B23:B24"/>
    <mergeCell ref="H6:I6"/>
    <mergeCell ref="A1:E1"/>
    <mergeCell ref="A2:E2"/>
    <mergeCell ref="A3:E3"/>
    <mergeCell ref="A4:I4"/>
    <mergeCell ref="A5:I5"/>
  </mergeCells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6A41BD-817E-4B5E-98B4-745B4B52BB77}">
  <sheetPr>
    <tabColor rgb="FFFFFF00"/>
  </sheetPr>
  <dimension ref="A1:K33"/>
  <sheetViews>
    <sheetView topLeftCell="A5" zoomScale="90" zoomScaleNormal="90" workbookViewId="0">
      <selection activeCell="A4" sqref="A4:I4"/>
    </sheetView>
  </sheetViews>
  <sheetFormatPr defaultColWidth="9.125" defaultRowHeight="15"/>
  <cols>
    <col min="1" max="1" width="16.375" style="3" customWidth="1"/>
    <col min="2" max="2" width="15.75" style="3" bestFit="1" customWidth="1"/>
    <col min="3" max="7" width="14.625" style="3" customWidth="1"/>
    <col min="8" max="8" width="13.625" style="3" customWidth="1"/>
    <col min="9" max="9" width="16.75" style="3" customWidth="1"/>
    <col min="10" max="10" width="16.625" style="3" customWidth="1"/>
    <col min="11" max="11" width="12" style="3" customWidth="1"/>
    <col min="12" max="12" width="14.875" style="3" customWidth="1"/>
    <col min="13" max="13" width="11.875" style="3" customWidth="1"/>
    <col min="14" max="14" width="12.875" style="3" bestFit="1" customWidth="1"/>
    <col min="15" max="15" width="11.75" style="3" customWidth="1"/>
    <col min="16" max="16384" width="9.125" style="3"/>
  </cols>
  <sheetData>
    <row r="1" spans="1:10" ht="15.75">
      <c r="A1" s="62" t="s">
        <v>0</v>
      </c>
      <c r="B1" s="62"/>
      <c r="C1" s="62"/>
      <c r="D1" s="62"/>
      <c r="E1" s="62"/>
      <c r="F1" s="1"/>
      <c r="G1" s="1"/>
      <c r="H1" s="2"/>
      <c r="I1" s="2"/>
      <c r="J1" s="2"/>
    </row>
    <row r="2" spans="1:10" ht="15.75">
      <c r="A2" s="62" t="s">
        <v>1</v>
      </c>
      <c r="B2" s="62"/>
      <c r="C2" s="62"/>
      <c r="D2" s="62"/>
      <c r="E2" s="62"/>
      <c r="F2" s="1"/>
      <c r="G2" s="1"/>
      <c r="H2" s="2"/>
      <c r="I2" s="2"/>
      <c r="J2" s="2"/>
    </row>
    <row r="3" spans="1:10" ht="15.75">
      <c r="A3" s="62" t="s">
        <v>2</v>
      </c>
      <c r="B3" s="62"/>
      <c r="C3" s="62"/>
      <c r="D3" s="62"/>
      <c r="E3" s="62"/>
      <c r="F3" s="1"/>
      <c r="G3" s="1"/>
      <c r="H3" s="2"/>
      <c r="I3" s="2"/>
      <c r="J3" s="2"/>
    </row>
    <row r="4" spans="1:10" ht="27.75" customHeight="1">
      <c r="A4" s="63" t="s">
        <v>3</v>
      </c>
      <c r="B4" s="63"/>
      <c r="C4" s="63"/>
      <c r="D4" s="63"/>
      <c r="E4" s="63"/>
      <c r="F4" s="63"/>
      <c r="G4" s="63"/>
      <c r="H4" s="63"/>
      <c r="I4" s="63"/>
      <c r="J4" s="4"/>
    </row>
    <row r="5" spans="1:10" s="6" customFormat="1" ht="23.25" customHeight="1">
      <c r="A5" s="64" t="s">
        <v>96</v>
      </c>
      <c r="B5" s="64"/>
      <c r="C5" s="64"/>
      <c r="D5" s="64"/>
      <c r="E5" s="64"/>
      <c r="F5" s="64"/>
      <c r="G5" s="64"/>
      <c r="H5" s="64"/>
      <c r="I5" s="64"/>
      <c r="J5" s="5"/>
    </row>
    <row r="6" spans="1:10" ht="55.5" customHeight="1">
      <c r="A6" s="7" t="s">
        <v>5</v>
      </c>
      <c r="B6" s="8" t="s">
        <v>6</v>
      </c>
      <c r="C6" s="8" t="s">
        <v>7</v>
      </c>
      <c r="D6" s="8" t="s">
        <v>8</v>
      </c>
      <c r="E6" s="8" t="s">
        <v>9</v>
      </c>
      <c r="F6" s="8" t="s">
        <v>10</v>
      </c>
      <c r="G6" s="8" t="s">
        <v>11</v>
      </c>
      <c r="H6" s="65" t="s">
        <v>12</v>
      </c>
      <c r="I6" s="65"/>
      <c r="J6" s="10"/>
    </row>
    <row r="7" spans="1:10" ht="31.5" customHeight="1">
      <c r="A7" s="11" t="s">
        <v>13</v>
      </c>
      <c r="B7" s="12" t="s">
        <v>97</v>
      </c>
      <c r="C7" s="12" t="s">
        <v>98</v>
      </c>
      <c r="D7" s="12" t="s">
        <v>99</v>
      </c>
      <c r="E7" s="12" t="s">
        <v>100</v>
      </c>
      <c r="F7" s="12" t="s">
        <v>101</v>
      </c>
      <c r="G7" s="12" t="s">
        <v>102</v>
      </c>
      <c r="H7" s="9" t="s">
        <v>20</v>
      </c>
      <c r="I7" s="9" t="s">
        <v>21</v>
      </c>
    </row>
    <row r="8" spans="1:10" s="6" customFormat="1" ht="22.5" customHeight="1">
      <c r="A8" s="13" t="s">
        <v>22</v>
      </c>
      <c r="B8" s="14"/>
      <c r="C8" s="14"/>
      <c r="D8" s="15"/>
      <c r="E8" s="14"/>
      <c r="F8" s="14"/>
      <c r="G8" s="14"/>
      <c r="H8" s="16">
        <f t="shared" ref="H8:H18" si="0">SUM(B8:G8)</f>
        <v>0</v>
      </c>
      <c r="I8" s="17">
        <f>H8*10/1000</f>
        <v>0</v>
      </c>
    </row>
    <row r="9" spans="1:10" s="6" customFormat="1" ht="22.5" customHeight="1">
      <c r="A9" s="49" t="s">
        <v>83</v>
      </c>
      <c r="B9" s="50"/>
      <c r="C9" s="50"/>
      <c r="D9" s="51"/>
      <c r="E9" s="50"/>
      <c r="F9" s="50"/>
      <c r="G9" s="50"/>
      <c r="H9" s="52">
        <f t="shared" si="0"/>
        <v>0</v>
      </c>
      <c r="I9" s="53">
        <f>H9*25/1000</f>
        <v>0</v>
      </c>
    </row>
    <row r="10" spans="1:10" s="6" customFormat="1" ht="22.5" customHeight="1">
      <c r="A10" s="49" t="s">
        <v>84</v>
      </c>
      <c r="B10" s="50"/>
      <c r="C10" s="50">
        <v>320</v>
      </c>
      <c r="D10" s="51"/>
      <c r="E10" s="50"/>
      <c r="F10" s="50"/>
      <c r="G10" s="50"/>
      <c r="H10" s="52">
        <f t="shared" si="0"/>
        <v>320</v>
      </c>
      <c r="I10" s="54">
        <f>H10*25/1000</f>
        <v>8</v>
      </c>
    </row>
    <row r="11" spans="1:10" s="6" customFormat="1" ht="22.5" customHeight="1">
      <c r="A11" s="49" t="s">
        <v>85</v>
      </c>
      <c r="B11" s="50"/>
      <c r="C11" s="50">
        <v>320</v>
      </c>
      <c r="D11" s="51"/>
      <c r="E11" s="50"/>
      <c r="F11" s="50"/>
      <c r="G11" s="55"/>
      <c r="H11" s="52">
        <f t="shared" si="0"/>
        <v>320</v>
      </c>
      <c r="I11" s="54">
        <f t="shared" ref="I11:I18" si="1">H11*25/1000</f>
        <v>8</v>
      </c>
    </row>
    <row r="12" spans="1:10" s="6" customFormat="1" ht="22.5" customHeight="1">
      <c r="A12" s="19">
        <v>552</v>
      </c>
      <c r="B12" s="14">
        <v>976</v>
      </c>
      <c r="C12" s="14"/>
      <c r="D12" s="15"/>
      <c r="E12" s="14"/>
      <c r="F12" s="14"/>
      <c r="G12" s="14"/>
      <c r="H12" s="16">
        <f t="shared" si="0"/>
        <v>976</v>
      </c>
      <c r="I12" s="20">
        <f t="shared" si="1"/>
        <v>24.4</v>
      </c>
    </row>
    <row r="13" spans="1:10" s="6" customFormat="1" ht="22.5" customHeight="1">
      <c r="A13" s="19" t="s">
        <v>25</v>
      </c>
      <c r="B13" s="14"/>
      <c r="C13" s="14"/>
      <c r="D13" s="15">
        <v>1640</v>
      </c>
      <c r="E13" s="14">
        <v>2180</v>
      </c>
      <c r="F13" s="14">
        <v>664</v>
      </c>
      <c r="G13" s="14">
        <v>1640</v>
      </c>
      <c r="H13" s="16">
        <f t="shared" si="0"/>
        <v>6124</v>
      </c>
      <c r="I13" s="20">
        <f t="shared" si="1"/>
        <v>153.1</v>
      </c>
    </row>
    <row r="14" spans="1:10" s="6" customFormat="1" ht="22.5" customHeight="1">
      <c r="A14" s="19" t="s">
        <v>26</v>
      </c>
      <c r="B14" s="14"/>
      <c r="C14" s="14"/>
      <c r="D14" s="15"/>
      <c r="E14" s="14"/>
      <c r="F14" s="14"/>
      <c r="G14" s="14"/>
      <c r="H14" s="16">
        <f t="shared" si="0"/>
        <v>0</v>
      </c>
      <c r="I14" s="20">
        <f t="shared" si="1"/>
        <v>0</v>
      </c>
    </row>
    <row r="15" spans="1:10" s="6" customFormat="1" ht="22.5" customHeight="1">
      <c r="A15" s="19" t="s">
        <v>27</v>
      </c>
      <c r="B15" s="14"/>
      <c r="C15" s="14"/>
      <c r="D15" s="15"/>
      <c r="E15" s="14">
        <v>300</v>
      </c>
      <c r="F15" s="14"/>
      <c r="G15" s="14"/>
      <c r="H15" s="16">
        <f t="shared" si="0"/>
        <v>300</v>
      </c>
      <c r="I15" s="20">
        <f t="shared" si="1"/>
        <v>7.5</v>
      </c>
    </row>
    <row r="16" spans="1:10" s="6" customFormat="1" ht="22.5" customHeight="1">
      <c r="A16" s="19">
        <v>562</v>
      </c>
      <c r="B16" s="14">
        <v>960</v>
      </c>
      <c r="C16" s="14"/>
      <c r="D16" s="15"/>
      <c r="E16" s="14"/>
      <c r="F16" s="14">
        <v>320</v>
      </c>
      <c r="G16" s="14"/>
      <c r="H16" s="16">
        <f t="shared" si="0"/>
        <v>1280</v>
      </c>
      <c r="I16" s="20">
        <f t="shared" si="1"/>
        <v>32</v>
      </c>
    </row>
    <row r="17" spans="1:11" s="6" customFormat="1" ht="22.5" customHeight="1">
      <c r="A17" s="19">
        <v>566</v>
      </c>
      <c r="B17" s="14">
        <v>240</v>
      </c>
      <c r="C17" s="14">
        <v>560</v>
      </c>
      <c r="D17" s="15"/>
      <c r="E17" s="14">
        <v>360</v>
      </c>
      <c r="F17" s="14"/>
      <c r="G17" s="14">
        <v>1200</v>
      </c>
      <c r="H17" s="16">
        <f t="shared" si="0"/>
        <v>2360</v>
      </c>
      <c r="I17" s="20">
        <f t="shared" si="1"/>
        <v>59</v>
      </c>
    </row>
    <row r="18" spans="1:11" s="6" customFormat="1" ht="22.5" customHeight="1">
      <c r="A18" s="19" t="s">
        <v>28</v>
      </c>
      <c r="B18" s="14"/>
      <c r="C18" s="14"/>
      <c r="D18" s="15">
        <v>1200</v>
      </c>
      <c r="E18" s="14"/>
      <c r="F18" s="14">
        <v>880</v>
      </c>
      <c r="G18" s="14"/>
      <c r="H18" s="16">
        <f t="shared" si="0"/>
        <v>2080</v>
      </c>
      <c r="I18" s="20">
        <f t="shared" si="1"/>
        <v>52</v>
      </c>
    </row>
    <row r="19" spans="1:11" s="6" customFormat="1" ht="30.75" customHeight="1">
      <c r="A19" s="21" t="s">
        <v>29</v>
      </c>
      <c r="B19" s="22">
        <f>SUM(B8:B18)</f>
        <v>2176</v>
      </c>
      <c r="C19" s="22">
        <f t="shared" ref="C19:G19" si="2">SUM(C8:C18)</f>
        <v>1200</v>
      </c>
      <c r="D19" s="22">
        <f t="shared" si="2"/>
        <v>2840</v>
      </c>
      <c r="E19" s="22">
        <f t="shared" si="2"/>
        <v>2840</v>
      </c>
      <c r="F19" s="22">
        <f t="shared" si="2"/>
        <v>1864</v>
      </c>
      <c r="G19" s="22">
        <f t="shared" si="2"/>
        <v>2840</v>
      </c>
      <c r="H19" s="22">
        <f>SUM(H8:H18)</f>
        <v>13760</v>
      </c>
      <c r="I19" s="23">
        <f>SUM(I8:I18)</f>
        <v>344</v>
      </c>
      <c r="J19" s="24"/>
      <c r="K19" s="24"/>
    </row>
    <row r="20" spans="1:11" ht="12" customHeight="1">
      <c r="A20" s="25"/>
      <c r="J20" s="26"/>
    </row>
    <row r="21" spans="1:11" ht="12.75" customHeight="1">
      <c r="A21" s="25"/>
      <c r="H21" s="26"/>
      <c r="J21" s="26"/>
    </row>
    <row r="22" spans="1:11" s="29" customFormat="1" ht="45" customHeight="1">
      <c r="A22" s="27" t="s">
        <v>30</v>
      </c>
      <c r="B22" s="27" t="s">
        <v>31</v>
      </c>
      <c r="C22" s="27" t="s">
        <v>32</v>
      </c>
      <c r="D22" s="28" t="s">
        <v>33</v>
      </c>
      <c r="E22" s="27" t="s">
        <v>34</v>
      </c>
    </row>
    <row r="23" spans="1:11" s="34" customFormat="1" ht="28.5" customHeight="1">
      <c r="A23" s="66" t="s">
        <v>6</v>
      </c>
      <c r="B23" s="60">
        <v>46104</v>
      </c>
      <c r="C23" s="32">
        <v>551</v>
      </c>
      <c r="D23" s="33">
        <v>14000</v>
      </c>
      <c r="E23" s="30"/>
      <c r="F23" s="29"/>
      <c r="G23" s="41"/>
      <c r="H23" s="41"/>
    </row>
    <row r="24" spans="1:11" s="34" customFormat="1" ht="28.5" customHeight="1">
      <c r="A24" s="67"/>
      <c r="B24" s="61"/>
      <c r="C24" s="32" t="s">
        <v>27</v>
      </c>
      <c r="D24" s="33">
        <v>14000</v>
      </c>
      <c r="E24" s="30"/>
      <c r="F24" s="29"/>
      <c r="G24" s="41"/>
    </row>
    <row r="25" spans="1:11" s="34" customFormat="1" ht="28.5" customHeight="1">
      <c r="A25" s="58" t="s">
        <v>7</v>
      </c>
      <c r="B25" s="60">
        <v>46105</v>
      </c>
      <c r="C25" s="32" t="s">
        <v>23</v>
      </c>
      <c r="D25" s="33">
        <v>14000</v>
      </c>
      <c r="E25" s="30"/>
      <c r="F25" s="29"/>
      <c r="G25" s="41"/>
    </row>
    <row r="26" spans="1:11" s="34" customFormat="1" ht="28.5" customHeight="1">
      <c r="A26" s="59"/>
      <c r="B26" s="61"/>
      <c r="C26" s="32" t="s">
        <v>24</v>
      </c>
      <c r="D26" s="33">
        <v>14000</v>
      </c>
      <c r="E26" s="30"/>
      <c r="F26" s="29"/>
      <c r="G26" s="41"/>
    </row>
    <row r="27" spans="1:11" s="34" customFormat="1" ht="28.5" customHeight="1">
      <c r="A27" s="58" t="s">
        <v>8</v>
      </c>
      <c r="B27" s="60">
        <v>46106</v>
      </c>
      <c r="C27" s="32" t="s">
        <v>83</v>
      </c>
      <c r="D27" s="33">
        <v>21000</v>
      </c>
      <c r="E27" s="30"/>
      <c r="F27" s="29"/>
    </row>
    <row r="28" spans="1:11" s="34" customFormat="1" ht="28.5" customHeight="1">
      <c r="A28" s="59"/>
      <c r="B28" s="61"/>
      <c r="C28" s="32">
        <v>552</v>
      </c>
      <c r="D28" s="33">
        <v>7000</v>
      </c>
      <c r="E28" s="30"/>
      <c r="F28" s="29"/>
    </row>
    <row r="29" spans="1:11" s="34" customFormat="1" ht="28.5" customHeight="1">
      <c r="A29" s="56" t="s">
        <v>35</v>
      </c>
      <c r="B29" s="57">
        <v>46107</v>
      </c>
      <c r="C29" s="32"/>
      <c r="D29" s="33"/>
      <c r="E29" s="30"/>
      <c r="F29" s="29"/>
    </row>
    <row r="30" spans="1:11" s="34" customFormat="1" ht="28.5" customHeight="1">
      <c r="A30" s="68" t="s">
        <v>10</v>
      </c>
      <c r="B30" s="69">
        <v>46108</v>
      </c>
      <c r="C30" s="32" t="s">
        <v>23</v>
      </c>
      <c r="D30" s="33">
        <v>14000</v>
      </c>
      <c r="E30" s="30"/>
      <c r="F30" s="29"/>
    </row>
    <row r="31" spans="1:11" s="34" customFormat="1" ht="28.5" customHeight="1">
      <c r="A31" s="68"/>
      <c r="B31" s="69"/>
      <c r="C31" s="32">
        <v>551</v>
      </c>
      <c r="D31" s="33">
        <v>14000</v>
      </c>
      <c r="E31" s="30"/>
      <c r="F31" s="29"/>
    </row>
    <row r="32" spans="1:11" s="34" customFormat="1" ht="28.5" customHeight="1">
      <c r="A32" s="30" t="s">
        <v>11</v>
      </c>
      <c r="B32" s="31">
        <v>46109</v>
      </c>
      <c r="C32" s="32"/>
      <c r="D32" s="33"/>
      <c r="E32" s="30"/>
      <c r="F32" s="29"/>
    </row>
    <row r="33" spans="4:4">
      <c r="D33" s="39">
        <f>SUM(D23:D32)</f>
        <v>112000</v>
      </c>
    </row>
  </sheetData>
  <mergeCells count="14">
    <mergeCell ref="H6:I6"/>
    <mergeCell ref="A25:A26"/>
    <mergeCell ref="B25:B26"/>
    <mergeCell ref="A30:A31"/>
    <mergeCell ref="B30:B31"/>
    <mergeCell ref="A23:A24"/>
    <mergeCell ref="B23:B24"/>
    <mergeCell ref="A27:A28"/>
    <mergeCell ref="B27:B28"/>
    <mergeCell ref="A1:E1"/>
    <mergeCell ref="A2:E2"/>
    <mergeCell ref="A3:E3"/>
    <mergeCell ref="A4:I4"/>
    <mergeCell ref="A5:I5"/>
  </mergeCells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28A66D-60FF-41D0-AD82-FD727E76EC34}">
  <sheetPr>
    <tabColor rgb="FFFFFF00"/>
  </sheetPr>
  <dimension ref="A1:K33"/>
  <sheetViews>
    <sheetView topLeftCell="A4" zoomScale="90" zoomScaleNormal="90" workbookViewId="0">
      <selection activeCell="A4" sqref="A4:I4"/>
    </sheetView>
  </sheetViews>
  <sheetFormatPr defaultColWidth="9.125" defaultRowHeight="15"/>
  <cols>
    <col min="1" max="1" width="16.375" style="3" customWidth="1"/>
    <col min="2" max="2" width="15.75" style="3" bestFit="1" customWidth="1"/>
    <col min="3" max="7" width="14.625" style="3" customWidth="1"/>
    <col min="8" max="8" width="13.625" style="3" customWidth="1"/>
    <col min="9" max="9" width="16.75" style="3" customWidth="1"/>
    <col min="10" max="10" width="16.625" style="3" customWidth="1"/>
    <col min="11" max="11" width="12" style="3" customWidth="1"/>
    <col min="12" max="12" width="14.875" style="3" customWidth="1"/>
    <col min="13" max="13" width="11.875" style="3" customWidth="1"/>
    <col min="14" max="14" width="12.875" style="3" bestFit="1" customWidth="1"/>
    <col min="15" max="15" width="11.75" style="3" customWidth="1"/>
    <col min="16" max="16384" width="9.125" style="3"/>
  </cols>
  <sheetData>
    <row r="1" spans="1:10" ht="15.75">
      <c r="A1" s="62" t="s">
        <v>0</v>
      </c>
      <c r="B1" s="62"/>
      <c r="C1" s="62"/>
      <c r="D1" s="62"/>
      <c r="E1" s="62"/>
      <c r="F1" s="1"/>
      <c r="G1" s="1"/>
      <c r="H1" s="2"/>
      <c r="I1" s="2"/>
      <c r="J1" s="2"/>
    </row>
    <row r="2" spans="1:10" ht="15.75">
      <c r="A2" s="62" t="s">
        <v>1</v>
      </c>
      <c r="B2" s="62"/>
      <c r="C2" s="62"/>
      <c r="D2" s="62"/>
      <c r="E2" s="62"/>
      <c r="F2" s="1"/>
      <c r="G2" s="1"/>
      <c r="H2" s="2"/>
      <c r="I2" s="2"/>
      <c r="J2" s="2"/>
    </row>
    <row r="3" spans="1:10" ht="15.75">
      <c r="A3" s="62" t="s">
        <v>2</v>
      </c>
      <c r="B3" s="62"/>
      <c r="C3" s="62"/>
      <c r="D3" s="62"/>
      <c r="E3" s="62"/>
      <c r="F3" s="1"/>
      <c r="G3" s="1"/>
      <c r="H3" s="2"/>
      <c r="I3" s="2"/>
      <c r="J3" s="2"/>
    </row>
    <row r="4" spans="1:10" ht="27.75" customHeight="1">
      <c r="A4" s="63" t="s">
        <v>3</v>
      </c>
      <c r="B4" s="63"/>
      <c r="C4" s="63"/>
      <c r="D4" s="63"/>
      <c r="E4" s="63"/>
      <c r="F4" s="63"/>
      <c r="G4" s="63"/>
      <c r="H4" s="63"/>
      <c r="I4" s="63"/>
      <c r="J4" s="4"/>
    </row>
    <row r="5" spans="1:10" s="6" customFormat="1" ht="23.25" customHeight="1">
      <c r="A5" s="64" t="s">
        <v>95</v>
      </c>
      <c r="B5" s="64"/>
      <c r="C5" s="64"/>
      <c r="D5" s="64"/>
      <c r="E5" s="64"/>
      <c r="F5" s="64"/>
      <c r="G5" s="64"/>
      <c r="H5" s="64"/>
      <c r="I5" s="64"/>
      <c r="J5" s="5"/>
    </row>
    <row r="6" spans="1:10" ht="55.5" customHeight="1">
      <c r="A6" s="7" t="s">
        <v>5</v>
      </c>
      <c r="B6" s="8" t="s">
        <v>6</v>
      </c>
      <c r="C6" s="8" t="s">
        <v>7</v>
      </c>
      <c r="D6" s="8" t="s">
        <v>8</v>
      </c>
      <c r="E6" s="8" t="s">
        <v>9</v>
      </c>
      <c r="F6" s="8" t="s">
        <v>10</v>
      </c>
      <c r="G6" s="8" t="s">
        <v>11</v>
      </c>
      <c r="H6" s="65" t="s">
        <v>12</v>
      </c>
      <c r="I6" s="65"/>
      <c r="J6" s="10"/>
    </row>
    <row r="7" spans="1:10" ht="31.5" customHeight="1">
      <c r="A7" s="11" t="s">
        <v>13</v>
      </c>
      <c r="B7" s="12" t="s">
        <v>89</v>
      </c>
      <c r="C7" s="12" t="s">
        <v>90</v>
      </c>
      <c r="D7" s="12" t="s">
        <v>91</v>
      </c>
      <c r="E7" s="12" t="s">
        <v>92</v>
      </c>
      <c r="F7" s="12" t="s">
        <v>93</v>
      </c>
      <c r="G7" s="12" t="s">
        <v>94</v>
      </c>
      <c r="H7" s="9" t="s">
        <v>20</v>
      </c>
      <c r="I7" s="9" t="s">
        <v>21</v>
      </c>
    </row>
    <row r="8" spans="1:10" s="6" customFormat="1" ht="22.5" customHeight="1">
      <c r="A8" s="13" t="s">
        <v>22</v>
      </c>
      <c r="B8" s="14"/>
      <c r="C8" s="14"/>
      <c r="D8" s="15"/>
      <c r="E8" s="14"/>
      <c r="F8" s="14"/>
      <c r="G8" s="14"/>
      <c r="H8" s="16">
        <f t="shared" ref="H8:H18" si="0">SUM(B8:G8)</f>
        <v>0</v>
      </c>
      <c r="I8" s="17">
        <f>H8*10/1000</f>
        <v>0</v>
      </c>
    </row>
    <row r="9" spans="1:10" s="6" customFormat="1" ht="22.5" customHeight="1">
      <c r="A9" s="49" t="s">
        <v>83</v>
      </c>
      <c r="B9" s="50">
        <f>180</f>
        <v>180</v>
      </c>
      <c r="C9" s="50"/>
      <c r="D9" s="51"/>
      <c r="E9" s="50"/>
      <c r="F9" s="50">
        <v>140</v>
      </c>
      <c r="G9" s="50"/>
      <c r="H9" s="52">
        <f t="shared" si="0"/>
        <v>320</v>
      </c>
      <c r="I9" s="53">
        <f>H9*25/1000</f>
        <v>8</v>
      </c>
    </row>
    <row r="10" spans="1:10" s="6" customFormat="1" ht="22.5" customHeight="1">
      <c r="A10" s="49" t="s">
        <v>84</v>
      </c>
      <c r="B10" s="50"/>
      <c r="C10" s="50"/>
      <c r="D10" s="51"/>
      <c r="E10" s="50">
        <v>290</v>
      </c>
      <c r="F10" s="50">
        <v>30</v>
      </c>
      <c r="G10" s="50"/>
      <c r="H10" s="52">
        <f t="shared" si="0"/>
        <v>320</v>
      </c>
      <c r="I10" s="54">
        <f>H10*25/1000</f>
        <v>8</v>
      </c>
    </row>
    <row r="11" spans="1:10" s="6" customFormat="1" ht="22.5" customHeight="1">
      <c r="A11" s="49" t="s">
        <v>85</v>
      </c>
      <c r="B11" s="50"/>
      <c r="C11" s="50"/>
      <c r="D11" s="51"/>
      <c r="E11" s="50"/>
      <c r="F11" s="50"/>
      <c r="G11" s="55"/>
      <c r="H11" s="52">
        <f t="shared" si="0"/>
        <v>0</v>
      </c>
      <c r="I11" s="54">
        <f t="shared" ref="I11:I18" si="1">H11*25/1000</f>
        <v>0</v>
      </c>
    </row>
    <row r="12" spans="1:10" s="6" customFormat="1" ht="22.5" customHeight="1">
      <c r="A12" s="19">
        <v>552</v>
      </c>
      <c r="B12" s="14"/>
      <c r="C12" s="14"/>
      <c r="D12" s="15">
        <v>976</v>
      </c>
      <c r="E12" s="14"/>
      <c r="F12" s="14">
        <v>946</v>
      </c>
      <c r="G12" s="14"/>
      <c r="H12" s="16">
        <f t="shared" si="0"/>
        <v>1922</v>
      </c>
      <c r="I12" s="20">
        <f t="shared" si="1"/>
        <v>48.05</v>
      </c>
    </row>
    <row r="13" spans="1:10" s="6" customFormat="1" ht="22.5" customHeight="1">
      <c r="A13" s="19" t="s">
        <v>25</v>
      </c>
      <c r="B13" s="14">
        <f>780+976</f>
        <v>1756</v>
      </c>
      <c r="C13" s="14"/>
      <c r="D13" s="15">
        <v>664</v>
      </c>
      <c r="E13" s="14">
        <f>810+664</f>
        <v>1474</v>
      </c>
      <c r="F13" s="14">
        <v>664</v>
      </c>
      <c r="G13" s="14">
        <v>664</v>
      </c>
      <c r="H13" s="16">
        <f t="shared" si="0"/>
        <v>5222</v>
      </c>
      <c r="I13" s="20">
        <f t="shared" si="1"/>
        <v>130.55000000000001</v>
      </c>
    </row>
    <row r="14" spans="1:10" s="6" customFormat="1" ht="22.5" customHeight="1">
      <c r="A14" s="19" t="s">
        <v>26</v>
      </c>
      <c r="B14" s="14"/>
      <c r="C14" s="14"/>
      <c r="D14" s="15"/>
      <c r="E14" s="14"/>
      <c r="F14" s="14"/>
      <c r="G14" s="14"/>
      <c r="H14" s="16">
        <f t="shared" si="0"/>
        <v>0</v>
      </c>
      <c r="I14" s="20">
        <f t="shared" si="1"/>
        <v>0</v>
      </c>
    </row>
    <row r="15" spans="1:10" s="6" customFormat="1" ht="22.5" customHeight="1">
      <c r="A15" s="19" t="s">
        <v>27</v>
      </c>
      <c r="B15" s="14">
        <f>240</f>
        <v>240</v>
      </c>
      <c r="C15" s="14"/>
      <c r="D15" s="15"/>
      <c r="E15" s="14"/>
      <c r="F15" s="14">
        <v>120</v>
      </c>
      <c r="G15" s="14"/>
      <c r="H15" s="16">
        <f t="shared" si="0"/>
        <v>360</v>
      </c>
      <c r="I15" s="20">
        <f t="shared" si="1"/>
        <v>9</v>
      </c>
    </row>
    <row r="16" spans="1:10" s="6" customFormat="1" ht="22.5" customHeight="1">
      <c r="A16" s="19">
        <v>562</v>
      </c>
      <c r="B16" s="14"/>
      <c r="C16" s="14"/>
      <c r="D16" s="15"/>
      <c r="E16" s="14"/>
      <c r="F16" s="14">
        <v>940</v>
      </c>
      <c r="G16" s="14">
        <v>640</v>
      </c>
      <c r="H16" s="16">
        <f t="shared" si="0"/>
        <v>1580</v>
      </c>
      <c r="I16" s="20">
        <f t="shared" si="1"/>
        <v>39.5</v>
      </c>
    </row>
    <row r="17" spans="1:11" s="6" customFormat="1" ht="22.5" customHeight="1">
      <c r="A17" s="19">
        <v>566</v>
      </c>
      <c r="B17" s="14"/>
      <c r="C17" s="14"/>
      <c r="D17" s="15">
        <v>1200</v>
      </c>
      <c r="E17" s="14"/>
      <c r="F17" s="14"/>
      <c r="G17" s="14"/>
      <c r="H17" s="16">
        <f t="shared" si="0"/>
        <v>1200</v>
      </c>
      <c r="I17" s="20">
        <f t="shared" si="1"/>
        <v>30</v>
      </c>
    </row>
    <row r="18" spans="1:11" s="6" customFormat="1" ht="22.5" customHeight="1">
      <c r="A18" s="19" t="s">
        <v>28</v>
      </c>
      <c r="B18" s="14"/>
      <c r="C18" s="14">
        <v>1200</v>
      </c>
      <c r="D18" s="15"/>
      <c r="E18" s="14">
        <v>100</v>
      </c>
      <c r="F18" s="14"/>
      <c r="G18" s="14">
        <v>560</v>
      </c>
      <c r="H18" s="16">
        <f t="shared" si="0"/>
        <v>1860</v>
      </c>
      <c r="I18" s="20">
        <f t="shared" si="1"/>
        <v>46.5</v>
      </c>
    </row>
    <row r="19" spans="1:11" s="6" customFormat="1" ht="30.75" customHeight="1">
      <c r="A19" s="21" t="s">
        <v>29</v>
      </c>
      <c r="B19" s="22">
        <f>SUM(B8:B18)</f>
        <v>2176</v>
      </c>
      <c r="C19" s="22">
        <f t="shared" ref="C19:G19" si="2">SUM(C8:C18)</f>
        <v>1200</v>
      </c>
      <c r="D19" s="22">
        <f t="shared" si="2"/>
        <v>2840</v>
      </c>
      <c r="E19" s="22">
        <f t="shared" si="2"/>
        <v>1864</v>
      </c>
      <c r="F19" s="22">
        <f t="shared" si="2"/>
        <v>2840</v>
      </c>
      <c r="G19" s="22">
        <f t="shared" si="2"/>
        <v>1864</v>
      </c>
      <c r="H19" s="22">
        <f>SUM(H8:H18)</f>
        <v>12784</v>
      </c>
      <c r="I19" s="23">
        <f>SUM(I8:I18)</f>
        <v>319.60000000000002</v>
      </c>
      <c r="J19" s="24"/>
      <c r="K19" s="24"/>
    </row>
    <row r="20" spans="1:11" ht="12" customHeight="1">
      <c r="A20" s="25"/>
      <c r="J20" s="26"/>
    </row>
    <row r="21" spans="1:11" ht="12.75" customHeight="1">
      <c r="A21" s="25"/>
      <c r="J21" s="26"/>
    </row>
    <row r="22" spans="1:11" s="29" customFormat="1" ht="45" customHeight="1">
      <c r="A22" s="27" t="s">
        <v>30</v>
      </c>
      <c r="B22" s="27" t="s">
        <v>31</v>
      </c>
      <c r="C22" s="27" t="s">
        <v>32</v>
      </c>
      <c r="D22" s="28" t="s">
        <v>33</v>
      </c>
      <c r="E22" s="27" t="s">
        <v>34</v>
      </c>
    </row>
    <row r="23" spans="1:11" s="34" customFormat="1" ht="28.5" customHeight="1">
      <c r="A23" s="66" t="s">
        <v>6</v>
      </c>
      <c r="B23" s="60">
        <v>46097</v>
      </c>
      <c r="C23" s="32" t="s">
        <v>23</v>
      </c>
      <c r="D23" s="33">
        <v>14000</v>
      </c>
      <c r="E23" s="30"/>
      <c r="F23" s="29"/>
      <c r="G23" s="41"/>
      <c r="H23" s="41"/>
    </row>
    <row r="24" spans="1:11" s="34" customFormat="1" ht="28.5" customHeight="1">
      <c r="A24" s="67"/>
      <c r="B24" s="61"/>
      <c r="C24" s="32" t="s">
        <v>26</v>
      </c>
      <c r="D24" s="33">
        <v>14000</v>
      </c>
      <c r="E24" s="30"/>
      <c r="F24" s="29"/>
      <c r="G24" s="41"/>
    </row>
    <row r="25" spans="1:11" s="34" customFormat="1" ht="28.5" customHeight="1">
      <c r="A25" s="35" t="s">
        <v>7</v>
      </c>
      <c r="B25" s="36">
        <v>46098</v>
      </c>
      <c r="C25" s="32"/>
      <c r="D25" s="33"/>
      <c r="E25" s="30"/>
      <c r="F25" s="29"/>
      <c r="G25" s="41"/>
    </row>
    <row r="26" spans="1:11" s="34" customFormat="1" ht="28.5" customHeight="1">
      <c r="A26" s="58" t="s">
        <v>8</v>
      </c>
      <c r="B26" s="60">
        <v>46099</v>
      </c>
      <c r="C26" s="32" t="s">
        <v>26</v>
      </c>
      <c r="D26" s="33">
        <v>7000</v>
      </c>
      <c r="E26" s="30"/>
      <c r="F26" s="29"/>
    </row>
    <row r="27" spans="1:11" s="34" customFormat="1" ht="28.5" customHeight="1">
      <c r="A27" s="59"/>
      <c r="B27" s="61"/>
      <c r="C27" s="32" t="s">
        <v>83</v>
      </c>
      <c r="D27" s="33">
        <v>21000</v>
      </c>
      <c r="E27" s="30"/>
      <c r="F27" s="29"/>
    </row>
    <row r="28" spans="1:11" s="34" customFormat="1" ht="28.5" customHeight="1">
      <c r="A28" s="58" t="s">
        <v>35</v>
      </c>
      <c r="B28" s="60">
        <v>46100</v>
      </c>
      <c r="C28" s="32" t="s">
        <v>23</v>
      </c>
      <c r="D28" s="33">
        <v>14000</v>
      </c>
      <c r="E28" s="30"/>
      <c r="F28" s="29"/>
    </row>
    <row r="29" spans="1:11" s="34" customFormat="1" ht="28.5" customHeight="1">
      <c r="A29" s="59"/>
      <c r="B29" s="61"/>
      <c r="C29" s="32" t="s">
        <v>28</v>
      </c>
      <c r="D29" s="33">
        <v>14000</v>
      </c>
      <c r="E29" s="30"/>
      <c r="F29" s="29"/>
    </row>
    <row r="30" spans="1:11" s="34" customFormat="1" ht="28.5" customHeight="1">
      <c r="A30" s="56" t="s">
        <v>10</v>
      </c>
      <c r="B30" s="57">
        <v>46101</v>
      </c>
      <c r="C30" s="32"/>
      <c r="D30" s="33"/>
      <c r="E30" s="30"/>
      <c r="F30" s="29"/>
    </row>
    <row r="31" spans="1:11" s="34" customFormat="1" ht="28.5" customHeight="1">
      <c r="A31" s="66" t="s">
        <v>11</v>
      </c>
      <c r="B31" s="60">
        <v>46102</v>
      </c>
      <c r="C31" s="32" t="s">
        <v>23</v>
      </c>
      <c r="D31" s="33">
        <v>14000</v>
      </c>
      <c r="E31" s="30"/>
      <c r="F31" s="29"/>
    </row>
    <row r="32" spans="1:11" s="34" customFormat="1" ht="28.5" customHeight="1">
      <c r="A32" s="67"/>
      <c r="B32" s="61"/>
      <c r="C32" s="32" t="s">
        <v>25</v>
      </c>
      <c r="D32" s="33">
        <v>14000</v>
      </c>
      <c r="E32" s="30"/>
      <c r="F32" s="29"/>
    </row>
    <row r="33" spans="4:4">
      <c r="D33" s="39">
        <f>SUM(D23:D32)</f>
        <v>112000</v>
      </c>
    </row>
  </sheetData>
  <mergeCells count="14">
    <mergeCell ref="H6:I6"/>
    <mergeCell ref="A28:A29"/>
    <mergeCell ref="B28:B29"/>
    <mergeCell ref="A31:A32"/>
    <mergeCell ref="B31:B32"/>
    <mergeCell ref="A23:A24"/>
    <mergeCell ref="B23:B24"/>
    <mergeCell ref="A26:A27"/>
    <mergeCell ref="B26:B27"/>
    <mergeCell ref="A1:E1"/>
    <mergeCell ref="A2:E2"/>
    <mergeCell ref="A3:E3"/>
    <mergeCell ref="A4:I4"/>
    <mergeCell ref="A5:I5"/>
  </mergeCells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EDFA0D-461B-444B-B9CC-B4A5A8C8E4D2}">
  <sheetPr>
    <tabColor rgb="FFFFFF00"/>
  </sheetPr>
  <dimension ref="A1:K33"/>
  <sheetViews>
    <sheetView topLeftCell="A6" zoomScale="90" zoomScaleNormal="90" workbookViewId="0">
      <selection activeCell="K10" sqref="K10"/>
    </sheetView>
  </sheetViews>
  <sheetFormatPr defaultColWidth="9.125" defaultRowHeight="15"/>
  <cols>
    <col min="1" max="1" width="16.375" style="3" customWidth="1"/>
    <col min="2" max="2" width="15.75" style="3" bestFit="1" customWidth="1"/>
    <col min="3" max="7" width="14.625" style="3" customWidth="1"/>
    <col min="8" max="8" width="13.625" style="3" customWidth="1"/>
    <col min="9" max="9" width="16.75" style="3" customWidth="1"/>
    <col min="10" max="10" width="16.625" style="3" customWidth="1"/>
    <col min="11" max="11" width="12" style="3" customWidth="1"/>
    <col min="12" max="12" width="14.875" style="3" customWidth="1"/>
    <col min="13" max="13" width="11.875" style="3" customWidth="1"/>
    <col min="14" max="14" width="12.875" style="3" bestFit="1" customWidth="1"/>
    <col min="15" max="15" width="11.75" style="3" customWidth="1"/>
    <col min="16" max="16384" width="9.125" style="3"/>
  </cols>
  <sheetData>
    <row r="1" spans="1:10" ht="15.75">
      <c r="A1" s="62" t="s">
        <v>0</v>
      </c>
      <c r="B1" s="62"/>
      <c r="C1" s="62"/>
      <c r="D1" s="62"/>
      <c r="E1" s="62"/>
      <c r="F1" s="1"/>
      <c r="G1" s="1"/>
      <c r="H1" s="2"/>
      <c r="I1" s="2"/>
      <c r="J1" s="2"/>
    </row>
    <row r="2" spans="1:10" ht="15.75">
      <c r="A2" s="62" t="s">
        <v>1</v>
      </c>
      <c r="B2" s="62"/>
      <c r="C2" s="62"/>
      <c r="D2" s="62"/>
      <c r="E2" s="62"/>
      <c r="F2" s="1"/>
      <c r="G2" s="1"/>
      <c r="H2" s="2"/>
      <c r="I2" s="2"/>
      <c r="J2" s="2"/>
    </row>
    <row r="3" spans="1:10" ht="15.75">
      <c r="A3" s="62" t="s">
        <v>2</v>
      </c>
      <c r="B3" s="62"/>
      <c r="C3" s="62"/>
      <c r="D3" s="62"/>
      <c r="E3" s="62"/>
      <c r="F3" s="1"/>
      <c r="G3" s="1"/>
      <c r="H3" s="2"/>
      <c r="I3" s="2"/>
      <c r="J3" s="2"/>
    </row>
    <row r="4" spans="1:10" ht="27.75" customHeight="1">
      <c r="A4" s="63" t="s">
        <v>3</v>
      </c>
      <c r="B4" s="63"/>
      <c r="C4" s="63"/>
      <c r="D4" s="63"/>
      <c r="E4" s="63"/>
      <c r="F4" s="63"/>
      <c r="G4" s="63"/>
      <c r="H4" s="63"/>
      <c r="I4" s="63"/>
      <c r="J4" s="4"/>
    </row>
    <row r="5" spans="1:10" s="6" customFormat="1" ht="23.25" customHeight="1">
      <c r="A5" s="64" t="s">
        <v>86</v>
      </c>
      <c r="B5" s="64"/>
      <c r="C5" s="64"/>
      <c r="D5" s="64"/>
      <c r="E5" s="64"/>
      <c r="F5" s="64"/>
      <c r="G5" s="64"/>
      <c r="H5" s="64"/>
      <c r="I5" s="64"/>
      <c r="J5" s="5"/>
    </row>
    <row r="6" spans="1:10" ht="55.5" customHeight="1">
      <c r="A6" s="7" t="s">
        <v>5</v>
      </c>
      <c r="B6" s="8" t="s">
        <v>6</v>
      </c>
      <c r="C6" s="8" t="s">
        <v>7</v>
      </c>
      <c r="D6" s="8" t="s">
        <v>8</v>
      </c>
      <c r="E6" s="8" t="s">
        <v>9</v>
      </c>
      <c r="F6" s="8" t="s">
        <v>10</v>
      </c>
      <c r="G6" s="8" t="s">
        <v>11</v>
      </c>
      <c r="H6" s="65" t="s">
        <v>12</v>
      </c>
      <c r="I6" s="65"/>
      <c r="J6" s="10"/>
    </row>
    <row r="7" spans="1:10" ht="31.5" customHeight="1">
      <c r="A7" s="11" t="s">
        <v>13</v>
      </c>
      <c r="B7" s="12">
        <v>46268</v>
      </c>
      <c r="C7" s="12">
        <v>46298</v>
      </c>
      <c r="D7" s="12">
        <v>46329</v>
      </c>
      <c r="E7" s="12">
        <v>46359</v>
      </c>
      <c r="F7" s="12" t="s">
        <v>87</v>
      </c>
      <c r="G7" s="12" t="s">
        <v>88</v>
      </c>
      <c r="H7" s="9" t="s">
        <v>20</v>
      </c>
      <c r="I7" s="9" t="s">
        <v>21</v>
      </c>
    </row>
    <row r="8" spans="1:10" s="6" customFormat="1" ht="22.5" customHeight="1">
      <c r="A8" s="13" t="s">
        <v>22</v>
      </c>
      <c r="B8" s="14"/>
      <c r="C8" s="14"/>
      <c r="D8" s="15"/>
      <c r="E8" s="14"/>
      <c r="F8" s="14"/>
      <c r="G8" s="14"/>
      <c r="H8" s="16">
        <f t="shared" ref="H8:H18" si="0">SUM(B8:G8)</f>
        <v>0</v>
      </c>
      <c r="I8" s="17">
        <f>H8*10/1000</f>
        <v>0</v>
      </c>
    </row>
    <row r="9" spans="1:10" s="6" customFormat="1" ht="22.5" customHeight="1">
      <c r="A9" s="49" t="s">
        <v>83</v>
      </c>
      <c r="B9" s="50"/>
      <c r="C9" s="50"/>
      <c r="D9" s="51"/>
      <c r="E9" s="50"/>
      <c r="F9" s="50"/>
      <c r="G9" s="50"/>
      <c r="H9" s="52">
        <f t="shared" si="0"/>
        <v>0</v>
      </c>
      <c r="I9" s="53">
        <f>H9*25/1000</f>
        <v>0</v>
      </c>
    </row>
    <row r="10" spans="1:10" s="6" customFormat="1" ht="22.5" customHeight="1">
      <c r="A10" s="49" t="s">
        <v>84</v>
      </c>
      <c r="B10" s="50"/>
      <c r="C10" s="50">
        <f>154+166</f>
        <v>320</v>
      </c>
      <c r="D10" s="51"/>
      <c r="E10" s="50"/>
      <c r="F10" s="50"/>
      <c r="G10" s="50"/>
      <c r="H10" s="52">
        <f t="shared" si="0"/>
        <v>320</v>
      </c>
      <c r="I10" s="54">
        <f>H10*25/1000</f>
        <v>8</v>
      </c>
    </row>
    <row r="11" spans="1:10" s="6" customFormat="1" ht="22.5" customHeight="1">
      <c r="A11" s="49" t="s">
        <v>85</v>
      </c>
      <c r="B11" s="50">
        <v>45</v>
      </c>
      <c r="C11" s="50">
        <f>244+810</f>
        <v>1054</v>
      </c>
      <c r="D11" s="51"/>
      <c r="E11" s="50"/>
      <c r="F11" s="50"/>
      <c r="G11" s="55">
        <v>181</v>
      </c>
      <c r="H11" s="52">
        <f t="shared" si="0"/>
        <v>1280</v>
      </c>
      <c r="I11" s="54">
        <f t="shared" ref="I11:I18" si="1">H11*25/1000</f>
        <v>32</v>
      </c>
    </row>
    <row r="12" spans="1:10" s="6" customFormat="1" ht="22.5" customHeight="1">
      <c r="A12" s="19">
        <v>552</v>
      </c>
      <c r="B12" s="14"/>
      <c r="C12" s="14"/>
      <c r="D12" s="15"/>
      <c r="E12" s="14"/>
      <c r="F12" s="14"/>
      <c r="G12" s="14"/>
      <c r="H12" s="16">
        <f t="shared" si="0"/>
        <v>0</v>
      </c>
      <c r="I12" s="20">
        <f t="shared" si="1"/>
        <v>0</v>
      </c>
    </row>
    <row r="13" spans="1:10" s="6" customFormat="1" ht="22.5" customHeight="1">
      <c r="A13" s="19" t="s">
        <v>25</v>
      </c>
      <c r="B13" s="14">
        <v>619</v>
      </c>
      <c r="C13" s="14">
        <v>682</v>
      </c>
      <c r="D13" s="15">
        <v>664</v>
      </c>
      <c r="E13" s="14">
        <v>976</v>
      </c>
      <c r="F13" s="14">
        <v>664</v>
      </c>
      <c r="G13" s="14">
        <v>795</v>
      </c>
      <c r="H13" s="16">
        <f t="shared" si="0"/>
        <v>4400</v>
      </c>
      <c r="I13" s="20">
        <f t="shared" si="1"/>
        <v>110</v>
      </c>
    </row>
    <row r="14" spans="1:10" s="6" customFormat="1" ht="22.5" customHeight="1">
      <c r="A14" s="19" t="s">
        <v>26</v>
      </c>
      <c r="B14" s="14"/>
      <c r="C14" s="14"/>
      <c r="D14" s="15"/>
      <c r="E14" s="14"/>
      <c r="F14" s="14"/>
      <c r="G14" s="14"/>
      <c r="H14" s="16">
        <f t="shared" si="0"/>
        <v>0</v>
      </c>
      <c r="I14" s="20">
        <f t="shared" si="1"/>
        <v>0</v>
      </c>
    </row>
    <row r="15" spans="1:10" s="6" customFormat="1" ht="22.5" customHeight="1">
      <c r="A15" s="19" t="s">
        <v>27</v>
      </c>
      <c r="B15" s="14"/>
      <c r="C15" s="14">
        <v>120</v>
      </c>
      <c r="D15" s="15"/>
      <c r="E15" s="14"/>
      <c r="F15" s="14"/>
      <c r="G15" s="14"/>
      <c r="H15" s="16">
        <f t="shared" si="0"/>
        <v>120</v>
      </c>
      <c r="I15" s="20">
        <f t="shared" si="1"/>
        <v>3</v>
      </c>
    </row>
    <row r="16" spans="1:10" s="6" customFormat="1" ht="22.5" customHeight="1">
      <c r="A16" s="19">
        <v>562</v>
      </c>
      <c r="B16" s="14"/>
      <c r="C16" s="14"/>
      <c r="D16" s="15">
        <v>960</v>
      </c>
      <c r="E16" s="14"/>
      <c r="F16" s="14">
        <v>320</v>
      </c>
      <c r="G16" s="14"/>
      <c r="H16" s="16">
        <f t="shared" si="0"/>
        <v>1280</v>
      </c>
      <c r="I16" s="20">
        <f t="shared" si="1"/>
        <v>32</v>
      </c>
    </row>
    <row r="17" spans="1:11" s="6" customFormat="1" ht="22.5" customHeight="1">
      <c r="A17" s="19">
        <v>566</v>
      </c>
      <c r="B17" s="14">
        <v>1200</v>
      </c>
      <c r="C17" s="14"/>
      <c r="D17" s="15">
        <v>240</v>
      </c>
      <c r="E17" s="14"/>
      <c r="F17" s="14"/>
      <c r="G17" s="14"/>
      <c r="H17" s="16">
        <f t="shared" si="0"/>
        <v>1440</v>
      </c>
      <c r="I17" s="20">
        <f t="shared" si="1"/>
        <v>36</v>
      </c>
    </row>
    <row r="18" spans="1:11" s="6" customFormat="1" ht="22.5" customHeight="1">
      <c r="A18" s="19" t="s">
        <v>28</v>
      </c>
      <c r="B18" s="14"/>
      <c r="C18" s="14"/>
      <c r="D18" s="15"/>
      <c r="E18" s="14">
        <v>1200</v>
      </c>
      <c r="F18" s="14">
        <v>880</v>
      </c>
      <c r="G18" s="14"/>
      <c r="H18" s="16">
        <f t="shared" si="0"/>
        <v>2080</v>
      </c>
      <c r="I18" s="20">
        <f t="shared" si="1"/>
        <v>52</v>
      </c>
    </row>
    <row r="19" spans="1:11" s="6" customFormat="1" ht="30.75" customHeight="1">
      <c r="A19" s="21" t="s">
        <v>29</v>
      </c>
      <c r="B19" s="22">
        <f>SUM(B8:B18)</f>
        <v>1864</v>
      </c>
      <c r="C19" s="22">
        <f t="shared" ref="C19:G19" si="2">SUM(C8:C18)</f>
        <v>2176</v>
      </c>
      <c r="D19" s="22">
        <f t="shared" si="2"/>
        <v>1864</v>
      </c>
      <c r="E19" s="22">
        <f t="shared" si="2"/>
        <v>2176</v>
      </c>
      <c r="F19" s="22">
        <f t="shared" si="2"/>
        <v>1864</v>
      </c>
      <c r="G19" s="22">
        <f t="shared" si="2"/>
        <v>976</v>
      </c>
      <c r="H19" s="22">
        <f>SUM(H8:H18)</f>
        <v>10920</v>
      </c>
      <c r="I19" s="23">
        <f>SUM(I8:I18)</f>
        <v>273</v>
      </c>
      <c r="J19" s="24"/>
      <c r="K19" s="24"/>
    </row>
    <row r="20" spans="1:11" ht="12" customHeight="1">
      <c r="A20" s="25"/>
      <c r="J20" s="26"/>
    </row>
    <row r="21" spans="1:11" ht="12.75" customHeight="1">
      <c r="A21" s="25"/>
      <c r="J21" s="26"/>
    </row>
    <row r="22" spans="1:11" s="29" customFormat="1" ht="45" customHeight="1">
      <c r="A22" s="27" t="s">
        <v>30</v>
      </c>
      <c r="B22" s="27" t="s">
        <v>31</v>
      </c>
      <c r="C22" s="27" t="s">
        <v>32</v>
      </c>
      <c r="D22" s="28" t="s">
        <v>33</v>
      </c>
      <c r="E22" s="27" t="s">
        <v>34</v>
      </c>
    </row>
    <row r="23" spans="1:11" s="34" customFormat="1" ht="28.5" customHeight="1">
      <c r="A23" s="66" t="s">
        <v>6</v>
      </c>
      <c r="B23" s="60">
        <v>46090</v>
      </c>
      <c r="C23" s="32" t="s">
        <v>23</v>
      </c>
      <c r="D23" s="33">
        <v>14000</v>
      </c>
      <c r="E23" s="30"/>
      <c r="F23" s="29"/>
      <c r="G23" s="41"/>
      <c r="H23" s="41"/>
    </row>
    <row r="24" spans="1:11" s="34" customFormat="1" ht="28.5" customHeight="1">
      <c r="A24" s="67"/>
      <c r="B24" s="61"/>
      <c r="C24" s="32" t="s">
        <v>25</v>
      </c>
      <c r="D24" s="33">
        <v>14000</v>
      </c>
      <c r="E24" s="30"/>
      <c r="F24" s="29"/>
      <c r="G24" s="41"/>
    </row>
    <row r="25" spans="1:11" s="34" customFormat="1" ht="28.5" customHeight="1">
      <c r="A25" s="58" t="s">
        <v>7</v>
      </c>
      <c r="B25" s="60">
        <v>46091</v>
      </c>
      <c r="C25" s="32" t="s">
        <v>27</v>
      </c>
      <c r="D25" s="33">
        <v>14000</v>
      </c>
      <c r="E25" s="30"/>
      <c r="F25" s="29"/>
      <c r="G25" s="41"/>
    </row>
    <row r="26" spans="1:11" s="34" customFormat="1" ht="28.5" customHeight="1">
      <c r="A26" s="59"/>
      <c r="B26" s="61"/>
      <c r="C26" s="32" t="s">
        <v>25</v>
      </c>
      <c r="D26" s="33">
        <v>14000</v>
      </c>
      <c r="E26" s="30"/>
      <c r="F26" s="29"/>
    </row>
    <row r="27" spans="1:11" s="34" customFormat="1" ht="28.5" customHeight="1">
      <c r="A27" s="58" t="s">
        <v>8</v>
      </c>
      <c r="B27" s="60">
        <v>46092</v>
      </c>
      <c r="C27" s="32" t="s">
        <v>83</v>
      </c>
      <c r="D27" s="33">
        <v>14000</v>
      </c>
      <c r="E27" s="30"/>
      <c r="F27" s="29"/>
    </row>
    <row r="28" spans="1:11" s="34" customFormat="1" ht="28.5" customHeight="1">
      <c r="A28" s="59"/>
      <c r="B28" s="61"/>
      <c r="C28" s="32" t="s">
        <v>25</v>
      </c>
      <c r="D28" s="33">
        <v>14000</v>
      </c>
      <c r="E28" s="30"/>
      <c r="F28" s="29"/>
    </row>
    <row r="29" spans="1:11" s="34" customFormat="1" ht="28.5" customHeight="1">
      <c r="A29" s="40" t="s">
        <v>35</v>
      </c>
      <c r="B29" s="31">
        <v>46093</v>
      </c>
      <c r="C29" s="32"/>
      <c r="D29" s="33"/>
      <c r="E29" s="30"/>
      <c r="F29" s="29"/>
    </row>
    <row r="30" spans="1:11" s="34" customFormat="1" ht="28.5" customHeight="1">
      <c r="A30" s="68" t="s">
        <v>10</v>
      </c>
      <c r="B30" s="69">
        <v>46094</v>
      </c>
      <c r="C30" s="32" t="s">
        <v>23</v>
      </c>
      <c r="D30" s="33">
        <v>14000</v>
      </c>
      <c r="E30" s="30"/>
      <c r="F30" s="29"/>
    </row>
    <row r="31" spans="1:11" s="34" customFormat="1" ht="28.5" customHeight="1">
      <c r="A31" s="68"/>
      <c r="B31" s="69"/>
      <c r="C31" s="32" t="s">
        <v>25</v>
      </c>
      <c r="D31" s="33">
        <v>14000</v>
      </c>
      <c r="E31" s="30"/>
      <c r="F31" s="29"/>
    </row>
    <row r="32" spans="1:11" s="34" customFormat="1" ht="28.5" customHeight="1">
      <c r="A32" s="30" t="s">
        <v>11</v>
      </c>
      <c r="B32" s="31">
        <v>46095</v>
      </c>
      <c r="C32" s="32"/>
      <c r="D32" s="33"/>
      <c r="E32" s="30"/>
      <c r="F32" s="29"/>
    </row>
    <row r="33" spans="4:4">
      <c r="D33" s="39">
        <f>SUM(D23:D32)</f>
        <v>112000</v>
      </c>
    </row>
  </sheetData>
  <mergeCells count="14">
    <mergeCell ref="A30:A31"/>
    <mergeCell ref="B30:B31"/>
    <mergeCell ref="A1:E1"/>
    <mergeCell ref="A2:E2"/>
    <mergeCell ref="A3:E3"/>
    <mergeCell ref="A4:I4"/>
    <mergeCell ref="A5:I5"/>
    <mergeCell ref="H6:I6"/>
    <mergeCell ref="A23:A24"/>
    <mergeCell ref="B23:B24"/>
    <mergeCell ref="A27:A28"/>
    <mergeCell ref="B27:B28"/>
    <mergeCell ref="A25:A26"/>
    <mergeCell ref="B25:B26"/>
  </mergeCells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9BF3B0-72A9-419E-96BB-6C4CCE7E1492}">
  <sheetPr>
    <tabColor rgb="FFFFFF00"/>
  </sheetPr>
  <dimension ref="A1:K32"/>
  <sheetViews>
    <sheetView topLeftCell="A5" zoomScale="90" zoomScaleNormal="90" workbookViewId="0">
      <selection activeCell="A5" sqref="A5:I5"/>
    </sheetView>
  </sheetViews>
  <sheetFormatPr defaultColWidth="9.125" defaultRowHeight="15"/>
  <cols>
    <col min="1" max="1" width="16.375" style="3" customWidth="1"/>
    <col min="2" max="2" width="15.75" style="3" bestFit="1" customWidth="1"/>
    <col min="3" max="7" width="14.625" style="3" customWidth="1"/>
    <col min="8" max="8" width="13.625" style="3" customWidth="1"/>
    <col min="9" max="9" width="16.75" style="3" customWidth="1"/>
    <col min="10" max="10" width="16.625" style="3" customWidth="1"/>
    <col min="11" max="11" width="12" style="3" customWidth="1"/>
    <col min="12" max="12" width="14.875" style="3" customWidth="1"/>
    <col min="13" max="13" width="11.875" style="3" customWidth="1"/>
    <col min="14" max="14" width="12.875" style="3" bestFit="1" customWidth="1"/>
    <col min="15" max="15" width="11.75" style="3" customWidth="1"/>
    <col min="16" max="16384" width="9.125" style="3"/>
  </cols>
  <sheetData>
    <row r="1" spans="1:10" ht="15.75">
      <c r="A1" s="62" t="s">
        <v>0</v>
      </c>
      <c r="B1" s="62"/>
      <c r="C1" s="62"/>
      <c r="D1" s="62"/>
      <c r="E1" s="62"/>
      <c r="F1" s="1"/>
      <c r="G1" s="1"/>
      <c r="H1" s="2"/>
      <c r="I1" s="2"/>
      <c r="J1" s="2"/>
    </row>
    <row r="2" spans="1:10" ht="15.75">
      <c r="A2" s="62" t="s">
        <v>1</v>
      </c>
      <c r="B2" s="62"/>
      <c r="C2" s="62"/>
      <c r="D2" s="62"/>
      <c r="E2" s="62"/>
      <c r="F2" s="1"/>
      <c r="G2" s="1"/>
      <c r="H2" s="2"/>
      <c r="I2" s="2"/>
      <c r="J2" s="2"/>
    </row>
    <row r="3" spans="1:10" ht="15.75">
      <c r="A3" s="62" t="s">
        <v>2</v>
      </c>
      <c r="B3" s="62"/>
      <c r="C3" s="62"/>
      <c r="D3" s="62"/>
      <c r="E3" s="62"/>
      <c r="F3" s="1"/>
      <c r="G3" s="1"/>
      <c r="H3" s="2"/>
      <c r="I3" s="2"/>
      <c r="J3" s="2"/>
    </row>
    <row r="4" spans="1:10" ht="27.75" customHeight="1">
      <c r="A4" s="63" t="s">
        <v>3</v>
      </c>
      <c r="B4" s="63"/>
      <c r="C4" s="63"/>
      <c r="D4" s="63"/>
      <c r="E4" s="63"/>
      <c r="F4" s="63"/>
      <c r="G4" s="63"/>
      <c r="H4" s="63"/>
      <c r="I4" s="63"/>
      <c r="J4" s="4"/>
    </row>
    <row r="5" spans="1:10" s="6" customFormat="1" ht="23.25" customHeight="1">
      <c r="A5" s="64" t="s">
        <v>82</v>
      </c>
      <c r="B5" s="64"/>
      <c r="C5" s="64"/>
      <c r="D5" s="64"/>
      <c r="E5" s="64"/>
      <c r="F5" s="64"/>
      <c r="G5" s="64"/>
      <c r="H5" s="64"/>
      <c r="I5" s="64"/>
      <c r="J5" s="5"/>
    </row>
    <row r="6" spans="1:10" ht="55.5" customHeight="1">
      <c r="A6" s="7" t="s">
        <v>5</v>
      </c>
      <c r="B6" s="8" t="s">
        <v>6</v>
      </c>
      <c r="C6" s="8" t="s">
        <v>7</v>
      </c>
      <c r="D6" s="8" t="s">
        <v>8</v>
      </c>
      <c r="E6" s="8" t="s">
        <v>9</v>
      </c>
      <c r="F6" s="8" t="s">
        <v>10</v>
      </c>
      <c r="G6" s="8" t="s">
        <v>11</v>
      </c>
      <c r="H6" s="65" t="s">
        <v>12</v>
      </c>
      <c r="I6" s="65"/>
      <c r="J6" s="10"/>
    </row>
    <row r="7" spans="1:10" ht="31.5" customHeight="1">
      <c r="A7" s="11" t="s">
        <v>13</v>
      </c>
      <c r="B7" s="12">
        <v>46056</v>
      </c>
      <c r="C7" s="12">
        <v>46084</v>
      </c>
      <c r="D7" s="12">
        <v>46115</v>
      </c>
      <c r="E7" s="12">
        <v>46145</v>
      </c>
      <c r="F7" s="12">
        <v>46176</v>
      </c>
      <c r="G7" s="12">
        <v>46206</v>
      </c>
      <c r="H7" s="9" t="s">
        <v>20</v>
      </c>
      <c r="I7" s="9" t="s">
        <v>21</v>
      </c>
    </row>
    <row r="8" spans="1:10" s="6" customFormat="1" ht="22.5" customHeight="1">
      <c r="A8" s="13" t="s">
        <v>22</v>
      </c>
      <c r="B8" s="14"/>
      <c r="C8" s="14"/>
      <c r="D8" s="15"/>
      <c r="E8" s="14"/>
      <c r="F8" s="14"/>
      <c r="G8" s="14"/>
      <c r="H8" s="16">
        <f t="shared" ref="H8:H18" si="0">SUM(B8:G8)</f>
        <v>0</v>
      </c>
      <c r="I8" s="17">
        <f>H8*10/1000</f>
        <v>0</v>
      </c>
    </row>
    <row r="9" spans="1:10" s="6" customFormat="1" ht="22.5" customHeight="1">
      <c r="A9" s="49" t="s">
        <v>83</v>
      </c>
      <c r="B9" s="50">
        <f>240+584+68+68</f>
        <v>960</v>
      </c>
      <c r="C9" s="50"/>
      <c r="D9" s="51"/>
      <c r="E9" s="50"/>
      <c r="F9" s="50"/>
      <c r="G9" s="50"/>
      <c r="H9" s="52">
        <f t="shared" si="0"/>
        <v>960</v>
      </c>
      <c r="I9" s="53">
        <f>H9*25/1000</f>
        <v>24</v>
      </c>
    </row>
    <row r="10" spans="1:10" s="6" customFormat="1" ht="22.5" customHeight="1">
      <c r="A10" s="49" t="s">
        <v>84</v>
      </c>
      <c r="B10" s="50">
        <f>392+100-68</f>
        <v>424</v>
      </c>
      <c r="C10" s="50"/>
      <c r="D10" s="51">
        <f>80</f>
        <v>80</v>
      </c>
      <c r="E10" s="50">
        <f>26+272</f>
        <v>298</v>
      </c>
      <c r="F10" s="50">
        <v>478</v>
      </c>
      <c r="G10" s="50"/>
      <c r="H10" s="52">
        <f t="shared" si="0"/>
        <v>1280</v>
      </c>
      <c r="I10" s="54">
        <f>H10*25/1000</f>
        <v>32</v>
      </c>
    </row>
    <row r="11" spans="1:10" s="6" customFormat="1" ht="22.5" customHeight="1">
      <c r="A11" s="49" t="s">
        <v>85</v>
      </c>
      <c r="B11" s="50">
        <v>564</v>
      </c>
      <c r="C11" s="50"/>
      <c r="D11" s="51">
        <f>160+664</f>
        <v>824</v>
      </c>
      <c r="E11" s="50">
        <v>392</v>
      </c>
      <c r="F11" s="50">
        <v>460</v>
      </c>
      <c r="G11" s="55"/>
      <c r="H11" s="52">
        <f t="shared" si="0"/>
        <v>2240</v>
      </c>
      <c r="I11" s="54">
        <f t="shared" ref="I11:I18" si="1">H11*25/1000</f>
        <v>56</v>
      </c>
    </row>
    <row r="12" spans="1:10" s="6" customFormat="1" ht="22.5" customHeight="1">
      <c r="A12" s="19">
        <v>552</v>
      </c>
      <c r="B12" s="14"/>
      <c r="C12" s="14"/>
      <c r="D12" s="15"/>
      <c r="E12" s="14"/>
      <c r="F12" s="14"/>
      <c r="G12" s="14"/>
      <c r="H12" s="16">
        <f t="shared" si="0"/>
        <v>0</v>
      </c>
      <c r="I12" s="20">
        <f t="shared" si="1"/>
        <v>0</v>
      </c>
    </row>
    <row r="13" spans="1:10" s="6" customFormat="1" ht="22.5" customHeight="1">
      <c r="A13" s="19" t="s">
        <v>25</v>
      </c>
      <c r="B13" s="14"/>
      <c r="C13" s="14"/>
      <c r="D13" s="15"/>
      <c r="E13" s="14">
        <f>960+950</f>
        <v>1910</v>
      </c>
      <c r="F13" s="14">
        <f>664+38</f>
        <v>702</v>
      </c>
      <c r="G13" s="14"/>
      <c r="H13" s="16">
        <f t="shared" si="0"/>
        <v>2612</v>
      </c>
      <c r="I13" s="20">
        <f t="shared" si="1"/>
        <v>65.3</v>
      </c>
    </row>
    <row r="14" spans="1:10" s="6" customFormat="1" ht="22.5" customHeight="1">
      <c r="A14" s="19" t="s">
        <v>26</v>
      </c>
      <c r="B14" s="14"/>
      <c r="C14" s="14"/>
      <c r="D14" s="15"/>
      <c r="E14" s="14"/>
      <c r="F14" s="14"/>
      <c r="G14" s="14"/>
      <c r="H14" s="16">
        <f t="shared" si="0"/>
        <v>0</v>
      </c>
      <c r="I14" s="20">
        <f t="shared" si="1"/>
        <v>0</v>
      </c>
    </row>
    <row r="15" spans="1:10" s="6" customFormat="1" ht="22.5" customHeight="1">
      <c r="A15" s="19" t="s">
        <v>27</v>
      </c>
      <c r="B15" s="14"/>
      <c r="C15" s="14"/>
      <c r="D15" s="15"/>
      <c r="E15" s="14">
        <v>120</v>
      </c>
      <c r="F15" s="14"/>
      <c r="G15" s="14"/>
      <c r="H15" s="16">
        <f t="shared" si="0"/>
        <v>120</v>
      </c>
      <c r="I15" s="20">
        <f t="shared" si="1"/>
        <v>3</v>
      </c>
    </row>
    <row r="16" spans="1:10" s="6" customFormat="1" ht="22.5" customHeight="1">
      <c r="A16" s="19">
        <v>562</v>
      </c>
      <c r="B16" s="14">
        <v>640</v>
      </c>
      <c r="C16" s="14"/>
      <c r="D16" s="15">
        <v>960</v>
      </c>
      <c r="E16" s="14"/>
      <c r="F16" s="14"/>
      <c r="G16" s="14"/>
      <c r="H16" s="16">
        <f t="shared" si="0"/>
        <v>1600</v>
      </c>
      <c r="I16" s="20">
        <f t="shared" si="1"/>
        <v>40</v>
      </c>
    </row>
    <row r="17" spans="1:11" s="6" customFormat="1" ht="22.5" customHeight="1">
      <c r="A17" s="19">
        <v>566</v>
      </c>
      <c r="B17" s="14"/>
      <c r="C17" s="14">
        <v>1200</v>
      </c>
      <c r="D17" s="15"/>
      <c r="E17" s="14"/>
      <c r="F17" s="14"/>
      <c r="G17" s="14"/>
      <c r="H17" s="16">
        <f t="shared" si="0"/>
        <v>1200</v>
      </c>
      <c r="I17" s="20">
        <f t="shared" si="1"/>
        <v>30</v>
      </c>
    </row>
    <row r="18" spans="1:11" s="6" customFormat="1" ht="22.5" customHeight="1">
      <c r="A18" s="19" t="s">
        <v>28</v>
      </c>
      <c r="B18" s="14">
        <f>320-68</f>
        <v>252</v>
      </c>
      <c r="C18" s="14"/>
      <c r="D18" s="15"/>
      <c r="E18" s="14">
        <v>120</v>
      </c>
      <c r="F18" s="14">
        <v>1200</v>
      </c>
      <c r="G18" s="14"/>
      <c r="H18" s="16">
        <f t="shared" si="0"/>
        <v>1572</v>
      </c>
      <c r="I18" s="20">
        <f t="shared" si="1"/>
        <v>39.299999999999997</v>
      </c>
    </row>
    <row r="19" spans="1:11" s="6" customFormat="1" ht="30.75" customHeight="1">
      <c r="A19" s="21" t="s">
        <v>29</v>
      </c>
      <c r="B19" s="22">
        <f>SUM(B8:B18)</f>
        <v>2840</v>
      </c>
      <c r="C19" s="22">
        <f t="shared" ref="C19:G19" si="2">SUM(C8:C18)</f>
        <v>1200</v>
      </c>
      <c r="D19" s="22">
        <f t="shared" si="2"/>
        <v>1864</v>
      </c>
      <c r="E19" s="22">
        <f t="shared" si="2"/>
        <v>2840</v>
      </c>
      <c r="F19" s="22">
        <f t="shared" si="2"/>
        <v>2840</v>
      </c>
      <c r="G19" s="22">
        <f t="shared" si="2"/>
        <v>0</v>
      </c>
      <c r="H19" s="22">
        <f>SUM(H8:H18)</f>
        <v>11584</v>
      </c>
      <c r="I19" s="23">
        <f>SUM(I8:I18)</f>
        <v>289.60000000000002</v>
      </c>
      <c r="J19" s="24"/>
      <c r="K19" s="24"/>
    </row>
    <row r="20" spans="1:11" ht="12" customHeight="1">
      <c r="A20" s="25"/>
      <c r="J20" s="26"/>
    </row>
    <row r="21" spans="1:11" ht="12.75" customHeight="1">
      <c r="A21" s="25"/>
      <c r="J21" s="26"/>
    </row>
    <row r="22" spans="1:11" s="29" customFormat="1" ht="45" customHeight="1">
      <c r="A22" s="27" t="s">
        <v>30</v>
      </c>
      <c r="B22" s="27" t="s">
        <v>31</v>
      </c>
      <c r="C22" s="27" t="s">
        <v>32</v>
      </c>
      <c r="D22" s="28" t="s">
        <v>33</v>
      </c>
      <c r="E22" s="27" t="s">
        <v>34</v>
      </c>
    </row>
    <row r="23" spans="1:11" s="34" customFormat="1" ht="28.5" customHeight="1">
      <c r="A23" s="30" t="s">
        <v>6</v>
      </c>
      <c r="B23" s="31">
        <v>46083</v>
      </c>
      <c r="C23" s="32"/>
      <c r="D23" s="33"/>
      <c r="E23" s="30"/>
      <c r="F23" s="29"/>
      <c r="G23" s="41"/>
    </row>
    <row r="24" spans="1:11" s="34" customFormat="1" ht="28.5" customHeight="1">
      <c r="A24" s="58" t="s">
        <v>7</v>
      </c>
      <c r="B24" s="60">
        <v>46084</v>
      </c>
      <c r="C24" s="32" t="s">
        <v>83</v>
      </c>
      <c r="D24" s="33">
        <v>14000</v>
      </c>
      <c r="E24" s="30"/>
      <c r="F24" s="29"/>
      <c r="G24" s="41"/>
    </row>
    <row r="25" spans="1:11" s="34" customFormat="1" ht="28.5" customHeight="1">
      <c r="A25" s="59"/>
      <c r="B25" s="61"/>
      <c r="C25" s="32" t="s">
        <v>27</v>
      </c>
      <c r="D25" s="33">
        <v>14000</v>
      </c>
      <c r="E25" s="30"/>
      <c r="F25" s="29"/>
    </row>
    <row r="26" spans="1:11" s="34" customFormat="1" ht="28.5" customHeight="1">
      <c r="A26" s="35" t="s">
        <v>8</v>
      </c>
      <c r="B26" s="36">
        <v>46085</v>
      </c>
      <c r="C26" s="32"/>
      <c r="D26" s="33"/>
      <c r="E26" s="30"/>
      <c r="F26" s="29"/>
    </row>
    <row r="27" spans="1:11" s="34" customFormat="1" ht="28.5" customHeight="1">
      <c r="A27" s="68" t="s">
        <v>35</v>
      </c>
      <c r="B27" s="69">
        <v>46086</v>
      </c>
      <c r="C27" s="32" t="s">
        <v>25</v>
      </c>
      <c r="D27" s="33">
        <v>7000</v>
      </c>
      <c r="E27" s="30"/>
      <c r="F27" s="29"/>
    </row>
    <row r="28" spans="1:11" s="34" customFormat="1" ht="28.5" customHeight="1">
      <c r="A28" s="68"/>
      <c r="B28" s="69"/>
      <c r="C28" s="32" t="s">
        <v>83</v>
      </c>
      <c r="D28" s="33">
        <v>21000</v>
      </c>
      <c r="E28" s="30"/>
      <c r="F28" s="29"/>
    </row>
    <row r="29" spans="1:11" s="34" customFormat="1" ht="28.5" customHeight="1">
      <c r="A29" s="68" t="s">
        <v>10</v>
      </c>
      <c r="B29" s="69">
        <v>46087</v>
      </c>
      <c r="C29" s="32" t="s">
        <v>83</v>
      </c>
      <c r="D29" s="33">
        <v>14000</v>
      </c>
      <c r="E29" s="30"/>
      <c r="F29" s="29"/>
    </row>
    <row r="30" spans="1:11" s="34" customFormat="1" ht="28.5" customHeight="1">
      <c r="A30" s="68"/>
      <c r="B30" s="69"/>
      <c r="C30" s="32" t="s">
        <v>25</v>
      </c>
      <c r="D30" s="33">
        <v>14000</v>
      </c>
      <c r="E30" s="30"/>
      <c r="F30" s="29"/>
    </row>
    <row r="31" spans="1:11" s="34" customFormat="1" ht="28.5" customHeight="1">
      <c r="A31" s="30" t="s">
        <v>11</v>
      </c>
      <c r="B31" s="31">
        <v>46088</v>
      </c>
      <c r="C31" s="32"/>
      <c r="D31" s="33"/>
      <c r="E31" s="30"/>
      <c r="F31" s="29"/>
    </row>
    <row r="32" spans="1:11">
      <c r="D32" s="39">
        <f>SUM(D23:D31)</f>
        <v>84000</v>
      </c>
    </row>
  </sheetData>
  <mergeCells count="12">
    <mergeCell ref="H6:I6"/>
    <mergeCell ref="A24:A25"/>
    <mergeCell ref="B24:B25"/>
    <mergeCell ref="A29:A30"/>
    <mergeCell ref="B29:B30"/>
    <mergeCell ref="A27:A28"/>
    <mergeCell ref="B27:B28"/>
    <mergeCell ref="A1:E1"/>
    <mergeCell ref="A2:E2"/>
    <mergeCell ref="A3:E3"/>
    <mergeCell ref="A4:I4"/>
    <mergeCell ref="A5:I5"/>
  </mergeCells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43E7B0-0C76-478D-9BA5-492BB9681D77}">
  <sheetPr>
    <tabColor rgb="FFFFFF00"/>
  </sheetPr>
  <dimension ref="A1:K34"/>
  <sheetViews>
    <sheetView topLeftCell="A20" zoomScale="90" zoomScaleNormal="90" workbookViewId="0">
      <selection activeCell="F28" sqref="F28"/>
    </sheetView>
  </sheetViews>
  <sheetFormatPr defaultColWidth="9.125" defaultRowHeight="15"/>
  <cols>
    <col min="1" max="1" width="16.375" style="3" customWidth="1"/>
    <col min="2" max="2" width="15.75" style="3" bestFit="1" customWidth="1"/>
    <col min="3" max="7" width="14.625" style="3" customWidth="1"/>
    <col min="8" max="8" width="13.625" style="3" customWidth="1"/>
    <col min="9" max="9" width="16.75" style="3" customWidth="1"/>
    <col min="10" max="10" width="16.625" style="3" customWidth="1"/>
    <col min="11" max="11" width="12" style="3" customWidth="1"/>
    <col min="12" max="12" width="14.875" style="3" customWidth="1"/>
    <col min="13" max="13" width="11.875" style="3" customWidth="1"/>
    <col min="14" max="14" width="12.875" style="3" bestFit="1" customWidth="1"/>
    <col min="15" max="15" width="11.75" style="3" customWidth="1"/>
    <col min="16" max="16384" width="9.125" style="3"/>
  </cols>
  <sheetData>
    <row r="1" spans="1:10" ht="15.75">
      <c r="A1" s="62" t="s">
        <v>0</v>
      </c>
      <c r="B1" s="62"/>
      <c r="C1" s="62"/>
      <c r="D1" s="62"/>
      <c r="E1" s="62"/>
      <c r="F1" s="1"/>
      <c r="G1" s="1"/>
      <c r="H1" s="2"/>
      <c r="I1" s="2"/>
      <c r="J1" s="2"/>
    </row>
    <row r="2" spans="1:10" ht="15.75">
      <c r="A2" s="62" t="s">
        <v>1</v>
      </c>
      <c r="B2" s="62"/>
      <c r="C2" s="62"/>
      <c r="D2" s="62"/>
      <c r="E2" s="62"/>
      <c r="F2" s="1"/>
      <c r="G2" s="1"/>
      <c r="H2" s="2"/>
      <c r="I2" s="2"/>
      <c r="J2" s="2"/>
    </row>
    <row r="3" spans="1:10" ht="15.75">
      <c r="A3" s="62" t="s">
        <v>2</v>
      </c>
      <c r="B3" s="62"/>
      <c r="C3" s="62"/>
      <c r="D3" s="62"/>
      <c r="E3" s="62"/>
      <c r="F3" s="1"/>
      <c r="G3" s="1"/>
      <c r="H3" s="2"/>
      <c r="I3" s="2"/>
      <c r="J3" s="2"/>
    </row>
    <row r="4" spans="1:10" ht="27.75" customHeight="1">
      <c r="A4" s="63" t="s">
        <v>3</v>
      </c>
      <c r="B4" s="63"/>
      <c r="C4" s="63"/>
      <c r="D4" s="63"/>
      <c r="E4" s="63"/>
      <c r="F4" s="63"/>
      <c r="G4" s="63"/>
      <c r="H4" s="63"/>
      <c r="I4" s="63"/>
      <c r="J4" s="4"/>
    </row>
    <row r="5" spans="1:10" s="6" customFormat="1" ht="23.25" customHeight="1">
      <c r="A5" s="64" t="s">
        <v>74</v>
      </c>
      <c r="B5" s="64"/>
      <c r="C5" s="64"/>
      <c r="D5" s="64"/>
      <c r="E5" s="64"/>
      <c r="F5" s="64"/>
      <c r="G5" s="64"/>
      <c r="H5" s="64"/>
      <c r="I5" s="64"/>
      <c r="J5" s="5"/>
    </row>
    <row r="6" spans="1:10" ht="55.5" customHeight="1">
      <c r="A6" s="7" t="s">
        <v>5</v>
      </c>
      <c r="B6" s="8" t="s">
        <v>6</v>
      </c>
      <c r="C6" s="8" t="s">
        <v>7</v>
      </c>
      <c r="D6" s="8" t="s">
        <v>8</v>
      </c>
      <c r="E6" s="8" t="s">
        <v>9</v>
      </c>
      <c r="F6" s="8" t="s">
        <v>10</v>
      </c>
      <c r="G6" s="8" t="s">
        <v>11</v>
      </c>
      <c r="H6" s="65" t="s">
        <v>12</v>
      </c>
      <c r="I6" s="65"/>
      <c r="J6" s="10"/>
    </row>
    <row r="7" spans="1:10" ht="31.5" customHeight="1">
      <c r="A7" s="11" t="s">
        <v>13</v>
      </c>
      <c r="B7" s="12" t="s">
        <v>75</v>
      </c>
      <c r="C7" s="12" t="s">
        <v>76</v>
      </c>
      <c r="D7" s="12" t="s">
        <v>77</v>
      </c>
      <c r="E7" s="12" t="s">
        <v>78</v>
      </c>
      <c r="F7" s="12" t="s">
        <v>79</v>
      </c>
      <c r="G7" s="12" t="s">
        <v>80</v>
      </c>
      <c r="H7" s="9" t="s">
        <v>20</v>
      </c>
      <c r="I7" s="9" t="s">
        <v>21</v>
      </c>
    </row>
    <row r="8" spans="1:10" s="6" customFormat="1" ht="22.5" customHeight="1">
      <c r="A8" s="13" t="s">
        <v>22</v>
      </c>
      <c r="B8" s="14"/>
      <c r="C8" s="14"/>
      <c r="D8" s="15"/>
      <c r="E8" s="14"/>
      <c r="F8" s="14"/>
      <c r="G8" s="14"/>
      <c r="H8" s="16">
        <f t="shared" ref="H8:H18" si="0">SUM(B8:G8)</f>
        <v>0</v>
      </c>
      <c r="I8" s="17">
        <f>H8*10/1000</f>
        <v>0</v>
      </c>
    </row>
    <row r="9" spans="1:10" s="6" customFormat="1" ht="22.5" customHeight="1">
      <c r="A9" s="18" t="s">
        <v>23</v>
      </c>
      <c r="B9" s="14"/>
      <c r="C9" s="14"/>
      <c r="D9" s="15"/>
      <c r="E9" s="14">
        <v>120</v>
      </c>
      <c r="F9" s="14"/>
      <c r="G9" s="14"/>
      <c r="H9" s="16">
        <f t="shared" si="0"/>
        <v>120</v>
      </c>
      <c r="I9" s="17">
        <f>H9*25/1000</f>
        <v>3</v>
      </c>
    </row>
    <row r="10" spans="1:10" s="6" customFormat="1" ht="22.5" customHeight="1">
      <c r="A10" s="19">
        <v>551</v>
      </c>
      <c r="B10" s="14"/>
      <c r="C10" s="14"/>
      <c r="D10" s="15"/>
      <c r="E10" s="14"/>
      <c r="F10" s="14">
        <v>160</v>
      </c>
      <c r="G10" s="14"/>
      <c r="H10" s="16">
        <f t="shared" si="0"/>
        <v>160</v>
      </c>
      <c r="I10" s="20">
        <f>H10*25/1000</f>
        <v>4</v>
      </c>
    </row>
    <row r="11" spans="1:10" s="6" customFormat="1" ht="22.5" customHeight="1">
      <c r="A11" s="19" t="s">
        <v>24</v>
      </c>
      <c r="B11" s="14">
        <v>488</v>
      </c>
      <c r="C11" s="14"/>
      <c r="D11" s="15"/>
      <c r="E11" s="14">
        <v>608</v>
      </c>
      <c r="F11" s="14"/>
      <c r="G11" s="43"/>
      <c r="H11" s="16">
        <f t="shared" si="0"/>
        <v>1096</v>
      </c>
      <c r="I11" s="20">
        <f t="shared" ref="I11:I18" si="1">H11*25/1000</f>
        <v>27.4</v>
      </c>
    </row>
    <row r="12" spans="1:10" s="6" customFormat="1" ht="22.5" customHeight="1">
      <c r="A12" s="19">
        <v>552</v>
      </c>
      <c r="B12" s="14"/>
      <c r="C12" s="14"/>
      <c r="D12" s="15"/>
      <c r="E12" s="14"/>
      <c r="F12" s="14"/>
      <c r="G12" s="14"/>
      <c r="H12" s="16">
        <f t="shared" si="0"/>
        <v>0</v>
      </c>
      <c r="I12" s="20">
        <f t="shared" si="1"/>
        <v>0</v>
      </c>
    </row>
    <row r="13" spans="1:10" s="6" customFormat="1" ht="22.5" customHeight="1">
      <c r="A13" s="19" t="s">
        <v>25</v>
      </c>
      <c r="B13" s="14">
        <v>488</v>
      </c>
      <c r="C13" s="14">
        <v>1200</v>
      </c>
      <c r="D13" s="15"/>
      <c r="E13" s="14">
        <v>488</v>
      </c>
      <c r="F13" s="14"/>
      <c r="G13" s="14"/>
      <c r="H13" s="16">
        <f t="shared" si="0"/>
        <v>2176</v>
      </c>
      <c r="I13" s="20">
        <f t="shared" si="1"/>
        <v>54.4</v>
      </c>
    </row>
    <row r="14" spans="1:10" s="6" customFormat="1" ht="22.5" customHeight="1">
      <c r="A14" s="19" t="s">
        <v>26</v>
      </c>
      <c r="B14" s="14"/>
      <c r="C14" s="14"/>
      <c r="D14" s="15"/>
      <c r="E14" s="14"/>
      <c r="F14" s="14"/>
      <c r="G14" s="14"/>
      <c r="H14" s="16">
        <f t="shared" si="0"/>
        <v>0</v>
      </c>
      <c r="I14" s="20">
        <f t="shared" si="1"/>
        <v>0</v>
      </c>
    </row>
    <row r="15" spans="1:10" s="6" customFormat="1" ht="22.5" customHeight="1">
      <c r="A15" s="19" t="s">
        <v>27</v>
      </c>
      <c r="B15" s="14"/>
      <c r="C15" s="14"/>
      <c r="D15" s="15"/>
      <c r="E15" s="14"/>
      <c r="F15" s="14">
        <v>120</v>
      </c>
      <c r="G15" s="14"/>
      <c r="H15" s="16">
        <f t="shared" si="0"/>
        <v>120</v>
      </c>
      <c r="I15" s="20">
        <f t="shared" si="1"/>
        <v>3</v>
      </c>
    </row>
    <row r="16" spans="1:10" s="6" customFormat="1" ht="22.5" customHeight="1">
      <c r="A16" s="19">
        <v>562</v>
      </c>
      <c r="B16" s="14"/>
      <c r="C16" s="14"/>
      <c r="D16" s="15"/>
      <c r="E16" s="14">
        <v>960</v>
      </c>
      <c r="F16" s="14">
        <v>320</v>
      </c>
      <c r="G16" s="14"/>
      <c r="H16" s="16">
        <f t="shared" si="0"/>
        <v>1280</v>
      </c>
      <c r="I16" s="20">
        <f t="shared" si="1"/>
        <v>32</v>
      </c>
    </row>
    <row r="17" spans="1:11" s="6" customFormat="1" ht="22.5" customHeight="1">
      <c r="A17" s="19">
        <v>566</v>
      </c>
      <c r="B17" s="14">
        <v>1200</v>
      </c>
      <c r="C17" s="14"/>
      <c r="D17" s="15"/>
      <c r="E17" s="14"/>
      <c r="F17" s="14"/>
      <c r="G17" s="14"/>
      <c r="H17" s="16">
        <f t="shared" si="0"/>
        <v>1200</v>
      </c>
      <c r="I17" s="20">
        <f t="shared" si="1"/>
        <v>30</v>
      </c>
    </row>
    <row r="18" spans="1:11" s="6" customFormat="1" ht="22.5" customHeight="1">
      <c r="A18" s="19" t="s">
        <v>28</v>
      </c>
      <c r="B18" s="14"/>
      <c r="C18" s="14"/>
      <c r="D18" s="15">
        <v>1200</v>
      </c>
      <c r="E18" s="14"/>
      <c r="F18" s="14">
        <v>600</v>
      </c>
      <c r="G18" s="14"/>
      <c r="H18" s="16">
        <f t="shared" si="0"/>
        <v>1800</v>
      </c>
      <c r="I18" s="20">
        <f t="shared" si="1"/>
        <v>45</v>
      </c>
    </row>
    <row r="19" spans="1:11" s="6" customFormat="1" ht="30.75" customHeight="1">
      <c r="A19" s="21" t="s">
        <v>29</v>
      </c>
      <c r="B19" s="22">
        <f>SUM(B8:B18)</f>
        <v>2176</v>
      </c>
      <c r="C19" s="22">
        <f t="shared" ref="C19:G19" si="2">SUM(C8:C18)</f>
        <v>1200</v>
      </c>
      <c r="D19" s="22">
        <f t="shared" si="2"/>
        <v>1200</v>
      </c>
      <c r="E19" s="22">
        <f t="shared" si="2"/>
        <v>2176</v>
      </c>
      <c r="F19" s="22">
        <f t="shared" si="2"/>
        <v>1200</v>
      </c>
      <c r="G19" s="22">
        <f t="shared" si="2"/>
        <v>0</v>
      </c>
      <c r="H19" s="22">
        <f>SUM(H8:H18)</f>
        <v>7952</v>
      </c>
      <c r="I19" s="23">
        <f>SUM(I8:I18)</f>
        <v>198.8</v>
      </c>
      <c r="J19" s="24"/>
      <c r="K19" s="24"/>
    </row>
    <row r="20" spans="1:11" ht="12" customHeight="1">
      <c r="A20" s="25"/>
      <c r="J20" s="26"/>
    </row>
    <row r="21" spans="1:11" ht="12.75" customHeight="1">
      <c r="A21" s="25"/>
      <c r="J21" s="26"/>
    </row>
    <row r="22" spans="1:11" s="29" customFormat="1" ht="45" customHeight="1">
      <c r="A22" s="27" t="s">
        <v>30</v>
      </c>
      <c r="B22" s="27" t="s">
        <v>31</v>
      </c>
      <c r="C22" s="27" t="s">
        <v>32</v>
      </c>
      <c r="D22" s="28" t="s">
        <v>33</v>
      </c>
      <c r="E22" s="27" t="s">
        <v>34</v>
      </c>
    </row>
    <row r="23" spans="1:11" s="34" customFormat="1" ht="28.5" customHeight="1">
      <c r="A23" s="30" t="s">
        <v>6</v>
      </c>
      <c r="B23" s="31">
        <v>46076</v>
      </c>
      <c r="C23" s="32"/>
      <c r="D23" s="33"/>
      <c r="E23" s="30"/>
      <c r="F23" s="29"/>
      <c r="G23" s="41"/>
    </row>
    <row r="24" spans="1:11" s="34" customFormat="1" ht="28.5" customHeight="1">
      <c r="A24" s="35" t="s">
        <v>7</v>
      </c>
      <c r="B24" s="36">
        <v>46077</v>
      </c>
      <c r="C24" s="32"/>
      <c r="D24" s="33"/>
      <c r="E24" s="30"/>
      <c r="F24" s="29"/>
    </row>
    <row r="25" spans="1:11" s="34" customFormat="1" ht="28.5" customHeight="1">
      <c r="A25" s="58" t="s">
        <v>8</v>
      </c>
      <c r="B25" s="60">
        <v>46078</v>
      </c>
      <c r="C25" s="32">
        <v>551</v>
      </c>
      <c r="D25" s="33">
        <v>14000</v>
      </c>
      <c r="E25" s="30"/>
      <c r="F25" s="29"/>
    </row>
    <row r="26" spans="1:11" s="34" customFormat="1" ht="28.5" customHeight="1">
      <c r="A26" s="59"/>
      <c r="B26" s="61"/>
      <c r="C26" s="32" t="s">
        <v>23</v>
      </c>
      <c r="D26" s="33">
        <v>14000</v>
      </c>
      <c r="E26" s="30"/>
      <c r="F26" s="29"/>
    </row>
    <row r="27" spans="1:11" s="34" customFormat="1" ht="28.5" customHeight="1">
      <c r="A27" s="58" t="s">
        <v>35</v>
      </c>
      <c r="B27" s="60">
        <v>46079</v>
      </c>
      <c r="C27" s="32" t="s">
        <v>25</v>
      </c>
      <c r="D27" s="33">
        <v>14000</v>
      </c>
      <c r="E27" s="30"/>
      <c r="F27" s="29"/>
    </row>
    <row r="28" spans="1:11" s="34" customFormat="1" ht="28.5" customHeight="1">
      <c r="A28" s="70"/>
      <c r="B28" s="71"/>
      <c r="C28" s="32" t="s">
        <v>27</v>
      </c>
      <c r="D28" s="33">
        <v>14000</v>
      </c>
      <c r="E28" s="30"/>
      <c r="F28" s="29"/>
    </row>
    <row r="29" spans="1:11" s="34" customFormat="1" ht="28.5" customHeight="1">
      <c r="A29" s="70"/>
      <c r="B29" s="71"/>
      <c r="C29" s="32" t="s">
        <v>23</v>
      </c>
      <c r="D29" s="33">
        <v>21000</v>
      </c>
      <c r="E29" s="30"/>
      <c r="F29" s="29"/>
    </row>
    <row r="30" spans="1:11" s="34" customFormat="1" ht="28.5" customHeight="1">
      <c r="A30" s="59"/>
      <c r="B30" s="61"/>
      <c r="C30" s="32">
        <v>552</v>
      </c>
      <c r="D30" s="33">
        <v>7000</v>
      </c>
      <c r="E30" s="30"/>
      <c r="F30" s="29"/>
    </row>
    <row r="31" spans="1:11" s="34" customFormat="1" ht="28.5" customHeight="1">
      <c r="A31" s="40" t="s">
        <v>10</v>
      </c>
      <c r="B31" s="31">
        <v>46080</v>
      </c>
      <c r="C31" s="32"/>
      <c r="D31" s="33"/>
      <c r="E31" s="30"/>
      <c r="F31" s="29"/>
    </row>
    <row r="32" spans="1:11" s="34" customFormat="1" ht="28.5" customHeight="1">
      <c r="A32" s="66" t="s">
        <v>11</v>
      </c>
      <c r="B32" s="60">
        <v>46081</v>
      </c>
      <c r="C32" s="32"/>
      <c r="D32" s="33"/>
      <c r="E32" s="30"/>
      <c r="F32" s="29"/>
    </row>
    <row r="33" spans="1:6" s="34" customFormat="1" ht="28.5" customHeight="1">
      <c r="A33" s="67"/>
      <c r="B33" s="61"/>
      <c r="C33" s="32"/>
      <c r="D33" s="33"/>
      <c r="E33" s="30"/>
      <c r="F33" s="42"/>
    </row>
    <row r="34" spans="1:6">
      <c r="D34" s="39">
        <f>SUM(D23:D33)</f>
        <v>84000</v>
      </c>
    </row>
  </sheetData>
  <mergeCells count="12">
    <mergeCell ref="A32:A33"/>
    <mergeCell ref="B32:B33"/>
    <mergeCell ref="A1:E1"/>
    <mergeCell ref="A2:E2"/>
    <mergeCell ref="A3:E3"/>
    <mergeCell ref="A4:I4"/>
    <mergeCell ref="A5:I5"/>
    <mergeCell ref="H6:I6"/>
    <mergeCell ref="A25:A26"/>
    <mergeCell ref="B25:B26"/>
    <mergeCell ref="A27:A30"/>
    <mergeCell ref="B27:B30"/>
  </mergeCells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ABE29F-FB17-4128-B08B-8D3B417617D9}">
  <sheetPr>
    <tabColor rgb="FFFFFF00"/>
  </sheetPr>
  <dimension ref="A1:K32"/>
  <sheetViews>
    <sheetView topLeftCell="A21" zoomScale="90" zoomScaleNormal="90" workbookViewId="0">
      <selection activeCell="F28" sqref="F28"/>
    </sheetView>
  </sheetViews>
  <sheetFormatPr defaultColWidth="9.125" defaultRowHeight="15"/>
  <cols>
    <col min="1" max="1" width="16.375" style="3" customWidth="1"/>
    <col min="2" max="2" width="15.75" style="3" bestFit="1" customWidth="1"/>
    <col min="3" max="7" width="14.625" style="3" customWidth="1"/>
    <col min="8" max="8" width="13.625" style="3" customWidth="1"/>
    <col min="9" max="9" width="16.75" style="3" customWidth="1"/>
    <col min="10" max="10" width="16.625" style="3" customWidth="1"/>
    <col min="11" max="11" width="12" style="3" customWidth="1"/>
    <col min="12" max="12" width="14.875" style="3" customWidth="1"/>
    <col min="13" max="13" width="11.875" style="3" customWidth="1"/>
    <col min="14" max="14" width="12.875" style="3" bestFit="1" customWidth="1"/>
    <col min="15" max="15" width="11.75" style="3" customWidth="1"/>
    <col min="16" max="16384" width="9.125" style="3"/>
  </cols>
  <sheetData>
    <row r="1" spans="1:10" ht="15.75">
      <c r="A1" s="62" t="s">
        <v>0</v>
      </c>
      <c r="B1" s="62"/>
      <c r="C1" s="62"/>
      <c r="D1" s="62"/>
      <c r="E1" s="62"/>
      <c r="F1" s="1"/>
      <c r="G1" s="1"/>
      <c r="H1" s="2"/>
      <c r="I1" s="2"/>
      <c r="J1" s="2"/>
    </row>
    <row r="2" spans="1:10" ht="15.75">
      <c r="A2" s="62" t="s">
        <v>1</v>
      </c>
      <c r="B2" s="62"/>
      <c r="C2" s="62"/>
      <c r="D2" s="62"/>
      <c r="E2" s="62"/>
      <c r="F2" s="1"/>
      <c r="G2" s="1"/>
      <c r="H2" s="2"/>
      <c r="I2" s="2"/>
      <c r="J2" s="2"/>
    </row>
    <row r="3" spans="1:10" ht="15.75">
      <c r="A3" s="62" t="s">
        <v>2</v>
      </c>
      <c r="B3" s="62"/>
      <c r="C3" s="62"/>
      <c r="D3" s="62"/>
      <c r="E3" s="62"/>
      <c r="F3" s="1"/>
      <c r="G3" s="1"/>
      <c r="H3" s="2"/>
      <c r="I3" s="2"/>
      <c r="J3" s="2"/>
    </row>
    <row r="4" spans="1:10" ht="27.75" customHeight="1">
      <c r="A4" s="63" t="s">
        <v>3</v>
      </c>
      <c r="B4" s="63"/>
      <c r="C4" s="63"/>
      <c r="D4" s="63"/>
      <c r="E4" s="63"/>
      <c r="F4" s="63"/>
      <c r="G4" s="63"/>
      <c r="H4" s="63"/>
      <c r="I4" s="63"/>
      <c r="J4" s="4"/>
    </row>
    <row r="5" spans="1:10" s="6" customFormat="1" ht="23.25" customHeight="1">
      <c r="A5" s="64" t="s">
        <v>67</v>
      </c>
      <c r="B5" s="64"/>
      <c r="C5" s="64"/>
      <c r="D5" s="64"/>
      <c r="E5" s="64"/>
      <c r="F5" s="64"/>
      <c r="G5" s="64"/>
      <c r="H5" s="64"/>
      <c r="I5" s="64"/>
      <c r="J5" s="5"/>
    </row>
    <row r="6" spans="1:10" ht="55.5" customHeight="1">
      <c r="A6" s="7" t="s">
        <v>5</v>
      </c>
      <c r="B6" s="8" t="s">
        <v>6</v>
      </c>
      <c r="C6" s="8" t="s">
        <v>7</v>
      </c>
      <c r="D6" s="8" t="s">
        <v>8</v>
      </c>
      <c r="E6" s="8" t="s">
        <v>9</v>
      </c>
      <c r="F6" s="8" t="s">
        <v>10</v>
      </c>
      <c r="G6" s="8" t="s">
        <v>11</v>
      </c>
      <c r="H6" s="65" t="s">
        <v>12</v>
      </c>
      <c r="I6" s="65"/>
      <c r="J6" s="10"/>
    </row>
    <row r="7" spans="1:10" ht="31.5" customHeight="1">
      <c r="A7" s="11" t="s">
        <v>13</v>
      </c>
      <c r="B7" s="12" t="s">
        <v>68</v>
      </c>
      <c r="C7" s="12" t="s">
        <v>69</v>
      </c>
      <c r="D7" s="12" t="s">
        <v>70</v>
      </c>
      <c r="E7" s="12" t="s">
        <v>71</v>
      </c>
      <c r="F7" s="12" t="s">
        <v>72</v>
      </c>
      <c r="G7" s="12" t="s">
        <v>73</v>
      </c>
      <c r="H7" s="9" t="s">
        <v>20</v>
      </c>
      <c r="I7" s="9" t="s">
        <v>21</v>
      </c>
    </row>
    <row r="8" spans="1:10" s="6" customFormat="1" ht="22.5" customHeight="1">
      <c r="A8" s="13" t="s">
        <v>22</v>
      </c>
      <c r="B8" s="14"/>
      <c r="C8" s="14"/>
      <c r="D8" s="15"/>
      <c r="E8" s="14"/>
      <c r="F8" s="14"/>
      <c r="G8" s="14"/>
      <c r="H8" s="16">
        <f t="shared" ref="H8:H18" si="0">SUM(B8:G8)</f>
        <v>0</v>
      </c>
      <c r="I8" s="17">
        <f>H8*10/1000</f>
        <v>0</v>
      </c>
    </row>
    <row r="9" spans="1:10" s="6" customFormat="1" ht="22.5" customHeight="1">
      <c r="A9" s="18" t="s">
        <v>23</v>
      </c>
      <c r="B9" s="14"/>
      <c r="C9" s="14"/>
      <c r="D9" s="15"/>
      <c r="E9" s="14"/>
      <c r="F9" s="14"/>
      <c r="G9" s="14">
        <v>150</v>
      </c>
      <c r="H9" s="16">
        <f t="shared" si="0"/>
        <v>150</v>
      </c>
      <c r="I9" s="17">
        <f>H9*25/1000</f>
        <v>3.75</v>
      </c>
    </row>
    <row r="10" spans="1:10" s="6" customFormat="1" ht="22.5" customHeight="1">
      <c r="A10" s="19">
        <v>551</v>
      </c>
      <c r="B10" s="14"/>
      <c r="C10" s="14"/>
      <c r="D10" s="15"/>
      <c r="E10" s="14"/>
      <c r="F10" s="14"/>
      <c r="G10" s="14">
        <v>886</v>
      </c>
      <c r="H10" s="16">
        <f t="shared" si="0"/>
        <v>886</v>
      </c>
      <c r="I10" s="20">
        <f>H10*25/1000</f>
        <v>22.15</v>
      </c>
    </row>
    <row r="11" spans="1:10" s="6" customFormat="1" ht="22.5" customHeight="1">
      <c r="A11" s="19" t="s">
        <v>24</v>
      </c>
      <c r="B11" s="14"/>
      <c r="C11" s="14"/>
      <c r="D11" s="15"/>
      <c r="E11" s="14"/>
      <c r="F11" s="14"/>
      <c r="G11" s="43"/>
      <c r="H11" s="16">
        <f t="shared" si="0"/>
        <v>0</v>
      </c>
      <c r="I11" s="20">
        <f t="shared" ref="I11:I18" si="1">H11*25/1000</f>
        <v>0</v>
      </c>
    </row>
    <row r="12" spans="1:10" s="6" customFormat="1" ht="22.5" customHeight="1">
      <c r="A12" s="19">
        <v>552</v>
      </c>
      <c r="B12" s="14"/>
      <c r="C12" s="14"/>
      <c r="D12" s="15"/>
      <c r="E12" s="14"/>
      <c r="F12" s="14"/>
      <c r="G12" s="14"/>
      <c r="H12" s="16">
        <f t="shared" si="0"/>
        <v>0</v>
      </c>
      <c r="I12" s="20">
        <f t="shared" si="1"/>
        <v>0</v>
      </c>
    </row>
    <row r="13" spans="1:10" s="6" customFormat="1" ht="22.5" customHeight="1">
      <c r="A13" s="19" t="s">
        <v>25</v>
      </c>
      <c r="B13" s="14"/>
      <c r="C13" s="14"/>
      <c r="D13" s="15"/>
      <c r="E13" s="14"/>
      <c r="F13" s="14"/>
      <c r="G13" s="14">
        <v>500</v>
      </c>
      <c r="H13" s="16">
        <f t="shared" si="0"/>
        <v>500</v>
      </c>
      <c r="I13" s="20">
        <f t="shared" si="1"/>
        <v>12.5</v>
      </c>
    </row>
    <row r="14" spans="1:10" s="6" customFormat="1" ht="22.5" customHeight="1">
      <c r="A14" s="19" t="s">
        <v>26</v>
      </c>
      <c r="B14" s="14"/>
      <c r="C14" s="14"/>
      <c r="D14" s="15"/>
      <c r="E14" s="14"/>
      <c r="F14" s="14"/>
      <c r="G14" s="14"/>
      <c r="H14" s="16">
        <f t="shared" si="0"/>
        <v>0</v>
      </c>
      <c r="I14" s="20">
        <f t="shared" si="1"/>
        <v>0</v>
      </c>
    </row>
    <row r="15" spans="1:10" s="6" customFormat="1" ht="22.5" customHeight="1">
      <c r="A15" s="19" t="s">
        <v>27</v>
      </c>
      <c r="B15" s="14"/>
      <c r="C15" s="14"/>
      <c r="D15" s="15"/>
      <c r="E15" s="14"/>
      <c r="F15" s="14"/>
      <c r="G15" s="14"/>
      <c r="H15" s="16">
        <f t="shared" si="0"/>
        <v>0</v>
      </c>
      <c r="I15" s="20">
        <f t="shared" si="1"/>
        <v>0</v>
      </c>
    </row>
    <row r="16" spans="1:10" s="6" customFormat="1" ht="22.5" customHeight="1">
      <c r="A16" s="19">
        <v>562</v>
      </c>
      <c r="B16" s="14"/>
      <c r="C16" s="14"/>
      <c r="D16" s="15"/>
      <c r="E16" s="14"/>
      <c r="F16" s="14"/>
      <c r="G16" s="14">
        <v>640</v>
      </c>
      <c r="H16" s="16">
        <f t="shared" si="0"/>
        <v>640</v>
      </c>
      <c r="I16" s="20">
        <f t="shared" si="1"/>
        <v>16</v>
      </c>
    </row>
    <row r="17" spans="1:11" s="6" customFormat="1" ht="22.5" customHeight="1">
      <c r="A17" s="19">
        <v>566</v>
      </c>
      <c r="B17" s="14"/>
      <c r="C17" s="14"/>
      <c r="D17" s="15"/>
      <c r="E17" s="14"/>
      <c r="F17" s="14"/>
      <c r="G17" s="14"/>
      <c r="H17" s="16">
        <f t="shared" si="0"/>
        <v>0</v>
      </c>
      <c r="I17" s="20">
        <f t="shared" si="1"/>
        <v>0</v>
      </c>
    </row>
    <row r="18" spans="1:11" s="6" customFormat="1" ht="22.5" customHeight="1">
      <c r="A18" s="19" t="s">
        <v>28</v>
      </c>
      <c r="B18" s="14"/>
      <c r="C18" s="14"/>
      <c r="D18" s="15"/>
      <c r="E18" s="14"/>
      <c r="F18" s="14"/>
      <c r="G18" s="14"/>
      <c r="H18" s="16">
        <f t="shared" si="0"/>
        <v>0</v>
      </c>
      <c r="I18" s="20">
        <f t="shared" si="1"/>
        <v>0</v>
      </c>
    </row>
    <row r="19" spans="1:11" s="6" customFormat="1" ht="30.75" customHeight="1">
      <c r="A19" s="21" t="s">
        <v>29</v>
      </c>
      <c r="B19" s="22">
        <f>SUM(B8:B18)</f>
        <v>0</v>
      </c>
      <c r="C19" s="22">
        <f t="shared" ref="C19:G19" si="2">SUM(C8:C18)</f>
        <v>0</v>
      </c>
      <c r="D19" s="22">
        <f t="shared" si="2"/>
        <v>0</v>
      </c>
      <c r="E19" s="22">
        <f t="shared" si="2"/>
        <v>0</v>
      </c>
      <c r="F19" s="22">
        <f t="shared" si="2"/>
        <v>0</v>
      </c>
      <c r="G19" s="22">
        <f t="shared" si="2"/>
        <v>2176</v>
      </c>
      <c r="H19" s="22">
        <f>SUM(H8:H18)</f>
        <v>2176</v>
      </c>
      <c r="I19" s="23">
        <f>SUM(I8:I18)</f>
        <v>54.4</v>
      </c>
      <c r="J19" s="24"/>
      <c r="K19" s="24"/>
    </row>
    <row r="20" spans="1:11" ht="12" customHeight="1">
      <c r="A20" s="25"/>
      <c r="J20" s="26"/>
    </row>
    <row r="21" spans="1:11" ht="12.75" customHeight="1">
      <c r="A21" s="25"/>
      <c r="J21" s="26"/>
    </row>
    <row r="22" spans="1:11" s="29" customFormat="1" ht="45" customHeight="1">
      <c r="A22" s="27" t="s">
        <v>30</v>
      </c>
      <c r="B22" s="27" t="s">
        <v>31</v>
      </c>
      <c r="C22" s="27" t="s">
        <v>32</v>
      </c>
      <c r="D22" s="28" t="s">
        <v>33</v>
      </c>
      <c r="E22" s="27" t="s">
        <v>34</v>
      </c>
    </row>
    <row r="23" spans="1:11" s="34" customFormat="1" ht="28.5" customHeight="1">
      <c r="A23" s="30" t="s">
        <v>6</v>
      </c>
      <c r="B23" s="31">
        <v>46069</v>
      </c>
      <c r="C23" s="32"/>
      <c r="D23" s="33"/>
      <c r="E23" s="30"/>
      <c r="F23" s="29"/>
      <c r="G23" s="41"/>
    </row>
    <row r="24" spans="1:11" s="34" customFormat="1" ht="28.5" customHeight="1">
      <c r="A24" s="35" t="s">
        <v>7</v>
      </c>
      <c r="B24" s="36">
        <v>46070</v>
      </c>
      <c r="C24" s="32"/>
      <c r="D24" s="33"/>
      <c r="E24" s="30"/>
      <c r="F24" s="29"/>
    </row>
    <row r="25" spans="1:11" s="34" customFormat="1" ht="28.5" customHeight="1">
      <c r="A25" s="35" t="s">
        <v>8</v>
      </c>
      <c r="B25" s="36">
        <v>46071</v>
      </c>
      <c r="C25" s="32"/>
      <c r="D25" s="33"/>
      <c r="E25" s="30"/>
      <c r="F25" s="29"/>
    </row>
    <row r="26" spans="1:11" s="34" customFormat="1" ht="28.5" customHeight="1">
      <c r="A26" s="40" t="s">
        <v>35</v>
      </c>
      <c r="B26" s="31">
        <v>46072</v>
      </c>
      <c r="C26" s="32"/>
      <c r="D26" s="33"/>
      <c r="E26" s="30"/>
      <c r="F26" s="29"/>
    </row>
    <row r="27" spans="1:11" s="34" customFormat="1" ht="28.5" customHeight="1">
      <c r="A27" s="58" t="s">
        <v>10</v>
      </c>
      <c r="B27" s="60">
        <v>46073</v>
      </c>
      <c r="C27" s="32" t="s">
        <v>81</v>
      </c>
      <c r="D27" s="33">
        <v>14000</v>
      </c>
      <c r="E27" s="30"/>
      <c r="F27" s="29"/>
    </row>
    <row r="28" spans="1:11" s="34" customFormat="1" ht="28.5" customHeight="1">
      <c r="A28" s="70"/>
      <c r="B28" s="71"/>
      <c r="C28" s="32" t="s">
        <v>28</v>
      </c>
      <c r="D28" s="33">
        <v>14000</v>
      </c>
      <c r="E28" s="30"/>
      <c r="F28" s="29"/>
    </row>
    <row r="29" spans="1:11" s="34" customFormat="1" ht="28.5" customHeight="1">
      <c r="A29" s="70"/>
      <c r="B29" s="71"/>
      <c r="C29" s="32" t="s">
        <v>23</v>
      </c>
      <c r="D29" s="33">
        <v>14000</v>
      </c>
      <c r="E29" s="30"/>
      <c r="F29" s="29"/>
    </row>
    <row r="30" spans="1:11" s="34" customFormat="1" ht="28.5" customHeight="1">
      <c r="A30" s="70"/>
      <c r="B30" s="71"/>
      <c r="C30" s="32">
        <v>551</v>
      </c>
      <c r="D30" s="33">
        <v>14000</v>
      </c>
      <c r="E30" s="30"/>
      <c r="F30" s="29"/>
    </row>
    <row r="31" spans="1:11" s="34" customFormat="1" ht="28.5" customHeight="1">
      <c r="A31" s="30" t="s">
        <v>11</v>
      </c>
      <c r="B31" s="31">
        <v>46074</v>
      </c>
      <c r="C31" s="32"/>
      <c r="D31" s="33"/>
      <c r="E31" s="30"/>
      <c r="F31" s="29"/>
    </row>
    <row r="32" spans="1:11">
      <c r="D32" s="39">
        <f>SUM(D23:D31)</f>
        <v>56000</v>
      </c>
    </row>
  </sheetData>
  <mergeCells count="8">
    <mergeCell ref="H6:I6"/>
    <mergeCell ref="A27:A30"/>
    <mergeCell ref="B27:B30"/>
    <mergeCell ref="A1:E1"/>
    <mergeCell ref="A2:E2"/>
    <mergeCell ref="A3:E3"/>
    <mergeCell ref="A4:I4"/>
    <mergeCell ref="A5:I5"/>
  </mergeCells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870800-3FE5-4531-B7A6-98E4924C6A80}">
  <sheetPr>
    <tabColor rgb="FFFFFF00"/>
  </sheetPr>
  <dimension ref="A1:L33"/>
  <sheetViews>
    <sheetView topLeftCell="A2" zoomScale="90" zoomScaleNormal="90" workbookViewId="0">
      <selection activeCell="F28" sqref="F28"/>
    </sheetView>
  </sheetViews>
  <sheetFormatPr defaultColWidth="9.125" defaultRowHeight="15"/>
  <cols>
    <col min="1" max="1" width="16.375" style="3" customWidth="1"/>
    <col min="2" max="2" width="15.75" style="3" bestFit="1" customWidth="1"/>
    <col min="3" max="8" width="14.625" style="3" customWidth="1"/>
    <col min="9" max="9" width="13.625" style="3" customWidth="1"/>
    <col min="10" max="10" width="16.75" style="3" customWidth="1"/>
    <col min="11" max="11" width="16.625" style="3" customWidth="1"/>
    <col min="12" max="12" width="12" style="3" customWidth="1"/>
    <col min="13" max="13" width="14.875" style="3" customWidth="1"/>
    <col min="14" max="14" width="11.875" style="3" customWidth="1"/>
    <col min="15" max="15" width="12.875" style="3" bestFit="1" customWidth="1"/>
    <col min="16" max="16" width="11.75" style="3" customWidth="1"/>
    <col min="17" max="16384" width="9.125" style="3"/>
  </cols>
  <sheetData>
    <row r="1" spans="1:11" ht="15.75">
      <c r="A1" s="62" t="s">
        <v>0</v>
      </c>
      <c r="B1" s="62"/>
      <c r="C1" s="62"/>
      <c r="D1" s="62"/>
      <c r="E1" s="62"/>
      <c r="F1" s="1"/>
      <c r="G1" s="1"/>
      <c r="H1" s="1"/>
      <c r="I1" s="2"/>
      <c r="J1" s="2"/>
      <c r="K1" s="2"/>
    </row>
    <row r="2" spans="1:11" ht="15.75">
      <c r="A2" s="62" t="s">
        <v>1</v>
      </c>
      <c r="B2" s="62"/>
      <c r="C2" s="62"/>
      <c r="D2" s="62"/>
      <c r="E2" s="62"/>
      <c r="F2" s="1"/>
      <c r="G2" s="1"/>
      <c r="H2" s="1"/>
      <c r="I2" s="2"/>
      <c r="J2" s="2"/>
      <c r="K2" s="2"/>
    </row>
    <row r="3" spans="1:11" ht="15.75">
      <c r="A3" s="62" t="s">
        <v>2</v>
      </c>
      <c r="B3" s="62"/>
      <c r="C3" s="62"/>
      <c r="D3" s="62"/>
      <c r="E3" s="62"/>
      <c r="F3" s="1"/>
      <c r="G3" s="1"/>
      <c r="H3" s="1"/>
      <c r="I3" s="2"/>
      <c r="J3" s="2"/>
      <c r="K3" s="2"/>
    </row>
    <row r="4" spans="1:11" ht="27.75" customHeight="1">
      <c r="A4" s="63" t="s">
        <v>3</v>
      </c>
      <c r="B4" s="63"/>
      <c r="C4" s="63"/>
      <c r="D4" s="63"/>
      <c r="E4" s="63"/>
      <c r="F4" s="63"/>
      <c r="G4" s="63"/>
      <c r="H4" s="63"/>
      <c r="I4" s="63"/>
      <c r="J4" s="63"/>
      <c r="K4" s="4"/>
    </row>
    <row r="5" spans="1:11" s="6" customFormat="1" ht="23.25" customHeight="1">
      <c r="A5" s="64" t="s">
        <v>62</v>
      </c>
      <c r="B5" s="64"/>
      <c r="C5" s="64"/>
      <c r="D5" s="64"/>
      <c r="E5" s="64"/>
      <c r="F5" s="64"/>
      <c r="G5" s="64"/>
      <c r="H5" s="64"/>
      <c r="I5" s="64"/>
      <c r="J5" s="64"/>
      <c r="K5" s="5"/>
    </row>
    <row r="6" spans="1:11" ht="55.5" customHeight="1">
      <c r="A6" s="7" t="s">
        <v>5</v>
      </c>
      <c r="B6" s="8" t="s">
        <v>6</v>
      </c>
      <c r="C6" s="8" t="s">
        <v>7</v>
      </c>
      <c r="D6" s="8" t="s">
        <v>8</v>
      </c>
      <c r="E6" s="8" t="s">
        <v>9</v>
      </c>
      <c r="F6" s="8" t="s">
        <v>10</v>
      </c>
      <c r="G6" s="8" t="s">
        <v>11</v>
      </c>
      <c r="H6" s="8" t="s">
        <v>65</v>
      </c>
      <c r="I6" s="65" t="s">
        <v>12</v>
      </c>
      <c r="J6" s="65"/>
      <c r="K6" s="10"/>
    </row>
    <row r="7" spans="1:11" ht="31.5" customHeight="1">
      <c r="A7" s="11" t="s">
        <v>13</v>
      </c>
      <c r="B7" s="12">
        <v>46267</v>
      </c>
      <c r="C7" s="12">
        <v>46297</v>
      </c>
      <c r="D7" s="12">
        <v>46328</v>
      </c>
      <c r="E7" s="12">
        <v>46358</v>
      </c>
      <c r="F7" s="12" t="s">
        <v>63</v>
      </c>
      <c r="G7" s="12" t="s">
        <v>64</v>
      </c>
      <c r="H7" s="12" t="s">
        <v>66</v>
      </c>
      <c r="I7" s="9" t="s">
        <v>20</v>
      </c>
      <c r="J7" s="9" t="s">
        <v>21</v>
      </c>
    </row>
    <row r="8" spans="1:11" s="6" customFormat="1" ht="22.5" customHeight="1">
      <c r="A8" s="13" t="s">
        <v>22</v>
      </c>
      <c r="B8" s="14"/>
      <c r="C8" s="14"/>
      <c r="D8" s="15"/>
      <c r="E8" s="14"/>
      <c r="F8" s="14"/>
      <c r="G8" s="14"/>
      <c r="H8" s="14"/>
      <c r="I8" s="16">
        <f>SUM(B8:H8)</f>
        <v>0</v>
      </c>
      <c r="J8" s="17">
        <f>I8*10/1000</f>
        <v>0</v>
      </c>
    </row>
    <row r="9" spans="1:11" s="6" customFormat="1" ht="22.5" customHeight="1">
      <c r="A9" s="18" t="s">
        <v>23</v>
      </c>
      <c r="B9" s="14"/>
      <c r="C9" s="14"/>
      <c r="D9" s="15"/>
      <c r="E9" s="14">
        <v>240</v>
      </c>
      <c r="F9" s="14"/>
      <c r="G9" s="14">
        <v>150</v>
      </c>
      <c r="H9" s="14"/>
      <c r="I9" s="16">
        <f t="shared" ref="I9:I18" si="0">SUM(B9:H9)</f>
        <v>390</v>
      </c>
      <c r="J9" s="17">
        <f>I9*25/1000</f>
        <v>9.75</v>
      </c>
    </row>
    <row r="10" spans="1:11" s="6" customFormat="1" ht="22.5" customHeight="1">
      <c r="A10" s="19">
        <v>551</v>
      </c>
      <c r="B10" s="14"/>
      <c r="C10" s="14">
        <v>360</v>
      </c>
      <c r="D10" s="15"/>
      <c r="E10" s="14"/>
      <c r="F10" s="14"/>
      <c r="G10" s="14">
        <v>886</v>
      </c>
      <c r="H10" s="14"/>
      <c r="I10" s="16">
        <f t="shared" si="0"/>
        <v>1246</v>
      </c>
      <c r="J10" s="20">
        <f>I10*25/1000</f>
        <v>31.15</v>
      </c>
    </row>
    <row r="11" spans="1:11" s="6" customFormat="1" ht="22.5" customHeight="1">
      <c r="A11" s="19" t="s">
        <v>24</v>
      </c>
      <c r="B11" s="14"/>
      <c r="C11" s="14">
        <v>360</v>
      </c>
      <c r="D11" s="15">
        <v>976</v>
      </c>
      <c r="E11" s="14"/>
      <c r="F11" s="14">
        <v>676</v>
      </c>
      <c r="G11" s="43"/>
      <c r="H11" s="43"/>
      <c r="I11" s="16">
        <f t="shared" si="0"/>
        <v>2012</v>
      </c>
      <c r="J11" s="20">
        <f t="shared" ref="J11:J18" si="1">I11*25/1000</f>
        <v>50.3</v>
      </c>
    </row>
    <row r="12" spans="1:11" s="6" customFormat="1" ht="22.5" customHeight="1">
      <c r="A12" s="19">
        <v>552</v>
      </c>
      <c r="B12" s="14"/>
      <c r="C12" s="14"/>
      <c r="D12" s="15"/>
      <c r="E12" s="14"/>
      <c r="F12" s="14"/>
      <c r="G12" s="14"/>
      <c r="H12" s="14"/>
      <c r="I12" s="16">
        <f t="shared" si="0"/>
        <v>0</v>
      </c>
      <c r="J12" s="20">
        <f t="shared" si="1"/>
        <v>0</v>
      </c>
    </row>
    <row r="13" spans="1:11" s="6" customFormat="1" ht="22.5" customHeight="1">
      <c r="A13" s="19" t="s">
        <v>25</v>
      </c>
      <c r="B13" s="14">
        <v>1200</v>
      </c>
      <c r="C13" s="14"/>
      <c r="D13" s="15"/>
      <c r="E13" s="14">
        <v>300</v>
      </c>
      <c r="F13" s="14">
        <v>300</v>
      </c>
      <c r="G13" s="14">
        <v>500</v>
      </c>
      <c r="H13" s="14"/>
      <c r="I13" s="16">
        <f t="shared" si="0"/>
        <v>2300</v>
      </c>
      <c r="J13" s="20">
        <f t="shared" si="1"/>
        <v>57.5</v>
      </c>
    </row>
    <row r="14" spans="1:11" s="6" customFormat="1" ht="22.5" customHeight="1">
      <c r="A14" s="19" t="s">
        <v>26</v>
      </c>
      <c r="B14" s="14">
        <v>664</v>
      </c>
      <c r="C14" s="14">
        <v>1328</v>
      </c>
      <c r="D14" s="15">
        <v>664</v>
      </c>
      <c r="E14" s="14">
        <v>664</v>
      </c>
      <c r="F14" s="14"/>
      <c r="G14" s="14"/>
      <c r="H14" s="14"/>
      <c r="I14" s="16">
        <f t="shared" si="0"/>
        <v>3320</v>
      </c>
      <c r="J14" s="20">
        <f t="shared" si="1"/>
        <v>83</v>
      </c>
    </row>
    <row r="15" spans="1:11" s="6" customFormat="1" ht="22.5" customHeight="1">
      <c r="A15" s="19" t="s">
        <v>27</v>
      </c>
      <c r="B15" s="14"/>
      <c r="C15" s="14">
        <v>480</v>
      </c>
      <c r="D15" s="15"/>
      <c r="E15" s="14"/>
      <c r="F15" s="14"/>
      <c r="G15" s="14"/>
      <c r="H15" s="14"/>
      <c r="I15" s="16">
        <f t="shared" si="0"/>
        <v>480</v>
      </c>
      <c r="J15" s="20">
        <f t="shared" si="1"/>
        <v>12</v>
      </c>
    </row>
    <row r="16" spans="1:11" s="6" customFormat="1" ht="22.5" customHeight="1">
      <c r="A16" s="19">
        <v>562</v>
      </c>
      <c r="B16" s="14"/>
      <c r="C16" s="14"/>
      <c r="D16" s="15">
        <v>1200</v>
      </c>
      <c r="E16" s="14"/>
      <c r="F16" s="14"/>
      <c r="G16" s="14">
        <v>640</v>
      </c>
      <c r="H16" s="14"/>
      <c r="I16" s="16">
        <f t="shared" si="0"/>
        <v>1840</v>
      </c>
      <c r="J16" s="20">
        <f t="shared" si="1"/>
        <v>46</v>
      </c>
    </row>
    <row r="17" spans="1:12" s="6" customFormat="1" ht="22.5" customHeight="1">
      <c r="A17" s="19">
        <v>566</v>
      </c>
      <c r="B17" s="14"/>
      <c r="C17" s="14"/>
      <c r="D17" s="15"/>
      <c r="E17" s="14"/>
      <c r="F17" s="14"/>
      <c r="G17" s="14">
        <v>1200</v>
      </c>
      <c r="H17" s="14"/>
      <c r="I17" s="16">
        <f t="shared" si="0"/>
        <v>1200</v>
      </c>
      <c r="J17" s="20">
        <f t="shared" si="1"/>
        <v>30</v>
      </c>
    </row>
    <row r="18" spans="1:12" s="6" customFormat="1" ht="22.5" customHeight="1">
      <c r="A18" s="19" t="s">
        <v>28</v>
      </c>
      <c r="B18" s="14"/>
      <c r="C18" s="14"/>
      <c r="D18" s="15"/>
      <c r="E18" s="14">
        <v>660</v>
      </c>
      <c r="F18" s="14">
        <v>1200</v>
      </c>
      <c r="G18" s="14"/>
      <c r="H18" s="14">
        <v>1200</v>
      </c>
      <c r="I18" s="16">
        <f t="shared" si="0"/>
        <v>3060</v>
      </c>
      <c r="J18" s="20">
        <f t="shared" si="1"/>
        <v>76.5</v>
      </c>
    </row>
    <row r="19" spans="1:12" s="6" customFormat="1" ht="30.75" customHeight="1">
      <c r="A19" s="21" t="s">
        <v>29</v>
      </c>
      <c r="B19" s="22">
        <f>SUM(B8:B18)</f>
        <v>1864</v>
      </c>
      <c r="C19" s="22">
        <f t="shared" ref="C19:H19" si="2">SUM(C8:C18)</f>
        <v>2528</v>
      </c>
      <c r="D19" s="22">
        <f t="shared" si="2"/>
        <v>2840</v>
      </c>
      <c r="E19" s="22">
        <f t="shared" si="2"/>
        <v>1864</v>
      </c>
      <c r="F19" s="22">
        <f t="shared" si="2"/>
        <v>2176</v>
      </c>
      <c r="G19" s="22">
        <f t="shared" si="2"/>
        <v>3376</v>
      </c>
      <c r="H19" s="22">
        <f t="shared" si="2"/>
        <v>1200</v>
      </c>
      <c r="I19" s="22">
        <f>SUM(I8:I18)</f>
        <v>15848</v>
      </c>
      <c r="J19" s="23">
        <f>SUM(J8:J18)</f>
        <v>396.2</v>
      </c>
      <c r="K19" s="24"/>
      <c r="L19" s="24"/>
    </row>
    <row r="20" spans="1:12" ht="12" customHeight="1">
      <c r="A20" s="25"/>
      <c r="K20" s="26"/>
    </row>
    <row r="21" spans="1:12" ht="12.75" customHeight="1">
      <c r="A21" s="25"/>
      <c r="K21" s="26"/>
    </row>
    <row r="22" spans="1:12" s="29" customFormat="1" ht="45" customHeight="1">
      <c r="A22" s="27" t="s">
        <v>30</v>
      </c>
      <c r="B22" s="27" t="s">
        <v>31</v>
      </c>
      <c r="C22" s="27" t="s">
        <v>32</v>
      </c>
      <c r="D22" s="28" t="s">
        <v>33</v>
      </c>
      <c r="E22" s="27" t="s">
        <v>34</v>
      </c>
    </row>
    <row r="23" spans="1:12" s="34" customFormat="1" ht="28.5" customHeight="1">
      <c r="A23" s="30" t="s">
        <v>6</v>
      </c>
      <c r="B23" s="31">
        <v>46062</v>
      </c>
      <c r="C23" s="32" t="s">
        <v>23</v>
      </c>
      <c r="D23" s="33">
        <v>28000</v>
      </c>
      <c r="E23" s="30"/>
      <c r="F23" s="29"/>
      <c r="G23" s="41"/>
      <c r="H23" s="41"/>
    </row>
    <row r="24" spans="1:12" s="34" customFormat="1" ht="28.5" customHeight="1">
      <c r="A24" s="35" t="s">
        <v>7</v>
      </c>
      <c r="B24" s="36">
        <v>46063</v>
      </c>
      <c r="C24" s="32"/>
      <c r="D24" s="33"/>
      <c r="E24" s="30"/>
      <c r="F24" s="29"/>
    </row>
    <row r="25" spans="1:12" s="34" customFormat="1" ht="28.5" customHeight="1">
      <c r="A25" s="58" t="s">
        <v>8</v>
      </c>
      <c r="B25" s="60">
        <v>46064</v>
      </c>
      <c r="C25" s="32" t="s">
        <v>23</v>
      </c>
      <c r="D25" s="33">
        <v>14000</v>
      </c>
      <c r="E25" s="30"/>
      <c r="F25" s="29"/>
    </row>
    <row r="26" spans="1:12" s="34" customFormat="1" ht="28.5" customHeight="1">
      <c r="A26" s="59"/>
      <c r="B26" s="61"/>
      <c r="C26" s="32">
        <v>551</v>
      </c>
      <c r="D26" s="33">
        <v>14000</v>
      </c>
      <c r="E26" s="30"/>
      <c r="F26" s="29"/>
    </row>
    <row r="27" spans="1:12" s="34" customFormat="1" ht="28.5" customHeight="1">
      <c r="A27" s="58" t="s">
        <v>35</v>
      </c>
      <c r="B27" s="60">
        <v>46065</v>
      </c>
      <c r="C27" s="32" t="s">
        <v>81</v>
      </c>
      <c r="D27" s="33">
        <v>14000</v>
      </c>
      <c r="E27" s="30"/>
      <c r="F27" s="29"/>
    </row>
    <row r="28" spans="1:12" s="34" customFormat="1" ht="28.5" customHeight="1">
      <c r="A28" s="70"/>
      <c r="B28" s="71"/>
      <c r="C28" s="32" t="s">
        <v>28</v>
      </c>
      <c r="D28" s="33">
        <v>14000</v>
      </c>
      <c r="E28" s="30"/>
      <c r="F28" s="29"/>
    </row>
    <row r="29" spans="1:12" s="34" customFormat="1" ht="28.5" customHeight="1">
      <c r="A29" s="70"/>
      <c r="B29" s="71"/>
      <c r="C29" s="32" t="s">
        <v>23</v>
      </c>
      <c r="D29" s="33">
        <v>14000</v>
      </c>
      <c r="E29" s="30"/>
      <c r="F29" s="29"/>
    </row>
    <row r="30" spans="1:12" s="34" customFormat="1" ht="28.5" customHeight="1">
      <c r="A30" s="70"/>
      <c r="B30" s="71"/>
      <c r="C30" s="32">
        <v>551</v>
      </c>
      <c r="D30" s="33">
        <v>14000</v>
      </c>
      <c r="E30" s="30"/>
      <c r="F30" s="29"/>
    </row>
    <row r="31" spans="1:12" s="34" customFormat="1" ht="28.5" customHeight="1">
      <c r="A31" s="40" t="s">
        <v>10</v>
      </c>
      <c r="B31" s="31">
        <v>46066</v>
      </c>
      <c r="C31" s="32" t="s">
        <v>23</v>
      </c>
      <c r="D31" s="33">
        <v>28000</v>
      </c>
      <c r="E31" s="30"/>
      <c r="F31" s="29"/>
    </row>
    <row r="32" spans="1:12" s="34" customFormat="1" ht="28.5" customHeight="1">
      <c r="A32" s="44"/>
      <c r="B32" s="45"/>
      <c r="C32" s="32" t="s">
        <v>24</v>
      </c>
      <c r="D32" s="33">
        <v>21000</v>
      </c>
      <c r="E32" s="30"/>
      <c r="F32" s="42"/>
    </row>
    <row r="33" spans="4:4">
      <c r="D33" s="39">
        <f>SUM(D23:D32)</f>
        <v>161000</v>
      </c>
    </row>
  </sheetData>
  <mergeCells count="10">
    <mergeCell ref="A27:A30"/>
    <mergeCell ref="B27:B30"/>
    <mergeCell ref="A25:A26"/>
    <mergeCell ref="B25:B26"/>
    <mergeCell ref="A1:E1"/>
    <mergeCell ref="A2:E2"/>
    <mergeCell ref="A3:E3"/>
    <mergeCell ref="A4:J4"/>
    <mergeCell ref="A5:J5"/>
    <mergeCell ref="I6:J6"/>
  </mergeCells>
  <pageMargins left="0.7" right="0.7" top="0.75" bottom="0.75" header="0.3" footer="0.3"/>
  <pageSetup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9CFACE-9026-4A80-9D8F-0A633E6A61A8}">
  <sheetPr>
    <tabColor rgb="FFFFFF00"/>
  </sheetPr>
  <dimension ref="A1:K34"/>
  <sheetViews>
    <sheetView topLeftCell="A6" zoomScaleNormal="100" workbookViewId="0">
      <selection activeCell="F28" sqref="F28"/>
    </sheetView>
  </sheetViews>
  <sheetFormatPr defaultColWidth="9.125" defaultRowHeight="15"/>
  <cols>
    <col min="1" max="1" width="16.375" style="3" customWidth="1"/>
    <col min="2" max="2" width="15.75" style="3" bestFit="1" customWidth="1"/>
    <col min="3" max="7" width="14.625" style="3" customWidth="1"/>
    <col min="8" max="8" width="13.625" style="3" customWidth="1"/>
    <col min="9" max="9" width="16.75" style="3" customWidth="1"/>
    <col min="10" max="10" width="16.625" style="3" customWidth="1"/>
    <col min="11" max="11" width="12" style="3" customWidth="1"/>
    <col min="12" max="12" width="14.875" style="3" customWidth="1"/>
    <col min="13" max="13" width="11.875" style="3" customWidth="1"/>
    <col min="14" max="14" width="12.875" style="3" bestFit="1" customWidth="1"/>
    <col min="15" max="15" width="11.75" style="3" customWidth="1"/>
    <col min="16" max="16384" width="9.125" style="3"/>
  </cols>
  <sheetData>
    <row r="1" spans="1:10" ht="15.75">
      <c r="A1" s="62" t="s">
        <v>0</v>
      </c>
      <c r="B1" s="62"/>
      <c r="C1" s="62"/>
      <c r="D1" s="62"/>
      <c r="E1" s="62"/>
      <c r="F1" s="1"/>
      <c r="G1" s="1"/>
      <c r="H1" s="2"/>
      <c r="I1" s="2"/>
      <c r="J1" s="2"/>
    </row>
    <row r="2" spans="1:10" ht="15.75">
      <c r="A2" s="62" t="s">
        <v>1</v>
      </c>
      <c r="B2" s="62"/>
      <c r="C2" s="62"/>
      <c r="D2" s="62"/>
      <c r="E2" s="62"/>
      <c r="F2" s="1"/>
      <c r="G2" s="1"/>
      <c r="H2" s="2"/>
      <c r="I2" s="2"/>
      <c r="J2" s="2"/>
    </row>
    <row r="3" spans="1:10" ht="15.75">
      <c r="A3" s="62" t="s">
        <v>2</v>
      </c>
      <c r="B3" s="62"/>
      <c r="C3" s="62"/>
      <c r="D3" s="62"/>
      <c r="E3" s="62"/>
      <c r="F3" s="1"/>
      <c r="G3" s="1"/>
      <c r="H3" s="2"/>
      <c r="I3" s="2"/>
      <c r="J3" s="2"/>
    </row>
    <row r="4" spans="1:10" ht="27.75" customHeight="1">
      <c r="A4" s="63" t="s">
        <v>3</v>
      </c>
      <c r="B4" s="63"/>
      <c r="C4" s="63"/>
      <c r="D4" s="63"/>
      <c r="E4" s="63"/>
      <c r="F4" s="63"/>
      <c r="G4" s="63"/>
      <c r="H4" s="63"/>
      <c r="I4" s="63"/>
      <c r="J4" s="4"/>
    </row>
    <row r="5" spans="1:10" s="6" customFormat="1" ht="23.25" customHeight="1">
      <c r="A5" s="64" t="s">
        <v>61</v>
      </c>
      <c r="B5" s="64"/>
      <c r="C5" s="64"/>
      <c r="D5" s="64"/>
      <c r="E5" s="64"/>
      <c r="F5" s="64"/>
      <c r="G5" s="64"/>
      <c r="H5" s="64"/>
      <c r="I5" s="64"/>
      <c r="J5" s="5"/>
    </row>
    <row r="6" spans="1:10" ht="55.5" customHeight="1">
      <c r="A6" s="7" t="s">
        <v>5</v>
      </c>
      <c r="B6" s="8" t="s">
        <v>6</v>
      </c>
      <c r="C6" s="8" t="s">
        <v>7</v>
      </c>
      <c r="D6" s="8" t="s">
        <v>8</v>
      </c>
      <c r="E6" s="8" t="s">
        <v>9</v>
      </c>
      <c r="F6" s="8" t="s">
        <v>10</v>
      </c>
      <c r="G6" s="8" t="s">
        <v>11</v>
      </c>
      <c r="H6" s="65" t="s">
        <v>12</v>
      </c>
      <c r="I6" s="65"/>
      <c r="J6" s="10"/>
    </row>
    <row r="7" spans="1:10" ht="31.5" customHeight="1">
      <c r="A7" s="11" t="s">
        <v>13</v>
      </c>
      <c r="B7" s="12">
        <v>46055</v>
      </c>
      <c r="C7" s="12">
        <v>46083</v>
      </c>
      <c r="D7" s="12">
        <v>46114</v>
      </c>
      <c r="E7" s="12">
        <v>46144</v>
      </c>
      <c r="F7" s="12">
        <v>46175</v>
      </c>
      <c r="G7" s="12">
        <v>46205</v>
      </c>
      <c r="H7" s="9" t="s">
        <v>20</v>
      </c>
      <c r="I7" s="9" t="s">
        <v>21</v>
      </c>
    </row>
    <row r="8" spans="1:10" s="6" customFormat="1" ht="22.5" customHeight="1">
      <c r="A8" s="13" t="s">
        <v>22</v>
      </c>
      <c r="B8" s="14"/>
      <c r="C8" s="14"/>
      <c r="D8" s="15"/>
      <c r="E8" s="14"/>
      <c r="F8" s="14"/>
      <c r="G8" s="14"/>
      <c r="H8" s="16">
        <f t="shared" ref="H8:H18" si="0">SUM(B8:G8)</f>
        <v>0</v>
      </c>
      <c r="I8" s="17">
        <f>H8*10/1000</f>
        <v>0</v>
      </c>
    </row>
    <row r="9" spans="1:10" s="6" customFormat="1" ht="22.5" customHeight="1">
      <c r="A9" s="18" t="s">
        <v>23</v>
      </c>
      <c r="B9" s="14"/>
      <c r="C9" s="14">
        <v>976</v>
      </c>
      <c r="D9" s="15">
        <v>120</v>
      </c>
      <c r="E9" s="14">
        <v>976</v>
      </c>
      <c r="F9" s="14"/>
      <c r="G9" s="14">
        <v>150</v>
      </c>
      <c r="H9" s="16">
        <f t="shared" si="0"/>
        <v>2222</v>
      </c>
      <c r="I9" s="17">
        <f>H9*25/1000</f>
        <v>55.55</v>
      </c>
    </row>
    <row r="10" spans="1:10" s="6" customFormat="1" ht="22.5" customHeight="1">
      <c r="A10" s="19">
        <v>551</v>
      </c>
      <c r="B10" s="14">
        <v>976</v>
      </c>
      <c r="C10" s="14"/>
      <c r="D10" s="15">
        <v>60</v>
      </c>
      <c r="E10" s="14"/>
      <c r="F10" s="14"/>
      <c r="G10" s="14">
        <v>886</v>
      </c>
      <c r="H10" s="16">
        <f>SUM(B10:G10)</f>
        <v>1922</v>
      </c>
      <c r="I10" s="20">
        <f>H10*25/1000</f>
        <v>48.05</v>
      </c>
    </row>
    <row r="11" spans="1:10" s="6" customFormat="1" ht="22.5" customHeight="1">
      <c r="A11" s="19" t="s">
        <v>24</v>
      </c>
      <c r="B11" s="14"/>
      <c r="C11" s="14"/>
      <c r="D11" s="15">
        <v>976</v>
      </c>
      <c r="E11" s="14">
        <v>240</v>
      </c>
      <c r="F11" s="14"/>
      <c r="G11" s="6">
        <v>976</v>
      </c>
      <c r="H11" s="16">
        <f t="shared" si="0"/>
        <v>2192</v>
      </c>
      <c r="I11" s="20">
        <f t="shared" ref="I11:I18" si="1">H11*25/1000</f>
        <v>54.8</v>
      </c>
    </row>
    <row r="12" spans="1:10" s="6" customFormat="1" ht="22.5" customHeight="1">
      <c r="A12" s="19">
        <v>552</v>
      </c>
      <c r="B12" s="14"/>
      <c r="C12" s="14"/>
      <c r="D12" s="15"/>
      <c r="E12" s="14"/>
      <c r="F12" s="14"/>
      <c r="G12" s="14"/>
      <c r="H12" s="16">
        <f t="shared" si="0"/>
        <v>0</v>
      </c>
      <c r="I12" s="20">
        <f t="shared" si="1"/>
        <v>0</v>
      </c>
    </row>
    <row r="13" spans="1:10" s="6" customFormat="1" ht="22.5" customHeight="1">
      <c r="A13" s="19" t="s">
        <v>25</v>
      </c>
      <c r="B13" s="14">
        <v>1200</v>
      </c>
      <c r="C13" s="14"/>
      <c r="D13" s="15"/>
      <c r="E13" s="14"/>
      <c r="F13" s="14"/>
      <c r="G13" s="14">
        <v>500</v>
      </c>
      <c r="H13" s="16">
        <f t="shared" si="0"/>
        <v>1700</v>
      </c>
      <c r="I13" s="20">
        <f t="shared" si="1"/>
        <v>42.5</v>
      </c>
    </row>
    <row r="14" spans="1:10" s="6" customFormat="1" ht="22.5" customHeight="1">
      <c r="A14" s="19" t="s">
        <v>26</v>
      </c>
      <c r="B14" s="14">
        <v>664</v>
      </c>
      <c r="C14" s="14">
        <v>664</v>
      </c>
      <c r="D14" s="15">
        <v>664</v>
      </c>
      <c r="E14" s="14">
        <v>664</v>
      </c>
      <c r="F14" s="14"/>
      <c r="G14" s="14"/>
      <c r="H14" s="16">
        <f t="shared" si="0"/>
        <v>2656</v>
      </c>
      <c r="I14" s="20">
        <f t="shared" si="1"/>
        <v>66.400000000000006</v>
      </c>
    </row>
    <row r="15" spans="1:10" s="6" customFormat="1" ht="22.5" customHeight="1">
      <c r="A15" s="19" t="s">
        <v>27</v>
      </c>
      <c r="B15" s="14"/>
      <c r="C15" s="14">
        <v>300</v>
      </c>
      <c r="D15" s="15"/>
      <c r="E15" s="14"/>
      <c r="F15" s="14"/>
      <c r="G15" s="14"/>
      <c r="H15" s="16">
        <f t="shared" si="0"/>
        <v>300</v>
      </c>
      <c r="I15" s="20">
        <f t="shared" si="1"/>
        <v>7.5</v>
      </c>
    </row>
    <row r="16" spans="1:10" s="6" customFormat="1" ht="22.5" customHeight="1">
      <c r="A16" s="19">
        <v>562</v>
      </c>
      <c r="B16" s="14"/>
      <c r="C16" s="14">
        <v>320</v>
      </c>
      <c r="D16" s="15"/>
      <c r="E16" s="14">
        <v>960</v>
      </c>
      <c r="F16" s="14"/>
      <c r="G16" s="14">
        <v>640</v>
      </c>
      <c r="H16" s="16">
        <f t="shared" si="0"/>
        <v>1920</v>
      </c>
      <c r="I16" s="20">
        <f t="shared" si="1"/>
        <v>48</v>
      </c>
    </row>
    <row r="17" spans="1:11" s="6" customFormat="1" ht="22.5" customHeight="1">
      <c r="A17" s="19">
        <v>566</v>
      </c>
      <c r="B17" s="14"/>
      <c r="C17" s="14"/>
      <c r="D17" s="15">
        <v>960</v>
      </c>
      <c r="E17" s="14"/>
      <c r="F17" s="14"/>
      <c r="G17" s="14"/>
      <c r="H17" s="16">
        <f t="shared" si="0"/>
        <v>960</v>
      </c>
      <c r="I17" s="20">
        <f t="shared" si="1"/>
        <v>24</v>
      </c>
    </row>
    <row r="18" spans="1:11" s="6" customFormat="1" ht="22.5" customHeight="1">
      <c r="A18" s="19" t="s">
        <v>28</v>
      </c>
      <c r="B18" s="14"/>
      <c r="C18" s="14">
        <v>580</v>
      </c>
      <c r="D18" s="15">
        <v>60</v>
      </c>
      <c r="E18" s="14"/>
      <c r="F18" s="14">
        <v>1200</v>
      </c>
      <c r="G18" s="14"/>
      <c r="H18" s="16">
        <f t="shared" si="0"/>
        <v>1840</v>
      </c>
      <c r="I18" s="20">
        <f t="shared" si="1"/>
        <v>46</v>
      </c>
    </row>
    <row r="19" spans="1:11" s="6" customFormat="1" ht="30.75" customHeight="1">
      <c r="A19" s="21" t="s">
        <v>29</v>
      </c>
      <c r="B19" s="22">
        <f>SUM(B8:B18)</f>
        <v>2840</v>
      </c>
      <c r="C19" s="22">
        <f t="shared" ref="C19:G19" si="2">SUM(C8:C18)</f>
        <v>2840</v>
      </c>
      <c r="D19" s="22">
        <f t="shared" si="2"/>
        <v>2840</v>
      </c>
      <c r="E19" s="22">
        <f t="shared" si="2"/>
        <v>2840</v>
      </c>
      <c r="F19" s="22">
        <f t="shared" si="2"/>
        <v>1200</v>
      </c>
      <c r="G19" s="22">
        <f t="shared" si="2"/>
        <v>3152</v>
      </c>
      <c r="H19" s="22">
        <f>SUM(H8:H18)</f>
        <v>15712</v>
      </c>
      <c r="I19" s="23">
        <f>SUM(I8:I18)</f>
        <v>392.79999999999995</v>
      </c>
      <c r="J19" s="24"/>
      <c r="K19" s="24"/>
    </row>
    <row r="20" spans="1:11" ht="12" customHeight="1">
      <c r="A20" s="25"/>
      <c r="J20" s="26"/>
    </row>
    <row r="21" spans="1:11" ht="12.75" customHeight="1">
      <c r="A21" s="25"/>
      <c r="J21" s="26"/>
    </row>
    <row r="22" spans="1:11" s="29" customFormat="1" ht="45" customHeight="1">
      <c r="A22" s="27" t="s">
        <v>30</v>
      </c>
      <c r="B22" s="27" t="s">
        <v>31</v>
      </c>
      <c r="C22" s="27" t="s">
        <v>32</v>
      </c>
      <c r="D22" s="28" t="s">
        <v>33</v>
      </c>
      <c r="E22" s="27" t="s">
        <v>34</v>
      </c>
    </row>
    <row r="23" spans="1:11" s="34" customFormat="1" ht="28.5" customHeight="1">
      <c r="A23" s="73" t="s">
        <v>6</v>
      </c>
      <c r="B23" s="69">
        <v>46055</v>
      </c>
      <c r="C23" s="32" t="s">
        <v>23</v>
      </c>
      <c r="D23" s="33">
        <v>14000</v>
      </c>
      <c r="E23" s="30"/>
      <c r="F23" s="29"/>
      <c r="G23" s="41"/>
    </row>
    <row r="24" spans="1:11" s="34" customFormat="1" ht="28.5" customHeight="1">
      <c r="A24" s="73"/>
      <c r="B24" s="69"/>
      <c r="C24" s="32" t="s">
        <v>26</v>
      </c>
      <c r="D24" s="33">
        <v>14000</v>
      </c>
      <c r="E24" s="30"/>
      <c r="F24" s="29"/>
    </row>
    <row r="25" spans="1:11" s="34" customFormat="1" ht="28.5" customHeight="1">
      <c r="A25" s="58" t="s">
        <v>7</v>
      </c>
      <c r="B25" s="60">
        <v>46056</v>
      </c>
      <c r="C25" s="32" t="s">
        <v>23</v>
      </c>
      <c r="D25" s="33">
        <v>14000</v>
      </c>
      <c r="E25" s="30"/>
      <c r="F25" s="29"/>
    </row>
    <row r="26" spans="1:11" s="34" customFormat="1" ht="28.5" customHeight="1">
      <c r="A26" s="59"/>
      <c r="B26" s="61"/>
      <c r="C26" s="32" t="s">
        <v>24</v>
      </c>
      <c r="D26" s="33">
        <v>14000</v>
      </c>
      <c r="E26" s="30"/>
      <c r="F26" s="29"/>
    </row>
    <row r="27" spans="1:11" s="34" customFormat="1" ht="28.5" customHeight="1">
      <c r="A27" s="58" t="s">
        <v>8</v>
      </c>
      <c r="B27" s="60">
        <v>46057</v>
      </c>
      <c r="C27" s="46"/>
      <c r="D27" s="32"/>
      <c r="E27" s="30"/>
      <c r="F27" s="29"/>
    </row>
    <row r="28" spans="1:11" s="34" customFormat="1" ht="28.5" customHeight="1">
      <c r="A28" s="70"/>
      <c r="B28" s="71"/>
      <c r="C28" s="46">
        <v>551</v>
      </c>
      <c r="D28" s="32">
        <v>60</v>
      </c>
      <c r="E28" s="30"/>
      <c r="F28" s="29"/>
    </row>
    <row r="29" spans="1:11" s="34" customFormat="1" ht="28.5" customHeight="1">
      <c r="A29" s="70"/>
      <c r="B29" s="71"/>
      <c r="C29" s="46" t="s">
        <v>25</v>
      </c>
      <c r="D29" s="32">
        <v>500</v>
      </c>
      <c r="E29" s="30"/>
      <c r="F29" s="29"/>
    </row>
    <row r="30" spans="1:11" s="34" customFormat="1" ht="28.5" customHeight="1">
      <c r="A30" s="70"/>
      <c r="B30" s="71"/>
      <c r="C30" s="47">
        <v>562</v>
      </c>
      <c r="D30" s="48">
        <v>640</v>
      </c>
      <c r="E30" s="30"/>
      <c r="F30" s="29"/>
    </row>
    <row r="31" spans="1:11" s="34" customFormat="1" ht="28.5" customHeight="1">
      <c r="A31" s="40" t="s">
        <v>35</v>
      </c>
      <c r="B31" s="31">
        <v>46058</v>
      </c>
      <c r="C31" s="32" t="s">
        <v>23</v>
      </c>
      <c r="D31" s="33">
        <v>28000</v>
      </c>
      <c r="E31" s="30"/>
      <c r="F31" s="29"/>
    </row>
    <row r="32" spans="1:11" s="34" customFormat="1" ht="28.5" customHeight="1">
      <c r="A32" s="72" t="s">
        <v>11</v>
      </c>
      <c r="B32" s="71">
        <v>46060</v>
      </c>
      <c r="C32" s="32" t="s">
        <v>23</v>
      </c>
      <c r="D32" s="33">
        <v>14000</v>
      </c>
      <c r="E32" s="30"/>
      <c r="F32" s="29"/>
    </row>
    <row r="33" spans="1:6" s="34" customFormat="1" ht="28.5" customHeight="1">
      <c r="A33" s="67"/>
      <c r="B33" s="61"/>
      <c r="C33" s="32">
        <v>551</v>
      </c>
      <c r="D33" s="33">
        <v>14000</v>
      </c>
      <c r="E33" s="30"/>
      <c r="F33" s="42">
        <f>H19+D34</f>
        <v>128912</v>
      </c>
    </row>
    <row r="34" spans="1:6">
      <c r="D34" s="39">
        <f>SUM(D23:D33)</f>
        <v>113200</v>
      </c>
    </row>
  </sheetData>
  <mergeCells count="14">
    <mergeCell ref="A32:A33"/>
    <mergeCell ref="B32:B33"/>
    <mergeCell ref="A23:A24"/>
    <mergeCell ref="B23:B24"/>
    <mergeCell ref="A25:A26"/>
    <mergeCell ref="B25:B26"/>
    <mergeCell ref="A27:A30"/>
    <mergeCell ref="B27:B30"/>
    <mergeCell ref="H6:I6"/>
    <mergeCell ref="A1:E1"/>
    <mergeCell ref="A2:E2"/>
    <mergeCell ref="A3:E3"/>
    <mergeCell ref="A4:I4"/>
    <mergeCell ref="A5:I5"/>
  </mergeCells>
  <pageMargins left="0.7" right="0.7" top="0.75" bottom="0.75" header="0.3" footer="0.3"/>
  <pageSetup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A11144-C620-418D-BDF7-84705F08D665}">
  <sheetPr>
    <tabColor rgb="FFFFFF00"/>
  </sheetPr>
  <dimension ref="A1:K33"/>
  <sheetViews>
    <sheetView topLeftCell="A3" zoomScaleNormal="100" workbookViewId="0">
      <selection activeCell="F28" sqref="F28"/>
    </sheetView>
  </sheetViews>
  <sheetFormatPr defaultColWidth="9.125" defaultRowHeight="15"/>
  <cols>
    <col min="1" max="1" width="16.375" style="3" customWidth="1"/>
    <col min="2" max="2" width="15.75" style="3" bestFit="1" customWidth="1"/>
    <col min="3" max="7" width="14.625" style="3" customWidth="1"/>
    <col min="8" max="8" width="13.625" style="3" customWidth="1"/>
    <col min="9" max="9" width="16.75" style="3" customWidth="1"/>
    <col min="10" max="10" width="16.625" style="3" customWidth="1"/>
    <col min="11" max="11" width="12" style="3" customWidth="1"/>
    <col min="12" max="12" width="14.875" style="3" customWidth="1"/>
    <col min="13" max="13" width="11.875" style="3" customWidth="1"/>
    <col min="14" max="14" width="12.875" style="3" bestFit="1" customWidth="1"/>
    <col min="15" max="15" width="11.75" style="3" customWidth="1"/>
    <col min="16" max="16384" width="9.125" style="3"/>
  </cols>
  <sheetData>
    <row r="1" spans="1:10" ht="15.75">
      <c r="A1" s="62" t="s">
        <v>0</v>
      </c>
      <c r="B1" s="62"/>
      <c r="C1" s="62"/>
      <c r="D1" s="62"/>
      <c r="E1" s="62"/>
      <c r="F1" s="1"/>
      <c r="G1" s="1"/>
      <c r="H1" s="2"/>
      <c r="I1" s="2"/>
      <c r="J1" s="2"/>
    </row>
    <row r="2" spans="1:10" ht="15.75">
      <c r="A2" s="62" t="s">
        <v>1</v>
      </c>
      <c r="B2" s="62"/>
      <c r="C2" s="62"/>
      <c r="D2" s="62"/>
      <c r="E2" s="62"/>
      <c r="F2" s="1"/>
      <c r="G2" s="1"/>
      <c r="H2" s="2"/>
      <c r="I2" s="2"/>
      <c r="J2" s="2"/>
    </row>
    <row r="3" spans="1:10" ht="15.75">
      <c r="A3" s="62" t="s">
        <v>2</v>
      </c>
      <c r="B3" s="62"/>
      <c r="C3" s="62"/>
      <c r="D3" s="62"/>
      <c r="E3" s="62"/>
      <c r="F3" s="1"/>
      <c r="G3" s="1"/>
      <c r="H3" s="2"/>
      <c r="I3" s="2"/>
      <c r="J3" s="2"/>
    </row>
    <row r="4" spans="1:10" ht="27.75" customHeight="1">
      <c r="A4" s="63" t="s">
        <v>3</v>
      </c>
      <c r="B4" s="63"/>
      <c r="C4" s="63"/>
      <c r="D4" s="63"/>
      <c r="E4" s="63"/>
      <c r="F4" s="63"/>
      <c r="G4" s="63"/>
      <c r="H4" s="63"/>
      <c r="I4" s="63"/>
      <c r="J4" s="4"/>
    </row>
    <row r="5" spans="1:10" s="6" customFormat="1" ht="23.25" customHeight="1">
      <c r="A5" s="64" t="s">
        <v>60</v>
      </c>
      <c r="B5" s="64"/>
      <c r="C5" s="64"/>
      <c r="D5" s="64"/>
      <c r="E5" s="64"/>
      <c r="F5" s="64"/>
      <c r="G5" s="64"/>
      <c r="H5" s="64"/>
      <c r="I5" s="64"/>
      <c r="J5" s="5"/>
    </row>
    <row r="6" spans="1:10" ht="55.5" customHeight="1">
      <c r="A6" s="7" t="s">
        <v>5</v>
      </c>
      <c r="B6" s="8" t="s">
        <v>6</v>
      </c>
      <c r="C6" s="8" t="s">
        <v>7</v>
      </c>
      <c r="D6" s="8" t="s">
        <v>8</v>
      </c>
      <c r="E6" s="8" t="s">
        <v>9</v>
      </c>
      <c r="F6" s="8" t="s">
        <v>10</v>
      </c>
      <c r="G6" s="8" t="s">
        <v>11</v>
      </c>
      <c r="H6" s="65" t="s">
        <v>12</v>
      </c>
      <c r="I6" s="65"/>
      <c r="J6" s="10"/>
    </row>
    <row r="7" spans="1:10" ht="31.5" customHeight="1">
      <c r="A7" s="11" t="s">
        <v>13</v>
      </c>
      <c r="B7" s="12" t="s">
        <v>54</v>
      </c>
      <c r="C7" s="12" t="s">
        <v>55</v>
      </c>
      <c r="D7" s="12" t="s">
        <v>56</v>
      </c>
      <c r="E7" s="12" t="s">
        <v>57</v>
      </c>
      <c r="F7" s="12" t="s">
        <v>58</v>
      </c>
      <c r="G7" s="12" t="s">
        <v>59</v>
      </c>
      <c r="H7" s="9" t="s">
        <v>20</v>
      </c>
      <c r="I7" s="9" t="s">
        <v>21</v>
      </c>
    </row>
    <row r="8" spans="1:10" s="6" customFormat="1" ht="22.5" customHeight="1">
      <c r="A8" s="13" t="s">
        <v>22</v>
      </c>
      <c r="B8" s="14"/>
      <c r="C8" s="14"/>
      <c r="D8" s="15"/>
      <c r="E8" s="14"/>
      <c r="F8" s="14"/>
      <c r="G8" s="14"/>
      <c r="H8" s="16">
        <f t="shared" ref="H8:H18" si="0">SUM(B8:G8)</f>
        <v>0</v>
      </c>
      <c r="I8" s="17">
        <f>H8*10/1000</f>
        <v>0</v>
      </c>
    </row>
    <row r="9" spans="1:10" s="6" customFormat="1" ht="22.5" customHeight="1">
      <c r="A9" s="18" t="s">
        <v>23</v>
      </c>
      <c r="B9" s="14">
        <v>500</v>
      </c>
      <c r="C9" s="14">
        <v>180</v>
      </c>
      <c r="D9" s="15">
        <v>500</v>
      </c>
      <c r="E9" s="14"/>
      <c r="F9" s="14"/>
      <c r="G9" s="14">
        <v>150</v>
      </c>
      <c r="H9" s="16">
        <f t="shared" si="0"/>
        <v>1330</v>
      </c>
      <c r="I9" s="17">
        <f>H9*25/1000</f>
        <v>33.25</v>
      </c>
    </row>
    <row r="10" spans="1:10" s="6" customFormat="1" ht="22.5" customHeight="1">
      <c r="A10" s="19">
        <v>551</v>
      </c>
      <c r="B10" s="14">
        <v>476</v>
      </c>
      <c r="C10" s="14">
        <v>200</v>
      </c>
      <c r="D10" s="15">
        <v>476</v>
      </c>
      <c r="E10" s="14"/>
      <c r="F10" s="14"/>
      <c r="G10" s="14">
        <v>886</v>
      </c>
      <c r="H10" s="16">
        <f t="shared" si="0"/>
        <v>2038</v>
      </c>
      <c r="I10" s="20">
        <f>H10*25/1000</f>
        <v>50.95</v>
      </c>
    </row>
    <row r="11" spans="1:10" s="6" customFormat="1" ht="22.5" customHeight="1">
      <c r="A11" s="19" t="s">
        <v>24</v>
      </c>
      <c r="B11" s="14"/>
      <c r="C11" s="14">
        <v>180</v>
      </c>
      <c r="D11" s="15"/>
      <c r="E11" s="14"/>
      <c r="F11" s="14"/>
      <c r="G11" s="14"/>
      <c r="H11" s="16">
        <f t="shared" si="0"/>
        <v>180</v>
      </c>
      <c r="I11" s="20">
        <f t="shared" ref="I11:I18" si="1">H11*25/1000</f>
        <v>4.5</v>
      </c>
    </row>
    <row r="12" spans="1:10" s="6" customFormat="1" ht="22.5" customHeight="1">
      <c r="A12" s="19">
        <v>552</v>
      </c>
      <c r="B12" s="14"/>
      <c r="C12" s="14"/>
      <c r="D12" s="15"/>
      <c r="E12" s="14"/>
      <c r="F12" s="14"/>
      <c r="G12" s="14"/>
      <c r="H12" s="16">
        <f t="shared" si="0"/>
        <v>0</v>
      </c>
      <c r="I12" s="20">
        <f t="shared" si="1"/>
        <v>0</v>
      </c>
    </row>
    <row r="13" spans="1:10" s="6" customFormat="1" ht="22.5" customHeight="1">
      <c r="A13" s="19" t="s">
        <v>25</v>
      </c>
      <c r="B13" s="14"/>
      <c r="C13" s="14"/>
      <c r="D13" s="15">
        <v>900</v>
      </c>
      <c r="E13" s="14"/>
      <c r="F13" s="14"/>
      <c r="G13" s="14">
        <v>500</v>
      </c>
      <c r="H13" s="16">
        <f t="shared" si="0"/>
        <v>1400</v>
      </c>
      <c r="I13" s="20">
        <f t="shared" si="1"/>
        <v>35</v>
      </c>
    </row>
    <row r="14" spans="1:10" s="6" customFormat="1" ht="22.5" customHeight="1">
      <c r="A14" s="19" t="s">
        <v>26</v>
      </c>
      <c r="B14" s="14">
        <v>664</v>
      </c>
      <c r="C14" s="14">
        <v>664</v>
      </c>
      <c r="D14" s="15">
        <v>664</v>
      </c>
      <c r="E14" s="14">
        <v>664</v>
      </c>
      <c r="F14" s="14">
        <v>664</v>
      </c>
      <c r="G14" s="14">
        <v>664</v>
      </c>
      <c r="H14" s="16">
        <f t="shared" si="0"/>
        <v>3984</v>
      </c>
      <c r="I14" s="20">
        <f t="shared" si="1"/>
        <v>99.6</v>
      </c>
    </row>
    <row r="15" spans="1:10" s="6" customFormat="1" ht="22.5" customHeight="1">
      <c r="A15" s="19" t="s">
        <v>27</v>
      </c>
      <c r="B15" s="14">
        <v>420</v>
      </c>
      <c r="C15" s="14"/>
      <c r="D15" s="15"/>
      <c r="E15" s="14"/>
      <c r="F15" s="14"/>
      <c r="G15" s="14"/>
      <c r="H15" s="16">
        <f t="shared" si="0"/>
        <v>420</v>
      </c>
      <c r="I15" s="20">
        <f t="shared" si="1"/>
        <v>10.5</v>
      </c>
    </row>
    <row r="16" spans="1:10" s="6" customFormat="1" ht="22.5" customHeight="1">
      <c r="A16" s="19">
        <v>562</v>
      </c>
      <c r="B16" s="14"/>
      <c r="C16" s="14">
        <v>640</v>
      </c>
      <c r="D16" s="15"/>
      <c r="E16" s="14"/>
      <c r="F16" s="14"/>
      <c r="G16" s="14">
        <v>640</v>
      </c>
      <c r="H16" s="16">
        <f t="shared" si="0"/>
        <v>1280</v>
      </c>
      <c r="I16" s="20">
        <f t="shared" si="1"/>
        <v>32</v>
      </c>
    </row>
    <row r="17" spans="1:11" s="6" customFormat="1" ht="22.5" customHeight="1">
      <c r="A17" s="19">
        <v>566</v>
      </c>
      <c r="B17" s="14">
        <v>780</v>
      </c>
      <c r="C17" s="14"/>
      <c r="D17" s="15">
        <v>300</v>
      </c>
      <c r="E17" s="14"/>
      <c r="F17" s="14"/>
      <c r="G17" s="14"/>
      <c r="H17" s="16">
        <f t="shared" si="0"/>
        <v>1080</v>
      </c>
      <c r="I17" s="20">
        <f t="shared" si="1"/>
        <v>27</v>
      </c>
    </row>
    <row r="18" spans="1:11" s="6" customFormat="1" ht="22.5" customHeight="1">
      <c r="A18" s="19" t="s">
        <v>28</v>
      </c>
      <c r="B18" s="14"/>
      <c r="C18" s="14"/>
      <c r="D18" s="15"/>
      <c r="E18" s="14">
        <v>1200</v>
      </c>
      <c r="F18" s="14">
        <v>1200</v>
      </c>
      <c r="G18" s="14"/>
      <c r="H18" s="16">
        <f t="shared" si="0"/>
        <v>2400</v>
      </c>
      <c r="I18" s="20">
        <f t="shared" si="1"/>
        <v>60</v>
      </c>
    </row>
    <row r="19" spans="1:11" s="6" customFormat="1" ht="30.75" customHeight="1">
      <c r="A19" s="21" t="s">
        <v>29</v>
      </c>
      <c r="B19" s="22">
        <f>SUM(B8:B18)</f>
        <v>2840</v>
      </c>
      <c r="C19" s="22">
        <f t="shared" ref="C19:G19" si="2">SUM(C8:C18)</f>
        <v>1864</v>
      </c>
      <c r="D19" s="22">
        <f t="shared" si="2"/>
        <v>2840</v>
      </c>
      <c r="E19" s="22">
        <f t="shared" si="2"/>
        <v>1864</v>
      </c>
      <c r="F19" s="22">
        <f t="shared" si="2"/>
        <v>1864</v>
      </c>
      <c r="G19" s="22">
        <f t="shared" si="2"/>
        <v>2840</v>
      </c>
      <c r="H19" s="22">
        <f>SUM(H8:H18)</f>
        <v>14112</v>
      </c>
      <c r="I19" s="23">
        <f>SUM(I8:I18)</f>
        <v>352.8</v>
      </c>
      <c r="J19" s="24"/>
      <c r="K19" s="24"/>
    </row>
    <row r="20" spans="1:11" ht="12" customHeight="1">
      <c r="A20" s="25"/>
      <c r="J20" s="26"/>
    </row>
    <row r="21" spans="1:11" ht="12.75" customHeight="1">
      <c r="A21" s="25"/>
      <c r="J21" s="26"/>
    </row>
    <row r="22" spans="1:11" s="29" customFormat="1" ht="45" customHeight="1">
      <c r="A22" s="27" t="s">
        <v>30</v>
      </c>
      <c r="B22" s="27" t="s">
        <v>31</v>
      </c>
      <c r="C22" s="27" t="s">
        <v>32</v>
      </c>
      <c r="D22" s="28" t="s">
        <v>33</v>
      </c>
      <c r="E22" s="27" t="s">
        <v>34</v>
      </c>
    </row>
    <row r="23" spans="1:11" s="34" customFormat="1" ht="28.5" customHeight="1">
      <c r="A23" s="73" t="s">
        <v>6</v>
      </c>
      <c r="B23" s="69">
        <v>46048</v>
      </c>
      <c r="C23" s="32" t="s">
        <v>23</v>
      </c>
      <c r="D23" s="33">
        <v>14000</v>
      </c>
      <c r="E23" s="30"/>
      <c r="F23" s="29"/>
      <c r="G23" s="41"/>
    </row>
    <row r="24" spans="1:11" s="34" customFormat="1" ht="28.5" customHeight="1">
      <c r="A24" s="73"/>
      <c r="B24" s="69"/>
      <c r="C24" s="32">
        <v>551</v>
      </c>
      <c r="D24" s="33">
        <v>14000</v>
      </c>
      <c r="E24" s="30"/>
      <c r="F24" s="29"/>
    </row>
    <row r="25" spans="1:11" s="34" customFormat="1" ht="28.5" customHeight="1">
      <c r="A25" s="40" t="s">
        <v>7</v>
      </c>
      <c r="B25" s="31">
        <v>46049</v>
      </c>
      <c r="C25" s="32" t="s">
        <v>27</v>
      </c>
      <c r="D25" s="33">
        <v>28000</v>
      </c>
      <c r="E25" s="30"/>
      <c r="F25" s="29"/>
    </row>
    <row r="26" spans="1:11" s="34" customFormat="1" ht="28.5" customHeight="1">
      <c r="A26" s="40" t="s">
        <v>8</v>
      </c>
      <c r="B26" s="31">
        <v>46050</v>
      </c>
      <c r="C26" s="32"/>
      <c r="D26" s="33"/>
      <c r="E26" s="30"/>
      <c r="F26" s="29"/>
    </row>
    <row r="27" spans="1:11" s="34" customFormat="1" ht="28.5" customHeight="1">
      <c r="A27" s="58" t="s">
        <v>35</v>
      </c>
      <c r="B27" s="60">
        <v>46051</v>
      </c>
      <c r="C27" s="32" t="s">
        <v>27</v>
      </c>
      <c r="D27" s="33">
        <v>160</v>
      </c>
      <c r="E27" s="30"/>
      <c r="F27" s="29"/>
    </row>
    <row r="28" spans="1:11" s="34" customFormat="1" ht="28.5" customHeight="1">
      <c r="A28" s="70"/>
      <c r="B28" s="71"/>
      <c r="C28" s="32" t="s">
        <v>28</v>
      </c>
      <c r="D28" s="33">
        <v>220</v>
      </c>
      <c r="E28" s="30"/>
      <c r="F28" s="29"/>
    </row>
    <row r="29" spans="1:11" s="34" customFormat="1" ht="28.5" customHeight="1">
      <c r="A29" s="70"/>
      <c r="B29" s="71"/>
      <c r="C29" s="32" t="s">
        <v>28</v>
      </c>
      <c r="D29" s="33">
        <v>12000</v>
      </c>
      <c r="E29" s="30"/>
      <c r="F29" s="29"/>
    </row>
    <row r="30" spans="1:11" s="34" customFormat="1" ht="28.5" customHeight="1">
      <c r="A30" s="70"/>
      <c r="B30" s="71"/>
      <c r="C30" s="32"/>
      <c r="D30" s="33"/>
      <c r="E30" s="30"/>
      <c r="F30" s="29"/>
    </row>
    <row r="31" spans="1:11" s="34" customFormat="1" ht="28.5" customHeight="1">
      <c r="A31" s="40"/>
      <c r="B31" s="31"/>
      <c r="C31" s="32">
        <v>551</v>
      </c>
      <c r="D31" s="33">
        <v>14000</v>
      </c>
      <c r="E31" s="30"/>
      <c r="F31" s="29"/>
    </row>
    <row r="32" spans="1:11" s="34" customFormat="1" ht="28.5" customHeight="1">
      <c r="A32" s="44" t="s">
        <v>11</v>
      </c>
      <c r="B32" s="45">
        <v>46053</v>
      </c>
      <c r="C32" s="32"/>
      <c r="D32" s="33"/>
      <c r="E32" s="30"/>
      <c r="F32" s="29"/>
    </row>
    <row r="33" spans="4:4">
      <c r="D33" s="39">
        <f>SUM(D23:D32)</f>
        <v>82380</v>
      </c>
    </row>
  </sheetData>
  <mergeCells count="10">
    <mergeCell ref="A27:A30"/>
    <mergeCell ref="B27:B30"/>
    <mergeCell ref="A23:A24"/>
    <mergeCell ref="B23:B24"/>
    <mergeCell ref="A1:E1"/>
    <mergeCell ref="A2:E2"/>
    <mergeCell ref="A3:E3"/>
    <mergeCell ref="A4:I4"/>
    <mergeCell ref="A5:I5"/>
    <mergeCell ref="H6:I6"/>
  </mergeCells>
  <pageMargins left="0.7" right="0.7" top="0.75" bottom="0.75" header="0.3" footer="0.3"/>
  <pageSetup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26653D-820A-4B24-B00F-FB9511C8208A}">
  <sheetPr>
    <tabColor rgb="FFFFFF00"/>
  </sheetPr>
  <dimension ref="A1:K33"/>
  <sheetViews>
    <sheetView topLeftCell="A4" zoomScaleNormal="100" workbookViewId="0">
      <selection activeCell="A5" sqref="A5:I5"/>
    </sheetView>
  </sheetViews>
  <sheetFormatPr defaultColWidth="9.125" defaultRowHeight="15"/>
  <cols>
    <col min="1" max="1" width="16.375" style="3" customWidth="1"/>
    <col min="2" max="2" width="15.75" style="3" bestFit="1" customWidth="1"/>
    <col min="3" max="7" width="14.625" style="3" customWidth="1"/>
    <col min="8" max="8" width="13.625" style="3" customWidth="1"/>
    <col min="9" max="9" width="16.75" style="3" customWidth="1"/>
    <col min="10" max="10" width="16.625" style="3" customWidth="1"/>
    <col min="11" max="11" width="12" style="3" customWidth="1"/>
    <col min="12" max="12" width="14.875" style="3" customWidth="1"/>
    <col min="13" max="13" width="11.875" style="3" customWidth="1"/>
    <col min="14" max="14" width="12.875" style="3" bestFit="1" customWidth="1"/>
    <col min="15" max="15" width="11.75" style="3" customWidth="1"/>
    <col min="16" max="16384" width="9.125" style="3"/>
  </cols>
  <sheetData>
    <row r="1" spans="1:10" ht="15.75">
      <c r="A1" s="62" t="s">
        <v>0</v>
      </c>
      <c r="B1" s="62"/>
      <c r="C1" s="62"/>
      <c r="D1" s="62"/>
      <c r="E1" s="62"/>
      <c r="F1" s="1"/>
      <c r="G1" s="1"/>
      <c r="H1" s="2"/>
      <c r="I1" s="2"/>
      <c r="J1" s="2"/>
    </row>
    <row r="2" spans="1:10" ht="15.75">
      <c r="A2" s="62" t="s">
        <v>1</v>
      </c>
      <c r="B2" s="62"/>
      <c r="C2" s="62"/>
      <c r="D2" s="62"/>
      <c r="E2" s="62"/>
      <c r="F2" s="1"/>
      <c r="G2" s="1"/>
      <c r="H2" s="2"/>
      <c r="I2" s="2"/>
      <c r="J2" s="2"/>
    </row>
    <row r="3" spans="1:10" ht="15.75">
      <c r="A3" s="62" t="s">
        <v>2</v>
      </c>
      <c r="B3" s="62"/>
      <c r="C3" s="62"/>
      <c r="D3" s="62"/>
      <c r="E3" s="62"/>
      <c r="F3" s="1"/>
      <c r="G3" s="1"/>
      <c r="H3" s="2"/>
      <c r="I3" s="2"/>
      <c r="J3" s="2"/>
    </row>
    <row r="4" spans="1:10" ht="27.75" customHeight="1">
      <c r="A4" s="63" t="s">
        <v>3</v>
      </c>
      <c r="B4" s="63"/>
      <c r="C4" s="63"/>
      <c r="D4" s="63"/>
      <c r="E4" s="63"/>
      <c r="F4" s="63"/>
      <c r="G4" s="63"/>
      <c r="H4" s="63"/>
      <c r="I4" s="63"/>
      <c r="J4" s="4"/>
    </row>
    <row r="5" spans="1:10" s="6" customFormat="1" ht="23.25" customHeight="1">
      <c r="A5" s="64" t="s">
        <v>47</v>
      </c>
      <c r="B5" s="64"/>
      <c r="C5" s="64"/>
      <c r="D5" s="64"/>
      <c r="E5" s="64"/>
      <c r="F5" s="64"/>
      <c r="G5" s="64"/>
      <c r="H5" s="64"/>
      <c r="I5" s="64"/>
      <c r="J5" s="5"/>
    </row>
    <row r="6" spans="1:10" ht="55.5" customHeight="1">
      <c r="A6" s="7" t="s">
        <v>5</v>
      </c>
      <c r="B6" s="8" t="s">
        <v>6</v>
      </c>
      <c r="C6" s="8" t="s">
        <v>7</v>
      </c>
      <c r="D6" s="8" t="s">
        <v>8</v>
      </c>
      <c r="E6" s="8" t="s">
        <v>9</v>
      </c>
      <c r="F6" s="8" t="s">
        <v>10</v>
      </c>
      <c r="G6" s="8" t="s">
        <v>11</v>
      </c>
      <c r="H6" s="65" t="s">
        <v>12</v>
      </c>
      <c r="I6" s="65"/>
      <c r="J6" s="10"/>
    </row>
    <row r="7" spans="1:10" ht="31.5" customHeight="1">
      <c r="A7" s="11" t="s">
        <v>13</v>
      </c>
      <c r="B7" s="12" t="s">
        <v>48</v>
      </c>
      <c r="C7" s="12" t="s">
        <v>49</v>
      </c>
      <c r="D7" s="12" t="s">
        <v>50</v>
      </c>
      <c r="E7" s="12" t="s">
        <v>51</v>
      </c>
      <c r="F7" s="12" t="s">
        <v>52</v>
      </c>
      <c r="G7" s="12" t="s">
        <v>53</v>
      </c>
      <c r="H7" s="9" t="s">
        <v>20</v>
      </c>
      <c r="I7" s="9" t="s">
        <v>21</v>
      </c>
    </row>
    <row r="8" spans="1:10" s="6" customFormat="1" ht="22.5" customHeight="1">
      <c r="A8" s="13" t="s">
        <v>22</v>
      </c>
      <c r="B8" s="14">
        <v>0</v>
      </c>
      <c r="C8" s="14">
        <v>0</v>
      </c>
      <c r="D8" s="15"/>
      <c r="E8" s="14"/>
      <c r="F8" s="14"/>
      <c r="G8" s="14"/>
      <c r="H8" s="16">
        <f t="shared" ref="H8:H18" si="0">SUM(B8:G8)</f>
        <v>0</v>
      </c>
      <c r="I8" s="17">
        <f>H8*10/1000</f>
        <v>0</v>
      </c>
    </row>
    <row r="9" spans="1:10" s="6" customFormat="1" ht="22.5" customHeight="1">
      <c r="A9" s="18" t="s">
        <v>23</v>
      </c>
      <c r="B9" s="14">
        <f>180+100</f>
        <v>280</v>
      </c>
      <c r="C9" s="14"/>
      <c r="D9" s="15"/>
      <c r="E9" s="14"/>
      <c r="F9" s="14"/>
      <c r="G9" s="14"/>
      <c r="H9" s="16">
        <f t="shared" si="0"/>
        <v>280</v>
      </c>
      <c r="I9" s="17">
        <f>H9*25/1000</f>
        <v>7</v>
      </c>
    </row>
    <row r="10" spans="1:10" s="6" customFormat="1" ht="22.5" customHeight="1">
      <c r="A10" s="19">
        <v>551</v>
      </c>
      <c r="B10" s="14">
        <v>500</v>
      </c>
      <c r="C10" s="14">
        <v>120</v>
      </c>
      <c r="D10" s="15"/>
      <c r="E10" s="14"/>
      <c r="F10" s="14"/>
      <c r="G10" s="14"/>
      <c r="H10" s="16">
        <f t="shared" si="0"/>
        <v>620</v>
      </c>
      <c r="I10" s="20">
        <f>H10*25/1000</f>
        <v>15.5</v>
      </c>
    </row>
    <row r="11" spans="1:10" s="6" customFormat="1" ht="22.5" customHeight="1">
      <c r="A11" s="19" t="s">
        <v>24</v>
      </c>
      <c r="B11" s="14">
        <f>180+376</f>
        <v>556</v>
      </c>
      <c r="C11" s="14">
        <v>0</v>
      </c>
      <c r="D11" s="15"/>
      <c r="E11" s="14">
        <v>976</v>
      </c>
      <c r="F11" s="14"/>
      <c r="G11" s="14"/>
      <c r="H11" s="16">
        <f t="shared" si="0"/>
        <v>1532</v>
      </c>
      <c r="I11" s="20">
        <f t="shared" ref="I11:I18" si="1">H11*25/1000</f>
        <v>38.299999999999997</v>
      </c>
    </row>
    <row r="12" spans="1:10" s="6" customFormat="1" ht="22.5" customHeight="1">
      <c r="A12" s="19">
        <v>552</v>
      </c>
      <c r="B12" s="14">
        <v>0</v>
      </c>
      <c r="C12" s="14">
        <v>0</v>
      </c>
      <c r="D12" s="15"/>
      <c r="E12" s="14"/>
      <c r="F12" s="14"/>
      <c r="G12" s="14"/>
      <c r="H12" s="16">
        <f t="shared" si="0"/>
        <v>0</v>
      </c>
      <c r="I12" s="20">
        <f t="shared" si="1"/>
        <v>0</v>
      </c>
    </row>
    <row r="13" spans="1:10" s="6" customFormat="1" ht="22.5" customHeight="1">
      <c r="A13" s="19" t="s">
        <v>25</v>
      </c>
      <c r="B13" s="14">
        <v>840</v>
      </c>
      <c r="C13" s="14">
        <v>0</v>
      </c>
      <c r="D13" s="15"/>
      <c r="E13" s="14"/>
      <c r="F13" s="14"/>
      <c r="G13" s="14"/>
      <c r="H13" s="16">
        <f t="shared" si="0"/>
        <v>840</v>
      </c>
      <c r="I13" s="20">
        <f t="shared" si="1"/>
        <v>21</v>
      </c>
    </row>
    <row r="14" spans="1:10" s="6" customFormat="1" ht="22.5" customHeight="1">
      <c r="A14" s="19" t="s">
        <v>26</v>
      </c>
      <c r="B14" s="14">
        <v>664</v>
      </c>
      <c r="C14" s="14">
        <v>664</v>
      </c>
      <c r="D14" s="15"/>
      <c r="E14" s="14"/>
      <c r="F14" s="14"/>
      <c r="G14" s="14"/>
      <c r="H14" s="16">
        <f t="shared" si="0"/>
        <v>1328</v>
      </c>
      <c r="I14" s="20">
        <f t="shared" si="1"/>
        <v>33.200000000000003</v>
      </c>
    </row>
    <row r="15" spans="1:10" s="6" customFormat="1" ht="22.5" customHeight="1">
      <c r="A15" s="19" t="s">
        <v>27</v>
      </c>
      <c r="B15" s="14">
        <v>0</v>
      </c>
      <c r="C15" s="14">
        <v>240</v>
      </c>
      <c r="D15" s="15"/>
      <c r="E15" s="14"/>
      <c r="F15" s="14"/>
      <c r="G15" s="14"/>
      <c r="H15" s="16">
        <f t="shared" si="0"/>
        <v>240</v>
      </c>
      <c r="I15" s="20">
        <f t="shared" si="1"/>
        <v>6</v>
      </c>
    </row>
    <row r="16" spans="1:10" s="6" customFormat="1" ht="22.5" customHeight="1">
      <c r="A16" s="19">
        <v>562</v>
      </c>
      <c r="B16" s="14">
        <v>0</v>
      </c>
      <c r="C16" s="14">
        <v>640</v>
      </c>
      <c r="D16" s="15"/>
      <c r="E16" s="14"/>
      <c r="F16" s="14"/>
      <c r="G16" s="14"/>
      <c r="H16" s="16">
        <f t="shared" si="0"/>
        <v>640</v>
      </c>
      <c r="I16" s="20">
        <f t="shared" si="1"/>
        <v>16</v>
      </c>
    </row>
    <row r="17" spans="1:11" s="6" customFormat="1" ht="22.5" customHeight="1">
      <c r="A17" s="19">
        <v>566</v>
      </c>
      <c r="B17" s="14">
        <v>0</v>
      </c>
      <c r="C17" s="14">
        <v>200</v>
      </c>
      <c r="D17" s="15"/>
      <c r="E17" s="14">
        <v>1200</v>
      </c>
      <c r="F17" s="14"/>
      <c r="G17" s="14"/>
      <c r="H17" s="16">
        <f t="shared" si="0"/>
        <v>1400</v>
      </c>
      <c r="I17" s="20">
        <f t="shared" si="1"/>
        <v>35</v>
      </c>
    </row>
    <row r="18" spans="1:11" s="6" customFormat="1" ht="22.5" customHeight="1">
      <c r="A18" s="19" t="s">
        <v>28</v>
      </c>
      <c r="B18" s="14">
        <v>0</v>
      </c>
      <c r="C18" s="14">
        <v>0</v>
      </c>
      <c r="D18" s="15">
        <v>1200</v>
      </c>
      <c r="E18" s="14"/>
      <c r="F18" s="14">
        <v>1200</v>
      </c>
      <c r="G18" s="14"/>
      <c r="H18" s="16">
        <f t="shared" si="0"/>
        <v>2400</v>
      </c>
      <c r="I18" s="20">
        <f t="shared" si="1"/>
        <v>60</v>
      </c>
    </row>
    <row r="19" spans="1:11" s="6" customFormat="1" ht="30.75" customHeight="1">
      <c r="A19" s="21" t="s">
        <v>29</v>
      </c>
      <c r="B19" s="22">
        <f>SUM(B8:B18)</f>
        <v>2840</v>
      </c>
      <c r="C19" s="22">
        <f t="shared" ref="C19:G19" si="2">SUM(C8:C18)</f>
        <v>1864</v>
      </c>
      <c r="D19" s="22">
        <f t="shared" si="2"/>
        <v>1200</v>
      </c>
      <c r="E19" s="22">
        <f t="shared" si="2"/>
        <v>2176</v>
      </c>
      <c r="F19" s="22">
        <f t="shared" si="2"/>
        <v>1200</v>
      </c>
      <c r="G19" s="22">
        <f t="shared" si="2"/>
        <v>0</v>
      </c>
      <c r="H19" s="22">
        <f>SUM(H8:H18)</f>
        <v>9280</v>
      </c>
      <c r="I19" s="23">
        <f>SUM(I8:I18)</f>
        <v>232</v>
      </c>
      <c r="J19" s="24"/>
      <c r="K19" s="24"/>
    </row>
    <row r="20" spans="1:11" ht="12" customHeight="1">
      <c r="A20" s="25"/>
      <c r="J20" s="26"/>
    </row>
    <row r="21" spans="1:11" ht="12.75" customHeight="1">
      <c r="A21" s="25"/>
      <c r="J21" s="26"/>
    </row>
    <row r="22" spans="1:11" s="29" customFormat="1" ht="45" customHeight="1">
      <c r="A22" s="27" t="s">
        <v>30</v>
      </c>
      <c r="B22" s="27" t="s">
        <v>31</v>
      </c>
      <c r="C22" s="27" t="s">
        <v>32</v>
      </c>
      <c r="D22" s="28" t="s">
        <v>33</v>
      </c>
      <c r="E22" s="27" t="s">
        <v>34</v>
      </c>
    </row>
    <row r="23" spans="1:11" s="34" customFormat="1" ht="28.5" customHeight="1">
      <c r="A23" s="73" t="s">
        <v>6</v>
      </c>
      <c r="B23" s="69">
        <v>46041</v>
      </c>
      <c r="C23" s="32">
        <v>551</v>
      </c>
      <c r="D23" s="33">
        <v>14000</v>
      </c>
      <c r="E23" s="30"/>
      <c r="F23" s="29"/>
    </row>
    <row r="24" spans="1:11" s="34" customFormat="1" ht="28.5" customHeight="1">
      <c r="A24" s="73"/>
      <c r="B24" s="69"/>
      <c r="C24" s="32" t="s">
        <v>27</v>
      </c>
      <c r="D24" s="33">
        <v>14000</v>
      </c>
      <c r="E24" s="30"/>
      <c r="F24" s="29"/>
    </row>
    <row r="25" spans="1:11" s="34" customFormat="1" ht="28.5" customHeight="1">
      <c r="A25" s="40" t="s">
        <v>7</v>
      </c>
      <c r="B25" s="31">
        <v>46042</v>
      </c>
      <c r="C25" s="32"/>
      <c r="D25" s="33"/>
      <c r="E25" s="30"/>
      <c r="F25" s="29"/>
    </row>
    <row r="26" spans="1:11" s="34" customFormat="1" ht="28.5" customHeight="1">
      <c r="A26" s="68" t="s">
        <v>8</v>
      </c>
      <c r="B26" s="69">
        <v>46043</v>
      </c>
      <c r="C26" s="32" t="s">
        <v>23</v>
      </c>
      <c r="D26" s="33">
        <v>14000</v>
      </c>
      <c r="E26" s="30"/>
      <c r="F26" s="29"/>
    </row>
    <row r="27" spans="1:11" s="34" customFormat="1" ht="28.5" customHeight="1">
      <c r="A27" s="68"/>
      <c r="B27" s="69"/>
      <c r="C27" s="32">
        <v>551</v>
      </c>
      <c r="D27" s="33">
        <v>14000</v>
      </c>
      <c r="E27" s="30"/>
      <c r="F27" s="29"/>
    </row>
    <row r="28" spans="1:11" s="34" customFormat="1" ht="28.5" customHeight="1">
      <c r="A28" s="68" t="s">
        <v>35</v>
      </c>
      <c r="B28" s="69">
        <v>46044</v>
      </c>
      <c r="C28" s="32" t="s">
        <v>23</v>
      </c>
      <c r="D28" s="33">
        <v>14000</v>
      </c>
      <c r="E28" s="30"/>
      <c r="F28" s="29"/>
    </row>
    <row r="29" spans="1:11" s="34" customFormat="1" ht="28.5" customHeight="1">
      <c r="A29" s="68"/>
      <c r="B29" s="69"/>
      <c r="C29" s="32" t="s">
        <v>26</v>
      </c>
      <c r="D29" s="33">
        <v>14000</v>
      </c>
      <c r="E29" s="30"/>
      <c r="F29" s="29"/>
    </row>
    <row r="30" spans="1:11" s="34" customFormat="1" ht="28.5" customHeight="1">
      <c r="A30" s="40" t="s">
        <v>10</v>
      </c>
      <c r="B30" s="31">
        <v>46045</v>
      </c>
      <c r="C30" s="32"/>
      <c r="D30" s="33"/>
      <c r="E30" s="30"/>
      <c r="F30" s="29"/>
    </row>
    <row r="31" spans="1:11" s="34" customFormat="1" ht="28.5" customHeight="1">
      <c r="A31" s="66" t="s">
        <v>11</v>
      </c>
      <c r="B31" s="60">
        <v>46046</v>
      </c>
      <c r="C31" s="32" t="s">
        <v>23</v>
      </c>
      <c r="D31" s="33">
        <v>14000</v>
      </c>
      <c r="E31" s="30"/>
      <c r="F31" s="29"/>
    </row>
    <row r="32" spans="1:11" s="34" customFormat="1" ht="28.5" customHeight="1">
      <c r="A32" s="67"/>
      <c r="B32" s="61"/>
      <c r="C32" s="32" t="s">
        <v>24</v>
      </c>
      <c r="D32" s="33">
        <v>14000</v>
      </c>
      <c r="E32" s="30"/>
      <c r="F32" s="29"/>
    </row>
    <row r="33" spans="4:4">
      <c r="D33" s="39">
        <f>SUM(D23:D32)</f>
        <v>112000</v>
      </c>
    </row>
  </sheetData>
  <mergeCells count="14">
    <mergeCell ref="A31:A32"/>
    <mergeCell ref="B31:B32"/>
    <mergeCell ref="A23:A24"/>
    <mergeCell ref="B23:B24"/>
    <mergeCell ref="A26:A27"/>
    <mergeCell ref="B26:B27"/>
    <mergeCell ref="A28:A29"/>
    <mergeCell ref="B28:B29"/>
    <mergeCell ref="H6:I6"/>
    <mergeCell ref="A1:E1"/>
    <mergeCell ref="A2:E2"/>
    <mergeCell ref="A3:E3"/>
    <mergeCell ref="A4:I4"/>
    <mergeCell ref="A5:I5"/>
  </mergeCells>
  <pageMargins left="0.7" right="0.7" top="0.75" bottom="0.75" header="0.3" footer="0.3"/>
  <pageSetup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C737BD-2477-4BA8-9666-9766A5183B3A}">
  <sheetPr>
    <tabColor rgb="FFFFFF00"/>
  </sheetPr>
  <dimension ref="A1:K33"/>
  <sheetViews>
    <sheetView topLeftCell="A5" zoomScaleNormal="100" workbookViewId="0">
      <selection activeCell="B9" sqref="B9"/>
    </sheetView>
  </sheetViews>
  <sheetFormatPr defaultColWidth="9.125" defaultRowHeight="15"/>
  <cols>
    <col min="1" max="1" width="16.375" style="3" customWidth="1"/>
    <col min="2" max="2" width="15.75" style="3" bestFit="1" customWidth="1"/>
    <col min="3" max="7" width="14.625" style="3" customWidth="1"/>
    <col min="8" max="8" width="13.625" style="3" customWidth="1"/>
    <col min="9" max="9" width="16.75" style="3" customWidth="1"/>
    <col min="10" max="10" width="16.625" style="3" customWidth="1"/>
    <col min="11" max="11" width="12" style="3" customWidth="1"/>
    <col min="12" max="12" width="14.875" style="3" customWidth="1"/>
    <col min="13" max="13" width="11.875" style="3" customWidth="1"/>
    <col min="14" max="14" width="12.875" style="3" bestFit="1" customWidth="1"/>
    <col min="15" max="15" width="11.75" style="3" customWidth="1"/>
    <col min="16" max="16384" width="9.125" style="3"/>
  </cols>
  <sheetData>
    <row r="1" spans="1:10" ht="15.75">
      <c r="A1" s="62" t="s">
        <v>0</v>
      </c>
      <c r="B1" s="62"/>
      <c r="C1" s="62"/>
      <c r="D1" s="62"/>
      <c r="E1" s="62"/>
      <c r="F1" s="1"/>
      <c r="G1" s="1"/>
      <c r="H1" s="2"/>
      <c r="I1" s="2"/>
      <c r="J1" s="2"/>
    </row>
    <row r="2" spans="1:10" ht="15.75">
      <c r="A2" s="62" t="s">
        <v>1</v>
      </c>
      <c r="B2" s="62"/>
      <c r="C2" s="62"/>
      <c r="D2" s="62"/>
      <c r="E2" s="62"/>
      <c r="F2" s="1"/>
      <c r="G2" s="1"/>
      <c r="H2" s="2"/>
      <c r="I2" s="2"/>
      <c r="J2" s="2"/>
    </row>
    <row r="3" spans="1:10" ht="15.75">
      <c r="A3" s="62" t="s">
        <v>2</v>
      </c>
      <c r="B3" s="62"/>
      <c r="C3" s="62"/>
      <c r="D3" s="62"/>
      <c r="E3" s="62"/>
      <c r="F3" s="1"/>
      <c r="G3" s="1"/>
      <c r="H3" s="2"/>
      <c r="I3" s="2"/>
      <c r="J3" s="2"/>
    </row>
    <row r="4" spans="1:10" ht="27.75" customHeight="1">
      <c r="A4" s="63" t="s">
        <v>3</v>
      </c>
      <c r="B4" s="63"/>
      <c r="C4" s="63"/>
      <c r="D4" s="63"/>
      <c r="E4" s="63"/>
      <c r="F4" s="63"/>
      <c r="G4" s="63"/>
      <c r="H4" s="63"/>
      <c r="I4" s="63"/>
      <c r="J4" s="4"/>
    </row>
    <row r="5" spans="1:10" s="6" customFormat="1" ht="23.25" customHeight="1">
      <c r="A5" s="64" t="s">
        <v>41</v>
      </c>
      <c r="B5" s="64"/>
      <c r="C5" s="64"/>
      <c r="D5" s="64"/>
      <c r="E5" s="64"/>
      <c r="F5" s="64"/>
      <c r="G5" s="64"/>
      <c r="H5" s="64"/>
      <c r="I5" s="64"/>
      <c r="J5" s="5"/>
    </row>
    <row r="6" spans="1:10" ht="55.5" customHeight="1">
      <c r="A6" s="7" t="s">
        <v>5</v>
      </c>
      <c r="B6" s="8" t="s">
        <v>6</v>
      </c>
      <c r="C6" s="8" t="s">
        <v>7</v>
      </c>
      <c r="D6" s="8" t="s">
        <v>8</v>
      </c>
      <c r="E6" s="8" t="s">
        <v>9</v>
      </c>
      <c r="F6" s="8" t="s">
        <v>10</v>
      </c>
      <c r="G6" s="8" t="s">
        <v>11</v>
      </c>
      <c r="H6" s="65" t="s">
        <v>12</v>
      </c>
      <c r="I6" s="65"/>
      <c r="J6" s="10"/>
    </row>
    <row r="7" spans="1:10" ht="31.5" customHeight="1">
      <c r="A7" s="11" t="s">
        <v>13</v>
      </c>
      <c r="B7" s="12">
        <v>46357</v>
      </c>
      <c r="C7" s="12" t="s">
        <v>42</v>
      </c>
      <c r="D7" s="12" t="s">
        <v>43</v>
      </c>
      <c r="E7" s="12" t="s">
        <v>44</v>
      </c>
      <c r="F7" s="12" t="s">
        <v>45</v>
      </c>
      <c r="G7" s="12" t="s">
        <v>46</v>
      </c>
      <c r="H7" s="9" t="s">
        <v>20</v>
      </c>
      <c r="I7" s="9" t="s">
        <v>21</v>
      </c>
    </row>
    <row r="8" spans="1:10" s="6" customFormat="1" ht="22.5" customHeight="1">
      <c r="A8" s="13" t="s">
        <v>22</v>
      </c>
      <c r="B8" s="14">
        <v>0</v>
      </c>
      <c r="C8" s="14">
        <v>0</v>
      </c>
      <c r="D8" s="15">
        <v>0</v>
      </c>
      <c r="E8" s="14"/>
      <c r="F8" s="14"/>
      <c r="G8" s="14"/>
      <c r="H8" s="16">
        <f t="shared" ref="H8:H18" si="0">SUM(B8:G8)</f>
        <v>0</v>
      </c>
      <c r="I8" s="17">
        <f>H8*10/1000</f>
        <v>0</v>
      </c>
    </row>
    <row r="9" spans="1:10" s="6" customFormat="1" ht="22.5" customHeight="1">
      <c r="A9" s="18" t="s">
        <v>23</v>
      </c>
      <c r="B9" s="14">
        <v>180</v>
      </c>
      <c r="C9" s="14">
        <v>0</v>
      </c>
      <c r="D9" s="15">
        <v>0</v>
      </c>
      <c r="E9" s="14"/>
      <c r="F9" s="14"/>
      <c r="G9" s="14"/>
      <c r="H9" s="16">
        <f t="shared" si="0"/>
        <v>180</v>
      </c>
      <c r="I9" s="17">
        <f>H9*25/1000</f>
        <v>4.5</v>
      </c>
    </row>
    <row r="10" spans="1:10" s="6" customFormat="1" ht="22.5" customHeight="1">
      <c r="A10" s="19">
        <v>551</v>
      </c>
      <c r="B10" s="14">
        <v>0</v>
      </c>
      <c r="C10" s="14">
        <v>0</v>
      </c>
      <c r="D10" s="15">
        <v>240</v>
      </c>
      <c r="E10" s="14"/>
      <c r="F10" s="14"/>
      <c r="G10" s="14"/>
      <c r="H10" s="16">
        <f t="shared" si="0"/>
        <v>240</v>
      </c>
      <c r="I10" s="20">
        <f>H10*25/1000</f>
        <v>6</v>
      </c>
    </row>
    <row r="11" spans="1:10" s="6" customFormat="1" ht="22.5" customHeight="1">
      <c r="A11" s="19" t="s">
        <v>24</v>
      </c>
      <c r="B11" s="14">
        <v>0</v>
      </c>
      <c r="C11" s="14">
        <v>0</v>
      </c>
      <c r="D11" s="15">
        <v>0</v>
      </c>
      <c r="E11" s="14"/>
      <c r="F11" s="14"/>
      <c r="G11" s="14"/>
      <c r="H11" s="16">
        <f t="shared" si="0"/>
        <v>0</v>
      </c>
      <c r="I11" s="20">
        <f t="shared" ref="I11:I18" si="1">H11*25/1000</f>
        <v>0</v>
      </c>
    </row>
    <row r="12" spans="1:10" s="6" customFormat="1" ht="22.5" customHeight="1">
      <c r="A12" s="19">
        <v>552</v>
      </c>
      <c r="B12" s="14">
        <v>0</v>
      </c>
      <c r="C12" s="14">
        <v>0</v>
      </c>
      <c r="D12" s="15">
        <v>0</v>
      </c>
      <c r="E12" s="14">
        <v>176</v>
      </c>
      <c r="F12" s="14"/>
      <c r="G12" s="14"/>
      <c r="H12" s="16">
        <f t="shared" si="0"/>
        <v>176</v>
      </c>
      <c r="I12" s="20">
        <f t="shared" si="1"/>
        <v>4.4000000000000004</v>
      </c>
    </row>
    <row r="13" spans="1:10" s="6" customFormat="1" ht="22.5" customHeight="1">
      <c r="A13" s="19" t="s">
        <v>25</v>
      </c>
      <c r="B13" s="14">
        <v>0</v>
      </c>
      <c r="C13" s="14">
        <v>1080</v>
      </c>
      <c r="D13" s="15">
        <v>0</v>
      </c>
      <c r="E13" s="14"/>
      <c r="F13" s="14"/>
      <c r="G13" s="14"/>
      <c r="H13" s="16">
        <f t="shared" si="0"/>
        <v>1080</v>
      </c>
      <c r="I13" s="20">
        <f t="shared" si="1"/>
        <v>27</v>
      </c>
    </row>
    <row r="14" spans="1:10" s="6" customFormat="1" ht="22.5" customHeight="1">
      <c r="A14" s="19" t="s">
        <v>26</v>
      </c>
      <c r="B14" s="14">
        <v>664</v>
      </c>
      <c r="C14" s="14">
        <v>664</v>
      </c>
      <c r="D14" s="15">
        <v>0</v>
      </c>
      <c r="E14" s="14">
        <v>800</v>
      </c>
      <c r="F14" s="14"/>
      <c r="G14" s="14"/>
      <c r="H14" s="16">
        <f t="shared" si="0"/>
        <v>2128</v>
      </c>
      <c r="I14" s="20">
        <f t="shared" si="1"/>
        <v>53.2</v>
      </c>
    </row>
    <row r="15" spans="1:10" s="6" customFormat="1" ht="22.5" customHeight="1">
      <c r="A15" s="19" t="s">
        <v>27</v>
      </c>
      <c r="B15" s="14">
        <v>180</v>
      </c>
      <c r="C15" s="14">
        <v>0</v>
      </c>
      <c r="D15" s="15">
        <v>0</v>
      </c>
      <c r="E15" s="14"/>
      <c r="F15" s="14"/>
      <c r="G15" s="14"/>
      <c r="H15" s="16">
        <f t="shared" si="0"/>
        <v>180</v>
      </c>
      <c r="I15" s="20">
        <f t="shared" si="1"/>
        <v>4.5</v>
      </c>
    </row>
    <row r="16" spans="1:10" s="6" customFormat="1" ht="22.5" customHeight="1">
      <c r="A16" s="19">
        <v>562</v>
      </c>
      <c r="B16" s="14">
        <v>0</v>
      </c>
      <c r="C16" s="14">
        <v>0</v>
      </c>
      <c r="D16" s="15">
        <v>960</v>
      </c>
      <c r="E16" s="14"/>
      <c r="F16" s="14"/>
      <c r="G16" s="14"/>
      <c r="H16" s="16">
        <f t="shared" si="0"/>
        <v>960</v>
      </c>
      <c r="I16" s="20">
        <f t="shared" si="1"/>
        <v>24</v>
      </c>
    </row>
    <row r="17" spans="1:11" s="6" customFormat="1" ht="22.5" customHeight="1">
      <c r="A17" s="19">
        <v>566</v>
      </c>
      <c r="B17" s="14">
        <v>0</v>
      </c>
      <c r="C17" s="14">
        <v>0</v>
      </c>
      <c r="D17" s="15">
        <v>0</v>
      </c>
      <c r="E17" s="14">
        <v>1200</v>
      </c>
      <c r="F17" s="14"/>
      <c r="G17" s="14"/>
      <c r="H17" s="16">
        <f t="shared" si="0"/>
        <v>1200</v>
      </c>
      <c r="I17" s="20">
        <f t="shared" si="1"/>
        <v>30</v>
      </c>
    </row>
    <row r="18" spans="1:11" s="6" customFormat="1" ht="22.5" customHeight="1">
      <c r="A18" s="19" t="s">
        <v>28</v>
      </c>
      <c r="B18" s="14">
        <v>840</v>
      </c>
      <c r="C18" s="14">
        <v>120</v>
      </c>
      <c r="D18" s="15">
        <v>0</v>
      </c>
      <c r="E18" s="14"/>
      <c r="F18" s="14">
        <v>1200</v>
      </c>
      <c r="G18" s="14"/>
      <c r="H18" s="16">
        <f t="shared" si="0"/>
        <v>2160</v>
      </c>
      <c r="I18" s="20">
        <f t="shared" si="1"/>
        <v>54</v>
      </c>
    </row>
    <row r="19" spans="1:11" s="6" customFormat="1" ht="30.75" customHeight="1">
      <c r="A19" s="21" t="s">
        <v>29</v>
      </c>
      <c r="B19" s="22">
        <f>SUM(B8:B18)</f>
        <v>1864</v>
      </c>
      <c r="C19" s="22">
        <f t="shared" ref="C19:G19" si="2">SUM(C8:C18)</f>
        <v>1864</v>
      </c>
      <c r="D19" s="22">
        <f t="shared" si="2"/>
        <v>1200</v>
      </c>
      <c r="E19" s="22">
        <f t="shared" si="2"/>
        <v>2176</v>
      </c>
      <c r="F19" s="22">
        <f t="shared" si="2"/>
        <v>1200</v>
      </c>
      <c r="G19" s="22">
        <f t="shared" si="2"/>
        <v>0</v>
      </c>
      <c r="H19" s="22">
        <f>SUM(H8:H18)</f>
        <v>8304</v>
      </c>
      <c r="I19" s="23">
        <f>SUM(I8:I18)</f>
        <v>207.6</v>
      </c>
      <c r="J19" s="24"/>
      <c r="K19" s="24"/>
    </row>
    <row r="20" spans="1:11" ht="12" customHeight="1">
      <c r="A20" s="25"/>
      <c r="J20" s="26"/>
    </row>
    <row r="21" spans="1:11" ht="12.75" customHeight="1">
      <c r="A21" s="25"/>
      <c r="J21" s="26"/>
    </row>
    <row r="22" spans="1:11" s="29" customFormat="1" ht="45" customHeight="1">
      <c r="A22" s="27" t="s">
        <v>30</v>
      </c>
      <c r="B22" s="27" t="s">
        <v>31</v>
      </c>
      <c r="C22" s="27" t="s">
        <v>32</v>
      </c>
      <c r="D22" s="28" t="s">
        <v>33</v>
      </c>
      <c r="E22" s="27" t="s">
        <v>34</v>
      </c>
    </row>
    <row r="23" spans="1:11" s="34" customFormat="1" ht="28.5" customHeight="1">
      <c r="A23" s="73" t="s">
        <v>6</v>
      </c>
      <c r="B23" s="69">
        <v>46034</v>
      </c>
      <c r="C23" s="32" t="s">
        <v>23</v>
      </c>
      <c r="D23" s="33">
        <v>14000</v>
      </c>
      <c r="E23" s="30"/>
      <c r="F23" s="29"/>
    </row>
    <row r="24" spans="1:11" s="34" customFormat="1" ht="28.5" customHeight="1">
      <c r="A24" s="73"/>
      <c r="B24" s="69"/>
      <c r="C24" s="32">
        <v>566</v>
      </c>
      <c r="D24" s="33">
        <v>14000</v>
      </c>
      <c r="E24" s="30"/>
      <c r="F24" s="29"/>
    </row>
    <row r="25" spans="1:11" s="34" customFormat="1" ht="28.5" customHeight="1">
      <c r="A25" s="40" t="s">
        <v>7</v>
      </c>
      <c r="B25" s="31">
        <v>46035</v>
      </c>
      <c r="C25" s="32"/>
      <c r="D25" s="33"/>
      <c r="E25" s="30"/>
      <c r="F25" s="29"/>
    </row>
    <row r="26" spans="1:11" s="34" customFormat="1" ht="28.5" customHeight="1">
      <c r="A26" s="68" t="s">
        <v>8</v>
      </c>
      <c r="B26" s="69">
        <v>46036</v>
      </c>
      <c r="C26" s="32" t="s">
        <v>25</v>
      </c>
      <c r="D26" s="33">
        <v>14000</v>
      </c>
      <c r="E26" s="30"/>
      <c r="F26" s="29"/>
    </row>
    <row r="27" spans="1:11" s="34" customFormat="1" ht="28.5" customHeight="1">
      <c r="A27" s="68"/>
      <c r="B27" s="69"/>
      <c r="C27" s="32" t="s">
        <v>27</v>
      </c>
      <c r="D27" s="33">
        <v>14000</v>
      </c>
      <c r="E27" s="30"/>
      <c r="F27" s="29"/>
    </row>
    <row r="28" spans="1:11" s="34" customFormat="1" ht="28.5" customHeight="1">
      <c r="A28" s="68" t="s">
        <v>35</v>
      </c>
      <c r="B28" s="69">
        <v>46037</v>
      </c>
      <c r="C28" s="32" t="s">
        <v>23</v>
      </c>
      <c r="D28" s="33">
        <v>21000</v>
      </c>
      <c r="E28" s="30"/>
      <c r="F28" s="29"/>
    </row>
    <row r="29" spans="1:11" s="34" customFormat="1" ht="28.5" customHeight="1">
      <c r="A29" s="68"/>
      <c r="B29" s="69"/>
      <c r="C29" s="32">
        <v>552</v>
      </c>
      <c r="D29" s="33">
        <v>7000</v>
      </c>
      <c r="E29" s="30"/>
      <c r="F29" s="29"/>
    </row>
    <row r="30" spans="1:11" s="34" customFormat="1" ht="28.5" customHeight="1">
      <c r="A30" s="68" t="s">
        <v>10</v>
      </c>
      <c r="B30" s="69">
        <v>46038</v>
      </c>
      <c r="C30" s="32" t="s">
        <v>23</v>
      </c>
      <c r="D30" s="33">
        <v>14000</v>
      </c>
      <c r="E30" s="30"/>
      <c r="F30" s="29"/>
    </row>
    <row r="31" spans="1:11" s="34" customFormat="1" ht="28.5" customHeight="1">
      <c r="A31" s="68"/>
      <c r="B31" s="69"/>
      <c r="C31" s="32">
        <v>551</v>
      </c>
      <c r="D31" s="33">
        <v>14000</v>
      </c>
      <c r="E31" s="30"/>
      <c r="F31" s="29"/>
    </row>
    <row r="32" spans="1:11" s="34" customFormat="1" ht="28.5" customHeight="1">
      <c r="A32" s="30" t="s">
        <v>11</v>
      </c>
      <c r="B32" s="31">
        <v>46039</v>
      </c>
      <c r="C32" s="32"/>
      <c r="D32" s="33"/>
      <c r="E32" s="30"/>
      <c r="F32" s="29"/>
    </row>
    <row r="33" spans="4:4">
      <c r="D33" s="39">
        <f>SUM(D23:D32)</f>
        <v>112000</v>
      </c>
    </row>
  </sheetData>
  <mergeCells count="14">
    <mergeCell ref="H6:I6"/>
    <mergeCell ref="A1:E1"/>
    <mergeCell ref="A2:E2"/>
    <mergeCell ref="A3:E3"/>
    <mergeCell ref="A4:I4"/>
    <mergeCell ref="A5:I5"/>
    <mergeCell ref="A28:A29"/>
    <mergeCell ref="B28:B29"/>
    <mergeCell ref="A30:A31"/>
    <mergeCell ref="B30:B31"/>
    <mergeCell ref="A23:A24"/>
    <mergeCell ref="B23:B24"/>
    <mergeCell ref="A26:A27"/>
    <mergeCell ref="B26:B27"/>
  </mergeCells>
  <pageMargins left="0.7" right="0.7" top="0.75" bottom="0.75" header="0.3" footer="0.3"/>
  <pageSetup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F1C749-3F89-4AD8-A3D9-B4241B989591}">
  <sheetPr>
    <tabColor rgb="FFFFFF00"/>
  </sheetPr>
  <dimension ref="A1:K34"/>
  <sheetViews>
    <sheetView topLeftCell="A4" zoomScaleNormal="100" workbookViewId="0">
      <selection activeCell="A5" sqref="A5:I5"/>
    </sheetView>
  </sheetViews>
  <sheetFormatPr defaultColWidth="9.125" defaultRowHeight="15"/>
  <cols>
    <col min="1" max="1" width="16.375" style="3" customWidth="1"/>
    <col min="2" max="2" width="15.75" style="3" bestFit="1" customWidth="1"/>
    <col min="3" max="7" width="14.625" style="3" customWidth="1"/>
    <col min="8" max="8" width="13.625" style="3" customWidth="1"/>
    <col min="9" max="9" width="16.75" style="3" customWidth="1"/>
    <col min="10" max="10" width="16.625" style="3" customWidth="1"/>
    <col min="11" max="11" width="12" style="3" customWidth="1"/>
    <col min="12" max="12" width="14.875" style="3" customWidth="1"/>
    <col min="13" max="13" width="11.875" style="3" customWidth="1"/>
    <col min="14" max="14" width="12.875" style="3" bestFit="1" customWidth="1"/>
    <col min="15" max="15" width="11.75" style="3" customWidth="1"/>
    <col min="16" max="16384" width="9.125" style="3"/>
  </cols>
  <sheetData>
    <row r="1" spans="1:10" ht="15.75">
      <c r="A1" s="62" t="s">
        <v>0</v>
      </c>
      <c r="B1" s="62"/>
      <c r="C1" s="62"/>
      <c r="D1" s="62"/>
      <c r="E1" s="62"/>
      <c r="F1" s="1"/>
      <c r="G1" s="1"/>
      <c r="H1" s="2"/>
      <c r="I1" s="2"/>
      <c r="J1" s="2"/>
    </row>
    <row r="2" spans="1:10" ht="15.75">
      <c r="A2" s="62" t="s">
        <v>1</v>
      </c>
      <c r="B2" s="62"/>
      <c r="C2" s="62"/>
      <c r="D2" s="62"/>
      <c r="E2" s="62"/>
      <c r="F2" s="1"/>
      <c r="G2" s="1"/>
      <c r="H2" s="2"/>
      <c r="I2" s="2"/>
      <c r="J2" s="2"/>
    </row>
    <row r="3" spans="1:10" ht="15.75">
      <c r="A3" s="62" t="s">
        <v>2</v>
      </c>
      <c r="B3" s="62"/>
      <c r="C3" s="62"/>
      <c r="D3" s="62"/>
      <c r="E3" s="62"/>
      <c r="F3" s="1"/>
      <c r="G3" s="1"/>
      <c r="H3" s="2"/>
      <c r="I3" s="2"/>
      <c r="J3" s="2"/>
    </row>
    <row r="4" spans="1:10" ht="27.75" customHeight="1">
      <c r="A4" s="63" t="s">
        <v>3</v>
      </c>
      <c r="B4" s="63"/>
      <c r="C4" s="63"/>
      <c r="D4" s="63"/>
      <c r="E4" s="63"/>
      <c r="F4" s="63"/>
      <c r="G4" s="63"/>
      <c r="H4" s="63"/>
      <c r="I4" s="63"/>
      <c r="J4" s="4"/>
    </row>
    <row r="5" spans="1:10" s="6" customFormat="1" ht="23.25" customHeight="1">
      <c r="A5" s="64" t="s">
        <v>40</v>
      </c>
      <c r="B5" s="64"/>
      <c r="C5" s="64"/>
      <c r="D5" s="64"/>
      <c r="E5" s="64"/>
      <c r="F5" s="64"/>
      <c r="G5" s="64"/>
      <c r="H5" s="64"/>
      <c r="I5" s="64"/>
      <c r="J5" s="5"/>
    </row>
    <row r="6" spans="1:10" ht="55.5" customHeight="1">
      <c r="A6" s="7" t="s">
        <v>5</v>
      </c>
      <c r="B6" s="8" t="s">
        <v>6</v>
      </c>
      <c r="C6" s="8" t="s">
        <v>7</v>
      </c>
      <c r="D6" s="8" t="s">
        <v>8</v>
      </c>
      <c r="E6" s="8" t="s">
        <v>9</v>
      </c>
      <c r="F6" s="8" t="s">
        <v>10</v>
      </c>
      <c r="G6" s="8" t="s">
        <v>11</v>
      </c>
      <c r="H6" s="65" t="s">
        <v>12</v>
      </c>
      <c r="I6" s="65"/>
      <c r="J6" s="10"/>
    </row>
    <row r="7" spans="1:10" ht="31.5" customHeight="1">
      <c r="A7" s="11" t="s">
        <v>13</v>
      </c>
      <c r="B7" s="12">
        <v>46143</v>
      </c>
      <c r="C7" s="12">
        <v>46174</v>
      </c>
      <c r="D7" s="12">
        <v>46204</v>
      </c>
      <c r="E7" s="12">
        <v>46235</v>
      </c>
      <c r="F7" s="12">
        <v>46266</v>
      </c>
      <c r="G7" s="12">
        <v>46296</v>
      </c>
      <c r="H7" s="9" t="s">
        <v>20</v>
      </c>
      <c r="I7" s="9" t="s">
        <v>21</v>
      </c>
    </row>
    <row r="8" spans="1:10" s="6" customFormat="1" ht="22.5" customHeight="1">
      <c r="A8" s="13" t="s">
        <v>22</v>
      </c>
      <c r="B8" s="14"/>
      <c r="C8" s="14"/>
      <c r="D8" s="15"/>
      <c r="E8" s="14"/>
      <c r="F8" s="14"/>
      <c r="G8" s="14"/>
      <c r="H8" s="16">
        <f t="shared" ref="H8:H18" si="0">SUM(B8:G8)</f>
        <v>0</v>
      </c>
      <c r="I8" s="17">
        <f>H8*10/1000</f>
        <v>0</v>
      </c>
    </row>
    <row r="9" spans="1:10" s="6" customFormat="1" ht="22.5" customHeight="1">
      <c r="A9" s="18" t="s">
        <v>23</v>
      </c>
      <c r="B9" s="14">
        <v>140</v>
      </c>
      <c r="C9" s="14"/>
      <c r="D9" s="15"/>
      <c r="E9" s="14"/>
      <c r="F9" s="14"/>
      <c r="G9" s="14"/>
      <c r="H9" s="16">
        <f t="shared" si="0"/>
        <v>140</v>
      </c>
      <c r="I9" s="17">
        <f>H9*25/1000</f>
        <v>3.5</v>
      </c>
    </row>
    <row r="10" spans="1:10" s="6" customFormat="1" ht="22.5" customHeight="1">
      <c r="A10" s="19">
        <v>551</v>
      </c>
      <c r="B10" s="14">
        <v>200</v>
      </c>
      <c r="C10" s="14"/>
      <c r="D10" s="15"/>
      <c r="E10" s="14"/>
      <c r="F10" s="14"/>
      <c r="G10" s="14"/>
      <c r="H10" s="16">
        <f t="shared" si="0"/>
        <v>200</v>
      </c>
      <c r="I10" s="20">
        <f>H10*25/1000</f>
        <v>5</v>
      </c>
    </row>
    <row r="11" spans="1:10" s="6" customFormat="1" ht="22.5" customHeight="1">
      <c r="A11" s="19" t="s">
        <v>24</v>
      </c>
      <c r="B11" s="14">
        <v>380</v>
      </c>
      <c r="C11" s="14"/>
      <c r="D11" s="15"/>
      <c r="E11" s="14"/>
      <c r="F11" s="14"/>
      <c r="G11" s="14"/>
      <c r="H11" s="16">
        <f t="shared" si="0"/>
        <v>380</v>
      </c>
      <c r="I11" s="20">
        <f t="shared" ref="I11:I18" si="1">H11*25/1000</f>
        <v>9.5</v>
      </c>
    </row>
    <row r="12" spans="1:10" s="6" customFormat="1" ht="22.5" customHeight="1">
      <c r="A12" s="19">
        <v>552</v>
      </c>
      <c r="B12" s="14"/>
      <c r="C12" s="14">
        <v>976</v>
      </c>
      <c r="D12" s="15"/>
      <c r="E12" s="14"/>
      <c r="F12" s="14"/>
      <c r="G12" s="14"/>
      <c r="H12" s="16">
        <f t="shared" si="0"/>
        <v>976</v>
      </c>
      <c r="I12" s="20">
        <f t="shared" si="1"/>
        <v>24.4</v>
      </c>
    </row>
    <row r="13" spans="1:10" s="6" customFormat="1" ht="22.5" customHeight="1">
      <c r="A13" s="19" t="s">
        <v>25</v>
      </c>
      <c r="B13" s="14"/>
      <c r="C13" s="14"/>
      <c r="D13" s="15">
        <v>780</v>
      </c>
      <c r="E13" s="14"/>
      <c r="F13" s="14"/>
      <c r="G13" s="14"/>
      <c r="H13" s="16">
        <f t="shared" si="0"/>
        <v>780</v>
      </c>
      <c r="I13" s="20">
        <f t="shared" si="1"/>
        <v>19.5</v>
      </c>
    </row>
    <row r="14" spans="1:10" s="6" customFormat="1" ht="22.5" customHeight="1">
      <c r="A14" s="19" t="s">
        <v>26</v>
      </c>
      <c r="B14" s="14">
        <v>664</v>
      </c>
      <c r="C14" s="14">
        <v>664</v>
      </c>
      <c r="D14" s="15">
        <v>664</v>
      </c>
      <c r="E14" s="14">
        <v>1640</v>
      </c>
      <c r="F14" s="14"/>
      <c r="G14" s="14">
        <v>976</v>
      </c>
      <c r="H14" s="16">
        <f t="shared" si="0"/>
        <v>4608</v>
      </c>
      <c r="I14" s="20">
        <f t="shared" si="1"/>
        <v>115.2</v>
      </c>
    </row>
    <row r="15" spans="1:10" s="6" customFormat="1" ht="22.5" customHeight="1">
      <c r="A15" s="19" t="s">
        <v>27</v>
      </c>
      <c r="B15" s="14"/>
      <c r="C15" s="14"/>
      <c r="D15" s="15">
        <v>180</v>
      </c>
      <c r="E15" s="14"/>
      <c r="F15" s="14"/>
      <c r="G15" s="14"/>
      <c r="H15" s="16">
        <f t="shared" si="0"/>
        <v>180</v>
      </c>
      <c r="I15" s="20">
        <f t="shared" si="1"/>
        <v>4.5</v>
      </c>
    </row>
    <row r="16" spans="1:10" s="6" customFormat="1" ht="22.5" customHeight="1">
      <c r="A16" s="19">
        <v>562</v>
      </c>
      <c r="B16" s="14"/>
      <c r="C16" s="14">
        <v>1040</v>
      </c>
      <c r="D16" s="15">
        <v>240</v>
      </c>
      <c r="E16" s="14"/>
      <c r="F16" s="14"/>
      <c r="G16" s="14"/>
      <c r="H16" s="16">
        <f t="shared" si="0"/>
        <v>1280</v>
      </c>
      <c r="I16" s="20">
        <f t="shared" si="1"/>
        <v>32</v>
      </c>
    </row>
    <row r="17" spans="1:11" s="6" customFormat="1" ht="22.5" customHeight="1">
      <c r="A17" s="19">
        <v>566</v>
      </c>
      <c r="B17" s="14"/>
      <c r="C17" s="14"/>
      <c r="D17" s="15"/>
      <c r="E17" s="14">
        <v>1200</v>
      </c>
      <c r="F17" s="14"/>
      <c r="G17" s="14"/>
      <c r="H17" s="16">
        <f t="shared" si="0"/>
        <v>1200</v>
      </c>
      <c r="I17" s="20">
        <f t="shared" si="1"/>
        <v>30</v>
      </c>
    </row>
    <row r="18" spans="1:11" s="6" customFormat="1" ht="22.5" customHeight="1">
      <c r="A18" s="19" t="s">
        <v>28</v>
      </c>
      <c r="B18" s="14">
        <v>480</v>
      </c>
      <c r="C18" s="14">
        <v>160</v>
      </c>
      <c r="D18" s="15"/>
      <c r="E18" s="14"/>
      <c r="F18" s="14">
        <v>1200</v>
      </c>
      <c r="G18" s="14"/>
      <c r="H18" s="16">
        <f t="shared" si="0"/>
        <v>1840</v>
      </c>
      <c r="I18" s="20">
        <f t="shared" si="1"/>
        <v>46</v>
      </c>
    </row>
    <row r="19" spans="1:11" s="6" customFormat="1" ht="30.75" customHeight="1">
      <c r="A19" s="21" t="s">
        <v>29</v>
      </c>
      <c r="B19" s="22">
        <f>SUM(B8:B18)</f>
        <v>1864</v>
      </c>
      <c r="C19" s="22">
        <f t="shared" ref="C19:G19" si="2">SUM(C8:C18)</f>
        <v>2840</v>
      </c>
      <c r="D19" s="22">
        <f t="shared" si="2"/>
        <v>1864</v>
      </c>
      <c r="E19" s="22">
        <f t="shared" si="2"/>
        <v>2840</v>
      </c>
      <c r="F19" s="22">
        <f t="shared" si="2"/>
        <v>1200</v>
      </c>
      <c r="G19" s="22">
        <f t="shared" si="2"/>
        <v>976</v>
      </c>
      <c r="H19" s="22">
        <f>SUM(H8:H18)</f>
        <v>11584</v>
      </c>
      <c r="I19" s="23">
        <f>SUM(I8:I18)</f>
        <v>289.60000000000002</v>
      </c>
      <c r="J19" s="24"/>
      <c r="K19" s="24"/>
    </row>
    <row r="20" spans="1:11" ht="12" customHeight="1">
      <c r="A20" s="25"/>
      <c r="J20" s="26"/>
    </row>
    <row r="21" spans="1:11" ht="12.75" customHeight="1">
      <c r="A21" s="25"/>
      <c r="J21" s="26"/>
    </row>
    <row r="22" spans="1:11" s="29" customFormat="1" ht="45" customHeight="1">
      <c r="A22" s="27" t="s">
        <v>30</v>
      </c>
      <c r="B22" s="27" t="s">
        <v>31</v>
      </c>
      <c r="C22" s="27" t="s">
        <v>32</v>
      </c>
      <c r="D22" s="28" t="s">
        <v>33</v>
      </c>
      <c r="E22" s="27" t="s">
        <v>34</v>
      </c>
    </row>
    <row r="23" spans="1:11" s="34" customFormat="1" ht="28.5" customHeight="1">
      <c r="A23" s="66" t="s">
        <v>6</v>
      </c>
      <c r="B23" s="60">
        <v>46027</v>
      </c>
      <c r="C23" s="32" t="s">
        <v>23</v>
      </c>
      <c r="D23" s="33">
        <v>14000</v>
      </c>
      <c r="E23" s="30"/>
      <c r="F23" s="29"/>
    </row>
    <row r="24" spans="1:11" s="34" customFormat="1" ht="28.5" customHeight="1">
      <c r="A24" s="67"/>
      <c r="B24" s="61"/>
      <c r="C24" s="32" t="s">
        <v>27</v>
      </c>
      <c r="D24" s="33">
        <v>14000</v>
      </c>
      <c r="E24" s="30"/>
      <c r="F24" s="29"/>
    </row>
    <row r="25" spans="1:11" s="34" customFormat="1" ht="28.5" customHeight="1">
      <c r="A25" s="35" t="s">
        <v>7</v>
      </c>
      <c r="B25" s="36">
        <v>46028</v>
      </c>
      <c r="C25" s="32"/>
      <c r="D25" s="33"/>
      <c r="E25" s="30"/>
      <c r="F25" s="29"/>
    </row>
    <row r="26" spans="1:11" s="34" customFormat="1" ht="28.5" customHeight="1">
      <c r="A26" s="58" t="s">
        <v>8</v>
      </c>
      <c r="B26" s="60">
        <v>46029</v>
      </c>
      <c r="C26" s="32" t="s">
        <v>23</v>
      </c>
      <c r="D26" s="33">
        <v>14000</v>
      </c>
      <c r="E26" s="30"/>
      <c r="F26" s="29"/>
    </row>
    <row r="27" spans="1:11" s="34" customFormat="1" ht="28.5" customHeight="1">
      <c r="A27" s="70"/>
      <c r="B27" s="71"/>
      <c r="C27" s="32">
        <v>566</v>
      </c>
      <c r="D27" s="33">
        <v>14000</v>
      </c>
      <c r="E27" s="30"/>
      <c r="F27" s="29"/>
    </row>
    <row r="28" spans="1:11" s="34" customFormat="1" ht="28.5" customHeight="1">
      <c r="A28" s="70"/>
      <c r="B28" s="71"/>
      <c r="C28" s="32" t="s">
        <v>23</v>
      </c>
      <c r="D28" s="33">
        <v>21000</v>
      </c>
      <c r="E28" s="30"/>
      <c r="F28" s="29"/>
    </row>
    <row r="29" spans="1:11" s="34" customFormat="1" ht="28.5" customHeight="1">
      <c r="A29" s="59"/>
      <c r="B29" s="61"/>
      <c r="C29" s="32" t="s">
        <v>26</v>
      </c>
      <c r="D29" s="33">
        <v>7000</v>
      </c>
      <c r="E29" s="30"/>
      <c r="F29" s="29"/>
    </row>
    <row r="30" spans="1:11" s="34" customFormat="1" ht="28.5" customHeight="1">
      <c r="A30" s="37" t="s">
        <v>35</v>
      </c>
      <c r="B30" s="36">
        <v>46030</v>
      </c>
      <c r="C30" s="32"/>
      <c r="D30" s="33"/>
      <c r="E30" s="30"/>
      <c r="F30" s="29"/>
    </row>
    <row r="31" spans="1:11" s="34" customFormat="1" ht="28.5" customHeight="1">
      <c r="A31" s="35" t="s">
        <v>10</v>
      </c>
      <c r="B31" s="36">
        <v>46031</v>
      </c>
      <c r="C31" s="32"/>
      <c r="D31" s="33"/>
      <c r="E31" s="30"/>
      <c r="F31" s="29"/>
    </row>
    <row r="32" spans="1:11" s="34" customFormat="1" ht="28.5" customHeight="1">
      <c r="A32" s="66" t="s">
        <v>11</v>
      </c>
      <c r="B32" s="60">
        <v>46032</v>
      </c>
      <c r="C32" s="32" t="s">
        <v>23</v>
      </c>
      <c r="D32" s="33">
        <v>14000</v>
      </c>
      <c r="E32" s="38"/>
      <c r="F32" s="29"/>
    </row>
    <row r="33" spans="1:6" s="34" customFormat="1" ht="28.5" customHeight="1">
      <c r="A33" s="67"/>
      <c r="B33" s="61"/>
      <c r="C33" s="32">
        <v>551</v>
      </c>
      <c r="D33" s="33">
        <v>14000</v>
      </c>
      <c r="E33" s="38"/>
      <c r="F33" s="29"/>
    </row>
    <row r="34" spans="1:6">
      <c r="D34" s="39">
        <f>SUM(D23:D33)</f>
        <v>112000</v>
      </c>
    </row>
  </sheetData>
  <mergeCells count="12">
    <mergeCell ref="H6:I6"/>
    <mergeCell ref="A32:A33"/>
    <mergeCell ref="B32:B33"/>
    <mergeCell ref="A1:E1"/>
    <mergeCell ref="A2:E2"/>
    <mergeCell ref="A3:E3"/>
    <mergeCell ref="A4:I4"/>
    <mergeCell ref="A5:I5"/>
    <mergeCell ref="A23:A24"/>
    <mergeCell ref="B23:B24"/>
    <mergeCell ref="A26:A29"/>
    <mergeCell ref="B26:B29"/>
  </mergeCells>
  <pageMargins left="0.7" right="0.7" top="0.75" bottom="0.75" header="0.3" footer="0.3"/>
  <pageSetup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D00DB4-2867-402C-A9B0-54BB668D4577}">
  <sheetPr>
    <tabColor rgb="FFFFFF00"/>
  </sheetPr>
  <dimension ref="A1:K33"/>
  <sheetViews>
    <sheetView topLeftCell="A22" zoomScaleNormal="100" workbookViewId="0">
      <selection activeCell="A5" sqref="A5:I5"/>
    </sheetView>
  </sheetViews>
  <sheetFormatPr defaultColWidth="9.125" defaultRowHeight="15"/>
  <cols>
    <col min="1" max="1" width="16.375" style="3" customWidth="1"/>
    <col min="2" max="2" width="15.75" style="3" bestFit="1" customWidth="1"/>
    <col min="3" max="7" width="14.625" style="3" customWidth="1"/>
    <col min="8" max="8" width="13.625" style="3" customWidth="1"/>
    <col min="9" max="9" width="16.75" style="3" customWidth="1"/>
    <col min="10" max="10" width="16.625" style="3" customWidth="1"/>
    <col min="11" max="11" width="12" style="3" customWidth="1"/>
    <col min="12" max="12" width="14.875" style="3" customWidth="1"/>
    <col min="13" max="13" width="11.875" style="3" customWidth="1"/>
    <col min="14" max="14" width="12.875" style="3" bestFit="1" customWidth="1"/>
    <col min="15" max="15" width="11.75" style="3" customWidth="1"/>
    <col min="16" max="16384" width="9.125" style="3"/>
  </cols>
  <sheetData>
    <row r="1" spans="1:10" ht="15.75">
      <c r="A1" s="62" t="s">
        <v>0</v>
      </c>
      <c r="B1" s="62"/>
      <c r="C1" s="62"/>
      <c r="D1" s="62"/>
      <c r="E1" s="62"/>
      <c r="F1" s="1"/>
      <c r="G1" s="1"/>
      <c r="H1" s="2"/>
      <c r="I1" s="2"/>
      <c r="J1" s="2"/>
    </row>
    <row r="2" spans="1:10" ht="15.75">
      <c r="A2" s="62" t="s">
        <v>1</v>
      </c>
      <c r="B2" s="62"/>
      <c r="C2" s="62"/>
      <c r="D2" s="62"/>
      <c r="E2" s="62"/>
      <c r="F2" s="1"/>
      <c r="G2" s="1"/>
      <c r="H2" s="2"/>
      <c r="I2" s="2"/>
      <c r="J2" s="2"/>
    </row>
    <row r="3" spans="1:10" ht="15.75">
      <c r="A3" s="62" t="s">
        <v>2</v>
      </c>
      <c r="B3" s="62"/>
      <c r="C3" s="62"/>
      <c r="D3" s="62"/>
      <c r="E3" s="62"/>
      <c r="F3" s="1"/>
      <c r="G3" s="1"/>
      <c r="H3" s="2"/>
      <c r="I3" s="2"/>
      <c r="J3" s="2"/>
    </row>
    <row r="4" spans="1:10" ht="27.75" customHeight="1">
      <c r="A4" s="63" t="s">
        <v>3</v>
      </c>
      <c r="B4" s="63"/>
      <c r="C4" s="63"/>
      <c r="D4" s="63"/>
      <c r="E4" s="63"/>
      <c r="F4" s="63"/>
      <c r="G4" s="63"/>
      <c r="H4" s="63"/>
      <c r="I4" s="63"/>
      <c r="J4" s="4"/>
    </row>
    <row r="5" spans="1:10" s="6" customFormat="1" ht="23.25" customHeight="1">
      <c r="A5" s="64" t="s">
        <v>36</v>
      </c>
      <c r="B5" s="64"/>
      <c r="C5" s="64"/>
      <c r="D5" s="64"/>
      <c r="E5" s="64"/>
      <c r="F5" s="64"/>
      <c r="G5" s="64"/>
      <c r="H5" s="64"/>
      <c r="I5" s="64"/>
      <c r="J5" s="5"/>
    </row>
    <row r="6" spans="1:10" ht="55.5" customHeight="1">
      <c r="A6" s="7" t="s">
        <v>5</v>
      </c>
      <c r="B6" s="8" t="s">
        <v>6</v>
      </c>
      <c r="C6" s="8" t="s">
        <v>7</v>
      </c>
      <c r="D6" s="8" t="s">
        <v>8</v>
      </c>
      <c r="E6" s="8" t="s">
        <v>9</v>
      </c>
      <c r="F6" s="8" t="s">
        <v>10</v>
      </c>
      <c r="G6" s="8" t="s">
        <v>11</v>
      </c>
      <c r="H6" s="65" t="s">
        <v>12</v>
      </c>
      <c r="I6" s="65"/>
      <c r="J6" s="10"/>
    </row>
    <row r="7" spans="1:10" ht="31.5" customHeight="1">
      <c r="A7" s="11" t="s">
        <v>13</v>
      </c>
      <c r="B7" s="12" t="s">
        <v>37</v>
      </c>
      <c r="C7" s="12" t="s">
        <v>38</v>
      </c>
      <c r="D7" s="12" t="s">
        <v>39</v>
      </c>
      <c r="E7" s="12">
        <v>46023</v>
      </c>
      <c r="F7" s="12">
        <v>46054</v>
      </c>
      <c r="G7" s="12">
        <v>46082</v>
      </c>
      <c r="H7" s="9" t="s">
        <v>20</v>
      </c>
      <c r="I7" s="9" t="s">
        <v>21</v>
      </c>
    </row>
    <row r="8" spans="1:10" s="6" customFormat="1" ht="22.5" customHeight="1">
      <c r="A8" s="13" t="s">
        <v>22</v>
      </c>
      <c r="B8" s="14">
        <v>0</v>
      </c>
      <c r="C8" s="14">
        <v>0</v>
      </c>
      <c r="D8" s="15">
        <v>0</v>
      </c>
      <c r="E8" s="14"/>
      <c r="F8" s="14">
        <v>0</v>
      </c>
      <c r="G8" s="14">
        <v>0</v>
      </c>
      <c r="H8" s="16">
        <f t="shared" ref="H8:H18" si="0">SUM(B8:G8)</f>
        <v>0</v>
      </c>
      <c r="I8" s="17">
        <f>H8*10/1000</f>
        <v>0</v>
      </c>
    </row>
    <row r="9" spans="1:10" s="6" customFormat="1" ht="22.5" customHeight="1">
      <c r="A9" s="18" t="s">
        <v>23</v>
      </c>
      <c r="B9" s="14">
        <v>200</v>
      </c>
      <c r="C9" s="14">
        <v>0</v>
      </c>
      <c r="D9" s="15">
        <v>0</v>
      </c>
      <c r="E9" s="14"/>
      <c r="F9" s="14">
        <v>0</v>
      </c>
      <c r="G9" s="14">
        <v>0</v>
      </c>
      <c r="H9" s="16">
        <f t="shared" si="0"/>
        <v>200</v>
      </c>
      <c r="I9" s="17">
        <f>H9*25/1000</f>
        <v>5</v>
      </c>
    </row>
    <row r="10" spans="1:10" s="6" customFormat="1" ht="22.5" customHeight="1">
      <c r="A10" s="19">
        <v>551</v>
      </c>
      <c r="B10" s="14">
        <v>120</v>
      </c>
      <c r="C10" s="14">
        <v>0</v>
      </c>
      <c r="D10" s="15">
        <v>0</v>
      </c>
      <c r="E10" s="14"/>
      <c r="F10" s="14">
        <v>0</v>
      </c>
      <c r="G10" s="14">
        <v>0</v>
      </c>
      <c r="H10" s="16">
        <f t="shared" si="0"/>
        <v>120</v>
      </c>
      <c r="I10" s="20">
        <f>H10*25/1000</f>
        <v>3</v>
      </c>
    </row>
    <row r="11" spans="1:10" s="6" customFormat="1" ht="22.5" customHeight="1">
      <c r="A11" s="19" t="s">
        <v>24</v>
      </c>
      <c r="B11" s="14">
        <v>240</v>
      </c>
      <c r="C11" s="14">
        <v>0</v>
      </c>
      <c r="D11" s="15">
        <v>0</v>
      </c>
      <c r="E11" s="14"/>
      <c r="F11" s="14">
        <v>0</v>
      </c>
      <c r="G11" s="14">
        <v>0</v>
      </c>
      <c r="H11" s="16">
        <f t="shared" si="0"/>
        <v>240</v>
      </c>
      <c r="I11" s="20">
        <f t="shared" ref="I11:I18" si="1">H11*25/1000</f>
        <v>6</v>
      </c>
    </row>
    <row r="12" spans="1:10" s="6" customFormat="1" ht="22.5" customHeight="1">
      <c r="A12" s="19">
        <v>552</v>
      </c>
      <c r="B12" s="14">
        <v>0</v>
      </c>
      <c r="C12" s="14">
        <v>976</v>
      </c>
      <c r="D12" s="15">
        <v>0</v>
      </c>
      <c r="E12" s="14"/>
      <c r="F12" s="14">
        <v>976</v>
      </c>
      <c r="G12" s="14">
        <v>976</v>
      </c>
      <c r="H12" s="16">
        <f t="shared" si="0"/>
        <v>2928</v>
      </c>
      <c r="I12" s="20">
        <f t="shared" si="1"/>
        <v>73.2</v>
      </c>
    </row>
    <row r="13" spans="1:10" s="6" customFormat="1" ht="22.5" customHeight="1">
      <c r="A13" s="19" t="s">
        <v>25</v>
      </c>
      <c r="B13" s="14">
        <v>0</v>
      </c>
      <c r="C13" s="14">
        <v>0</v>
      </c>
      <c r="D13" s="15">
        <v>0</v>
      </c>
      <c r="E13" s="14"/>
      <c r="F13" s="14">
        <v>300</v>
      </c>
      <c r="G13" s="14">
        <v>0</v>
      </c>
      <c r="H13" s="16">
        <f t="shared" si="0"/>
        <v>300</v>
      </c>
      <c r="I13" s="20">
        <f t="shared" si="1"/>
        <v>7.5</v>
      </c>
    </row>
    <row r="14" spans="1:10" s="6" customFormat="1" ht="22.5" customHeight="1">
      <c r="A14" s="19" t="s">
        <v>26</v>
      </c>
      <c r="B14" s="14">
        <v>664</v>
      </c>
      <c r="C14" s="14">
        <v>664</v>
      </c>
      <c r="D14" s="15">
        <v>664</v>
      </c>
      <c r="E14" s="14"/>
      <c r="F14" s="14">
        <v>664</v>
      </c>
      <c r="G14" s="14">
        <v>664</v>
      </c>
      <c r="H14" s="16">
        <f t="shared" si="0"/>
        <v>3320</v>
      </c>
      <c r="I14" s="20">
        <f t="shared" si="1"/>
        <v>83</v>
      </c>
    </row>
    <row r="15" spans="1:10" s="6" customFormat="1" ht="22.5" customHeight="1">
      <c r="A15" s="19" t="s">
        <v>27</v>
      </c>
      <c r="B15" s="14">
        <v>0</v>
      </c>
      <c r="C15" s="14">
        <v>0</v>
      </c>
      <c r="D15" s="15">
        <v>0</v>
      </c>
      <c r="E15" s="14"/>
      <c r="F15" s="14">
        <v>180</v>
      </c>
      <c r="G15" s="14">
        <v>0</v>
      </c>
      <c r="H15" s="16">
        <f t="shared" si="0"/>
        <v>180</v>
      </c>
      <c r="I15" s="20">
        <f t="shared" si="1"/>
        <v>4.5</v>
      </c>
    </row>
    <row r="16" spans="1:10" s="6" customFormat="1" ht="22.5" customHeight="1">
      <c r="A16" s="19">
        <v>562</v>
      </c>
      <c r="B16" s="14">
        <v>640</v>
      </c>
      <c r="C16" s="14">
        <v>0</v>
      </c>
      <c r="D16" s="15">
        <v>0</v>
      </c>
      <c r="E16" s="14"/>
      <c r="F16" s="14">
        <v>0</v>
      </c>
      <c r="G16" s="14">
        <v>0</v>
      </c>
      <c r="H16" s="16">
        <f t="shared" si="0"/>
        <v>640</v>
      </c>
      <c r="I16" s="20">
        <f t="shared" si="1"/>
        <v>16</v>
      </c>
    </row>
    <row r="17" spans="1:11" s="6" customFormat="1" ht="22.5" customHeight="1">
      <c r="A17" s="19">
        <v>566</v>
      </c>
      <c r="B17" s="14">
        <v>0</v>
      </c>
      <c r="C17" s="14">
        <v>1200</v>
      </c>
      <c r="D17" s="15">
        <v>0</v>
      </c>
      <c r="E17" s="14"/>
      <c r="F17" s="14">
        <v>0</v>
      </c>
      <c r="G17" s="14">
        <v>0</v>
      </c>
      <c r="H17" s="16">
        <f t="shared" si="0"/>
        <v>1200</v>
      </c>
      <c r="I17" s="20">
        <f t="shared" si="1"/>
        <v>30</v>
      </c>
    </row>
    <row r="18" spans="1:11" s="6" customFormat="1" ht="22.5" customHeight="1">
      <c r="A18" s="19" t="s">
        <v>28</v>
      </c>
      <c r="B18" s="14">
        <v>0</v>
      </c>
      <c r="C18" s="14">
        <v>0</v>
      </c>
      <c r="D18" s="15">
        <v>1200</v>
      </c>
      <c r="E18" s="14"/>
      <c r="F18" s="14">
        <v>720</v>
      </c>
      <c r="G18" s="14">
        <v>0</v>
      </c>
      <c r="H18" s="16">
        <f t="shared" si="0"/>
        <v>1920</v>
      </c>
      <c r="I18" s="20">
        <f t="shared" si="1"/>
        <v>48</v>
      </c>
    </row>
    <row r="19" spans="1:11" s="6" customFormat="1" ht="30.75" customHeight="1">
      <c r="A19" s="21" t="s">
        <v>29</v>
      </c>
      <c r="B19" s="22">
        <f>SUM(B8:B18)</f>
        <v>1864</v>
      </c>
      <c r="C19" s="22">
        <f t="shared" ref="C19:G19" si="2">SUM(C8:C18)</f>
        <v>2840</v>
      </c>
      <c r="D19" s="22">
        <f t="shared" si="2"/>
        <v>1864</v>
      </c>
      <c r="E19" s="22">
        <f t="shared" si="2"/>
        <v>0</v>
      </c>
      <c r="F19" s="22">
        <f t="shared" si="2"/>
        <v>2840</v>
      </c>
      <c r="G19" s="22">
        <f t="shared" si="2"/>
        <v>1640</v>
      </c>
      <c r="H19" s="22">
        <f>SUM(H8:H18)</f>
        <v>11048</v>
      </c>
      <c r="I19" s="23">
        <f>SUM(I8:I18)</f>
        <v>276.2</v>
      </c>
      <c r="J19" s="24"/>
      <c r="K19" s="24"/>
    </row>
    <row r="20" spans="1:11" ht="12" customHeight="1">
      <c r="A20" s="25"/>
      <c r="J20" s="26"/>
    </row>
    <row r="21" spans="1:11" ht="12.75" customHeight="1">
      <c r="A21" s="25"/>
      <c r="J21" s="26"/>
    </row>
    <row r="22" spans="1:11" s="29" customFormat="1" ht="45" customHeight="1">
      <c r="A22" s="27" t="s">
        <v>30</v>
      </c>
      <c r="B22" s="27" t="s">
        <v>31</v>
      </c>
      <c r="C22" s="27" t="s">
        <v>32</v>
      </c>
      <c r="D22" s="28" t="s">
        <v>33</v>
      </c>
      <c r="E22" s="27" t="s">
        <v>34</v>
      </c>
    </row>
    <row r="23" spans="1:11" s="34" customFormat="1" ht="28.5" customHeight="1">
      <c r="A23" s="66" t="s">
        <v>6</v>
      </c>
      <c r="B23" s="60">
        <v>46020</v>
      </c>
      <c r="C23" s="32" t="s">
        <v>23</v>
      </c>
      <c r="D23" s="33">
        <v>14000</v>
      </c>
      <c r="E23" s="30"/>
      <c r="F23" s="29"/>
    </row>
    <row r="24" spans="1:11" s="34" customFormat="1" ht="28.5" customHeight="1">
      <c r="A24" s="67"/>
      <c r="B24" s="61"/>
      <c r="C24" s="32" t="s">
        <v>27</v>
      </c>
      <c r="D24" s="33">
        <v>14000</v>
      </c>
      <c r="E24" s="30"/>
      <c r="F24" s="29"/>
    </row>
    <row r="25" spans="1:11" s="34" customFormat="1" ht="28.5" customHeight="1">
      <c r="A25" s="35" t="s">
        <v>7</v>
      </c>
      <c r="B25" s="36">
        <v>46021</v>
      </c>
      <c r="C25" s="32"/>
      <c r="D25" s="33"/>
      <c r="E25" s="30"/>
      <c r="F25" s="29"/>
    </row>
    <row r="26" spans="1:11" s="34" customFormat="1" ht="28.5" customHeight="1">
      <c r="A26" s="58" t="s">
        <v>8</v>
      </c>
      <c r="B26" s="60">
        <v>46022</v>
      </c>
      <c r="C26" s="32" t="s">
        <v>23</v>
      </c>
      <c r="D26" s="33">
        <v>28000</v>
      </c>
      <c r="E26" s="30"/>
      <c r="F26" s="29"/>
    </row>
    <row r="27" spans="1:11" s="34" customFormat="1" ht="28.5" customHeight="1">
      <c r="A27" s="70"/>
      <c r="B27" s="71"/>
      <c r="C27" s="32">
        <v>551</v>
      </c>
      <c r="D27" s="33">
        <v>7000</v>
      </c>
      <c r="E27" s="30"/>
      <c r="F27" s="29"/>
    </row>
    <row r="28" spans="1:11" s="34" customFormat="1" ht="28.5" customHeight="1">
      <c r="A28" s="59"/>
      <c r="B28" s="61"/>
      <c r="C28" s="32" t="s">
        <v>23</v>
      </c>
      <c r="D28" s="33">
        <v>21000</v>
      </c>
      <c r="E28" s="30"/>
      <c r="F28" s="29"/>
    </row>
    <row r="29" spans="1:11" s="34" customFormat="1" ht="28.5" customHeight="1">
      <c r="A29" s="37" t="s">
        <v>35</v>
      </c>
      <c r="B29" s="36">
        <v>46023</v>
      </c>
      <c r="C29" s="32"/>
      <c r="D29" s="33"/>
      <c r="E29" s="30"/>
      <c r="F29" s="29"/>
    </row>
    <row r="30" spans="1:11" s="34" customFormat="1" ht="28.5" customHeight="1">
      <c r="A30" s="58" t="s">
        <v>10</v>
      </c>
      <c r="B30" s="60">
        <v>46024</v>
      </c>
      <c r="C30" s="32" t="s">
        <v>24</v>
      </c>
      <c r="D30" s="33">
        <v>14000</v>
      </c>
      <c r="E30" s="30"/>
      <c r="F30" s="29"/>
    </row>
    <row r="31" spans="1:11" s="34" customFormat="1" ht="28.5" customHeight="1">
      <c r="A31" s="59"/>
      <c r="B31" s="61"/>
      <c r="C31" s="32" t="s">
        <v>23</v>
      </c>
      <c r="D31" s="33">
        <v>14000</v>
      </c>
      <c r="E31" s="30"/>
      <c r="F31" s="29"/>
    </row>
    <row r="32" spans="1:11" s="34" customFormat="1" ht="28.5" customHeight="1">
      <c r="A32" s="30" t="s">
        <v>11</v>
      </c>
      <c r="B32" s="31">
        <v>46025</v>
      </c>
      <c r="C32" s="32"/>
      <c r="D32" s="33"/>
      <c r="E32" s="38"/>
      <c r="F32" s="29"/>
    </row>
    <row r="33" spans="4:4">
      <c r="D33" s="39">
        <f>SUM(D23:D32)</f>
        <v>112000</v>
      </c>
    </row>
  </sheetData>
  <mergeCells count="12">
    <mergeCell ref="A23:A24"/>
    <mergeCell ref="B23:B24"/>
    <mergeCell ref="A26:A28"/>
    <mergeCell ref="B26:B28"/>
    <mergeCell ref="A30:A31"/>
    <mergeCell ref="B30:B31"/>
    <mergeCell ref="H6:I6"/>
    <mergeCell ref="A1:E1"/>
    <mergeCell ref="A2:E2"/>
    <mergeCell ref="A3:E3"/>
    <mergeCell ref="A4:I4"/>
    <mergeCell ref="A5:I5"/>
  </mergeCells>
  <pageMargins left="0.7" right="0.7" top="0.75" bottom="0.75" header="0.3" footer="0.3"/>
  <pageSetup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498D49-C0B6-4324-AEF7-3D67064E374D}">
  <sheetPr>
    <tabColor rgb="FFFFFF00"/>
  </sheetPr>
  <dimension ref="A1:K34"/>
  <sheetViews>
    <sheetView topLeftCell="A2" zoomScaleNormal="100" workbookViewId="0">
      <selection activeCell="A4" sqref="A4:I4"/>
    </sheetView>
  </sheetViews>
  <sheetFormatPr defaultColWidth="9.125" defaultRowHeight="15"/>
  <cols>
    <col min="1" max="1" width="16.375" style="3" customWidth="1"/>
    <col min="2" max="2" width="15.75" style="3" bestFit="1" customWidth="1"/>
    <col min="3" max="7" width="14.625" style="3" customWidth="1"/>
    <col min="8" max="8" width="13.625" style="3" customWidth="1"/>
    <col min="9" max="9" width="16.75" style="3" customWidth="1"/>
    <col min="10" max="10" width="16.625" style="3" customWidth="1"/>
    <col min="11" max="11" width="12" style="3" customWidth="1"/>
    <col min="12" max="12" width="14.875" style="3" customWidth="1"/>
    <col min="13" max="13" width="11.875" style="3" customWidth="1"/>
    <col min="14" max="14" width="12.875" style="3" bestFit="1" customWidth="1"/>
    <col min="15" max="15" width="11.75" style="3" customWidth="1"/>
    <col min="16" max="16384" width="9.125" style="3"/>
  </cols>
  <sheetData>
    <row r="1" spans="1:10" ht="15.75">
      <c r="A1" s="62" t="s">
        <v>0</v>
      </c>
      <c r="B1" s="62"/>
      <c r="C1" s="62"/>
      <c r="D1" s="62"/>
      <c r="E1" s="62"/>
      <c r="F1" s="1"/>
      <c r="G1" s="1"/>
      <c r="H1" s="2"/>
      <c r="I1" s="2"/>
      <c r="J1" s="2"/>
    </row>
    <row r="2" spans="1:10" ht="15.75">
      <c r="A2" s="62" t="s">
        <v>1</v>
      </c>
      <c r="B2" s="62"/>
      <c r="C2" s="62"/>
      <c r="D2" s="62"/>
      <c r="E2" s="62"/>
      <c r="F2" s="1"/>
      <c r="G2" s="1"/>
      <c r="H2" s="2"/>
      <c r="I2" s="2"/>
      <c r="J2" s="2"/>
    </row>
    <row r="3" spans="1:10" ht="15.75">
      <c r="A3" s="62" t="s">
        <v>2</v>
      </c>
      <c r="B3" s="62"/>
      <c r="C3" s="62"/>
      <c r="D3" s="62"/>
      <c r="E3" s="62"/>
      <c r="F3" s="1"/>
      <c r="G3" s="1"/>
      <c r="H3" s="2"/>
      <c r="I3" s="2"/>
      <c r="J3" s="2"/>
    </row>
    <row r="4" spans="1:10" ht="27.75" customHeight="1">
      <c r="A4" s="63" t="s">
        <v>3</v>
      </c>
      <c r="B4" s="63"/>
      <c r="C4" s="63"/>
      <c r="D4" s="63"/>
      <c r="E4" s="63"/>
      <c r="F4" s="63"/>
      <c r="G4" s="63"/>
      <c r="H4" s="63"/>
      <c r="I4" s="63"/>
      <c r="J4" s="4"/>
    </row>
    <row r="5" spans="1:10" s="6" customFormat="1" ht="23.25" customHeight="1">
      <c r="A5" s="64" t="s">
        <v>4</v>
      </c>
      <c r="B5" s="64"/>
      <c r="C5" s="64"/>
      <c r="D5" s="64"/>
      <c r="E5" s="64"/>
      <c r="F5" s="64"/>
      <c r="G5" s="64"/>
      <c r="H5" s="64"/>
      <c r="I5" s="64"/>
      <c r="J5" s="5"/>
    </row>
    <row r="6" spans="1:10" ht="55.5" customHeight="1">
      <c r="A6" s="7" t="s">
        <v>5</v>
      </c>
      <c r="B6" s="8" t="s">
        <v>6</v>
      </c>
      <c r="C6" s="8" t="s">
        <v>7</v>
      </c>
      <c r="D6" s="8" t="s">
        <v>8</v>
      </c>
      <c r="E6" s="8" t="s">
        <v>9</v>
      </c>
      <c r="F6" s="8" t="s">
        <v>10</v>
      </c>
      <c r="G6" s="8" t="s">
        <v>11</v>
      </c>
      <c r="H6" s="65" t="s">
        <v>12</v>
      </c>
      <c r="I6" s="65"/>
      <c r="J6" s="10"/>
    </row>
    <row r="7" spans="1:10" ht="31.5" customHeight="1">
      <c r="A7" s="11" t="s">
        <v>13</v>
      </c>
      <c r="B7" s="12" t="s">
        <v>14</v>
      </c>
      <c r="C7" s="12" t="s">
        <v>15</v>
      </c>
      <c r="D7" s="12" t="s">
        <v>16</v>
      </c>
      <c r="E7" s="12" t="s">
        <v>17</v>
      </c>
      <c r="F7" s="12" t="s">
        <v>18</v>
      </c>
      <c r="G7" s="12" t="s">
        <v>19</v>
      </c>
      <c r="H7" s="9" t="s">
        <v>20</v>
      </c>
      <c r="I7" s="9" t="s">
        <v>21</v>
      </c>
    </row>
    <row r="8" spans="1:10" s="6" customFormat="1" ht="22.5" customHeight="1">
      <c r="A8" s="13" t="s">
        <v>22</v>
      </c>
      <c r="B8" s="14">
        <v>0</v>
      </c>
      <c r="C8" s="14">
        <v>0</v>
      </c>
      <c r="D8" s="15">
        <v>0</v>
      </c>
      <c r="E8" s="14">
        <v>0</v>
      </c>
      <c r="F8" s="14">
        <v>0</v>
      </c>
      <c r="G8" s="14">
        <v>0</v>
      </c>
      <c r="H8" s="16">
        <f t="shared" ref="H8:H18" si="0">SUM(B8:G8)</f>
        <v>0</v>
      </c>
      <c r="I8" s="17">
        <f>H8*10/1000</f>
        <v>0</v>
      </c>
    </row>
    <row r="9" spans="1:10" s="6" customFormat="1" ht="22.5" customHeight="1">
      <c r="A9" s="18" t="s">
        <v>23</v>
      </c>
      <c r="B9" s="14">
        <v>100</v>
      </c>
      <c r="C9" s="14">
        <v>0</v>
      </c>
      <c r="D9" s="15">
        <v>0</v>
      </c>
      <c r="E9" s="14">
        <v>0</v>
      </c>
      <c r="F9" s="14">
        <v>0</v>
      </c>
      <c r="G9" s="14">
        <v>0</v>
      </c>
      <c r="H9" s="16">
        <f t="shared" si="0"/>
        <v>100</v>
      </c>
      <c r="I9" s="17">
        <f>H9*25/1000</f>
        <v>2.5</v>
      </c>
    </row>
    <row r="10" spans="1:10" s="6" customFormat="1" ht="22.5" customHeight="1">
      <c r="A10" s="19">
        <v>551</v>
      </c>
      <c r="B10" s="14">
        <v>0</v>
      </c>
      <c r="C10" s="14">
        <v>0</v>
      </c>
      <c r="D10" s="15">
        <v>180</v>
      </c>
      <c r="E10" s="14">
        <v>0</v>
      </c>
      <c r="F10" s="14">
        <v>0</v>
      </c>
      <c r="G10" s="14">
        <v>0</v>
      </c>
      <c r="H10" s="16">
        <f t="shared" si="0"/>
        <v>180</v>
      </c>
      <c r="I10" s="20">
        <f>H10*25/1000</f>
        <v>4.5</v>
      </c>
    </row>
    <row r="11" spans="1:10" s="6" customFormat="1" ht="22.5" customHeight="1">
      <c r="A11" s="19" t="s">
        <v>24</v>
      </c>
      <c r="B11" s="14">
        <v>0</v>
      </c>
      <c r="C11" s="14">
        <v>0</v>
      </c>
      <c r="D11" s="15">
        <v>0</v>
      </c>
      <c r="E11" s="14">
        <v>0</v>
      </c>
      <c r="F11" s="14">
        <v>0</v>
      </c>
      <c r="G11" s="14">
        <v>0</v>
      </c>
      <c r="H11" s="16">
        <f t="shared" si="0"/>
        <v>0</v>
      </c>
      <c r="I11" s="20">
        <f t="shared" ref="I11:I18" si="1">H11*25/1000</f>
        <v>0</v>
      </c>
    </row>
    <row r="12" spans="1:10" s="6" customFormat="1" ht="22.5" customHeight="1">
      <c r="A12" s="19">
        <v>552</v>
      </c>
      <c r="B12" s="14">
        <v>276</v>
      </c>
      <c r="C12" s="14">
        <v>0</v>
      </c>
      <c r="D12" s="15">
        <v>664</v>
      </c>
      <c r="E12" s="14">
        <v>976</v>
      </c>
      <c r="F12" s="14">
        <v>0</v>
      </c>
      <c r="G12" s="14">
        <v>571</v>
      </c>
      <c r="H12" s="16">
        <f t="shared" si="0"/>
        <v>2487</v>
      </c>
      <c r="I12" s="20">
        <f t="shared" si="1"/>
        <v>62.174999999999997</v>
      </c>
    </row>
    <row r="13" spans="1:10" s="6" customFormat="1" ht="22.5" customHeight="1">
      <c r="A13" s="19" t="s">
        <v>25</v>
      </c>
      <c r="B13" s="14">
        <v>700</v>
      </c>
      <c r="C13" s="14">
        <v>1200</v>
      </c>
      <c r="D13" s="15">
        <v>976</v>
      </c>
      <c r="E13" s="14">
        <v>0</v>
      </c>
      <c r="F13" s="14">
        <v>976</v>
      </c>
      <c r="G13" s="14">
        <v>676</v>
      </c>
      <c r="H13" s="16">
        <f t="shared" si="0"/>
        <v>4528</v>
      </c>
      <c r="I13" s="20">
        <f t="shared" si="1"/>
        <v>113.2</v>
      </c>
    </row>
    <row r="14" spans="1:10" s="6" customFormat="1" ht="22.5" customHeight="1">
      <c r="A14" s="19" t="s">
        <v>26</v>
      </c>
      <c r="B14" s="14">
        <v>664</v>
      </c>
      <c r="C14" s="14">
        <v>664</v>
      </c>
      <c r="D14" s="15">
        <v>0</v>
      </c>
      <c r="E14" s="14">
        <v>664</v>
      </c>
      <c r="F14" s="14">
        <v>664</v>
      </c>
      <c r="G14" s="14">
        <v>393</v>
      </c>
      <c r="H14" s="16">
        <f t="shared" si="0"/>
        <v>3049</v>
      </c>
      <c r="I14" s="20">
        <f t="shared" si="1"/>
        <v>76.224999999999994</v>
      </c>
    </row>
    <row r="15" spans="1:10" s="6" customFormat="1" ht="22.5" customHeight="1">
      <c r="A15" s="19" t="s">
        <v>27</v>
      </c>
      <c r="B15" s="14">
        <v>0</v>
      </c>
      <c r="C15" s="14">
        <v>0</v>
      </c>
      <c r="D15" s="15">
        <v>0</v>
      </c>
      <c r="E15" s="14">
        <v>240</v>
      </c>
      <c r="F15" s="14">
        <v>0</v>
      </c>
      <c r="G15" s="14">
        <v>0</v>
      </c>
      <c r="H15" s="16">
        <f t="shared" si="0"/>
        <v>240</v>
      </c>
      <c r="I15" s="20">
        <f t="shared" si="1"/>
        <v>6</v>
      </c>
    </row>
    <row r="16" spans="1:10" s="6" customFormat="1" ht="22.5" customHeight="1">
      <c r="A16" s="19">
        <v>562</v>
      </c>
      <c r="B16" s="14">
        <v>0</v>
      </c>
      <c r="C16" s="14">
        <v>0</v>
      </c>
      <c r="D16" s="15">
        <v>0</v>
      </c>
      <c r="E16" s="14">
        <v>960</v>
      </c>
      <c r="F16" s="14">
        <v>0</v>
      </c>
      <c r="G16" s="14">
        <v>0</v>
      </c>
      <c r="H16" s="16">
        <f t="shared" si="0"/>
        <v>960</v>
      </c>
      <c r="I16" s="20">
        <f t="shared" si="1"/>
        <v>24</v>
      </c>
    </row>
    <row r="17" spans="1:11" s="6" customFormat="1" ht="22.5" customHeight="1">
      <c r="A17" s="19">
        <v>566</v>
      </c>
      <c r="B17" s="14">
        <v>0</v>
      </c>
      <c r="C17" s="14">
        <v>0</v>
      </c>
      <c r="D17" s="15">
        <v>1020</v>
      </c>
      <c r="E17" s="14">
        <v>0</v>
      </c>
      <c r="F17" s="14">
        <v>0</v>
      </c>
      <c r="G17" s="14">
        <v>0</v>
      </c>
      <c r="H17" s="16">
        <f t="shared" si="0"/>
        <v>1020</v>
      </c>
      <c r="I17" s="20">
        <f t="shared" si="1"/>
        <v>25.5</v>
      </c>
    </row>
    <row r="18" spans="1:11" s="6" customFormat="1" ht="22.5" customHeight="1">
      <c r="A18" s="19" t="s">
        <v>28</v>
      </c>
      <c r="B18" s="14">
        <v>1100</v>
      </c>
      <c r="C18" s="14">
        <v>0</v>
      </c>
      <c r="D18" s="15">
        <v>0</v>
      </c>
      <c r="E18" s="14">
        <v>0</v>
      </c>
      <c r="F18" s="14">
        <v>1200</v>
      </c>
      <c r="G18" s="14">
        <v>0</v>
      </c>
      <c r="H18" s="16">
        <f t="shared" si="0"/>
        <v>2300</v>
      </c>
      <c r="I18" s="20">
        <f t="shared" si="1"/>
        <v>57.5</v>
      </c>
    </row>
    <row r="19" spans="1:11" s="6" customFormat="1" ht="30.75" customHeight="1">
      <c r="A19" s="21" t="s">
        <v>29</v>
      </c>
      <c r="B19" s="22">
        <f>SUM(B8:B18)</f>
        <v>2840</v>
      </c>
      <c r="C19" s="22">
        <f t="shared" ref="C19:G19" si="2">SUM(C8:C18)</f>
        <v>1864</v>
      </c>
      <c r="D19" s="22">
        <f t="shared" si="2"/>
        <v>2840</v>
      </c>
      <c r="E19" s="22">
        <f t="shared" si="2"/>
        <v>2840</v>
      </c>
      <c r="F19" s="22">
        <f t="shared" si="2"/>
        <v>2840</v>
      </c>
      <c r="G19" s="22">
        <f t="shared" si="2"/>
        <v>1640</v>
      </c>
      <c r="H19" s="22">
        <f>SUM(H8:H18)</f>
        <v>14864</v>
      </c>
      <c r="I19" s="23">
        <f>SUM(I8:I18)</f>
        <v>371.6</v>
      </c>
      <c r="J19" s="24"/>
      <c r="K19" s="24"/>
    </row>
    <row r="20" spans="1:11" ht="12" customHeight="1">
      <c r="A20" s="25"/>
      <c r="J20" s="26"/>
    </row>
    <row r="21" spans="1:11" ht="12.75" customHeight="1">
      <c r="A21" s="25"/>
      <c r="J21" s="26"/>
    </row>
    <row r="22" spans="1:11" s="29" customFormat="1" ht="45" customHeight="1">
      <c r="A22" s="27" t="s">
        <v>30</v>
      </c>
      <c r="B22" s="27" t="s">
        <v>31</v>
      </c>
      <c r="C22" s="27" t="s">
        <v>32</v>
      </c>
      <c r="D22" s="28" t="s">
        <v>33</v>
      </c>
      <c r="E22" s="27" t="s">
        <v>34</v>
      </c>
    </row>
    <row r="23" spans="1:11" s="34" customFormat="1" ht="28.5" customHeight="1">
      <c r="A23" s="30" t="s">
        <v>6</v>
      </c>
      <c r="B23" s="31">
        <v>46013</v>
      </c>
      <c r="C23" s="32"/>
      <c r="D23" s="33"/>
      <c r="E23" s="30"/>
      <c r="F23" s="29"/>
    </row>
    <row r="24" spans="1:11" s="34" customFormat="1" ht="28.5" customHeight="1">
      <c r="A24" s="58" t="s">
        <v>7</v>
      </c>
      <c r="B24" s="60">
        <v>46014</v>
      </c>
      <c r="C24" s="32" t="s">
        <v>23</v>
      </c>
      <c r="D24" s="33">
        <v>14000</v>
      </c>
      <c r="E24" s="30"/>
      <c r="F24" s="29"/>
    </row>
    <row r="25" spans="1:11" s="34" customFormat="1" ht="28.5" customHeight="1">
      <c r="A25" s="70"/>
      <c r="B25" s="71"/>
      <c r="C25" s="32">
        <v>552</v>
      </c>
      <c r="D25" s="33">
        <v>14000</v>
      </c>
      <c r="E25" s="30"/>
      <c r="F25" s="29"/>
    </row>
    <row r="26" spans="1:11" s="34" customFormat="1" ht="28.5" customHeight="1">
      <c r="A26" s="70"/>
      <c r="B26" s="71"/>
      <c r="C26" s="32" t="s">
        <v>23</v>
      </c>
      <c r="D26" s="33">
        <v>14000</v>
      </c>
      <c r="E26" s="30"/>
      <c r="F26" s="29"/>
    </row>
    <row r="27" spans="1:11" s="34" customFormat="1" ht="28.5" customHeight="1">
      <c r="A27" s="59"/>
      <c r="B27" s="61"/>
      <c r="C27" s="32" t="s">
        <v>25</v>
      </c>
      <c r="D27" s="33">
        <v>14000</v>
      </c>
      <c r="E27" s="30"/>
      <c r="F27" s="29"/>
    </row>
    <row r="28" spans="1:11" s="34" customFormat="1" ht="28.5" customHeight="1">
      <c r="A28" s="35" t="s">
        <v>8</v>
      </c>
      <c r="B28" s="36">
        <v>46015</v>
      </c>
      <c r="C28" s="32"/>
      <c r="D28" s="33"/>
      <c r="E28" s="30"/>
      <c r="F28" s="29"/>
    </row>
    <row r="29" spans="1:11" s="34" customFormat="1" ht="28.5" customHeight="1">
      <c r="A29" s="66" t="s">
        <v>35</v>
      </c>
      <c r="B29" s="60">
        <v>46016</v>
      </c>
      <c r="C29" s="32" t="s">
        <v>23</v>
      </c>
      <c r="D29" s="33">
        <v>14000</v>
      </c>
      <c r="E29" s="30"/>
      <c r="F29" s="29"/>
    </row>
    <row r="30" spans="1:11" s="34" customFormat="1" ht="28.5" customHeight="1">
      <c r="A30" s="72"/>
      <c r="B30" s="71"/>
      <c r="C30" s="32">
        <v>551</v>
      </c>
      <c r="D30" s="33">
        <v>14000</v>
      </c>
      <c r="E30" s="30"/>
      <c r="F30" s="29"/>
    </row>
    <row r="31" spans="1:11" s="34" customFormat="1" ht="28.5" customHeight="1">
      <c r="A31" s="35" t="s">
        <v>10</v>
      </c>
      <c r="B31" s="36">
        <v>46017</v>
      </c>
      <c r="C31" s="32"/>
      <c r="D31" s="33"/>
      <c r="E31" s="30"/>
      <c r="F31" s="29"/>
    </row>
    <row r="32" spans="1:11" s="34" customFormat="1" ht="28.5" customHeight="1">
      <c r="A32" s="66" t="s">
        <v>11</v>
      </c>
      <c r="B32" s="60">
        <v>46018</v>
      </c>
      <c r="C32" s="32" t="s">
        <v>23</v>
      </c>
      <c r="D32" s="33">
        <v>14000</v>
      </c>
      <c r="E32" s="38"/>
      <c r="F32" s="29"/>
    </row>
    <row r="33" spans="1:6" s="34" customFormat="1" ht="28.5" customHeight="1">
      <c r="A33" s="67"/>
      <c r="B33" s="61"/>
      <c r="C33" s="32">
        <v>551</v>
      </c>
      <c r="D33" s="33">
        <v>14000</v>
      </c>
      <c r="E33" s="38"/>
      <c r="F33" s="29"/>
    </row>
    <row r="34" spans="1:6">
      <c r="D34" s="39">
        <f>SUM(D23:D33)</f>
        <v>112000</v>
      </c>
    </row>
  </sheetData>
  <mergeCells count="12">
    <mergeCell ref="A24:A27"/>
    <mergeCell ref="B24:B27"/>
    <mergeCell ref="A29:A30"/>
    <mergeCell ref="B29:B30"/>
    <mergeCell ref="A32:A33"/>
    <mergeCell ref="B32:B33"/>
    <mergeCell ref="H6:I6"/>
    <mergeCell ref="A1:E1"/>
    <mergeCell ref="A2:E2"/>
    <mergeCell ref="A3:E3"/>
    <mergeCell ref="A4:I4"/>
    <mergeCell ref="A5:I5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TUẦN 19</vt:lpstr>
      <vt:lpstr>TUẦN 18</vt:lpstr>
      <vt:lpstr>TUẦN 17</vt:lpstr>
      <vt:lpstr>TUẦN 16</vt:lpstr>
      <vt:lpstr>TUẦN 15</vt:lpstr>
      <vt:lpstr>TUẦN 14</vt:lpstr>
      <vt:lpstr>TUẦN 13</vt:lpstr>
      <vt:lpstr>TUẦN 12</vt:lpstr>
      <vt:lpstr>TUẦN 11</vt:lpstr>
      <vt:lpstr>TUẦN 10</vt:lpstr>
      <vt:lpstr>TUẦN 09</vt:lpstr>
      <vt:lpstr>TUẦN 08</vt:lpstr>
      <vt:lpstr>TUẦN 07</vt:lpstr>
      <vt:lpstr>TUẦN 06</vt:lpstr>
      <vt:lpstr>TUẦN 05</vt:lpstr>
      <vt:lpstr>TUẦN 4</vt:lpstr>
      <vt:lpstr>TUẦN 3</vt:lpstr>
      <vt:lpstr>TUẦN 2</vt:lpstr>
      <vt:lpstr>TUẦN 1</vt:lpstr>
      <vt:lpstr>TUẦN 52@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Thi Huong</dc:creator>
  <cp:lastModifiedBy>Le Anh Tuan</cp:lastModifiedBy>
  <dcterms:created xsi:type="dcterms:W3CDTF">2025-12-25T07:50:56Z</dcterms:created>
  <dcterms:modified xsi:type="dcterms:W3CDTF">2026-05-02T03:26:05Z</dcterms:modified>
</cp:coreProperties>
</file>